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Cleans Log" sheetId="3" state="visible" r:id="rId5"/>
    <sheet name="Stock" sheetId="4" state="visible" r:id="rId6"/>
    <sheet name="Purchases" sheetId="5" state="visible" r:id="rId7"/>
    <sheet name="Damage" sheetId="6" state="visible" r:id="rId8"/>
    <sheet name="Invoices" sheetId="7" state="visible" r:id="rId9"/>
    <sheet name="Invoice Builder" sheetId="8" state="visible" r:id="rId10"/>
    <sheet name="Cleaner Pay" sheetId="9" state="visible" r:id="rId11"/>
    <sheet name="Expenses" sheetId="10" state="visible" r:id="rId12"/>
    <sheet name="Properties" sheetId="11" state="visible" r:id="rId13"/>
    <sheet name="Hosts" sheetId="12" state="visible" r:id="rId14"/>
    <sheet name="Cleaners" sheetId="13" state="visible" r:id="rId15"/>
    <sheet name="Supplies" sheetId="14" state="visible" r:id="rId16"/>
    <sheet name="Price Calculator" sheetId="15" state="visible" r:id="rId17"/>
    <sheet name="Setting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Leave blank to use the standard price from Settings. Type a number here if you agreed something different with the host.</t>
        </r>
      </text>
    </comment>
  </commentList>
</comments>
</file>

<file path=xl/sharedStrings.xml><?xml version="1.0" encoding="utf-8"?>
<sst xmlns="http://schemas.openxmlformats.org/spreadsheetml/2006/main" count="709" uniqueCount="442">
  <si>
    <t xml:space="preserve">FreshTurn Operations</t>
  </si>
  <si>
    <t xml:space="preserve">Everything for running the business in one file. Works in Excel and Google Sheets.</t>
  </si>
  <si>
    <t xml:space="preserve">HOW THE FILE WORKS</t>
  </si>
  <si>
    <t xml:space="preserve">Dark blue headers</t>
  </si>
  <si>
    <t xml:space="preserve">You type in these columns.</t>
  </si>
  <si>
    <t xml:space="preserve">Grey headers / grey cells</t>
  </si>
  <si>
    <t xml:space="preserve">Worked out automatically. Don't type in them.</t>
  </si>
  <si>
    <t xml:space="preserve">Dropdowns</t>
  </si>
  <si>
    <t xml:space="preserve">Most columns have a dropdown list (IDs, Y/N, statuses). Use them so the totals work.</t>
  </si>
  <si>
    <t xml:space="preserve">Example rows</t>
  </si>
  <si>
    <t xml:space="preserve">Rows marked 'EXAMPLE' show how to fill things in. Delete or overwrite them when you start for real.</t>
  </si>
  <si>
    <t xml:space="preserve">Door / key safe codes</t>
  </si>
  <si>
    <t xml:space="preserve">Never put codes in this file. Keep them in a password manager (e.g. Bitwarden, free) and share only with the cleaner who needs them.</t>
  </si>
  <si>
    <t xml:space="preserve">EVERY CLEAN</t>
  </si>
  <si>
    <t xml:space="preserve">1. Cleans Log</t>
  </si>
  <si>
    <t xml:space="preserve">Add a row: date, property, cleaner, status. Charges and cleaner pay are calculated for you.</t>
  </si>
  <si>
    <t xml:space="preserve">2. Stock</t>
  </si>
  <si>
    <t xml:space="preserve">Cleaner texts you the counts (or fills in the Stock form). Update 'Count now'. Anything at or below the reorder level turns red.</t>
  </si>
  <si>
    <t xml:space="preserve">3. Damage</t>
  </si>
  <si>
    <t xml:space="preserve">Anything broken or missing? Add it to Damage the same day and send the host photos. Platforms only allow claims for 14 days.</t>
  </si>
  <si>
    <t xml:space="preserve">EVERY WEEK (Friday)</t>
  </si>
  <si>
    <t xml:space="preserve">4. Cleaner Pay</t>
  </si>
  <si>
    <t xml:space="preserve">Add a row for each cleaner for the week that just ended. It totals their jobs. Pay them, then fill in 'Paid date'.</t>
  </si>
  <si>
    <t xml:space="preserve">5. Shopping</t>
  </si>
  <si>
    <t xml:space="preserve">Check Stock for red items. Buy them (one shop for all properties), log each purchase in Purchases, keep the receipt photo.</t>
  </si>
  <si>
    <t xml:space="preserve">6. Dashboard</t>
  </si>
  <si>
    <t xml:space="preserve">Check the alerts box. Everything in it should be zero or dealt with.</t>
  </si>
  <si>
    <t xml:space="preserve">EVERY MONTH (1st)</t>
  </si>
  <si>
    <t xml:space="preserve">7. Invoices</t>
  </si>
  <si>
    <t xml:space="preserve">Add a row per host for last month. Use Invoice Builder to see the itemised list, copy it into your invoicing app (or PDF) and send.</t>
  </si>
  <si>
    <t xml:space="preserve">8. Expenses</t>
  </si>
  <si>
    <t xml:space="preserve">Log running costs (insurance, phone, software, mileage). These reduce your tax bill.</t>
  </si>
  <si>
    <t xml:space="preserve">9. Dashboard</t>
  </si>
  <si>
    <t xml:space="preserve">Pick last month: check profit, how much you keep per clean and your effective hourly rate.</t>
  </si>
  <si>
    <t xml:space="preserve">NEW PROPERTY</t>
  </si>
  <si>
    <t xml:space="preserve">Steps</t>
  </si>
  <si>
    <t xml:space="preserve">Add the host to Hosts, the property to Properties (price fills in from Settings, or type an agreed price), then add its stock items to Stock using the template rows.</t>
  </si>
  <si>
    <t xml:space="preserve">TABS</t>
  </si>
  <si>
    <t xml:space="preserve">Dashboard</t>
  </si>
  <si>
    <t xml:space="preserve">Monthly numbers, tax year totals, VAT threshold tracker and alerts.</t>
  </si>
  <si>
    <t xml:space="preserve">Cleans Log</t>
  </si>
  <si>
    <t xml:space="preserve">One row per clean. The heart of the system.</t>
  </si>
  <si>
    <t xml:space="preserve">Properties / Hosts / Cleaners</t>
  </si>
  <si>
    <t xml:space="preserve">Who and where.</t>
  </si>
  <si>
    <t xml:space="preserve">Stock / Supplies</t>
  </si>
  <si>
    <t xml:space="preserve">What each property should have, what it has now, and what everything costs.</t>
  </si>
  <si>
    <t xml:space="preserve">Purchases</t>
  </si>
  <si>
    <t xml:space="preserve">Everything you buy for a property. Marks what to recharge to the host (+10%) and checks approval and receipts.</t>
  </si>
  <si>
    <t xml:space="preserve">Damage</t>
  </si>
  <si>
    <t xml:space="preserve">Guest damage with claim deadlines.</t>
  </si>
  <si>
    <t xml:space="preserve">Invoices / Invoice Builder</t>
  </si>
  <si>
    <t xml:space="preserve">Monthly invoices per host and whether they're paid.</t>
  </si>
  <si>
    <t xml:space="preserve">Cleaner Pay</t>
  </si>
  <si>
    <t xml:space="preserve">Weekly pay per cleaner.</t>
  </si>
  <si>
    <t xml:space="preserve">Expenses</t>
  </si>
  <si>
    <t xml:space="preserve">Your running costs for tax.</t>
  </si>
  <si>
    <t xml:space="preserve">Price Calculator</t>
  </si>
  <si>
    <t xml:space="preserve">Work out a price for a new property from the hours it takes.</t>
  </si>
  <si>
    <t xml:space="preserve">Settings</t>
  </si>
  <si>
    <t xml:space="preserve">Prices, cleaner pay, markup, approval limits and other rules. Change them here and everything updates.</t>
  </si>
  <si>
    <t xml:space="preserve">Pick a month and a tax year. UK tax years run 6 April to 5 April.</t>
  </si>
  <si>
    <t xml:space="preserve">Month</t>
  </si>
  <si>
    <t xml:space="preserve">Tax year</t>
  </si>
  <si>
    <t xml:space="preserve">2026/27</t>
  </si>
  <si>
    <t xml:space="preserve">THIS MONTH</t>
  </si>
  <si>
    <t xml:space="preserve">NEEDS ATTENTION NOW</t>
  </si>
  <si>
    <t xml:space="preserve">Completed cleans</t>
  </si>
  <si>
    <t xml:space="preserve">Stock items to reorder</t>
  </si>
  <si>
    <t xml:space="preserve">Deep cleans</t>
  </si>
  <si>
    <t xml:space="preserve">Stock not counted yet</t>
  </si>
  <si>
    <t xml:space="preserve">Cleaning income</t>
  </si>
  <si>
    <t xml:space="preserve">Damage: tell host / claim soon / missed</t>
  </si>
  <si>
    <t xml:space="preserve">Items recharged to hosts</t>
  </si>
  <si>
    <t xml:space="preserve">Purchases needing approval or receipt</t>
  </si>
  <si>
    <t xml:space="preserve">Total to invoice</t>
  </si>
  <si>
    <t xml:space="preserve">Cleaners to pay</t>
  </si>
  <si>
    <t xml:space="preserve">Cleaner pay</t>
  </si>
  <si>
    <t xml:space="preserve">Overdue invoices</t>
  </si>
  <si>
    <t xml:space="preserve">Purchases (cost)</t>
  </si>
  <si>
    <t xml:space="preserve">Money owed to you</t>
  </si>
  <si>
    <t xml:space="preserve">Running costs</t>
  </si>
  <si>
    <t xml:space="preserve">Cleans with no photos sent</t>
  </si>
  <si>
    <t xml:space="preserve">PROFIT</t>
  </si>
  <si>
    <t xml:space="preserve">You keep per clean (after cleaner pay)</t>
  </si>
  <si>
    <t xml:space="preserve">TAX YEAR (for Self Assessment)</t>
  </si>
  <si>
    <t xml:space="preserve">Hours cleaned</t>
  </si>
  <si>
    <t xml:space="preserve">Income</t>
  </si>
  <si>
    <t xml:space="preserve">Income per cleaning hour</t>
  </si>
  <si>
    <t xml:space="preserve">Running costs (incl. mileage)</t>
  </si>
  <si>
    <t xml:space="preserve">BY PROPERTY (this month)</t>
  </si>
  <si>
    <t xml:space="preserve">You keep (£)</t>
  </si>
  <si>
    <t xml:space="preserve">Profit</t>
  </si>
  <si>
    <t xml:space="preserve">Put aside for tax</t>
  </si>
  <si>
    <t xml:space="preserve">VAT THRESHOLD (rolling 12 months)</t>
  </si>
  <si>
    <t xml:space="preserve">Income in the last 12 months</t>
  </si>
  <si>
    <t xml:space="preserve">% of VAT threshold</t>
  </si>
  <si>
    <t xml:space="preserve">What to do</t>
  </si>
  <si>
    <t xml:space="preserve">One row per visit. Status: Completed, Deep clean, Late cancel (host charged 50%), Cancelled (no charge), Re-clean (free fix).</t>
  </si>
  <si>
    <t xml:space="preserve">Date</t>
  </si>
  <si>
    <t xml:space="preserve">Prop ID</t>
  </si>
  <si>
    <t xml:space="preserve">Cleaner ID</t>
  </si>
  <si>
    <t xml:space="preserve">Status</t>
  </si>
  <si>
    <t xml:space="preserve">Start</t>
  </si>
  <si>
    <t xml:space="preserve">Finish</t>
  </si>
  <si>
    <t xml:space="preserve">Rush (Y/N)</t>
  </si>
  <si>
    <t xml:space="preserve">Hot tub (Y/N)</t>
  </si>
  <si>
    <t xml:space="preserve">Other extra (£)</t>
  </si>
  <si>
    <t xml:space="preserve">Photos sent (Y/N)</t>
  </si>
  <si>
    <t xml:space="preserve">Issues / notes</t>
  </si>
  <si>
    <t xml:space="preserve">Hours</t>
  </si>
  <si>
    <t xml:space="preserve">Host ID</t>
  </si>
  <si>
    <t xml:space="preserve">Charge to host (£)</t>
  </si>
  <si>
    <t xml:space="preserve">Cleaner pay (£)</t>
  </si>
  <si>
    <t xml:space="preserve">Work week ends (Fri)</t>
  </si>
  <si>
    <t xml:space="preserve">Invoice line #</t>
  </si>
  <si>
    <t xml:space="preserve">P001</t>
  </si>
  <si>
    <t xml:space="preserve">C001</t>
  </si>
  <si>
    <t xml:space="preserve">Completed</t>
  </si>
  <si>
    <t xml:space="preserve">N</t>
  </si>
  <si>
    <t xml:space="preserve">Y</t>
  </si>
  <si>
    <t xml:space="preserve">EXAMPLE</t>
  </si>
  <si>
    <t xml:space="preserve">EXAMPLE: bulb replaced</t>
  </si>
  <si>
    <t xml:space="preserve">C002</t>
  </si>
  <si>
    <t xml:space="preserve">EXAMPLE: booked same morning</t>
  </si>
  <si>
    <t xml:space="preserve">Late cancel</t>
  </si>
  <si>
    <t xml:space="preserve">EXAMPLE: guest extended, host told us at 9am</t>
  </si>
  <si>
    <t xml:space="preserve">Stock per Property</t>
  </si>
  <si>
    <t xml:space="preserve">Full stock = what should be there after a clean. Update 'Count now' from the cleaner's counts. Red = buy before the next clean.</t>
  </si>
  <si>
    <t xml:space="preserve">Item ID</t>
  </si>
  <si>
    <t xml:space="preserve">Item</t>
  </si>
  <si>
    <t xml:space="preserve">Full stock</t>
  </si>
  <si>
    <t xml:space="preserve">Reorder at or below</t>
  </si>
  <si>
    <t xml:space="preserve">Count now</t>
  </si>
  <si>
    <t xml:space="preserve">Last counted</t>
  </si>
  <si>
    <t xml:space="preserve">Need to buy</t>
  </si>
  <si>
    <t xml:space="preserve">Est. cost (£)</t>
  </si>
  <si>
    <t xml:space="preserve">Template for a new 2-bed: copy rows 5–21 and change the Prop ID. Scale full stock up or down for bigger or smaller places.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</si>
  <si>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</si>
  <si>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</si>
  <si>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</si>
  <si>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</si>
  <si>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</si>
  <si>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</si>
  <si>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</si>
  <si>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</si>
  <si>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</si>
  <si>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</si>
  <si>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</si>
  <si>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</si>
  <si>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</si>
  <si>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</si>
  <si>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</si>
  <si>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S22</t>
  </si>
  <si>
    <t xml:space="preserve">S24</t>
  </si>
  <si>
    <t xml:space="preserve">Purchases &amp; Replacements</t>
  </si>
  <si>
    <t xml:space="preserve">Everything you buy for a property. Charge host = Y adds it to their invoice at cost + markup. Keep every receipt (photo is fine).</t>
  </si>
  <si>
    <t xml:space="preserve">Item ID (optional)</t>
  </si>
  <si>
    <t xml:space="preserve">What</t>
  </si>
  <si>
    <t xml:space="preserve">Qty</t>
  </si>
  <si>
    <t xml:space="preserve">Total cost (£, from receipt)</t>
  </si>
  <si>
    <t xml:space="preserve">Type</t>
  </si>
  <si>
    <t xml:space="preserve">Charge host? (Y/N)</t>
  </si>
  <si>
    <t xml:space="preserve">Host approved? (Y/N)</t>
  </si>
  <si>
    <t xml:space="preserve">Receipt saved? (Y/N)</t>
  </si>
  <si>
    <t xml:space="preserve">Notes</t>
  </si>
  <si>
    <t xml:space="preserve">Cost each (£)</t>
  </si>
  <si>
    <t xml:space="preserve">Check</t>
  </si>
  <si>
    <t xml:space="preserve">LED bulb E27</t>
  </si>
  <si>
    <t xml:space="preserve">Replacement</t>
  </si>
  <si>
    <t xml:space="preserve">EXAMPLE: bedside lamp</t>
  </si>
  <si>
    <t xml:space="preserve">UHT milk portions</t>
  </si>
  <si>
    <t xml:space="preserve">Restock</t>
  </si>
  <si>
    <t xml:space="preserve">S25</t>
  </si>
  <si>
    <t xml:space="preserve">Wine glasses (guest broke 2)</t>
  </si>
  <si>
    <t xml:space="preserve">Guest damage</t>
  </si>
  <si>
    <t xml:space="preserve">EXAMPLE: see Damage tab</t>
  </si>
  <si>
    <t xml:space="preserve">Damage &amp; Missing Items</t>
  </si>
  <si>
    <t xml:space="preserve">Log it the same day, send the host photos. The host claims from the guest via the platform within 14 days of checkout.</t>
  </si>
  <si>
    <t xml:space="preserve">Date found</t>
  </si>
  <si>
    <t xml:space="preserve">Platform</t>
  </si>
  <si>
    <t xml:space="preserve">Guest checkout date</t>
  </si>
  <si>
    <t xml:space="preserve">What's damaged / missing</t>
  </si>
  <si>
    <t xml:space="preserve">Photos (link / folder)</t>
  </si>
  <si>
    <t xml:space="preserve">Host told (date)</t>
  </si>
  <si>
    <t xml:space="preserve">Replacement cost (£)</t>
  </si>
  <si>
    <t xml:space="preserve">Host's claim</t>
  </si>
  <si>
    <t xml:space="preserve">Claim deadline</t>
  </si>
  <si>
    <t xml:space="preserve">Days left</t>
  </si>
  <si>
    <t xml:space="preserve">Alert</t>
  </si>
  <si>
    <t xml:space="preserve">Airbnb</t>
  </si>
  <si>
    <t xml:space="preserve">2 wine glasses broken</t>
  </si>
  <si>
    <t xml:space="preserve">Turno job photos 24 Oct</t>
  </si>
  <si>
    <t xml:space="preserve">Claimed</t>
  </si>
  <si>
    <t xml:space="preserve">Invoices</t>
  </si>
  <si>
    <t xml:space="preserve">One row per host per month. Month = the 1st of the month you're billing for. Totals come from Cleans Log and Purchases.</t>
  </si>
  <si>
    <t xml:space="preserve">Owed to you now:</t>
  </si>
  <si>
    <t xml:space="preserve">Invoice no.</t>
  </si>
  <si>
    <t xml:space="preserve">Month (1st)</t>
  </si>
  <si>
    <t xml:space="preserve">Sent (date)</t>
  </si>
  <si>
    <t xml:space="preserve">Paid (date)</t>
  </si>
  <si>
    <t xml:space="preserve">Cleans</t>
  </si>
  <si>
    <t xml:space="preserve">Cleaning (£)</t>
  </si>
  <si>
    <t xml:space="preserve">Recharged items (£)</t>
  </si>
  <si>
    <t xml:space="preserve">Total (£)</t>
  </si>
  <si>
    <t xml:space="preserve">Due</t>
  </si>
  <si>
    <t xml:space="preserve">FT-0001</t>
  </si>
  <si>
    <t xml:space="preserve">H001</t>
  </si>
  <si>
    <t xml:space="preserve">Invoice Builder</t>
  </si>
  <si>
    <t xml:space="preserve">Pick a host and month. The itemised lines appear below: copy them into your invoice (Zoho Invoice, Wave, or a Google Doc).</t>
  </si>
  <si>
    <t xml:space="preserve">Month (1st of month)</t>
  </si>
  <si>
    <t xml:space="preserve">Host name</t>
  </si>
  <si>
    <t xml:space="preserve">Email</t>
  </si>
  <si>
    <t xml:space="preserve">#</t>
  </si>
  <si>
    <t xml:space="preserve">Property</t>
  </si>
  <si>
    <t xml:space="preserve">Cleaning</t>
  </si>
  <si>
    <t xml:space="preserve">Amount (£)</t>
  </si>
  <si>
    <t xml:space="preserve">Supplies &amp; replacements (cost + markup)</t>
  </si>
  <si>
    <t xml:space="preserve">TOTAL</t>
  </si>
  <si>
    <t xml:space="preserve">Payment due within 7 days of the invoice date. Thank you!</t>
  </si>
  <si>
    <t xml:space="preserve">Work weeks run Saturday to Friday. Pay on the following Friday. Add one row per cleaner per week.</t>
  </si>
  <si>
    <t xml:space="preserve">Work week ending (Fri)</t>
  </si>
  <si>
    <t xml:space="preserve">Payment ref</t>
  </si>
  <si>
    <t xml:space="preserve">Name</t>
  </si>
  <si>
    <t xml:space="preserve">Jobs</t>
  </si>
  <si>
    <t xml:space="preserve">Pay on</t>
  </si>
  <si>
    <t xml:space="preserve">Running Costs</t>
  </si>
  <si>
    <t xml:space="preserve">Your own business costs (not things recharged to hosts). Keep receipts for 5 years after the tax return deadline.</t>
  </si>
  <si>
    <t xml:space="preserve">Business miles (mileage only)</t>
  </si>
  <si>
    <t xml:space="preserve">Receipt (Y/N)</t>
  </si>
  <si>
    <t xml:space="preserve">Claimable (£)</t>
  </si>
  <si>
    <t xml:space="preserve">Insurance</t>
  </si>
  <si>
    <t xml:space="preserve">Public liability, monthly (EXAMPLE)</t>
  </si>
  <si>
    <t xml:space="preserve">Mileage</t>
  </si>
  <si>
    <t xml:space="preserve">Home to property and back (EXAMPLE)</t>
  </si>
  <si>
    <t xml:space="preserve">Properties</t>
  </si>
  <si>
    <t xml:space="preserve">Price and cleaner pay fill in from Settings. Type an agreed price to override. Never store door codes here.</t>
  </si>
  <si>
    <t xml:space="preserve">Property name</t>
  </si>
  <si>
    <t xml:space="preserve">Postcode</t>
  </si>
  <si>
    <t xml:space="preserve">Bedrooms (0 = studio)</t>
  </si>
  <si>
    <t xml:space="preserve">Bathrooms</t>
  </si>
  <si>
    <t xml:space="preserve">Standard price (£)</t>
  </si>
  <si>
    <t xml:space="preserve">Agreed price (£, optional)</t>
  </si>
  <si>
    <t xml:space="preserve">Price per clean (£)</t>
  </si>
  <si>
    <t xml:space="preserve">Standard cleaner pay (£)</t>
  </si>
  <si>
    <t xml:space="preserve">Agreed cleaner pay (£, optional)</t>
  </si>
  <si>
    <t xml:space="preserve">Cleaner pay per clean (£)</t>
  </si>
  <si>
    <t xml:space="preserve">You keep per clean (£)</t>
  </si>
  <si>
    <t xml:space="preserve">Main cleaner</t>
  </si>
  <si>
    <t xml:space="preserve">Backup cleaner</t>
  </si>
  <si>
    <t xml:space="preserve">Linen</t>
  </si>
  <si>
    <t xml:space="preserve">Supplies</t>
  </si>
  <si>
    <t xml:space="preserve">Washer on site (Y/N)</t>
  </si>
  <si>
    <t xml:space="preserve">Checkout</t>
  </si>
  <si>
    <t xml:space="preserve">Check-in</t>
  </si>
  <si>
    <t xml:space="preserve">Access (method only, no codes)</t>
  </si>
  <si>
    <t xml:space="preserve">Parking</t>
  </si>
  <si>
    <t xml:space="preserve">Active (Y/N)</t>
  </si>
  <si>
    <t xml:space="preserve">Start date</t>
  </si>
  <si>
    <t xml:space="preserve">First client (EXAMPLE)</t>
  </si>
  <si>
    <t xml:space="preserve">BA1</t>
  </si>
  <si>
    <t xml:space="preserve">Host's own</t>
  </si>
  <si>
    <t xml:space="preserve">Host stock</t>
  </si>
  <si>
    <t xml:space="preserve">Key safe (code in password manager)</t>
  </si>
  <si>
    <t xml:space="preserve">Permit needed: check with host</t>
  </si>
  <si>
    <t xml:space="preserve">EXAMPLE: replace with the real property</t>
  </si>
  <si>
    <t xml:space="preserve">Hosts</t>
  </si>
  <si>
    <t xml:space="preserve">One row per client. Keep this list private (UK GDPR).</t>
  </si>
  <si>
    <t xml:space="preserve">Phone</t>
  </si>
  <si>
    <t xml:space="preserve">Prefers (text / email / call)</t>
  </si>
  <si>
    <t xml:space="preserve">Pays by</t>
  </si>
  <si>
    <t xml:space="preserve">Card on file (Y/N)</t>
  </si>
  <si>
    <t xml:space="preserve">Agreement signed (date)</t>
  </si>
  <si>
    <t xml:space="preserve">First client</t>
  </si>
  <si>
    <t xml:space="preserve">Text</t>
  </si>
  <si>
    <t xml:space="preserve">Bank transfer</t>
  </si>
  <si>
    <t xml:space="preserve">EXAMPLE: replace with your first client's details</t>
  </si>
  <si>
    <t xml:space="preserve">Cleaners</t>
  </si>
  <si>
    <t xml:space="preserve">Self-employed cleaners. Keep bank details in your banking app, not here.</t>
  </si>
  <si>
    <t xml:space="preserve">Registered self-employed with HMRC (Y/N)</t>
  </si>
  <si>
    <t xml:space="preserve">Own insurance (Y/N)</t>
  </si>
  <si>
    <t xml:space="preserve">Days available</t>
  </si>
  <si>
    <t xml:space="preserve">Properties they know</t>
  </si>
  <si>
    <t xml:space="preserve">Jobs done</t>
  </si>
  <si>
    <t xml:space="preserve">Earned to date (£)</t>
  </si>
  <si>
    <t xml:space="preserve">Cleaner 1</t>
  </si>
  <si>
    <t xml:space="preserve">Fri–Sun</t>
  </si>
  <si>
    <t xml:space="preserve">Cleaner 2</t>
  </si>
  <si>
    <t xml:space="preserve">Supplies Catalogue</t>
  </si>
  <si>
    <t xml:space="preserve">What things cost. Prices are October 2026 estimates unless a source is given: update them from your receipts.</t>
  </si>
  <si>
    <t xml:space="preserve">Category</t>
  </si>
  <si>
    <t xml:space="preserve">Pack size (units)</t>
  </si>
  <si>
    <t xml:space="preserve">Pack price (£)</t>
  </si>
  <si>
    <t xml:space="preserve">Cost per unit (£)</t>
  </si>
  <si>
    <t xml:space="preserve">Recharge to host?</t>
  </si>
  <si>
    <t xml:space="preserve">Where to buy</t>
  </si>
  <si>
    <t xml:space="preserve">Price source</t>
  </si>
  <si>
    <t xml:space="preserve">Toilet roll</t>
  </si>
  <si>
    <t xml:space="preserve">Bathroom</t>
  </si>
  <si>
    <t xml:space="preserve">Diamond DCS (trade), Costco, Booker</t>
  </si>
  <si>
    <t xml:space="preserve">Diamond DCS listing, Oct 2026 (£18.90 inc VAT for 36)</t>
  </si>
  <si>
    <t xml:space="preserve">Kitchen roll</t>
  </si>
  <si>
    <t xml:space="preserve">Kitchen</t>
  </si>
  <si>
    <t xml:space="preserve">Costco, Booker, supermarket multipack</t>
  </si>
  <si>
    <t xml:space="preserve">Estimate</t>
  </si>
  <si>
    <t xml:space="preserve">Hand soap (500ml pump)</t>
  </si>
  <si>
    <t xml:space="preserve">Amazon, Costco</t>
  </si>
  <si>
    <t xml:space="preserve">Mini shampoo</t>
  </si>
  <si>
    <t xml:space="preserve">Hotel supply sites, Amazon</t>
  </si>
  <si>
    <t xml:space="preserve">Mini conditioner</t>
  </si>
  <si>
    <t xml:space="preserve">Mini shower gel</t>
  </si>
  <si>
    <t xml:space="preserve">Dishwasher tablets</t>
  </si>
  <si>
    <t xml:space="preserve">Costco, Aldi, Lidl</t>
  </si>
  <si>
    <t xml:space="preserve">Washing-up liquid</t>
  </si>
  <si>
    <t xml:space="preserve">Supermarket, Booker</t>
  </si>
  <si>
    <t xml:space="preserve">Sponge scourers</t>
  </si>
  <si>
    <t xml:space="preserve">Supermarket</t>
  </si>
  <si>
    <t xml:space="preserve">Bin bags (kitchen)</t>
  </si>
  <si>
    <t xml:space="preserve">Tea bags</t>
  </si>
  <si>
    <t xml:space="preserve">Welcome</t>
  </si>
  <si>
    <t xml:space="preserve">Supermarket, Costco</t>
  </si>
  <si>
    <t xml:space="preserve">Coffee sachets / pods</t>
  </si>
  <si>
    <t xml:space="preserve">Costco, Amazon</t>
  </si>
  <si>
    <t xml:space="preserve">Sugar sachets</t>
  </si>
  <si>
    <t xml:space="preserve">Booker, Amazon</t>
  </si>
  <si>
    <t xml:space="preserve">Laundry detergent pods</t>
  </si>
  <si>
    <t xml:space="preserve">Laundry</t>
  </si>
  <si>
    <t xml:space="preserve">Costco, supermarket</t>
  </si>
  <si>
    <t xml:space="preserve">S16</t>
  </si>
  <si>
    <t xml:space="preserve">Multi-surface cleaner (5L)</t>
  </si>
  <si>
    <t xml:space="preserve">Booker, Screwfix, Amazon</t>
  </si>
  <si>
    <t xml:space="preserve">S17</t>
  </si>
  <si>
    <t xml:space="preserve">Bathroom cleaner (750ml)</t>
  </si>
  <si>
    <t xml:space="preserve">S18</t>
  </si>
  <si>
    <t xml:space="preserve">Toilet cleaner (750ml)</t>
  </si>
  <si>
    <t xml:space="preserve">S19</t>
  </si>
  <si>
    <t xml:space="preserve">Glass cleaner (750ml)</t>
  </si>
  <si>
    <t xml:space="preserve">S20</t>
  </si>
  <si>
    <t xml:space="preserve">Microfibre cloths</t>
  </si>
  <si>
    <t xml:space="preserve">S21</t>
  </si>
  <si>
    <t xml:space="preserve">Disposable gloves</t>
  </si>
  <si>
    <t xml:space="preserve">Amazon, Screwfix</t>
  </si>
  <si>
    <t xml:space="preserve">LED bulb E27 (screw)</t>
  </si>
  <si>
    <t xml:space="preserve">Spares</t>
  </si>
  <si>
    <t xml:space="preserve">Screwfix, Toolstation</t>
  </si>
  <si>
    <t xml:space="preserve">S23</t>
  </si>
  <si>
    <t xml:space="preserve">LED bulb E14 (small screw)</t>
  </si>
  <si>
    <t xml:space="preserve">AA batteries</t>
  </si>
  <si>
    <t xml:space="preserve">Wine glass</t>
  </si>
  <si>
    <t xml:space="preserve">IKEA, Dunelm</t>
  </si>
  <si>
    <t xml:space="preserve">S26</t>
  </si>
  <si>
    <t xml:space="preserve">Mug</t>
  </si>
  <si>
    <t xml:space="preserve">S27</t>
  </si>
  <si>
    <t xml:space="preserve">Bath towel (hotel white)</t>
  </si>
  <si>
    <t xml:space="preserve">Dunelm, Vision Linens</t>
  </si>
  <si>
    <t xml:space="preserve">S28</t>
  </si>
  <si>
    <t xml:space="preserve">Hand towel (hotel white)</t>
  </si>
  <si>
    <t xml:space="preserve">S29</t>
  </si>
  <si>
    <t xml:space="preserve">Double duvet cover set (white)</t>
  </si>
  <si>
    <t xml:space="preserve">Price a new property from how long it takes. Time the first 4 cleans and come back to check.</t>
  </si>
  <si>
    <t xml:space="preserve">Hours one cleaner needs</t>
  </si>
  <si>
    <t xml:space="preserve">Parking cost per visit (£)</t>
  </si>
  <si>
    <t xml:space="preserve">FreshTurn supplies linen? (Y/N)</t>
  </si>
  <si>
    <t xml:space="preserve">Suggested price (rounded up to £5)</t>
  </si>
  <si>
    <t xml:space="preserve">Hours × target hourly charge + parking, plus linen if you supply it.</t>
  </si>
  <si>
    <t xml:space="preserve">Price from your standard price list</t>
  </si>
  <si>
    <t xml:space="preserve">What the website says for this size.</t>
  </si>
  <si>
    <t xml:space="preserve">Cleaner pay (hours × cleaner rate, rounded)</t>
  </si>
  <si>
    <t xml:space="preserve">Compare with the standard pay in Settings.</t>
  </si>
  <si>
    <t xml:space="preserve">You keep per clean (at suggested price)</t>
  </si>
  <si>
    <t xml:space="preserve">Assumes linen laundering costs about half the linen fee.</t>
  </si>
  <si>
    <t xml:space="preserve">You keep as % of price</t>
  </si>
  <si>
    <t xml:space="preserve">Aim for 25% or more.</t>
  </si>
  <si>
    <t xml:space="preserve">Cleaner's effective hourly rate</t>
  </si>
  <si>
    <t xml:space="preserve">Should be at or above what they earn elsewhere.</t>
  </si>
  <si>
    <t xml:space="preserve">Change a number here and every tab updates. Values researched for Bath, October 2026: check them against real quotes.</t>
  </si>
  <si>
    <t xml:space="preserve">Markup on purchases recharged to hosts</t>
  </si>
  <si>
    <t xml:space="preserve">From the client agreement (cost + 10%).</t>
  </si>
  <si>
    <t xml:space="preserve">Replace without asking, up to (£ per item)</t>
  </si>
  <si>
    <t xml:space="preserve">Client agreement 4.2. Above this, get the host's OK first.</t>
  </si>
  <si>
    <t xml:space="preserve">Host pays up front above (£)</t>
  </si>
  <si>
    <t xml:space="preserve">Client agreement 4.5.</t>
  </si>
  <si>
    <t xml:space="preserve">Extra bathroom (£ per clean)</t>
  </si>
  <si>
    <t xml:space="preserve">Website price list.</t>
  </si>
  <si>
    <t xml:space="preserve">Hot tub check (£)</t>
  </si>
  <si>
    <t xml:space="preserve">Rush surcharge (under 4 hrs notice)</t>
  </si>
  <si>
    <t xml:space="preserve">Cleaner share of extras / surcharges</t>
  </si>
  <si>
    <t xml:space="preserve">Cleaner agreement 3.1.</t>
  </si>
  <si>
    <t xml:space="preserve">Late cancellation charge to host</t>
  </si>
  <si>
    <t xml:space="preserve">Client agreement 5.3 (under 24 hrs notice).</t>
  </si>
  <si>
    <t xml:space="preserve">Cleaner pay on late cancellation</t>
  </si>
  <si>
    <t xml:space="preserve">Your choice: half pay if they'd already set off.</t>
  </si>
  <si>
    <t xml:space="preserve">Invoice payment terms (days)</t>
  </si>
  <si>
    <t xml:space="preserve">Client agreement 5.1.</t>
  </si>
  <si>
    <t xml:space="preserve">Mileage rate (£ per mile)</t>
  </si>
  <si>
    <t xml:space="preserve">HMRC approved rate for cars, first 10,000 business miles a year.</t>
  </si>
  <si>
    <t xml:space="preserve">Tax set-aside (% of profit)</t>
  </si>
  <si>
    <t xml:space="preserve">Rough guide for Income Tax + National Insurance. Ask an accountant for your real rate.</t>
  </si>
  <si>
    <t xml:space="preserve">VAT registration threshold (£, rolling 12 months)</t>
  </si>
  <si>
    <t xml:space="preserve">HMRC threshold for 2025/26. Check gov.uk each April.</t>
  </si>
  <si>
    <t xml:space="preserve">Damage claim window (days after checkout)</t>
  </si>
  <si>
    <t xml:space="preserve">Airbnb and Booking.com both use 14 days after checkout. Report sooner where possible.</t>
  </si>
  <si>
    <t xml:space="preserve">Target charge per hour of cleaning (£)</t>
  </si>
  <si>
    <t xml:space="preserve">Used by the Price Calculator.</t>
  </si>
  <si>
    <t xml:space="preserve">Typical cleaner hourly rate (£)</t>
  </si>
  <si>
    <t xml:space="preserve">Ask your cleaners. Used by the Price Calculator.</t>
  </si>
  <si>
    <t xml:space="preserve">Cleaner share of deep cleans</t>
  </si>
  <si>
    <t xml:space="preserve">Bedrooms</t>
  </si>
  <si>
    <t xml:space="preserve">Label</t>
  </si>
  <si>
    <t xml:space="preserve">Clean price (£)</t>
  </si>
  <si>
    <t xml:space="preserve">Linen add-on (£)</t>
  </si>
  <si>
    <t xml:space="preserve">Deep clean (£)</t>
  </si>
  <si>
    <t xml:space="preserve">Clean status</t>
  </si>
  <si>
    <t xml:space="preserve">Y/N</t>
  </si>
  <si>
    <t xml:space="preserve">Purchase type</t>
  </si>
  <si>
    <t xml:space="preserve">Claim status</t>
  </si>
  <si>
    <t xml:space="preserve">Expense type</t>
  </si>
  <si>
    <t xml:space="preserve">Studio</t>
  </si>
  <si>
    <t xml:space="preserve">Not started</t>
  </si>
  <si>
    <t xml:space="preserve">1 bed</t>
  </si>
  <si>
    <t xml:space="preserve">Deep clean</t>
  </si>
  <si>
    <t xml:space="preserve">Software</t>
  </si>
  <si>
    <t xml:space="preserve">FreshTurn</t>
  </si>
  <si>
    <t xml:space="preserve">FreshTurn buys</t>
  </si>
  <si>
    <t xml:space="preserve">Booking.com</t>
  </si>
  <si>
    <t xml:space="preserve">2 bed</t>
  </si>
  <si>
    <t xml:space="preserve">Paid</t>
  </si>
  <si>
    <t xml:space="preserve">Vrbo</t>
  </si>
  <si>
    <t xml:space="preserve">3 bed</t>
  </si>
  <si>
    <t xml:space="preserve">Cancelled</t>
  </si>
  <si>
    <t xml:space="preserve">Our supplies</t>
  </si>
  <si>
    <t xml:space="preserve">Refused</t>
  </si>
  <si>
    <t xml:space="preserve">Marketing</t>
  </si>
  <si>
    <t xml:space="preserve">Direct</t>
  </si>
  <si>
    <t xml:space="preserve">4+ bed</t>
  </si>
  <si>
    <t xml:space="preserve">Re-clean</t>
  </si>
  <si>
    <t xml:space="preserve">Equipment</t>
  </si>
  <si>
    <t xml:space="preserve">Not claiming</t>
  </si>
  <si>
    <t xml:space="preserve">Other</t>
  </si>
  <si>
    <t xml:space="preserve">Prices: UK hosts typically pay £40–£70 for a 2-bed changeover; average Airbnb cleaning fee about £55 (TaskRabbit UK, Airtasker, GuestReady 2026). Cleaner pay ≈ £16/hr.</t>
  </si>
  <si>
    <t xml:space="preserve">Accountant</t>
  </si>
  <si>
    <t xml:space="preserve">Bank fees</t>
  </si>
  <si>
    <t xml:space="preserve">Training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</si>
</sst>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mmm\ yyyy"/>
    <numFmt numFmtId="166" formatCode="0"/>
    <numFmt numFmtId="167" formatCode="\£#,##0.00;&quot;-£&quot;#,##0.00;\-"/>
    <numFmt numFmtId="168" formatCode="0.0"/>
    <numFmt numFmtId="169" formatCode="0%"/>
    <numFmt numFmtId="170" formatCode="dd\ mmm\ yyyy"/>
    <numFmt numFmtId="171" formatCode="hh:mm"/>
    <numFmt numFmtId="172" formatCode="0.00"/>
    <numFmt numFmtId="173" formatCode="General"/>
    <numFmt numFmtId="174" formatCode="@"/>
    <numFmt numFmtId="175" formatCode="\£0.00"/>
    <numFmt numFmtId="176" formatCode="\£#,##0;&quot;-£&quot;#,##0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3233A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44546A"/>
      <name val="Arial"/>
      <family val="0"/>
      <charset val="1"/>
    </font>
    <font>
      <b val="true"/>
      <sz val="11"/>
      <color rgb="FF22A86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6B7A8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DF0D9"/>
      </patternFill>
    </fill>
    <fill>
      <patternFill patternType="solid">
        <fgColor rgb="FF13233A"/>
        <bgColor rgb="FF003366"/>
      </patternFill>
    </fill>
    <fill>
      <patternFill patternType="solid">
        <fgColor rgb="FFDDF5E8"/>
        <bgColor rgb="FFF1F5F9"/>
      </patternFill>
    </fill>
    <fill>
      <patternFill patternType="solid">
        <fgColor rgb="FFFDF0D9"/>
        <bgColor rgb="FFFFF2CC"/>
      </patternFill>
    </fill>
    <fill>
      <patternFill patternType="solid">
        <fgColor rgb="FF6B7A8F"/>
        <bgColor rgb="FF969696"/>
      </patternFill>
    </fill>
    <fill>
      <patternFill patternType="solid">
        <fgColor rgb="FFF1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D7DA"/>
        </patternFill>
      </fill>
    </dxf>
    <dxf>
      <fill>
        <patternFill>
          <bgColor rgb="FFFDF0D9"/>
        </patternFill>
      </fill>
    </dxf>
    <dxf>
      <font>
        <name val="Arial"/>
        <charset val="1"/>
        <family val="0"/>
        <b val="1"/>
        <color rgb="FF9B1C1C"/>
      </font>
      <fill>
        <patternFill>
          <bgColor rgb="FFF8D7DA"/>
        </patternFill>
      </fill>
    </dxf>
    <dxf>
      <fill>
        <patternFill>
          <bgColor rgb="FFDDF5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8F"/>
      <rgbColor rgb="FF9999FF"/>
      <rgbColor rgb="FFC0392B"/>
      <rgbColor rgb="FFFFF2CC"/>
      <rgbColor rgb="FFDDF5E8"/>
      <rgbColor rgb="FF660066"/>
      <rgbColor rgb="FFFF8080"/>
      <rgbColor rgb="FF0066CC"/>
      <rgbColor rgb="FFDC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DF0D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D9890F"/>
      <rgbColor rgb="FFFF6600"/>
      <rgbColor rgb="FF44546A"/>
      <rgbColor rgb="FF969696"/>
      <rgbColor rgb="FF003366"/>
      <rgbColor rgb="FF22A86A"/>
      <rgbColor rgb="FF003300"/>
      <rgbColor rgb="FF333300"/>
      <rgbColor rgb="FF9B1C1C"/>
      <rgbColor rgb="FF993366"/>
      <rgbColor rgb="FF333399"/>
      <rgbColor rgb="FF132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33A"/>
    <pageSetUpPr fitToPage="fals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23.8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7"/>
    </row>
    <row r="11" customFormat="false" ht="15" hidden="false" customHeight="false" outlineLevel="0" collapsed="false">
      <c r="A11" s="4" t="s">
        <v>13</v>
      </c>
    </row>
    <row r="12" customFormat="false" ht="15" hidden="false" customHeight="false" outlineLevel="0" collapsed="false">
      <c r="A12" s="7" t="s">
        <v>14</v>
      </c>
      <c r="B12" s="6" t="s">
        <v>15</v>
      </c>
    </row>
    <row r="13" customFormat="false" ht="15" hidden="false" customHeight="false" outlineLevel="0" collapsed="false">
      <c r="A13" s="7" t="s">
        <v>16</v>
      </c>
      <c r="B13" s="6" t="s">
        <v>17</v>
      </c>
    </row>
    <row r="14" customFormat="false" ht="23.85" hidden="false" customHeight="false" outlineLevel="0" collapsed="false">
      <c r="A14" s="7" t="s">
        <v>18</v>
      </c>
      <c r="B14" s="6" t="s">
        <v>19</v>
      </c>
    </row>
    <row r="15" customFormat="false" ht="15" hidden="false" customHeight="false" outlineLevel="0" collapsed="false">
      <c r="A15" s="7"/>
    </row>
    <row r="16" customFormat="false" ht="15" hidden="false" customHeight="false" outlineLevel="0" collapsed="false">
      <c r="A16" s="4" t="s">
        <v>20</v>
      </c>
    </row>
    <row r="17" customFormat="false" ht="15" hidden="false" customHeight="false" outlineLevel="0" collapsed="false">
      <c r="A17" s="7" t="s">
        <v>21</v>
      </c>
      <c r="B17" s="6" t="s">
        <v>22</v>
      </c>
    </row>
    <row r="18" customFormat="false" ht="15" hidden="false" customHeight="false" outlineLevel="0" collapsed="false">
      <c r="A18" s="7" t="s">
        <v>23</v>
      </c>
      <c r="B18" s="6" t="s">
        <v>24</v>
      </c>
    </row>
    <row r="19" customFormat="false" ht="15" hidden="false" customHeight="false" outlineLevel="0" collapsed="false">
      <c r="A19" s="7" t="s">
        <v>25</v>
      </c>
      <c r="B19" s="6" t="s">
        <v>26</v>
      </c>
    </row>
    <row r="20" customFormat="false" ht="15" hidden="false" customHeight="false" outlineLevel="0" collapsed="false">
      <c r="A20" s="7"/>
    </row>
    <row r="21" customFormat="false" ht="15" hidden="false" customHeight="false" outlineLevel="0" collapsed="false">
      <c r="A21" s="4" t="s">
        <v>27</v>
      </c>
    </row>
    <row r="22" customFormat="false" ht="23.85" hidden="false" customHeight="false" outlineLevel="0" collapsed="false">
      <c r="A22" s="7" t="s">
        <v>28</v>
      </c>
      <c r="B22" s="6" t="s">
        <v>29</v>
      </c>
    </row>
    <row r="23" customFormat="false" ht="15" hidden="false" customHeight="false" outlineLevel="0" collapsed="false">
      <c r="A23" s="7" t="s">
        <v>30</v>
      </c>
      <c r="B23" s="6" t="s">
        <v>31</v>
      </c>
    </row>
    <row r="24" customFormat="false" ht="15" hidden="false" customHeight="false" outlineLevel="0" collapsed="false">
      <c r="A24" s="7" t="s">
        <v>32</v>
      </c>
      <c r="B24" s="6" t="s">
        <v>33</v>
      </c>
    </row>
    <row r="25" customFormat="false" ht="15" hidden="false" customHeight="false" outlineLevel="0" collapsed="false">
      <c r="A25" s="7"/>
    </row>
    <row r="26" customFormat="false" ht="15" hidden="false" customHeight="false" outlineLevel="0" collapsed="false">
      <c r="A26" s="4" t="s">
        <v>34</v>
      </c>
    </row>
    <row r="27" customFormat="false" ht="23.85" hidden="false" customHeight="false" outlineLevel="0" collapsed="false">
      <c r="A27" s="5" t="s">
        <v>35</v>
      </c>
      <c r="B27" s="6" t="s">
        <v>36</v>
      </c>
    </row>
    <row r="28" customFormat="false" ht="15" hidden="false" customHeight="false" outlineLevel="0" collapsed="false">
      <c r="A28" s="7"/>
    </row>
    <row r="29" customFormat="false" ht="15" hidden="false" customHeight="false" outlineLevel="0" collapsed="false">
      <c r="A29" s="4" t="s">
        <v>37</v>
      </c>
    </row>
    <row r="30" customFormat="false" ht="15" hidden="false" customHeight="false" outlineLevel="0" collapsed="false">
      <c r="A30" s="5" t="s">
        <v>38</v>
      </c>
      <c r="B30" s="6" t="s">
        <v>39</v>
      </c>
    </row>
    <row r="31" customFormat="false" ht="15" hidden="false" customHeight="false" outlineLevel="0" collapsed="false">
      <c r="A31" s="5" t="s">
        <v>40</v>
      </c>
      <c r="B31" s="6" t="s">
        <v>41</v>
      </c>
    </row>
    <row r="32" customFormat="false" ht="15" hidden="false" customHeight="false" outlineLevel="0" collapsed="false">
      <c r="A32" s="5" t="s">
        <v>42</v>
      </c>
      <c r="B32" s="6" t="s">
        <v>43</v>
      </c>
    </row>
    <row r="33" customFormat="false" ht="15" hidden="false" customHeight="false" outlineLevel="0" collapsed="false">
      <c r="A33" s="5" t="s">
        <v>44</v>
      </c>
      <c r="B33" s="6" t="s">
        <v>45</v>
      </c>
    </row>
    <row r="34" customFormat="false" ht="15" hidden="false" customHeight="false" outlineLevel="0" collapsed="false">
      <c r="A34" s="5" t="s">
        <v>46</v>
      </c>
      <c r="B34" s="6" t="s">
        <v>47</v>
      </c>
    </row>
    <row r="35" customFormat="false" ht="15" hidden="false" customHeight="false" outlineLevel="0" collapsed="false">
      <c r="A35" s="5" t="s">
        <v>48</v>
      </c>
      <c r="B35" s="6" t="s">
        <v>49</v>
      </c>
    </row>
    <row r="36" customFormat="false" ht="15" hidden="false" customHeight="false" outlineLevel="0" collapsed="false">
      <c r="A36" s="5" t="s">
        <v>50</v>
      </c>
      <c r="B36" s="6" t="s">
        <v>51</v>
      </c>
    </row>
    <row r="37" customFormat="false" ht="15" hidden="false" customHeight="false" outlineLevel="0" collapsed="false">
      <c r="A37" s="5" t="s">
        <v>52</v>
      </c>
      <c r="B37" s="6" t="s">
        <v>53</v>
      </c>
    </row>
    <row r="38" customFormat="false" ht="15" hidden="false" customHeight="false" outlineLevel="0" collapsed="false">
      <c r="A38" s="5" t="s">
        <v>54</v>
      </c>
      <c r="B38" s="6" t="s">
        <v>55</v>
      </c>
    </row>
    <row r="39" customFormat="false" ht="15" hidden="false" customHeight="false" outlineLevel="0" collapsed="false">
      <c r="A39" s="5" t="s">
        <v>56</v>
      </c>
      <c r="B39" s="6" t="s">
        <v>57</v>
      </c>
    </row>
    <row r="40" customFormat="false" ht="15" hidden="false" customHeight="false" outlineLevel="0" collapsed="false">
      <c r="A40" s="5" t="s">
        <v>58</v>
      </c>
      <c r="B40" s="6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A86A"/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38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 t="s">
        <v>38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60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B4" s="7" t="s">
        <v>61</v>
      </c>
      <c r="C4" s="8" t="n">
        <v>46296</v>
      </c>
    </row>
    <row r="5" customFormat="false" ht="15" hidden="false" customHeight="false" outlineLevel="0" collapsed="false">
      <c r="B5" s="7" t="s">
        <v>62</v>
      </c>
      <c r="C5" s="9" t="s">
        <v>63</v>
      </c>
    </row>
    <row r="7" customFormat="false" ht="15" hidden="false" customHeight="false" outlineLevel="0" collapsed="false">
      <c r="B7" s="10" t="s">
        <v>64</v>
      </c>
      <c r="C7" s="11"/>
      <c r="E7" s="10" t="s">
        <v>65</v>
      </c>
      <c r="F7" s="11"/>
    </row>
    <row r="8" customFormat="false" ht="15" hidden="false" customHeight="false" outlineLevel="0" collapsed="false">
      <c r="B8" s="5" t="s">
        <v>66</v>
      </c>
      <c r="C8" s="12" t="n">
        <f aca="false">COUNTIFS('Cleans Log'!$Q$5:$Q$1004,$C$4,'Cleans Log'!$D$5:$D$1004,"Completed")</f>
        <v>3</v>
      </c>
      <c r="E8" s="5" t="s">
        <v>67</v>
      </c>
      <c r="F8" s="12" t="n">
        <f aca="false">COUNTIF(Stock!$H$5:$H$504,"REORDER")</f>
        <v>4</v>
      </c>
    </row>
    <row r="9" customFormat="false" ht="15" hidden="false" customHeight="false" outlineLevel="0" collapsed="false">
      <c r="B9" s="5" t="s">
        <v>68</v>
      </c>
      <c r="C9" s="12" t="n">
        <f aca="false">COUNTIFS('Cleans Log'!$Q$5:$Q$1004,$C$4,'Cleans Log'!$D$5:$D$1004,"Deep clean")</f>
        <v>0</v>
      </c>
      <c r="E9" s="5" t="s">
        <v>69</v>
      </c>
      <c r="F9" s="12" t="n">
        <f aca="false">COUNTIF(Stock!$H$5:$H$504,"Count it")</f>
        <v>0</v>
      </c>
    </row>
    <row r="10" customFormat="false" ht="15" hidden="false" customHeight="false" outlineLevel="0" collapsed="false">
      <c r="B10" s="5" t="s">
        <v>70</v>
      </c>
      <c r="C10" s="13" t="n">
        <f aca="false">SUMIFS('Cleans Log'!$N$5:$N$1004,'Cleans Log'!$Q$5:$Q$1004,$C$4)</f>
        <v>225</v>
      </c>
      <c r="E10" s="5" t="s">
        <v>71</v>
      </c>
      <c r="F10" s="12" t="n">
        <f aca="false">COUNTIF(Damage!$N$5:$N$304,"TELL HOST")+COUNTIF(Damage!$N$5:$N$304,"Claim soon")+COUNTIF(Damage!$N$5:$N$304,"Deadline passed")</f>
        <v>0</v>
      </c>
    </row>
    <row r="11" customFormat="false" ht="15" hidden="false" customHeight="false" outlineLevel="0" collapsed="false">
      <c r="B11" s="5" t="s">
        <v>72</v>
      </c>
      <c r="C11" s="13" t="n">
        <f aca="false">SUMIFS(Purchases!$N$5:$N$1004,Purchases!$P$5:$P$1004,$C$4)</f>
        <v>7.04</v>
      </c>
      <c r="E11" s="5" t="s">
        <v>73</v>
      </c>
      <c r="F11" s="12" t="n">
        <f aca="false">COUNTIFS(Purchases!$O$5:$O$1004,"&lt;&gt;OK",Purchases!$A$5:$A$1004,"&lt;&gt;")</f>
        <v>0</v>
      </c>
    </row>
    <row r="12" customFormat="false" ht="15" hidden="false" customHeight="false" outlineLevel="0" collapsed="false">
      <c r="B12" s="5" t="s">
        <v>74</v>
      </c>
      <c r="C12" s="13" t="n">
        <f aca="false">C10+C11</f>
        <v>232.04</v>
      </c>
      <c r="E12" s="5" t="s">
        <v>75</v>
      </c>
      <c r="F12" s="12" t="n">
        <f aca="false">COUNTIF('Cleaner Pay'!$J$5:$J$504,"PAY NOW")</f>
        <v>0</v>
      </c>
    </row>
    <row r="13" customFormat="false" ht="15" hidden="false" customHeight="false" outlineLevel="0" collapsed="false">
      <c r="B13" s="5" t="s">
        <v>76</v>
      </c>
      <c r="C13" s="13" t="n">
        <f aca="false">SUMIFS('Cleans Log'!$O$5:$O$1004,'Cleans Log'!$Q$5:$Q$1004,$C$4)</f>
        <v>147.5</v>
      </c>
      <c r="E13" s="5" t="s">
        <v>77</v>
      </c>
      <c r="F13" s="12" t="n">
        <f aca="false">COUNTIF(Invoices!$L$7:$L$306,"OVERDUE")</f>
        <v>0</v>
      </c>
    </row>
    <row r="14" customFormat="false" ht="15" hidden="false" customHeight="false" outlineLevel="0" collapsed="false">
      <c r="B14" s="5" t="s">
        <v>78</v>
      </c>
      <c r="C14" s="13" t="n">
        <f aca="false">SUMIFS(Purchases!$F$5:$F$1004,Purchases!$P$5:$P$1004,$C$4)</f>
        <v>6.4</v>
      </c>
      <c r="E14" s="5" t="s">
        <v>79</v>
      </c>
      <c r="F14" s="13" t="n">
        <f aca="false">Invoices!$B$4</f>
        <v>232.04</v>
      </c>
    </row>
    <row r="15" customFormat="false" ht="15" hidden="false" customHeight="false" outlineLevel="0" collapsed="false">
      <c r="B15" s="5" t="s">
        <v>80</v>
      </c>
      <c r="C15" s="13" t="n">
        <f aca="false">SUMIFS(Expenses!$G$5:$G$504,Expenses!$I$5:$I$504,$C$4)</f>
        <v>13.4</v>
      </c>
      <c r="E15" s="5" t="s">
        <v>81</v>
      </c>
      <c r="F15" s="12" t="n">
        <f aca="false">COUNTIFS('Cleans Log'!$D$5:$D$1004,"Completed",'Cleans Log'!$J$5:$J$1004,"&lt;&gt;Y")</f>
        <v>0</v>
      </c>
    </row>
    <row r="16" customFormat="false" ht="15" hidden="false" customHeight="false" outlineLevel="0" collapsed="false">
      <c r="B16" s="5" t="s">
        <v>82</v>
      </c>
      <c r="C16" s="14" t="n">
        <f aca="false">C12-C13-C14-C15</f>
        <v>64.74</v>
      </c>
    </row>
    <row r="17" customFormat="false" ht="15" hidden="false" customHeight="false" outlineLevel="0" collapsed="false">
      <c r="B17" s="5" t="s">
        <v>83</v>
      </c>
      <c r="C17" s="13" t="n">
        <f aca="false">IFERROR((C10-C13)/(C8+C9),0)</f>
        <v>25.8333333333333</v>
      </c>
      <c r="E17" s="10" t="s">
        <v>84</v>
      </c>
      <c r="F17" s="11"/>
    </row>
    <row r="18" customFormat="false" ht="15" hidden="false" customHeight="false" outlineLevel="0" collapsed="false">
      <c r="B18" s="5" t="s">
        <v>85</v>
      </c>
      <c r="C18" s="15" t="n">
        <f aca="false">SUMIFS('Cleans Log'!$L$5:$L$1004,'Cleans Log'!$Q$5:$Q$1004,$C$4)</f>
        <v>7.58333333333333</v>
      </c>
      <c r="E18" s="5" t="s">
        <v>86</v>
      </c>
      <c r="F18" s="13" t="n">
        <f aca="false">SUMIFS('Cleans Log'!$N$5:$N$1004,'Cleans Log'!$T$5:$T$1004,$C$5)+SUMIFS(Purchases!$N$5:$N$1004,Purchases!$R$5:$R$1004,$C$5)</f>
        <v>232.04</v>
      </c>
    </row>
    <row r="19" customFormat="false" ht="15" hidden="false" customHeight="false" outlineLevel="0" collapsed="false">
      <c r="B19" s="5" t="s">
        <v>87</v>
      </c>
      <c r="C19" s="13" t="n">
        <f aca="false">IFERROR(C10/C18,0)</f>
        <v>29.6703296703297</v>
      </c>
      <c r="E19" s="5" t="s">
        <v>76</v>
      </c>
      <c r="F19" s="13" t="n">
        <f aca="false">SUMIFS('Cleans Log'!$O$5:$O$1004,'Cleans Log'!$T$5:$T$1004,$C$5)</f>
        <v>147.5</v>
      </c>
    </row>
    <row r="20" customFormat="false" ht="15" hidden="false" customHeight="false" outlineLevel="0" collapsed="false">
      <c r="E20" s="5" t="s">
        <v>46</v>
      </c>
      <c r="F20" s="13" t="n">
        <f aca="false">SUMIFS(Purchases!$F$5:$F$1004,Purchases!$R$5:$R$1004,$C$5)</f>
        <v>6.4</v>
      </c>
    </row>
    <row r="21" customFormat="false" ht="15" hidden="false" customHeight="false" outlineLevel="0" collapsed="false">
      <c r="E21" s="5" t="s">
        <v>88</v>
      </c>
      <c r="F21" s="13" t="n">
        <f aca="false">SUMIFS(Expenses!$G$5:$G$504,Expenses!$H$5:$H$504,$C$5)</f>
        <v>13.4</v>
      </c>
    </row>
    <row r="22" customFormat="false" ht="15" hidden="false" customHeight="false" outlineLevel="0" collapsed="false">
      <c r="B22" s="10" t="s">
        <v>89</v>
      </c>
      <c r="C22" s="10" t="s">
        <v>90</v>
      </c>
      <c r="E22" s="5" t="s">
        <v>91</v>
      </c>
      <c r="F22" s="13" t="n">
        <f aca="false">F18-F19-F20-F21</f>
        <v>64.74</v>
      </c>
    </row>
    <row r="23" customFormat="false" ht="15" hidden="false" customHeight="false" outlineLevel="0" collapsed="false">
      <c r="B23" s="5" t="str">
        <f aca="false">IF(Properties!$A$5="","",Properties!$A$5&amp;"  "&amp;Properties!$B$5)</f>
        <v>P001  First client (EXAMPLE)</v>
      </c>
      <c r="C23" s="16" t="n">
        <f aca="false">IF(Properties!$A$5="","",SUMIFS('Cleans Log'!$P$5:$P$1004,'Cleans Log'!$B$5:$B$1004,Properties!$A$5,'Cleans Log'!$Q$5:$Q$1004,$C$4))</f>
        <v>77.5</v>
      </c>
      <c r="E23" s="5" t="s">
        <v>92</v>
      </c>
      <c r="F23" s="17" t="n">
        <f aca="false">MAX(0,F22)*Settings!$B$14</f>
        <v>16.185</v>
      </c>
    </row>
    <row r="24" customFormat="false" ht="15" hidden="false" customHeight="false" outlineLevel="0" collapsed="false">
      <c r="B24" s="5" t="str">
        <f aca="false">IF(Properties!$A$6="","",Properties!$A$6&amp;"  "&amp;Properties!$B$6)</f>
        <v/>
      </c>
      <c r="C24" s="16" t="str">
        <f aca="false">IF(Properties!$A$6="","",SUMIFS('Cleans Log'!$P$5:$P$1004,'Cleans Log'!$B$5:$B$1004,Properties!$A$6,'Cleans Log'!$Q$5:$Q$1004,$C$4))</f>
        <v/>
      </c>
    </row>
    <row r="25" customFormat="false" ht="15" hidden="false" customHeight="false" outlineLevel="0" collapsed="false">
      <c r="B25" s="5" t="str">
        <f aca="false">IF(Properties!$A$7="","",Properties!$A$7&amp;"  "&amp;Properties!$B$7)</f>
        <v/>
      </c>
      <c r="C25" s="16" t="str">
        <f aca="false">IF(Properties!$A$7="","",SUMIFS('Cleans Log'!$P$5:$P$1004,'Cleans Log'!$B$5:$B$1004,Properties!$A$7,'Cleans Log'!$Q$5:$Q$1004,$C$4))</f>
        <v/>
      </c>
      <c r="E25" s="10" t="s">
        <v>93</v>
      </c>
      <c r="F25" s="11"/>
    </row>
    <row r="26" customFormat="false" ht="15" hidden="false" customHeight="false" outlineLevel="0" collapsed="false">
      <c r="B26" s="5" t="str">
        <f aca="false">IF(Properties!$A$8="","",Properties!$A$8&amp;"  "&amp;Properties!$B$8)</f>
        <v/>
      </c>
      <c r="C26" s="16" t="str">
        <f aca="false">IF(Properties!$A$8="","",SUMIFS('Cleans Log'!$P$5:$P$1004,'Cleans Log'!$B$5:$B$1004,Properties!$A$8,'Cleans Log'!$Q$5:$Q$1004,$C$4))</f>
        <v/>
      </c>
      <c r="E26" s="5" t="s">
        <v>94</v>
      </c>
      <c r="F26" s="13" t="n">
        <f aca="true">SUMIFS('Cleans Log'!$N$5:$N$1004,'Cleans Log'!$A$5:$A$1004,"&gt;"&amp;EDATE(TODAY(),-12))+SUMIFS(Purchases!$N$5:$N$1004,Purchases!$A$5:$A$1004,"&gt;"&amp;EDATE(TODAY(),-12))</f>
        <v>232.04</v>
      </c>
    </row>
    <row r="27" customFormat="false" ht="15" hidden="false" customHeight="false" outlineLevel="0" collapsed="false">
      <c r="B27" s="5" t="str">
        <f aca="false">IF(Properties!$A$9="","",Properties!$A$9&amp;"  "&amp;Properties!$B$9)</f>
        <v/>
      </c>
      <c r="C27" s="16" t="str">
        <f aca="false">IF(Properties!$A$9="","",SUMIFS('Cleans Log'!$P$5:$P$1004,'Cleans Log'!$B$5:$B$1004,Properties!$A$9,'Cleans Log'!$Q$5:$Q$1004,$C$4))</f>
        <v/>
      </c>
      <c r="E27" s="5" t="s">
        <v>95</v>
      </c>
      <c r="F27" s="18" t="n">
        <f aca="false">IFERROR(F26/Settings!$B$15,0)</f>
        <v>0.00257822222222222</v>
      </c>
    </row>
    <row r="28" customFormat="false" ht="15" hidden="false" customHeight="false" outlineLevel="0" collapsed="false">
      <c r="B28" s="5" t="str">
        <f aca="false">IF(Properties!$A$10="","",Properties!$A$10&amp;"  "&amp;Properties!$B$10)</f>
        <v/>
      </c>
      <c r="C28" s="16" t="str">
        <f aca="false">IF(Properties!$A$10="","",SUMIFS('Cleans Log'!$P$5:$P$1004,'Cleans Log'!$B$5:$B$1004,Properties!$A$10,'Cleans Log'!$Q$5:$Q$1004,$C$4))</f>
        <v/>
      </c>
      <c r="E28" s="5" t="s">
        <v>96</v>
      </c>
      <c r="F28" s="19" t="str">
        <f aca="false">IF(F27&gt;=1,"Register for VAT now (within 30 days)",IF(F27&gt;=0.8,"Getting close: talk to an accountant","Fine"))</f>
        <v>Fine</v>
      </c>
    </row>
    <row r="29" customFormat="false" ht="15" hidden="false" customHeight="false" outlineLevel="0" collapsed="false">
      <c r="B29" s="5" t="str">
        <f aca="false">IF(Properties!$A$11="","",Properties!$A$11&amp;"  "&amp;Properties!$B$11)</f>
        <v/>
      </c>
      <c r="C29" s="16" t="str">
        <f aca="false">IF(Properties!$A$11="","",SUMIFS('Cleans Log'!$P$5:$P$1004,'Cleans Log'!$B$5:$B$1004,Properties!$A$11,'Cleans Log'!$Q$5:$Q$1004,$C$4))</f>
        <v/>
      </c>
    </row>
    <row r="30" customFormat="false" ht="15" hidden="false" customHeight="false" outlineLevel="0" collapsed="false">
      <c r="B30" s="5" t="str">
        <f aca="false">IF(Properties!$A$12="","",Properties!$A$12&amp;"  "&amp;Properties!$B$12)</f>
        <v/>
      </c>
      <c r="C30" s="16" t="str">
        <f aca="false">IF(Properties!$A$12="","",SUMIFS('Cleans Log'!$P$5:$P$1004,'Cleans Log'!$B$5:$B$1004,Properties!$A$12,'Cleans Log'!$Q$5:$Q$1004,$C$4))</f>
        <v/>
      </c>
    </row>
    <row r="31" customFormat="false" ht="15" hidden="false" customHeight="false" outlineLevel="0" collapsed="false">
      <c r="B31" s="5" t="str">
        <f aca="false">IF(Properties!$A$13="","",Properties!$A$13&amp;"  "&amp;Properties!$B$13)</f>
        <v/>
      </c>
      <c r="C31" s="16" t="str">
        <f aca="false">IF(Properties!$A$13="","",SUMIFS('Cleans Log'!$P$5:$P$1004,'Cleans Log'!$B$5:$B$1004,Properties!$A$13,'Cleans Log'!$Q$5:$Q$1004,$C$4))</f>
        <v/>
      </c>
    </row>
    <row r="32" customFormat="false" ht="15" hidden="false" customHeight="false" outlineLevel="0" collapsed="false">
      <c r="B32" s="5" t="str">
        <f aca="false">IF(Properties!$A$14="","",Properties!$A$14&amp;"  "&amp;Properties!$B$14)</f>
        <v/>
      </c>
      <c r="C32" s="16" t="str">
        <f aca="false">IF(Properties!$A$14="","",SUMIFS('Cleans Log'!$P$5:$P$1004,'Cleans Log'!$B$5:$B$1004,Properties!$A$14,'Cleans Log'!$Q$5:$Q$1004,$C$4))</f>
        <v/>
      </c>
    </row>
    <row r="33" customFormat="false" ht="15" hidden="false" customHeight="false" outlineLevel="0" collapsed="false">
      <c r="B33" s="5" t="str">
        <f aca="false">IF(Properties!$A$15="","",Properties!$A$15&amp;"  "&amp;Properties!$B$15)</f>
        <v/>
      </c>
      <c r="C33" s="16" t="str">
        <f aca="false">IF(Properties!$A$15="","",SUMIFS('Cleans Log'!$P$5:$P$1004,'Cleans Log'!$B$5:$B$1004,Properties!$A$15,'Cleans Log'!$Q$5:$Q$1004,$C$4))</f>
        <v/>
      </c>
    </row>
    <row r="34" customFormat="false" ht="15" hidden="false" customHeight="false" outlineLevel="0" collapsed="false">
      <c r="B34" s="5" t="str">
        <f aca="false">IF(Properties!$A$16="","",Properties!$A$16&amp;"  "&amp;Properties!$B$16)</f>
        <v/>
      </c>
      <c r="C34" s="16" t="str">
        <f aca="false">IF(Properties!$A$16="","",SUMIFS('Cleans Log'!$P$5:$P$1004,'Cleans Log'!$B$5:$B$1004,Properties!$A$16,'Cleans Log'!$Q$5:$Q$1004,$C$4))</f>
        <v/>
      </c>
    </row>
    <row r="35" customFormat="false" ht="15" hidden="false" customHeight="false" outlineLevel="0" collapsed="false">
      <c r="B35" s="5" t="str">
        <f aca="false">IF(Properties!$A$17="","",Properties!$A$17&amp;"  "&amp;Properties!$B$17)</f>
        <v/>
      </c>
      <c r="C35" s="16" t="str">
        <f aca="false">IF(Properties!$A$17="","",SUMIFS('Cleans Log'!$P$5:$P$1004,'Cleans Log'!$B$5:$B$1004,Properties!$A$17,'Cleans Log'!$Q$5:$Q$1004,$C$4))</f>
        <v/>
      </c>
    </row>
    <row r="36" customFormat="false" ht="15" hidden="false" customHeight="false" outlineLevel="0" collapsed="false">
      <c r="B36" s="5" t="str">
        <f aca="false">IF(Properties!$A$18="","",Properties!$A$18&amp;"  "&amp;Properties!$B$18)</f>
        <v/>
      </c>
      <c r="C36" s="16" t="str">
        <f aca="false">IF(Properties!$A$18="","",SUMIFS('Cleans Log'!$P$5:$P$1004,'Cleans Log'!$B$5:$B$1004,Properties!$A$18,'Cleans Log'!$Q$5:$Q$1004,$C$4))</f>
        <v/>
      </c>
    </row>
    <row r="37" customFormat="false" ht="15" hidden="false" customHeight="false" outlineLevel="0" collapsed="false">
      <c r="B37" s="5" t="str">
        <f aca="false">IF(Properties!$A$19="","",Properties!$A$19&amp;"  "&amp;Properties!$B$19)</f>
        <v/>
      </c>
      <c r="C37" s="16" t="str">
        <f aca="false">IF(Properties!$A$19="","",SUMIFS('Cleans Log'!$P$5:$P$1004,'Cleans Log'!$B$5:$B$1004,Properties!$A$19,'Cleans Log'!$Q$5:$Q$1004,$C$4))</f>
        <v/>
      </c>
    </row>
  </sheetData>
  <conditionalFormatting sqref="F8:F13">
    <cfRule type="expression" priority="2" aboveAverage="0" equalAverage="0" bottom="0" percent="0" rank="0" text="" dxfId="0">
      <formula>F8&gt;0</formula>
    </cfRule>
  </conditionalFormatting>
  <conditionalFormatting sqref="F15">
    <cfRule type="expression" priority="3" aboveAverage="0" equalAverage="0" bottom="0" percent="0" rank="0" text="" dxfId="0">
      <formula>F15&gt;0</formula>
    </cfRule>
  </conditionalFormatting>
  <conditionalFormatting sqref="F28">
    <cfRule type="expression" priority="4" aboveAverage="0" equalAverage="0" bottom="0" percent="0" rank="0" text="" dxfId="1">
      <formula>F28&lt;&gt;"Fine"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33A"/>
    <pageSetUpPr fitToPage="false"/>
  </sheetPr>
  <dimension ref="A1:T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8" min="5" style="0" width="8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6" min="14" style="0" width="12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8"/>
    <col collapsed="false" customWidth="true" hidden="false" outlineLevel="0" max="20" min="20" style="0" width="9"/>
  </cols>
  <sheetData>
    <row r="1" customFormat="false" ht="19.7" hidden="false" customHeight="false" outlineLevel="0" collapsed="false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3" t="s">
        <v>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31.5" hidden="false" customHeight="true" outlineLevel="0" collapsed="false">
      <c r="A4" s="20" t="s">
        <v>98</v>
      </c>
      <c r="B4" s="20" t="s">
        <v>99</v>
      </c>
      <c r="C4" s="20" t="s">
        <v>100</v>
      </c>
      <c r="D4" s="20" t="s">
        <v>101</v>
      </c>
      <c r="E4" s="20" t="s">
        <v>102</v>
      </c>
      <c r="F4" s="20" t="s">
        <v>103</v>
      </c>
      <c r="G4" s="20" t="s">
        <v>104</v>
      </c>
      <c r="H4" s="20" t="s">
        <v>105</v>
      </c>
      <c r="I4" s="20" t="s">
        <v>106</v>
      </c>
      <c r="J4" s="20" t="s">
        <v>107</v>
      </c>
      <c r="K4" s="20" t="s">
        <v>108</v>
      </c>
      <c r="L4" s="21" t="s">
        <v>109</v>
      </c>
      <c r="M4" s="21" t="s">
        <v>110</v>
      </c>
      <c r="N4" s="21" t="s">
        <v>111</v>
      </c>
      <c r="O4" s="21" t="s">
        <v>112</v>
      </c>
      <c r="P4" s="21" t="s">
        <v>90</v>
      </c>
      <c r="Q4" s="21" t="s">
        <v>61</v>
      </c>
      <c r="R4" s="21" t="s">
        <v>113</v>
      </c>
      <c r="S4" s="21" t="s">
        <v>114</v>
      </c>
      <c r="T4" s="21" t="s">
        <v>62</v>
      </c>
    </row>
    <row r="5" customFormat="false" ht="15" hidden="false" customHeight="false" outlineLevel="0" collapsed="false">
      <c r="A5" s="22" t="n">
        <v>46298</v>
      </c>
      <c r="B5" s="23" t="s">
        <v>115</v>
      </c>
      <c r="C5" s="23" t="s">
        <v>116</v>
      </c>
      <c r="D5" s="23" t="s">
        <v>117</v>
      </c>
      <c r="E5" s="24" t="n">
        <v>0.46875</v>
      </c>
      <c r="F5" s="24" t="n">
        <v>0.576388888888889</v>
      </c>
      <c r="G5" s="23" t="s">
        <v>118</v>
      </c>
      <c r="H5" s="23" t="s">
        <v>118</v>
      </c>
      <c r="I5" s="25"/>
      <c r="J5" s="23" t="s">
        <v>119</v>
      </c>
      <c r="K5" s="23" t="s">
        <v>120</v>
      </c>
      <c r="L5" s="26" t="n">
        <f aca="false">IF(OR($E5="",$F5=""),"",MOD($F5-$E5,1)*24)</f>
        <v>2.58333333333333</v>
      </c>
      <c r="M5" s="27" t="str">
        <f aca="false">IF($B5="","",IFERROR(INDEX(Properties!$D$5:$D$104,MATCH($B5,Properties!$A$5:$A$104,0)),"?"))</f>
        <v>H001</v>
      </c>
      <c r="N5" s="28" t="n">
        <f aca="false">IF($B5="","",IFERROR(IF($D5="Completed",INDEX(Properties!$I$5:$I$104,MATCH($B5,Properties!$A$5:$A$104,0))*(1+IF($G5="Y",Settings!$B$8,0))+IF($H5="Y",Settings!$B$7,0)+N($I5),IF($D5="Deep clean",INDEX(Settings!$E$22:$E$26,MATCH(MIN(INDEX(Properties!$E$5:$E$104,MATCH($B5,Properties!$A$5:$A$104,0)),4),Settings!$A$22:$A$26,0))+N($I5),IF($D5="Late cancel",INDEX(Properties!$I$5:$I$104,MATCH($B5,Properties!$A$5:$A$104,0))*Settings!$B$10,0))),0))</f>
        <v>60</v>
      </c>
      <c r="O5" s="28" t="n">
        <f aca="false">IF($B5="","",IFERROR(IF($D5="Completed",INDEX(Properties!$L$5:$L$104,MATCH($B5,Properties!$A$5:$A$104,0))+IF($G5="Y",INDEX(Properties!$I$5:$I$104,MATCH($B5,Properties!$A$5:$A$104,0))*Settings!$B$8*Settings!$B$9,0)+IF($H5="Y",Settings!$B$7*Settings!$B$9,0)+N($I5)*Settings!$B$9,IF($D5="Deep clean",INDEX(Settings!$E$22:$E$26,MATCH(MIN(INDEX(Properties!$E$5:$E$104,MATCH($B5,Properties!$A$5:$A$104,0)),4),Settings!$A$22:$A$26,0))*Settings!$B$19+N($I5)*Settings!$B$9,IF($D5="Late cancel",INDEX(Properties!$L$5:$L$104,MATCH($B5,Properties!$A$5:$A$104,0))*Settings!$B$11,0))),0))</f>
        <v>40</v>
      </c>
      <c r="P5" s="28" t="n">
        <f aca="false">IF($B5="","",$N5-$O5)</f>
        <v>20</v>
      </c>
      <c r="Q5" s="29" t="n">
        <f aca="false">IF($A5="","",DATE(YEAR($A5),MONTH($A5),1))</f>
        <v>46296</v>
      </c>
      <c r="R5" s="30" t="n">
        <f aca="false">IF($A5="","",$A5+MOD(6-WEEKDAY($A5),7))</f>
        <v>46304</v>
      </c>
      <c r="S5" s="31" t="n">
        <f aca="false">IF($B5="","",IF(AND($M5='Invoice Builder'!$C$5,$Q5='Invoice Builder'!$C$6,N($N5)&gt;0),COUNTIFS($M$5:$M5,'Invoice Builder'!$C$5,$Q$5:$Q5,'Invoice Builder'!$C$6,$N$5:$N5,"&gt;0"),""))</f>
        <v>1</v>
      </c>
      <c r="T5" s="27" t="str">
        <f aca="false">IF($A5="","",IF($A5&gt;=DATE(YEAR($A5),4,6),YEAR($A5)&amp;"/"&amp;RIGHT(YEAR($A5)+1,2),YEAR($A5)-1&amp;"/"&amp;RIGHT(YEAR($A5),2)))</f>
        <v>2026/27</v>
      </c>
    </row>
    <row r="6" customFormat="false" ht="15" hidden="false" customHeight="false" outlineLevel="0" collapsed="false">
      <c r="A6" s="22" t="n">
        <v>46305</v>
      </c>
      <c r="B6" s="23" t="s">
        <v>115</v>
      </c>
      <c r="C6" s="23" t="s">
        <v>116</v>
      </c>
      <c r="D6" s="23" t="s">
        <v>117</v>
      </c>
      <c r="E6" s="24" t="n">
        <v>0.461805555555556</v>
      </c>
      <c r="F6" s="24" t="n">
        <v>0.565972222222222</v>
      </c>
      <c r="G6" s="23" t="s">
        <v>118</v>
      </c>
      <c r="H6" s="23" t="s">
        <v>118</v>
      </c>
      <c r="I6" s="25"/>
      <c r="J6" s="23" t="s">
        <v>119</v>
      </c>
      <c r="K6" s="23" t="s">
        <v>121</v>
      </c>
      <c r="L6" s="26" t="n">
        <f aca="false">IF(OR($E6="",$F6=""),"",MOD($F6-$E6,1)*24)</f>
        <v>2.5</v>
      </c>
      <c r="M6" s="27" t="str">
        <f aca="false">IF($B6="","",IFERROR(INDEX(Properties!$D$5:$D$104,MATCH($B6,Properties!$A$5:$A$104,0)),"?"))</f>
        <v>H001</v>
      </c>
      <c r="N6" s="28" t="n">
        <f aca="false">IF($B6="","",IFERROR(IF($D6="Completed",INDEX(Properties!$I$5:$I$104,MATCH($B6,Properties!$A$5:$A$104,0))*(1+IF($G6="Y",Settings!$B$8,0))+IF($H6="Y",Settings!$B$7,0)+N($I6),IF($D6="Deep clean",INDEX(Settings!$E$22:$E$26,MATCH(MIN(INDEX(Properties!$E$5:$E$104,MATCH($B6,Properties!$A$5:$A$104,0)),4),Settings!$A$22:$A$26,0))+N($I6),IF($D6="Late cancel",INDEX(Properties!$I$5:$I$104,MATCH($B6,Properties!$A$5:$A$104,0))*Settings!$B$10,0))),0))</f>
        <v>60</v>
      </c>
      <c r="O6" s="28" t="n">
        <f aca="false">IF($B6="","",IFERROR(IF($D6="Completed",INDEX(Properties!$L$5:$L$104,MATCH($B6,Properties!$A$5:$A$104,0))+IF($G6="Y",INDEX(Properties!$I$5:$I$104,MATCH($B6,Properties!$A$5:$A$104,0))*Settings!$B$8*Settings!$B$9,0)+IF($H6="Y",Settings!$B$7*Settings!$B$9,0)+N($I6)*Settings!$B$9,IF($D6="Deep clean",INDEX(Settings!$E$22:$E$26,MATCH(MIN(INDEX(Properties!$E$5:$E$104,MATCH($B6,Properties!$A$5:$A$104,0)),4),Settings!$A$22:$A$26,0))*Settings!$B$19+N($I6)*Settings!$B$9,IF($D6="Late cancel",INDEX(Properties!$L$5:$L$104,MATCH($B6,Properties!$A$5:$A$104,0))*Settings!$B$11,0))),0))</f>
        <v>40</v>
      </c>
      <c r="P6" s="28" t="n">
        <f aca="false">IF($B6="","",$N6-$O6)</f>
        <v>20</v>
      </c>
      <c r="Q6" s="29" t="n">
        <f aca="false">IF($A6="","",DATE(YEAR($A6),MONTH($A6),1))</f>
        <v>46296</v>
      </c>
      <c r="R6" s="30" t="n">
        <f aca="false">IF($A6="","",$A6+MOD(6-WEEKDAY($A6),7))</f>
        <v>46311</v>
      </c>
      <c r="S6" s="31" t="n">
        <f aca="false">IF($B6="","",IF(AND($M6='Invoice Builder'!$C$5,$Q6='Invoice Builder'!$C$6,N($N6)&gt;0),COUNTIFS($M$5:$M6,'Invoice Builder'!$C$5,$Q$5:$Q6,'Invoice Builder'!$C$6,$N$5:$N6,"&gt;0"),""))</f>
        <v>2</v>
      </c>
      <c r="T6" s="27" t="str">
        <f aca="false">IF($A6="","",IF($A6&gt;=DATE(YEAR($A6),4,6),YEAR($A6)&amp;"/"&amp;RIGHT(YEAR($A6)+1,2),YEAR($A6)-1&amp;"/"&amp;RIGHT(YEAR($A6),2)))</f>
        <v>2026/27</v>
      </c>
    </row>
    <row r="7" customFormat="false" ht="15" hidden="false" customHeight="false" outlineLevel="0" collapsed="false">
      <c r="A7" s="22" t="n">
        <v>46312</v>
      </c>
      <c r="B7" s="23" t="s">
        <v>115</v>
      </c>
      <c r="C7" s="23" t="s">
        <v>122</v>
      </c>
      <c r="D7" s="23" t="s">
        <v>117</v>
      </c>
      <c r="E7" s="24" t="n">
        <v>0.520833333333333</v>
      </c>
      <c r="F7" s="24" t="n">
        <v>0.625</v>
      </c>
      <c r="G7" s="23" t="s">
        <v>119</v>
      </c>
      <c r="H7" s="23" t="s">
        <v>118</v>
      </c>
      <c r="I7" s="25"/>
      <c r="J7" s="23" t="s">
        <v>119</v>
      </c>
      <c r="K7" s="23" t="s">
        <v>123</v>
      </c>
      <c r="L7" s="26" t="n">
        <f aca="false">IF(OR($E7="",$F7=""),"",MOD($F7-$E7,1)*24)</f>
        <v>2.5</v>
      </c>
      <c r="M7" s="27" t="str">
        <f aca="false">IF($B7="","",IFERROR(INDEX(Properties!$D$5:$D$104,MATCH($B7,Properties!$A$5:$A$104,0)),"?"))</f>
        <v>H001</v>
      </c>
      <c r="N7" s="28" t="n">
        <f aca="false">IF($B7="","",IFERROR(IF($D7="Completed",INDEX(Properties!$I$5:$I$104,MATCH($B7,Properties!$A$5:$A$104,0))*(1+IF($G7="Y",Settings!$B$8,0))+IF($H7="Y",Settings!$B$7,0)+N($I7),IF($D7="Deep clean",INDEX(Settings!$E$22:$E$26,MATCH(MIN(INDEX(Properties!$E$5:$E$104,MATCH($B7,Properties!$A$5:$A$104,0)),4),Settings!$A$22:$A$26,0))+N($I7),IF($D7="Late cancel",INDEX(Properties!$I$5:$I$104,MATCH($B7,Properties!$A$5:$A$104,0))*Settings!$B$10,0))),0))</f>
        <v>75</v>
      </c>
      <c r="O7" s="28" t="n">
        <f aca="false">IF($B7="","",IFERROR(IF($D7="Completed",INDEX(Properties!$L$5:$L$104,MATCH($B7,Properties!$A$5:$A$104,0))+IF($G7="Y",INDEX(Properties!$I$5:$I$104,MATCH($B7,Properties!$A$5:$A$104,0))*Settings!$B$8*Settings!$B$9,0)+IF($H7="Y",Settings!$B$7*Settings!$B$9,0)+N($I7)*Settings!$B$9,IF($D7="Deep clean",INDEX(Settings!$E$22:$E$26,MATCH(MIN(INDEX(Properties!$E$5:$E$104,MATCH($B7,Properties!$A$5:$A$104,0)),4),Settings!$A$22:$A$26,0))*Settings!$B$19+N($I7)*Settings!$B$9,IF($D7="Late cancel",INDEX(Properties!$L$5:$L$104,MATCH($B7,Properties!$A$5:$A$104,0))*Settings!$B$11,0))),0))</f>
        <v>47.5</v>
      </c>
      <c r="P7" s="28" t="n">
        <f aca="false">IF($B7="","",$N7-$O7)</f>
        <v>27.5</v>
      </c>
      <c r="Q7" s="29" t="n">
        <f aca="false">IF($A7="","",DATE(YEAR($A7),MONTH($A7),1))</f>
        <v>46296</v>
      </c>
      <c r="R7" s="30" t="n">
        <f aca="false">IF($A7="","",$A7+MOD(6-WEEKDAY($A7),7))</f>
        <v>46318</v>
      </c>
      <c r="S7" s="31" t="n">
        <f aca="false">IF($B7="","",IF(AND($M7='Invoice Builder'!$C$5,$Q7='Invoice Builder'!$C$6,N($N7)&gt;0),COUNTIFS($M$5:$M7,'Invoice Builder'!$C$5,$Q$5:$Q7,'Invoice Builder'!$C$6,$N$5:$N7,"&gt;0"),""))</f>
        <v>3</v>
      </c>
      <c r="T7" s="27" t="str">
        <f aca="false">IF($A7="","",IF($A7&gt;=DATE(YEAR($A7),4,6),YEAR($A7)&amp;"/"&amp;RIGHT(YEAR($A7)+1,2),YEAR($A7)-1&amp;"/"&amp;RIGHT(YEAR($A7),2)))</f>
        <v>2026/27</v>
      </c>
    </row>
    <row r="8" customFormat="false" ht="15" hidden="false" customHeight="false" outlineLevel="0" collapsed="false">
      <c r="A8" s="22" t="n">
        <v>46319</v>
      </c>
      <c r="B8" s="23" t="s">
        <v>115</v>
      </c>
      <c r="C8" s="23" t="s">
        <v>116</v>
      </c>
      <c r="D8" s="23" t="s">
        <v>124</v>
      </c>
      <c r="E8" s="24"/>
      <c r="F8" s="24"/>
      <c r="G8" s="23" t="s">
        <v>118</v>
      </c>
      <c r="H8" s="23" t="s">
        <v>118</v>
      </c>
      <c r="I8" s="25"/>
      <c r="J8" s="23"/>
      <c r="K8" s="23" t="s">
        <v>125</v>
      </c>
      <c r="L8" s="26" t="str">
        <f aca="false">IF(OR($E8="",$F8=""),"",MOD($F8-$E8,1)*24)</f>
        <v/>
      </c>
      <c r="M8" s="27" t="str">
        <f aca="false">IF($B8="","",IFERROR(INDEX(Properties!$D$5:$D$104,MATCH($B8,Properties!$A$5:$A$104,0)),"?"))</f>
        <v>H001</v>
      </c>
      <c r="N8" s="28" t="n">
        <f aca="false">IF($B8="","",IFERROR(IF($D8="Completed",INDEX(Properties!$I$5:$I$104,MATCH($B8,Properties!$A$5:$A$104,0))*(1+IF($G8="Y",Settings!$B$8,0))+IF($H8="Y",Settings!$B$7,0)+N($I8),IF($D8="Deep clean",INDEX(Settings!$E$22:$E$26,MATCH(MIN(INDEX(Properties!$E$5:$E$104,MATCH($B8,Properties!$A$5:$A$104,0)),4),Settings!$A$22:$A$26,0))+N($I8),IF($D8="Late cancel",INDEX(Properties!$I$5:$I$104,MATCH($B8,Properties!$A$5:$A$104,0))*Settings!$B$10,0))),0))</f>
        <v>30</v>
      </c>
      <c r="O8" s="28" t="n">
        <f aca="false">IF($B8="","",IFERROR(IF($D8="Completed",INDEX(Properties!$L$5:$L$104,MATCH($B8,Properties!$A$5:$A$104,0))+IF($G8="Y",INDEX(Properties!$I$5:$I$104,MATCH($B8,Properties!$A$5:$A$104,0))*Settings!$B$8*Settings!$B$9,0)+IF($H8="Y",Settings!$B$7*Settings!$B$9,0)+N($I8)*Settings!$B$9,IF($D8="Deep clean",INDEX(Settings!$E$22:$E$26,MATCH(MIN(INDEX(Properties!$E$5:$E$104,MATCH($B8,Properties!$A$5:$A$104,0)),4),Settings!$A$22:$A$26,0))*Settings!$B$19+N($I8)*Settings!$B$9,IF($D8="Late cancel",INDEX(Properties!$L$5:$L$104,MATCH($B8,Properties!$A$5:$A$104,0))*Settings!$B$11,0))),0))</f>
        <v>20</v>
      </c>
      <c r="P8" s="28" t="n">
        <f aca="false">IF($B8="","",$N8-$O8)</f>
        <v>10</v>
      </c>
      <c r="Q8" s="29" t="n">
        <f aca="false">IF($A8="","",DATE(YEAR($A8),MONTH($A8),1))</f>
        <v>46296</v>
      </c>
      <c r="R8" s="30" t="n">
        <f aca="false">IF($A8="","",$A8+MOD(6-WEEKDAY($A8),7))</f>
        <v>46325</v>
      </c>
      <c r="S8" s="31" t="n">
        <f aca="false">IF($B8="","",IF(AND($M8='Invoice Builder'!$C$5,$Q8='Invoice Builder'!$C$6,N($N8)&gt;0),COUNTIFS($M$5:$M8,'Invoice Builder'!$C$5,$Q$5:$Q8,'Invoice Builder'!$C$6,$N$5:$N8,"&gt;0"),""))</f>
        <v>4</v>
      </c>
      <c r="T8" s="27" t="str">
        <f aca="false">IF($A8="","",IF($A8&gt;=DATE(YEAR($A8),4,6),YEAR($A8)&amp;"/"&amp;RIGHT(YEAR($A8)+1,2),YEAR($A8)-1&amp;"/"&amp;RIGHT(YEAR($A8),2)))</f>
        <v>2026/27</v>
      </c>
    </row>
    <row r="9" customFormat="false" ht="15" hidden="false" customHeight="false" outlineLevel="0" collapsed="false">
      <c r="A9" s="22"/>
      <c r="B9" s="23"/>
      <c r="C9" s="23"/>
      <c r="D9" s="23"/>
      <c r="E9" s="24"/>
      <c r="F9" s="24"/>
      <c r="G9" s="23"/>
      <c r="H9" s="23"/>
      <c r="I9" s="25"/>
      <c r="J9" s="23"/>
      <c r="K9" s="23"/>
      <c r="L9" s="26" t="str">
        <f aca="false">IF(OR($E9="",$F9=""),"",MOD($F9-$E9,1)*24)</f>
        <v/>
      </c>
      <c r="M9" s="27" t="str">
        <f aca="false">IF($B9="","",IFERROR(INDEX(Properties!$D$5:$D$104,MATCH($B9,Properties!$A$5:$A$104,0)),"?"))</f>
        <v/>
      </c>
      <c r="N9" s="28" t="str">
        <f aca="false">IF($B9="","",IFERROR(IF($D9="Completed",INDEX(Properties!$I$5:$I$104,MATCH($B9,Properties!$A$5:$A$104,0))*(1+IF($G9="Y",Settings!$B$8,0))+IF($H9="Y",Settings!$B$7,0)+N($I9),IF($D9="Deep clean",INDEX(Settings!$E$22:$E$26,MATCH(MIN(INDEX(Properties!$E$5:$E$104,MATCH($B9,Properties!$A$5:$A$104,0)),4),Settings!$A$22:$A$26,0))+N($I9),IF($D9="Late cancel",INDEX(Properties!$I$5:$I$104,MATCH($B9,Properties!$A$5:$A$104,0))*Settings!$B$10,0))),0))</f>
        <v/>
      </c>
      <c r="O9" s="28" t="str">
        <f aca="false">IF($B9="","",IFERROR(IF($D9="Completed",INDEX(Properties!$L$5:$L$104,MATCH($B9,Properties!$A$5:$A$104,0))+IF($G9="Y",INDEX(Properties!$I$5:$I$104,MATCH($B9,Properties!$A$5:$A$104,0))*Settings!$B$8*Settings!$B$9,0)+IF($H9="Y",Settings!$B$7*Settings!$B$9,0)+N($I9)*Settings!$B$9,IF($D9="Deep clean",INDEX(Settings!$E$22:$E$26,MATCH(MIN(INDEX(Properties!$E$5:$E$104,MATCH($B9,Properties!$A$5:$A$104,0)),4),Settings!$A$22:$A$26,0))*Settings!$B$19+N($I9)*Settings!$B$9,IF($D9="Late cancel",INDEX(Properties!$L$5:$L$104,MATCH($B9,Properties!$A$5:$A$104,0))*Settings!$B$11,0))),0))</f>
        <v/>
      </c>
      <c r="P9" s="28" t="str">
        <f aca="false">IF($B9="","",$N9-$O9)</f>
        <v/>
      </c>
      <c r="Q9" s="29" t="str">
        <f aca="false">IF($A9="","",DATE(YEAR($A9),MONTH($A9),1))</f>
        <v/>
      </c>
      <c r="R9" s="30" t="str">
        <f aca="false">IF($A9="","",$A9+MOD(6-WEEKDAY($A9),7))</f>
        <v/>
      </c>
      <c r="S9" s="31" t="str">
        <f aca="false">IF($B9="","",IF(AND($M9='Invoice Builder'!$C$5,$Q9='Invoice Builder'!$C$6,N($N9)&gt;0),COUNTIFS($M$5:$M9,'Invoice Builder'!$C$5,$Q$5:$Q9,'Invoice Builder'!$C$6,$N$5:$N9,"&gt;0"),""))</f>
        <v/>
      </c>
      <c r="T9" s="27" t="str">
        <f aca="false">IF($A9="","",IF($A9&gt;=DATE(YEAR($A9),4,6),YEAR($A9)&amp;"/"&amp;RIGHT(YEAR($A9)+1,2),YEAR($A9)-1&amp;"/"&amp;RIGHT(YEAR($A9),2)))</f>
        <v/>
      </c>
    </row>
    <row r="10" customFormat="false" ht="15" hidden="false" customHeight="false" outlineLevel="0" collapsed="false">
      <c r="A10" s="22"/>
      <c r="B10" s="23"/>
      <c r="C10" s="23"/>
      <c r="D10" s="23"/>
      <c r="E10" s="24"/>
      <c r="F10" s="24"/>
      <c r="G10" s="23"/>
      <c r="H10" s="23"/>
      <c r="I10" s="25"/>
      <c r="J10" s="23"/>
      <c r="K10" s="23"/>
      <c r="L10" s="26" t="str">
        <f aca="false">IF(OR($E10="",$F10=""),"",MOD($F10-$E10,1)*24)</f>
        <v/>
      </c>
      <c r="M10" s="27" t="str">
        <f aca="false">IF($B10="","",IFERROR(INDEX(Properties!$D$5:$D$104,MATCH($B10,Properties!$A$5:$A$104,0)),"?"))</f>
        <v/>
      </c>
      <c r="N10" s="28" t="str">
        <f aca="false">IF($B10="","",IFERROR(IF($D10="Completed",INDEX(Properties!$I$5:$I$104,MATCH($B10,Properties!$A$5:$A$104,0))*(1+IF($G10="Y",Settings!$B$8,0))+IF($H10="Y",Settings!$B$7,0)+N($I10),IF($D10="Deep clean",INDEX(Settings!$E$22:$E$26,MATCH(MIN(INDEX(Properties!$E$5:$E$104,MATCH($B10,Properties!$A$5:$A$104,0)),4),Settings!$A$22:$A$26,0))+N($I10),IF($D10="Late cancel",INDEX(Properties!$I$5:$I$104,MATCH($B10,Properties!$A$5:$A$104,0))*Settings!$B$10,0))),0))</f>
        <v/>
      </c>
      <c r="O10" s="28" t="str">
        <f aca="false">IF($B10="","",IFERROR(IF($D10="Completed",INDEX(Properties!$L$5:$L$104,MATCH($B10,Properties!$A$5:$A$104,0))+IF($G10="Y",INDEX(Properties!$I$5:$I$104,MATCH($B10,Properties!$A$5:$A$104,0))*Settings!$B$8*Settings!$B$9,0)+IF($H10="Y",Settings!$B$7*Settings!$B$9,0)+N($I10)*Settings!$B$9,IF($D10="Deep clean",INDEX(Settings!$E$22:$E$26,MATCH(MIN(INDEX(Properties!$E$5:$E$104,MATCH($B10,Properties!$A$5:$A$104,0)),4),Settings!$A$22:$A$26,0))*Settings!$B$19+N($I10)*Settings!$B$9,IF($D10="Late cancel",INDEX(Properties!$L$5:$L$104,MATCH($B10,Properties!$A$5:$A$104,0))*Settings!$B$11,0))),0))</f>
        <v/>
      </c>
      <c r="P10" s="28" t="str">
        <f aca="false">IF($B10="","",$N10-$O10)</f>
        <v/>
      </c>
      <c r="Q10" s="29" t="str">
        <f aca="false">IF($A10="","",DATE(YEAR($A10),MONTH($A10),1))</f>
        <v/>
      </c>
      <c r="R10" s="30" t="str">
        <f aca="false">IF($A10="","",$A10+MOD(6-WEEKDAY($A10),7))</f>
        <v/>
      </c>
      <c r="S10" s="31" t="str">
        <f aca="false">IF($B10="","",IF(AND($M10='Invoice Builder'!$C$5,$Q10='Invoice Builder'!$C$6,N($N10)&gt;0),COUNTIFS($M$5:$M10,'Invoice Builder'!$C$5,$Q$5:$Q10,'Invoice Builder'!$C$6,$N$5:$N10,"&gt;0"),""))</f>
        <v/>
      </c>
      <c r="T10" s="27" t="str">
        <f aca="false">IF($A10="","",IF($A10&gt;=DATE(YEAR($A10),4,6),YEAR($A10)&amp;"/"&amp;RIGHT(YEAR($A10)+1,2),YEAR($A10)-1&amp;"/"&amp;RIGHT(YEAR($A10),2)))</f>
        <v/>
      </c>
    </row>
    <row r="11" customFormat="false" ht="15" hidden="false" customHeight="false" outlineLevel="0" collapsed="false">
      <c r="A11" s="22"/>
      <c r="B11" s="23"/>
      <c r="C11" s="23"/>
      <c r="D11" s="23"/>
      <c r="E11" s="24"/>
      <c r="F11" s="24"/>
      <c r="G11" s="23"/>
      <c r="H11" s="23"/>
      <c r="I11" s="25"/>
      <c r="J11" s="23"/>
      <c r="K11" s="23"/>
      <c r="L11" s="26" t="str">
        <f aca="false">IF(OR($E11="",$F11=""),"",MOD($F11-$E11,1)*24)</f>
        <v/>
      </c>
      <c r="M11" s="27" t="str">
        <f aca="false">IF($B11="","",IFERROR(INDEX(Properties!$D$5:$D$104,MATCH($B11,Properties!$A$5:$A$104,0)),"?"))</f>
        <v/>
      </c>
      <c r="N11" s="28" t="str">
        <f aca="false">IF($B11="","",IFERROR(IF($D11="Completed",INDEX(Properties!$I$5:$I$104,MATCH($B11,Properties!$A$5:$A$104,0))*(1+IF($G11="Y",Settings!$B$8,0))+IF($H11="Y",Settings!$B$7,0)+N($I11),IF($D11="Deep clean",INDEX(Settings!$E$22:$E$26,MATCH(MIN(INDEX(Properties!$E$5:$E$104,MATCH($B11,Properties!$A$5:$A$104,0)),4),Settings!$A$22:$A$26,0))+N($I11),IF($D11="Late cancel",INDEX(Properties!$I$5:$I$104,MATCH($B11,Properties!$A$5:$A$104,0))*Settings!$B$10,0))),0))</f>
        <v/>
      </c>
      <c r="O11" s="28" t="str">
        <f aca="false">IF($B11="","",IFERROR(IF($D11="Completed",INDEX(Properties!$L$5:$L$104,MATCH($B11,Properties!$A$5:$A$104,0))+IF($G11="Y",INDEX(Properties!$I$5:$I$104,MATCH($B11,Properties!$A$5:$A$104,0))*Settings!$B$8*Settings!$B$9,0)+IF($H11="Y",Settings!$B$7*Settings!$B$9,0)+N($I11)*Settings!$B$9,IF($D11="Deep clean",INDEX(Settings!$E$22:$E$26,MATCH(MIN(INDEX(Properties!$E$5:$E$104,MATCH($B11,Properties!$A$5:$A$104,0)),4),Settings!$A$22:$A$26,0))*Settings!$B$19+N($I11)*Settings!$B$9,IF($D11="Late cancel",INDEX(Properties!$L$5:$L$104,MATCH($B11,Properties!$A$5:$A$104,0))*Settings!$B$11,0))),0))</f>
        <v/>
      </c>
      <c r="P11" s="28" t="str">
        <f aca="false">IF($B11="","",$N11-$O11)</f>
        <v/>
      </c>
      <c r="Q11" s="29" t="str">
        <f aca="false">IF($A11="","",DATE(YEAR($A11),MONTH($A11),1))</f>
        <v/>
      </c>
      <c r="R11" s="30" t="str">
        <f aca="false">IF($A11="","",$A11+MOD(6-WEEKDAY($A11),7))</f>
        <v/>
      </c>
      <c r="S11" s="31" t="str">
        <f aca="false">IF($B11="","",IF(AND($M11='Invoice Builder'!$C$5,$Q11='Invoice Builder'!$C$6,N($N11)&gt;0),COUNTIFS($M$5:$M11,'Invoice Builder'!$C$5,$Q$5:$Q11,'Invoice Builder'!$C$6,$N$5:$N11,"&gt;0"),""))</f>
        <v/>
      </c>
      <c r="T11" s="27" t="str">
        <f aca="false">IF($A11="","",IF($A11&gt;=DATE(YEAR($A11),4,6),YEAR($A11)&amp;"/"&amp;RIGHT(YEAR($A11)+1,2),YEAR($A11)-1&amp;"/"&amp;RIGHT(YEAR($A11),2)))</f>
        <v/>
      </c>
    </row>
    <row r="12" customFormat="false" ht="15" hidden="false" customHeight="false" outlineLevel="0" collapsed="false">
      <c r="A12" s="22"/>
      <c r="B12" s="23"/>
      <c r="C12" s="23"/>
      <c r="D12" s="23"/>
      <c r="E12" s="24"/>
      <c r="F12" s="24"/>
      <c r="G12" s="23"/>
      <c r="H12" s="23"/>
      <c r="I12" s="25"/>
      <c r="J12" s="23"/>
      <c r="K12" s="23"/>
      <c r="L12" s="26" t="str">
        <f aca="false">IF(OR($E12="",$F12=""),"",MOD($F12-$E12,1)*24)</f>
        <v/>
      </c>
      <c r="M12" s="27" t="str">
        <f aca="false">IF($B12="","",IFERROR(INDEX(Properties!$D$5:$D$104,MATCH($B12,Properties!$A$5:$A$104,0)),"?"))</f>
        <v/>
      </c>
      <c r="N12" s="28" t="str">
        <f aca="false">IF($B12="","",IFERROR(IF($D12="Completed",INDEX(Properties!$I$5:$I$104,MATCH($B12,Properties!$A$5:$A$104,0))*(1+IF($G12="Y",Settings!$B$8,0))+IF($H12="Y",Settings!$B$7,0)+N($I12),IF($D12="Deep clean",INDEX(Settings!$E$22:$E$26,MATCH(MIN(INDEX(Properties!$E$5:$E$104,MATCH($B12,Properties!$A$5:$A$104,0)),4),Settings!$A$22:$A$26,0))+N($I12),IF($D12="Late cancel",INDEX(Properties!$I$5:$I$104,MATCH($B12,Properties!$A$5:$A$104,0))*Settings!$B$10,0))),0))</f>
        <v/>
      </c>
      <c r="O12" s="28" t="str">
        <f aca="false">IF($B12="","",IFERROR(IF($D12="Completed",INDEX(Properties!$L$5:$L$104,MATCH($B12,Properties!$A$5:$A$104,0))+IF($G12="Y",INDEX(Properties!$I$5:$I$104,MATCH($B12,Properties!$A$5:$A$104,0))*Settings!$B$8*Settings!$B$9,0)+IF($H12="Y",Settings!$B$7*Settings!$B$9,0)+N($I12)*Settings!$B$9,IF($D12="Deep clean",INDEX(Settings!$E$22:$E$26,MATCH(MIN(INDEX(Properties!$E$5:$E$104,MATCH($B12,Properties!$A$5:$A$104,0)),4),Settings!$A$22:$A$26,0))*Settings!$B$19+N($I12)*Settings!$B$9,IF($D12="Late cancel",INDEX(Properties!$L$5:$L$104,MATCH($B12,Properties!$A$5:$A$104,0))*Settings!$B$11,0))),0))</f>
        <v/>
      </c>
      <c r="P12" s="28" t="str">
        <f aca="false">IF($B12="","",$N12-$O12)</f>
        <v/>
      </c>
      <c r="Q12" s="29" t="str">
        <f aca="false">IF($A12="","",DATE(YEAR($A12),MONTH($A12),1))</f>
        <v/>
      </c>
      <c r="R12" s="30" t="str">
        <f aca="false">IF($A12="","",$A12+MOD(6-WEEKDAY($A12),7))</f>
        <v/>
      </c>
      <c r="S12" s="31" t="str">
        <f aca="false">IF($B12="","",IF(AND($M12='Invoice Builder'!$C$5,$Q12='Invoice Builder'!$C$6,N($N12)&gt;0),COUNTIFS($M$5:$M12,'Invoice Builder'!$C$5,$Q$5:$Q12,'Invoice Builder'!$C$6,$N$5:$N12,"&gt;0"),""))</f>
        <v/>
      </c>
      <c r="T12" s="27" t="str">
        <f aca="false">IF($A12="","",IF($A12&gt;=DATE(YEAR($A12),4,6),YEAR($A12)&amp;"/"&amp;RIGHT(YEAR($A12)+1,2),YEAR($A12)-1&amp;"/"&amp;RIGHT(YEAR($A12),2)))</f>
        <v/>
      </c>
    </row>
    <row r="13" customFormat="false" ht="15" hidden="false" customHeight="false" outlineLevel="0" collapsed="false">
      <c r="A13" s="22"/>
      <c r="B13" s="23"/>
      <c r="C13" s="23"/>
      <c r="D13" s="23"/>
      <c r="E13" s="24"/>
      <c r="F13" s="24"/>
      <c r="G13" s="23"/>
      <c r="H13" s="23"/>
      <c r="I13" s="25"/>
      <c r="J13" s="23"/>
      <c r="K13" s="23"/>
      <c r="L13" s="26" t="str">
        <f aca="false">IF(OR($E13="",$F13=""),"",MOD($F13-$E13,1)*24)</f>
        <v/>
      </c>
      <c r="M13" s="27" t="str">
        <f aca="false">IF($B13="","",IFERROR(INDEX(Properties!$D$5:$D$104,MATCH($B13,Properties!$A$5:$A$104,0)),"?"))</f>
        <v/>
      </c>
      <c r="N13" s="28" t="str">
        <f aca="false">IF($B13="","",IFERROR(IF($D13="Completed",INDEX(Properties!$I$5:$I$104,MATCH($B13,Properties!$A$5:$A$104,0))*(1+IF($G13="Y",Settings!$B$8,0))+IF($H13="Y",Settings!$B$7,0)+N($I13),IF($D13="Deep clean",INDEX(Settings!$E$22:$E$26,MATCH(MIN(INDEX(Properties!$E$5:$E$104,MATCH($B13,Properties!$A$5:$A$104,0)),4),Settings!$A$22:$A$26,0))+N($I13),IF($D13="Late cancel",INDEX(Properties!$I$5:$I$104,MATCH($B13,Properties!$A$5:$A$104,0))*Settings!$B$10,0))),0))</f>
        <v/>
      </c>
      <c r="O13" s="28" t="str">
        <f aca="false">IF($B13="","",IFERROR(IF($D13="Completed",INDEX(Properties!$L$5:$L$104,MATCH($B13,Properties!$A$5:$A$104,0))+IF($G13="Y",INDEX(Properties!$I$5:$I$104,MATCH($B13,Properties!$A$5:$A$104,0))*Settings!$B$8*Settings!$B$9,0)+IF($H13="Y",Settings!$B$7*Settings!$B$9,0)+N($I13)*Settings!$B$9,IF($D13="Deep clean",INDEX(Settings!$E$22:$E$26,MATCH(MIN(INDEX(Properties!$E$5:$E$104,MATCH($B13,Properties!$A$5:$A$104,0)),4),Settings!$A$22:$A$26,0))*Settings!$B$19+N($I13)*Settings!$B$9,IF($D13="Late cancel",INDEX(Properties!$L$5:$L$104,MATCH($B13,Properties!$A$5:$A$104,0))*Settings!$B$11,0))),0))</f>
        <v/>
      </c>
      <c r="P13" s="28" t="str">
        <f aca="false">IF($B13="","",$N13-$O13)</f>
        <v/>
      </c>
      <c r="Q13" s="29" t="str">
        <f aca="false">IF($A13="","",DATE(YEAR($A13),MONTH($A13),1))</f>
        <v/>
      </c>
      <c r="R13" s="30" t="str">
        <f aca="false">IF($A13="","",$A13+MOD(6-WEEKDAY($A13),7))</f>
        <v/>
      </c>
      <c r="S13" s="31" t="str">
        <f aca="false">IF($B13="","",IF(AND($M13='Invoice Builder'!$C$5,$Q13='Invoice Builder'!$C$6,N($N13)&gt;0),COUNTIFS($M$5:$M13,'Invoice Builder'!$C$5,$Q$5:$Q13,'Invoice Builder'!$C$6,$N$5:$N13,"&gt;0"),""))</f>
        <v/>
      </c>
      <c r="T13" s="27" t="str">
        <f aca="false">IF($A13="","",IF($A13&gt;=DATE(YEAR($A13),4,6),YEAR($A13)&amp;"/"&amp;RIGHT(YEAR($A13)+1,2),YEAR($A13)-1&amp;"/"&amp;RIGHT(YEAR($A13),2)))</f>
        <v/>
      </c>
    </row>
    <row r="14" customFormat="false" ht="15" hidden="false" customHeight="false" outlineLevel="0" collapsed="false">
      <c r="A14" s="22"/>
      <c r="B14" s="23"/>
      <c r="C14" s="23"/>
      <c r="D14" s="23"/>
      <c r="E14" s="24"/>
      <c r="F14" s="24"/>
      <c r="G14" s="23"/>
      <c r="H14" s="23"/>
      <c r="I14" s="25"/>
      <c r="J14" s="23"/>
      <c r="K14" s="23"/>
      <c r="L14" s="26" t="str">
        <f aca="false">IF(OR($E14="",$F14=""),"",MOD($F14-$E14,1)*24)</f>
        <v/>
      </c>
      <c r="M14" s="27" t="str">
        <f aca="false">IF($B14="","",IFERROR(INDEX(Properties!$D$5:$D$104,MATCH($B14,Properties!$A$5:$A$104,0)),"?"))</f>
        <v/>
      </c>
      <c r="N14" s="28" t="str">
        <f aca="false">IF($B14="","",IFERROR(IF($D14="Completed",INDEX(Properties!$I$5:$I$104,MATCH($B14,Properties!$A$5:$A$104,0))*(1+IF($G14="Y",Settings!$B$8,0))+IF($H14="Y",Settings!$B$7,0)+N($I14),IF($D14="Deep clean",INDEX(Settings!$E$22:$E$26,MATCH(MIN(INDEX(Properties!$E$5:$E$104,MATCH($B14,Properties!$A$5:$A$104,0)),4),Settings!$A$22:$A$26,0))+N($I14),IF($D14="Late cancel",INDEX(Properties!$I$5:$I$104,MATCH($B14,Properties!$A$5:$A$104,0))*Settings!$B$10,0))),0))</f>
        <v/>
      </c>
      <c r="O14" s="28" t="str">
        <f aca="false">IF($B14="","",IFERROR(IF($D14="Completed",INDEX(Properties!$L$5:$L$104,MATCH($B14,Properties!$A$5:$A$104,0))+IF($G14="Y",INDEX(Properties!$I$5:$I$104,MATCH($B14,Properties!$A$5:$A$104,0))*Settings!$B$8*Settings!$B$9,0)+IF($H14="Y",Settings!$B$7*Settings!$B$9,0)+N($I14)*Settings!$B$9,IF($D14="Deep clean",INDEX(Settings!$E$22:$E$26,MATCH(MIN(INDEX(Properties!$E$5:$E$104,MATCH($B14,Properties!$A$5:$A$104,0)),4),Settings!$A$22:$A$26,0))*Settings!$B$19+N($I14)*Settings!$B$9,IF($D14="Late cancel",INDEX(Properties!$L$5:$L$104,MATCH($B14,Properties!$A$5:$A$104,0))*Settings!$B$11,0))),0))</f>
        <v/>
      </c>
      <c r="P14" s="28" t="str">
        <f aca="false">IF($B14="","",$N14-$O14)</f>
        <v/>
      </c>
      <c r="Q14" s="29" t="str">
        <f aca="false">IF($A14="","",DATE(YEAR($A14),MONTH($A14),1))</f>
        <v/>
      </c>
      <c r="R14" s="30" t="str">
        <f aca="false">IF($A14="","",$A14+MOD(6-WEEKDAY($A14),7))</f>
        <v/>
      </c>
      <c r="S14" s="31" t="str">
        <f aca="false">IF($B14="","",IF(AND($M14='Invoice Builder'!$C$5,$Q14='Invoice Builder'!$C$6,N($N14)&gt;0),COUNTIFS($M$5:$M14,'Invoice Builder'!$C$5,$Q$5:$Q14,'Invoice Builder'!$C$6,$N$5:$N14,"&gt;0"),""))</f>
        <v/>
      </c>
      <c r="T14" s="27" t="str">
        <f aca="false">IF($A14="","",IF($A14&gt;=DATE(YEAR($A14),4,6),YEAR($A14)&amp;"/"&amp;RIGHT(YEAR($A14)+1,2),YEAR($A14)-1&amp;"/"&amp;RIGHT(YEAR($A14),2)))</f>
        <v/>
      </c>
    </row>
    <row r="15" customFormat="false" ht="15" hidden="false" customHeight="false" outlineLevel="0" collapsed="false">
      <c r="A15" s="22"/>
      <c r="B15" s="23"/>
      <c r="C15" s="23"/>
      <c r="D15" s="23"/>
      <c r="E15" s="24"/>
      <c r="F15" s="24"/>
      <c r="G15" s="23"/>
      <c r="H15" s="23"/>
      <c r="I15" s="25"/>
      <c r="J15" s="23"/>
      <c r="K15" s="23"/>
      <c r="L15" s="26" t="str">
        <f aca="false">IF(OR($E15="",$F15=""),"",MOD($F15-$E15,1)*24)</f>
        <v/>
      </c>
      <c r="M15" s="27" t="str">
        <f aca="false">IF($B15="","",IFERROR(INDEX(Properties!$D$5:$D$104,MATCH($B15,Properties!$A$5:$A$104,0)),"?"))</f>
        <v/>
      </c>
      <c r="N15" s="28" t="str">
        <f aca="false">IF($B15="","",IFERROR(IF($D15="Completed",INDEX(Properties!$I$5:$I$104,MATCH($B15,Properties!$A$5:$A$104,0))*(1+IF($G15="Y",Settings!$B$8,0))+IF($H15="Y",Settings!$B$7,0)+N($I15),IF($D15="Deep clean",INDEX(Settings!$E$22:$E$26,MATCH(MIN(INDEX(Properties!$E$5:$E$104,MATCH($B15,Properties!$A$5:$A$104,0)),4),Settings!$A$22:$A$26,0))+N($I15),IF($D15="Late cancel",INDEX(Properties!$I$5:$I$104,MATCH($B15,Properties!$A$5:$A$104,0))*Settings!$B$10,0))),0))</f>
        <v/>
      </c>
      <c r="O15" s="28" t="str">
        <f aca="false">IF($B15="","",IFERROR(IF($D15="Completed",INDEX(Properties!$L$5:$L$104,MATCH($B15,Properties!$A$5:$A$104,0))+IF($G15="Y",INDEX(Properties!$I$5:$I$104,MATCH($B15,Properties!$A$5:$A$104,0))*Settings!$B$8*Settings!$B$9,0)+IF($H15="Y",Settings!$B$7*Settings!$B$9,0)+N($I15)*Settings!$B$9,IF($D15="Deep clean",INDEX(Settings!$E$22:$E$26,MATCH(MIN(INDEX(Properties!$E$5:$E$104,MATCH($B15,Properties!$A$5:$A$104,0)),4),Settings!$A$22:$A$26,0))*Settings!$B$19+N($I15)*Settings!$B$9,IF($D15="Late cancel",INDEX(Properties!$L$5:$L$104,MATCH($B15,Properties!$A$5:$A$104,0))*Settings!$B$11,0))),0))</f>
        <v/>
      </c>
      <c r="P15" s="28" t="str">
        <f aca="false">IF($B15="","",$N15-$O15)</f>
        <v/>
      </c>
      <c r="Q15" s="29" t="str">
        <f aca="false">IF($A15="","",DATE(YEAR($A15),MONTH($A15),1))</f>
        <v/>
      </c>
      <c r="R15" s="30" t="str">
        <f aca="false">IF($A15="","",$A15+MOD(6-WEEKDAY($A15),7))</f>
        <v/>
      </c>
      <c r="S15" s="31" t="str">
        <f aca="false">IF($B15="","",IF(AND($M15='Invoice Builder'!$C$5,$Q15='Invoice Builder'!$C$6,N($N15)&gt;0),COUNTIFS($M$5:$M15,'Invoice Builder'!$C$5,$Q$5:$Q15,'Invoice Builder'!$C$6,$N$5:$N15,"&gt;0"),""))</f>
        <v/>
      </c>
      <c r="T15" s="27" t="str">
        <f aca="false">IF($A15="","",IF($A15&gt;=DATE(YEAR($A15),4,6),YEAR($A15)&amp;"/"&amp;RIGHT(YEAR($A15)+1,2),YEAR($A15)-1&amp;"/"&amp;RIGHT(YEAR($A15),2)))</f>
        <v/>
      </c>
    </row>
    <row r="16" customFormat="false" ht="15" hidden="false" customHeight="false" outlineLevel="0" collapsed="false">
      <c r="A16" s="22"/>
      <c r="B16" s="23"/>
      <c r="C16" s="23"/>
      <c r="D16" s="23"/>
      <c r="E16" s="24"/>
      <c r="F16" s="24"/>
      <c r="G16" s="23"/>
      <c r="H16" s="23"/>
      <c r="I16" s="25"/>
      <c r="J16" s="23"/>
      <c r="K16" s="23"/>
      <c r="L16" s="26" t="str">
        <f aca="false">IF(OR($E16="",$F16=""),"",MOD($F16-$E16,1)*24)</f>
        <v/>
      </c>
      <c r="M16" s="27" t="str">
        <f aca="false">IF($B16="","",IFERROR(INDEX(Properties!$D$5:$D$104,MATCH($B16,Properties!$A$5:$A$104,0)),"?"))</f>
        <v/>
      </c>
      <c r="N16" s="28" t="str">
        <f aca="false">IF($B16="","",IFERROR(IF($D16="Completed",INDEX(Properties!$I$5:$I$104,MATCH($B16,Properties!$A$5:$A$104,0))*(1+IF($G16="Y",Settings!$B$8,0))+IF($H16="Y",Settings!$B$7,0)+N($I16),IF($D16="Deep clean",INDEX(Settings!$E$22:$E$26,MATCH(MIN(INDEX(Properties!$E$5:$E$104,MATCH($B16,Properties!$A$5:$A$104,0)),4),Settings!$A$22:$A$26,0))+N($I16),IF($D16="Late cancel",INDEX(Properties!$I$5:$I$104,MATCH($B16,Properties!$A$5:$A$104,0))*Settings!$B$10,0))),0))</f>
        <v/>
      </c>
      <c r="O16" s="28" t="str">
        <f aca="false">IF($B16="","",IFERROR(IF($D16="Completed",INDEX(Properties!$L$5:$L$104,MATCH($B16,Properties!$A$5:$A$104,0))+IF($G16="Y",INDEX(Properties!$I$5:$I$104,MATCH($B16,Properties!$A$5:$A$104,0))*Settings!$B$8*Settings!$B$9,0)+IF($H16="Y",Settings!$B$7*Settings!$B$9,0)+N($I16)*Settings!$B$9,IF($D16="Deep clean",INDEX(Settings!$E$22:$E$26,MATCH(MIN(INDEX(Properties!$E$5:$E$104,MATCH($B16,Properties!$A$5:$A$104,0)),4),Settings!$A$22:$A$26,0))*Settings!$B$19+N($I16)*Settings!$B$9,IF($D16="Late cancel",INDEX(Properties!$L$5:$L$104,MATCH($B16,Properties!$A$5:$A$104,0))*Settings!$B$11,0))),0))</f>
        <v/>
      </c>
      <c r="P16" s="28" t="str">
        <f aca="false">IF($B16="","",$N16-$O16)</f>
        <v/>
      </c>
      <c r="Q16" s="29" t="str">
        <f aca="false">IF($A16="","",DATE(YEAR($A16),MONTH($A16),1))</f>
        <v/>
      </c>
      <c r="R16" s="30" t="str">
        <f aca="false">IF($A16="","",$A16+MOD(6-WEEKDAY($A16),7))</f>
        <v/>
      </c>
      <c r="S16" s="31" t="str">
        <f aca="false">IF($B16="","",IF(AND($M16='Invoice Builder'!$C$5,$Q16='Invoice Builder'!$C$6,N($N16)&gt;0),COUNTIFS($M$5:$M16,'Invoice Builder'!$C$5,$Q$5:$Q16,'Invoice Builder'!$C$6,$N$5:$N16,"&gt;0"),""))</f>
        <v/>
      </c>
      <c r="T16" s="27" t="str">
        <f aca="false">IF($A16="","",IF($A16&gt;=DATE(YEAR($A16),4,6),YEAR($A16)&amp;"/"&amp;RIGHT(YEAR($A16)+1,2),YEAR($A16)-1&amp;"/"&amp;RIGHT(YEAR($A16),2)))</f>
        <v/>
      </c>
    </row>
    <row r="17" customFormat="false" ht="15" hidden="false" customHeight="false" outlineLevel="0" collapsed="false">
      <c r="A17" s="22"/>
      <c r="B17" s="23"/>
      <c r="C17" s="23"/>
      <c r="D17" s="23"/>
      <c r="E17" s="24"/>
      <c r="F17" s="24"/>
      <c r="G17" s="23"/>
      <c r="H17" s="23"/>
      <c r="I17" s="25"/>
      <c r="J17" s="23"/>
      <c r="K17" s="23"/>
      <c r="L17" s="26" t="str">
        <f aca="false">IF(OR($E17="",$F17=""),"",MOD($F17-$E17,1)*24)</f>
        <v/>
      </c>
      <c r="M17" s="27" t="str">
        <f aca="false">IF($B17="","",IFERROR(INDEX(Properties!$D$5:$D$104,MATCH($B17,Properties!$A$5:$A$104,0)),"?"))</f>
        <v/>
      </c>
      <c r="N17" s="28" t="str">
        <f aca="false">IF($B17="","",IFERROR(IF($D17="Completed",INDEX(Properties!$I$5:$I$104,MATCH($B17,Properties!$A$5:$A$104,0))*(1+IF($G17="Y",Settings!$B$8,0))+IF($H17="Y",Settings!$B$7,0)+N($I17),IF($D17="Deep clean",INDEX(Settings!$E$22:$E$26,MATCH(MIN(INDEX(Properties!$E$5:$E$104,MATCH($B17,Properties!$A$5:$A$104,0)),4),Settings!$A$22:$A$26,0))+N($I17),IF($D17="Late cancel",INDEX(Properties!$I$5:$I$104,MATCH($B17,Properties!$A$5:$A$104,0))*Settings!$B$10,0))),0))</f>
        <v/>
      </c>
      <c r="O17" s="28" t="str">
        <f aca="false">IF($B17="","",IFERROR(IF($D17="Completed",INDEX(Properties!$L$5:$L$104,MATCH($B17,Properties!$A$5:$A$104,0))+IF($G17="Y",INDEX(Properties!$I$5:$I$104,MATCH($B17,Properties!$A$5:$A$104,0))*Settings!$B$8*Settings!$B$9,0)+IF($H17="Y",Settings!$B$7*Settings!$B$9,0)+N($I17)*Settings!$B$9,IF($D17="Deep clean",INDEX(Settings!$E$22:$E$26,MATCH(MIN(INDEX(Properties!$E$5:$E$104,MATCH($B17,Properties!$A$5:$A$104,0)),4),Settings!$A$22:$A$26,0))*Settings!$B$19+N($I17)*Settings!$B$9,IF($D17="Late cancel",INDEX(Properties!$L$5:$L$104,MATCH($B17,Properties!$A$5:$A$104,0))*Settings!$B$11,0))),0))</f>
        <v/>
      </c>
      <c r="P17" s="28" t="str">
        <f aca="false">IF($B17="","",$N17-$O17)</f>
        <v/>
      </c>
      <c r="Q17" s="29" t="str">
        <f aca="false">IF($A17="","",DATE(YEAR($A17),MONTH($A17),1))</f>
        <v/>
      </c>
      <c r="R17" s="30" t="str">
        <f aca="false">IF($A17="","",$A17+MOD(6-WEEKDAY($A17),7))</f>
        <v/>
      </c>
      <c r="S17" s="31" t="str">
        <f aca="false">IF($B17="","",IF(AND($M17='Invoice Builder'!$C$5,$Q17='Invoice Builder'!$C$6,N($N17)&gt;0),COUNTIFS($M$5:$M17,'Invoice Builder'!$C$5,$Q$5:$Q17,'Invoice Builder'!$C$6,$N$5:$N17,"&gt;0"),""))</f>
        <v/>
      </c>
      <c r="T17" s="27" t="str">
        <f aca="false">IF($A17="","",IF($A17&gt;=DATE(YEAR($A17),4,6),YEAR($A17)&amp;"/"&amp;RIGHT(YEAR($A17)+1,2),YEAR($A17)-1&amp;"/"&amp;RIGHT(YEAR($A17),2)))</f>
        <v/>
      </c>
    </row>
    <row r="18" customFormat="false" ht="15" hidden="false" customHeight="false" outlineLevel="0" collapsed="false">
      <c r="A18" s="22"/>
      <c r="B18" s="23"/>
      <c r="C18" s="23"/>
      <c r="D18" s="23"/>
      <c r="E18" s="24"/>
      <c r="F18" s="24"/>
      <c r="G18" s="23"/>
      <c r="H18" s="23"/>
      <c r="I18" s="25"/>
      <c r="J18" s="23"/>
      <c r="K18" s="23"/>
      <c r="L18" s="26" t="str">
        <f aca="false">IF(OR($E18="",$F18=""),"",MOD($F18-$E18,1)*24)</f>
        <v/>
      </c>
      <c r="M18" s="27" t="str">
        <f aca="false">IF($B18="","",IFERROR(INDEX(Properties!$D$5:$D$104,MATCH($B18,Properties!$A$5:$A$104,0)),"?"))</f>
        <v/>
      </c>
      <c r="N18" s="28" t="str">
        <f aca="false">IF($B18="","",IFERROR(IF($D18="Completed",INDEX(Properties!$I$5:$I$104,MATCH($B18,Properties!$A$5:$A$104,0))*(1+IF($G18="Y",Settings!$B$8,0))+IF($H18="Y",Settings!$B$7,0)+N($I18),IF($D18="Deep clean",INDEX(Settings!$E$22:$E$26,MATCH(MIN(INDEX(Properties!$E$5:$E$104,MATCH($B18,Properties!$A$5:$A$104,0)),4),Settings!$A$22:$A$26,0))+N($I18),IF($D18="Late cancel",INDEX(Properties!$I$5:$I$104,MATCH($B18,Properties!$A$5:$A$104,0))*Settings!$B$10,0))),0))</f>
        <v/>
      </c>
      <c r="O18" s="28" t="str">
        <f aca="false">IF($B18="","",IFERROR(IF($D18="Completed",INDEX(Properties!$L$5:$L$104,MATCH($B18,Properties!$A$5:$A$104,0))+IF($G18="Y",INDEX(Properties!$I$5:$I$104,MATCH($B18,Properties!$A$5:$A$104,0))*Settings!$B$8*Settings!$B$9,0)+IF($H18="Y",Settings!$B$7*Settings!$B$9,0)+N($I18)*Settings!$B$9,IF($D18="Deep clean",INDEX(Settings!$E$22:$E$26,MATCH(MIN(INDEX(Properties!$E$5:$E$104,MATCH($B18,Properties!$A$5:$A$104,0)),4),Settings!$A$22:$A$26,0))*Settings!$B$19+N($I18)*Settings!$B$9,IF($D18="Late cancel",INDEX(Properties!$L$5:$L$104,MATCH($B18,Properties!$A$5:$A$104,0))*Settings!$B$11,0))),0))</f>
        <v/>
      </c>
      <c r="P18" s="28" t="str">
        <f aca="false">IF($B18="","",$N18-$O18)</f>
        <v/>
      </c>
      <c r="Q18" s="29" t="str">
        <f aca="false">IF($A18="","",DATE(YEAR($A18),MONTH($A18),1))</f>
        <v/>
      </c>
      <c r="R18" s="30" t="str">
        <f aca="false">IF($A18="","",$A18+MOD(6-WEEKDAY($A18),7))</f>
        <v/>
      </c>
      <c r="S18" s="31" t="str">
        <f aca="false">IF($B18="","",IF(AND($M18='Invoice Builder'!$C$5,$Q18='Invoice Builder'!$C$6,N($N18)&gt;0),COUNTIFS($M$5:$M18,'Invoice Builder'!$C$5,$Q$5:$Q18,'Invoice Builder'!$C$6,$N$5:$N18,"&gt;0"),""))</f>
        <v/>
      </c>
      <c r="T18" s="27" t="str">
        <f aca="false">IF($A18="","",IF($A18&gt;=DATE(YEAR($A18),4,6),YEAR($A18)&amp;"/"&amp;RIGHT(YEAR($A18)+1,2),YEAR($A18)-1&amp;"/"&amp;RIGHT(YEAR($A18),2)))</f>
        <v/>
      </c>
    </row>
    <row r="19" customFormat="false" ht="15" hidden="false" customHeight="false" outlineLevel="0" collapsed="false">
      <c r="A19" s="22"/>
      <c r="B19" s="23"/>
      <c r="C19" s="23"/>
      <c r="D19" s="23"/>
      <c r="E19" s="24"/>
      <c r="F19" s="24"/>
      <c r="G19" s="23"/>
      <c r="H19" s="23"/>
      <c r="I19" s="25"/>
      <c r="J19" s="23"/>
      <c r="K19" s="23"/>
      <c r="L19" s="26" t="str">
        <f aca="false">IF(OR($E19="",$F19=""),"",MOD($F19-$E19,1)*24)</f>
        <v/>
      </c>
      <c r="M19" s="27" t="str">
        <f aca="false">IF($B19="","",IFERROR(INDEX(Properties!$D$5:$D$104,MATCH($B19,Properties!$A$5:$A$104,0)),"?"))</f>
        <v/>
      </c>
      <c r="N19" s="28" t="str">
        <f aca="false">IF($B19="","",IFERROR(IF($D19="Completed",INDEX(Properties!$I$5:$I$104,MATCH($B19,Properties!$A$5:$A$104,0))*(1+IF($G19="Y",Settings!$B$8,0))+IF($H19="Y",Settings!$B$7,0)+N($I19),IF($D19="Deep clean",INDEX(Settings!$E$22:$E$26,MATCH(MIN(INDEX(Properties!$E$5:$E$104,MATCH($B19,Properties!$A$5:$A$104,0)),4),Settings!$A$22:$A$26,0))+N($I19),IF($D19="Late cancel",INDEX(Properties!$I$5:$I$104,MATCH($B19,Properties!$A$5:$A$104,0))*Settings!$B$10,0))),0))</f>
        <v/>
      </c>
      <c r="O19" s="28" t="str">
        <f aca="false">IF($B19="","",IFERROR(IF($D19="Completed",INDEX(Properties!$L$5:$L$104,MATCH($B19,Properties!$A$5:$A$104,0))+IF($G19="Y",INDEX(Properties!$I$5:$I$104,MATCH($B19,Properties!$A$5:$A$104,0))*Settings!$B$8*Settings!$B$9,0)+IF($H19="Y",Settings!$B$7*Settings!$B$9,0)+N($I19)*Settings!$B$9,IF($D19="Deep clean",INDEX(Settings!$E$22:$E$26,MATCH(MIN(INDEX(Properties!$E$5:$E$104,MATCH($B19,Properties!$A$5:$A$104,0)),4),Settings!$A$22:$A$26,0))*Settings!$B$19+N($I19)*Settings!$B$9,IF($D19="Late cancel",INDEX(Properties!$L$5:$L$104,MATCH($B19,Properties!$A$5:$A$104,0))*Settings!$B$11,0))),0))</f>
        <v/>
      </c>
      <c r="P19" s="28" t="str">
        <f aca="false">IF($B19="","",$N19-$O19)</f>
        <v/>
      </c>
      <c r="Q19" s="29" t="str">
        <f aca="false">IF($A19="","",DATE(YEAR($A19),MONTH($A19),1))</f>
        <v/>
      </c>
      <c r="R19" s="30" t="str">
        <f aca="false">IF($A19="","",$A19+MOD(6-WEEKDAY($A19),7))</f>
        <v/>
      </c>
      <c r="S19" s="31" t="str">
        <f aca="false">IF($B19="","",IF(AND($M19='Invoice Builder'!$C$5,$Q19='Invoice Builder'!$C$6,N($N19)&gt;0),COUNTIFS($M$5:$M19,'Invoice Builder'!$C$5,$Q$5:$Q19,'Invoice Builder'!$C$6,$N$5:$N19,"&gt;0"),""))</f>
        <v/>
      </c>
      <c r="T19" s="27" t="str">
        <f aca="false">IF($A19="","",IF($A19&gt;=DATE(YEAR($A19),4,6),YEAR($A19)&amp;"/"&amp;RIGHT(YEAR($A19)+1,2),YEAR($A19)-1&amp;"/"&amp;RIGHT(YEAR($A19),2)))</f>
        <v/>
      </c>
    </row>
    <row r="20" customFormat="false" ht="15" hidden="false" customHeight="false" outlineLevel="0" collapsed="false">
      <c r="A20" s="22"/>
      <c r="B20" s="23"/>
      <c r="C20" s="23"/>
      <c r="D20" s="23"/>
      <c r="E20" s="24"/>
      <c r="F20" s="24"/>
      <c r="G20" s="23"/>
      <c r="H20" s="23"/>
      <c r="I20" s="25"/>
      <c r="J20" s="23"/>
      <c r="K20" s="23"/>
      <c r="L20" s="26" t="str">
        <f aca="false">IF(OR($E20="",$F20=""),"",MOD($F20-$E20,1)*24)</f>
        <v/>
      </c>
      <c r="M20" s="27" t="str">
        <f aca="false">IF($B20="","",IFERROR(INDEX(Properties!$D$5:$D$104,MATCH($B20,Properties!$A$5:$A$104,0)),"?"))</f>
        <v/>
      </c>
      <c r="N20" s="28" t="str">
        <f aca="false">IF($B20="","",IFERROR(IF($D20="Completed",INDEX(Properties!$I$5:$I$104,MATCH($B20,Properties!$A$5:$A$104,0))*(1+IF($G20="Y",Settings!$B$8,0))+IF($H20="Y",Settings!$B$7,0)+N($I20),IF($D20="Deep clean",INDEX(Settings!$E$22:$E$26,MATCH(MIN(INDEX(Properties!$E$5:$E$104,MATCH($B20,Properties!$A$5:$A$104,0)),4),Settings!$A$22:$A$26,0))+N($I20),IF($D20="Late cancel",INDEX(Properties!$I$5:$I$104,MATCH($B20,Properties!$A$5:$A$104,0))*Settings!$B$10,0))),0))</f>
        <v/>
      </c>
      <c r="O20" s="28" t="str">
        <f aca="false">IF($B20="","",IFERROR(IF($D20="Completed",INDEX(Properties!$L$5:$L$104,MATCH($B20,Properties!$A$5:$A$104,0))+IF($G20="Y",INDEX(Properties!$I$5:$I$104,MATCH($B20,Properties!$A$5:$A$104,0))*Settings!$B$8*Settings!$B$9,0)+IF($H20="Y",Settings!$B$7*Settings!$B$9,0)+N($I20)*Settings!$B$9,IF($D20="Deep clean",INDEX(Settings!$E$22:$E$26,MATCH(MIN(INDEX(Properties!$E$5:$E$104,MATCH($B20,Properties!$A$5:$A$104,0)),4),Settings!$A$22:$A$26,0))*Settings!$B$19+N($I20)*Settings!$B$9,IF($D20="Late cancel",INDEX(Properties!$L$5:$L$104,MATCH($B20,Properties!$A$5:$A$104,0))*Settings!$B$11,0))),0))</f>
        <v/>
      </c>
      <c r="P20" s="28" t="str">
        <f aca="false">IF($B20="","",$N20-$O20)</f>
        <v/>
      </c>
      <c r="Q20" s="29" t="str">
        <f aca="false">IF($A20="","",DATE(YEAR($A20),MONTH($A20),1))</f>
        <v/>
      </c>
      <c r="R20" s="30" t="str">
        <f aca="false">IF($A20="","",$A20+MOD(6-WEEKDAY($A20),7))</f>
        <v/>
      </c>
      <c r="S20" s="31" t="str">
        <f aca="false">IF($B20="","",IF(AND($M20='Invoice Builder'!$C$5,$Q20='Invoice Builder'!$C$6,N($N20)&gt;0),COUNTIFS($M$5:$M20,'Invoice Builder'!$C$5,$Q$5:$Q20,'Invoice Builder'!$C$6,$N$5:$N20,"&gt;0"),""))</f>
        <v/>
      </c>
      <c r="T20" s="27" t="str">
        <f aca="false">IF($A20="","",IF($A20&gt;=DATE(YEAR($A20),4,6),YEAR($A20)&amp;"/"&amp;RIGHT(YEAR($A20)+1,2),YEAR($A20)-1&amp;"/"&amp;RIGHT(YEAR($A20),2)))</f>
        <v/>
      </c>
    </row>
    <row r="21" customFormat="false" ht="15" hidden="false" customHeight="false" outlineLevel="0" collapsed="false">
      <c r="A21" s="22"/>
      <c r="B21" s="23"/>
      <c r="C21" s="23"/>
      <c r="D21" s="23"/>
      <c r="E21" s="24"/>
      <c r="F21" s="24"/>
      <c r="G21" s="23"/>
      <c r="H21" s="23"/>
      <c r="I21" s="25"/>
      <c r="J21" s="23"/>
      <c r="K21" s="23"/>
      <c r="L21" s="26" t="str">
        <f aca="false">IF(OR($E21="",$F21=""),"",MOD($F21-$E21,1)*24)</f>
        <v/>
      </c>
      <c r="M21" s="27" t="str">
        <f aca="false">IF($B21="","",IFERROR(INDEX(Properties!$D$5:$D$104,MATCH($B21,Properties!$A$5:$A$104,0)),"?"))</f>
        <v/>
      </c>
      <c r="N21" s="28" t="str">
        <f aca="false">IF($B21="","",IFERROR(IF($D21="Completed",INDEX(Properties!$I$5:$I$104,MATCH($B21,Properties!$A$5:$A$104,0))*(1+IF($G21="Y",Settings!$B$8,0))+IF($H21="Y",Settings!$B$7,0)+N($I21),IF($D21="Deep clean",INDEX(Settings!$E$22:$E$26,MATCH(MIN(INDEX(Properties!$E$5:$E$104,MATCH($B21,Properties!$A$5:$A$104,0)),4),Settings!$A$22:$A$26,0))+N($I21),IF($D21="Late cancel",INDEX(Properties!$I$5:$I$104,MATCH($B21,Properties!$A$5:$A$104,0))*Settings!$B$10,0))),0))</f>
        <v/>
      </c>
      <c r="O21" s="28" t="str">
        <f aca="false">IF($B21="","",IFERROR(IF($D21="Completed",INDEX(Properties!$L$5:$L$104,MATCH($B21,Properties!$A$5:$A$104,0))+IF($G21="Y",INDEX(Properties!$I$5:$I$104,MATCH($B21,Properties!$A$5:$A$104,0))*Settings!$B$8*Settings!$B$9,0)+IF($H21="Y",Settings!$B$7*Settings!$B$9,0)+N($I21)*Settings!$B$9,IF($D21="Deep clean",INDEX(Settings!$E$22:$E$26,MATCH(MIN(INDEX(Properties!$E$5:$E$104,MATCH($B21,Properties!$A$5:$A$104,0)),4),Settings!$A$22:$A$26,0))*Settings!$B$19+N($I21)*Settings!$B$9,IF($D21="Late cancel",INDEX(Properties!$L$5:$L$104,MATCH($B21,Properties!$A$5:$A$104,0))*Settings!$B$11,0))),0))</f>
        <v/>
      </c>
      <c r="P21" s="28" t="str">
        <f aca="false">IF($B21="","",$N21-$O21)</f>
        <v/>
      </c>
      <c r="Q21" s="29" t="str">
        <f aca="false">IF($A21="","",DATE(YEAR($A21),MONTH($A21),1))</f>
        <v/>
      </c>
      <c r="R21" s="30" t="str">
        <f aca="false">IF($A21="","",$A21+MOD(6-WEEKDAY($A21),7))</f>
        <v/>
      </c>
      <c r="S21" s="31" t="str">
        <f aca="false">IF($B21="","",IF(AND($M21='Invoice Builder'!$C$5,$Q21='Invoice Builder'!$C$6,N($N21)&gt;0),COUNTIFS($M$5:$M21,'Invoice Builder'!$C$5,$Q$5:$Q21,'Invoice Builder'!$C$6,$N$5:$N21,"&gt;0"),""))</f>
        <v/>
      </c>
      <c r="T21" s="27" t="str">
        <f aca="false">IF($A21="","",IF($A21&gt;=DATE(YEAR($A21),4,6),YEAR($A21)&amp;"/"&amp;RIGHT(YEAR($A21)+1,2),YEAR($A21)-1&amp;"/"&amp;RIGHT(YEAR($A21),2)))</f>
        <v/>
      </c>
    </row>
    <row r="22" customFormat="false" ht="15" hidden="false" customHeight="false" outlineLevel="0" collapsed="false">
      <c r="A22" s="22"/>
      <c r="B22" s="23"/>
      <c r="C22" s="23"/>
      <c r="D22" s="23"/>
      <c r="E22" s="24"/>
      <c r="F22" s="24"/>
      <c r="G22" s="23"/>
      <c r="H22" s="23"/>
      <c r="I22" s="25"/>
      <c r="J22" s="23"/>
      <c r="K22" s="23"/>
      <c r="L22" s="26" t="str">
        <f aca="false">IF(OR($E22="",$F22=""),"",MOD($F22-$E22,1)*24)</f>
        <v/>
      </c>
      <c r="M22" s="27" t="str">
        <f aca="false">IF($B22="","",IFERROR(INDEX(Properties!$D$5:$D$104,MATCH($B22,Properties!$A$5:$A$104,0)),"?"))</f>
        <v/>
      </c>
      <c r="N22" s="28" t="str">
        <f aca="false">IF($B22="","",IFERROR(IF($D22="Completed",INDEX(Properties!$I$5:$I$104,MATCH($B22,Properties!$A$5:$A$104,0))*(1+IF($G22="Y",Settings!$B$8,0))+IF($H22="Y",Settings!$B$7,0)+N($I22),IF($D22="Deep clean",INDEX(Settings!$E$22:$E$26,MATCH(MIN(INDEX(Properties!$E$5:$E$104,MATCH($B22,Properties!$A$5:$A$104,0)),4),Settings!$A$22:$A$26,0))+N($I22),IF($D22="Late cancel",INDEX(Properties!$I$5:$I$104,MATCH($B22,Properties!$A$5:$A$104,0))*Settings!$B$10,0))),0))</f>
        <v/>
      </c>
      <c r="O22" s="28" t="str">
        <f aca="false">IF($B22="","",IFERROR(IF($D22="Completed",INDEX(Properties!$L$5:$L$104,MATCH($B22,Properties!$A$5:$A$104,0))+IF($G22="Y",INDEX(Properties!$I$5:$I$104,MATCH($B22,Properties!$A$5:$A$104,0))*Settings!$B$8*Settings!$B$9,0)+IF($H22="Y",Settings!$B$7*Settings!$B$9,0)+N($I22)*Settings!$B$9,IF($D22="Deep clean",INDEX(Settings!$E$22:$E$26,MATCH(MIN(INDEX(Properties!$E$5:$E$104,MATCH($B22,Properties!$A$5:$A$104,0)),4),Settings!$A$22:$A$26,0))*Settings!$B$19+N($I22)*Settings!$B$9,IF($D22="Late cancel",INDEX(Properties!$L$5:$L$104,MATCH($B22,Properties!$A$5:$A$104,0))*Settings!$B$11,0))),0))</f>
        <v/>
      </c>
      <c r="P22" s="28" t="str">
        <f aca="false">IF($B22="","",$N22-$O22)</f>
        <v/>
      </c>
      <c r="Q22" s="29" t="str">
        <f aca="false">IF($A22="","",DATE(YEAR($A22),MONTH($A22),1))</f>
        <v/>
      </c>
      <c r="R22" s="30" t="str">
        <f aca="false">IF($A22="","",$A22+MOD(6-WEEKDAY($A22),7))</f>
        <v/>
      </c>
      <c r="S22" s="31" t="str">
        <f aca="false">IF($B22="","",IF(AND($M22='Invoice Builder'!$C$5,$Q22='Invoice Builder'!$C$6,N($N22)&gt;0),COUNTIFS($M$5:$M22,'Invoice Builder'!$C$5,$Q$5:$Q22,'Invoice Builder'!$C$6,$N$5:$N22,"&gt;0"),""))</f>
        <v/>
      </c>
      <c r="T22" s="27" t="str">
        <f aca="false">IF($A22="","",IF($A22&gt;=DATE(YEAR($A22),4,6),YEAR($A22)&amp;"/"&amp;RIGHT(YEAR($A22)+1,2),YEAR($A22)-1&amp;"/"&amp;RIGHT(YEAR($A22),2)))</f>
        <v/>
      </c>
    </row>
    <row r="23" customFormat="false" ht="15" hidden="false" customHeight="false" outlineLevel="0" collapsed="false">
      <c r="A23" s="22"/>
      <c r="B23" s="23"/>
      <c r="C23" s="23"/>
      <c r="D23" s="23"/>
      <c r="E23" s="24"/>
      <c r="F23" s="24"/>
      <c r="G23" s="23"/>
      <c r="H23" s="23"/>
      <c r="I23" s="25"/>
      <c r="J23" s="23"/>
      <c r="K23" s="23"/>
      <c r="L23" s="26" t="str">
        <f aca="false">IF(OR($E23="",$F23=""),"",MOD($F23-$E23,1)*24)</f>
        <v/>
      </c>
      <c r="M23" s="27" t="str">
        <f aca="false">IF($B23="","",IFERROR(INDEX(Properties!$D$5:$D$104,MATCH($B23,Properties!$A$5:$A$104,0)),"?"))</f>
        <v/>
      </c>
      <c r="N23" s="28" t="str">
        <f aca="false">IF($B23="","",IFERROR(IF($D23="Completed",INDEX(Properties!$I$5:$I$104,MATCH($B23,Properties!$A$5:$A$104,0))*(1+IF($G23="Y",Settings!$B$8,0))+IF($H23="Y",Settings!$B$7,0)+N($I23),IF($D23="Deep clean",INDEX(Settings!$E$22:$E$26,MATCH(MIN(INDEX(Properties!$E$5:$E$104,MATCH($B23,Properties!$A$5:$A$104,0)),4),Settings!$A$22:$A$26,0))+N($I23),IF($D23="Late cancel",INDEX(Properties!$I$5:$I$104,MATCH($B23,Properties!$A$5:$A$104,0))*Settings!$B$10,0))),0))</f>
        <v/>
      </c>
      <c r="O23" s="28" t="str">
        <f aca="false">IF($B23="","",IFERROR(IF($D23="Completed",INDEX(Properties!$L$5:$L$104,MATCH($B23,Properties!$A$5:$A$104,0))+IF($G23="Y",INDEX(Properties!$I$5:$I$104,MATCH($B23,Properties!$A$5:$A$104,0))*Settings!$B$8*Settings!$B$9,0)+IF($H23="Y",Settings!$B$7*Settings!$B$9,0)+N($I23)*Settings!$B$9,IF($D23="Deep clean",INDEX(Settings!$E$22:$E$26,MATCH(MIN(INDEX(Properties!$E$5:$E$104,MATCH($B23,Properties!$A$5:$A$104,0)),4),Settings!$A$22:$A$26,0))*Settings!$B$19+N($I23)*Settings!$B$9,IF($D23="Late cancel",INDEX(Properties!$L$5:$L$104,MATCH($B23,Properties!$A$5:$A$104,0))*Settings!$B$11,0))),0))</f>
        <v/>
      </c>
      <c r="P23" s="28" t="str">
        <f aca="false">IF($B23="","",$N23-$O23)</f>
        <v/>
      </c>
      <c r="Q23" s="29" t="str">
        <f aca="false">IF($A23="","",DATE(YEAR($A23),MONTH($A23),1))</f>
        <v/>
      </c>
      <c r="R23" s="30" t="str">
        <f aca="false">IF($A23="","",$A23+MOD(6-WEEKDAY($A23),7))</f>
        <v/>
      </c>
      <c r="S23" s="31" t="str">
        <f aca="false">IF($B23="","",IF(AND($M23='Invoice Builder'!$C$5,$Q23='Invoice Builder'!$C$6,N($N23)&gt;0),COUNTIFS($M$5:$M23,'Invoice Builder'!$C$5,$Q$5:$Q23,'Invoice Builder'!$C$6,$N$5:$N23,"&gt;0"),""))</f>
        <v/>
      </c>
      <c r="T23" s="27" t="str">
        <f aca="false">IF($A23="","",IF($A23&gt;=DATE(YEAR($A23),4,6),YEAR($A23)&amp;"/"&amp;RIGHT(YEAR($A23)+1,2),YEAR($A23)-1&amp;"/"&amp;RIGHT(YEAR($A23),2)))</f>
        <v/>
      </c>
    </row>
    <row r="24" customFormat="false" ht="15" hidden="false" customHeight="false" outlineLevel="0" collapsed="false">
      <c r="A24" s="22"/>
      <c r="B24" s="23"/>
      <c r="C24" s="23"/>
      <c r="D24" s="23"/>
      <c r="E24" s="24"/>
      <c r="F24" s="24"/>
      <c r="G24" s="23"/>
      <c r="H24" s="23"/>
      <c r="I24" s="25"/>
      <c r="J24" s="23"/>
      <c r="K24" s="23"/>
      <c r="L24" s="26" t="str">
        <f aca="false">IF(OR($E24="",$F24=""),"",MOD($F24-$E24,1)*24)</f>
        <v/>
      </c>
      <c r="M24" s="27" t="str">
        <f aca="false">IF($B24="","",IFERROR(INDEX(Properties!$D$5:$D$104,MATCH($B24,Properties!$A$5:$A$104,0)),"?"))</f>
        <v/>
      </c>
      <c r="N24" s="28" t="str">
        <f aca="false">IF($B24="","",IFERROR(IF($D24="Completed",INDEX(Properties!$I$5:$I$104,MATCH($B24,Properties!$A$5:$A$104,0))*(1+IF($G24="Y",Settings!$B$8,0))+IF($H24="Y",Settings!$B$7,0)+N($I24),IF($D24="Deep clean",INDEX(Settings!$E$22:$E$26,MATCH(MIN(INDEX(Properties!$E$5:$E$104,MATCH($B24,Properties!$A$5:$A$104,0)),4),Settings!$A$22:$A$26,0))+N($I24),IF($D24="Late cancel",INDEX(Properties!$I$5:$I$104,MATCH($B24,Properties!$A$5:$A$104,0))*Settings!$B$10,0))),0))</f>
        <v/>
      </c>
      <c r="O24" s="28" t="str">
        <f aca="false">IF($B24="","",IFERROR(IF($D24="Completed",INDEX(Properties!$L$5:$L$104,MATCH($B24,Properties!$A$5:$A$104,0))+IF($G24="Y",INDEX(Properties!$I$5:$I$104,MATCH($B24,Properties!$A$5:$A$104,0))*Settings!$B$8*Settings!$B$9,0)+IF($H24="Y",Settings!$B$7*Settings!$B$9,0)+N($I24)*Settings!$B$9,IF($D24="Deep clean",INDEX(Settings!$E$22:$E$26,MATCH(MIN(INDEX(Properties!$E$5:$E$104,MATCH($B24,Properties!$A$5:$A$104,0)),4),Settings!$A$22:$A$26,0))*Settings!$B$19+N($I24)*Settings!$B$9,IF($D24="Late cancel",INDEX(Properties!$L$5:$L$104,MATCH($B24,Properties!$A$5:$A$104,0))*Settings!$B$11,0))),0))</f>
        <v/>
      </c>
      <c r="P24" s="28" t="str">
        <f aca="false">IF($B24="","",$N24-$O24)</f>
        <v/>
      </c>
      <c r="Q24" s="29" t="str">
        <f aca="false">IF($A24="","",DATE(YEAR($A24),MONTH($A24),1))</f>
        <v/>
      </c>
      <c r="R24" s="30" t="str">
        <f aca="false">IF($A24="","",$A24+MOD(6-WEEKDAY($A24),7))</f>
        <v/>
      </c>
      <c r="S24" s="31" t="str">
        <f aca="false">IF($B24="","",IF(AND($M24='Invoice Builder'!$C$5,$Q24='Invoice Builder'!$C$6,N($N24)&gt;0),COUNTIFS($M$5:$M24,'Invoice Builder'!$C$5,$Q$5:$Q24,'Invoice Builder'!$C$6,$N$5:$N24,"&gt;0"),""))</f>
        <v/>
      </c>
      <c r="T24" s="27" t="str">
        <f aca="false">IF($A24="","",IF($A24&gt;=DATE(YEAR($A24),4,6),YEAR($A24)&amp;"/"&amp;RIGHT(YEAR($A24)+1,2),YEAR($A24)-1&amp;"/"&amp;RIGHT(YEAR($A24),2)))</f>
        <v/>
      </c>
    </row>
    <row r="25" customFormat="false" ht="15" hidden="false" customHeight="false" outlineLevel="0" collapsed="false">
      <c r="A25" s="22"/>
      <c r="B25" s="23"/>
      <c r="C25" s="23"/>
      <c r="D25" s="23"/>
      <c r="E25" s="24"/>
      <c r="F25" s="24"/>
      <c r="G25" s="23"/>
      <c r="H25" s="23"/>
      <c r="I25" s="25"/>
      <c r="J25" s="23"/>
      <c r="K25" s="23"/>
      <c r="L25" s="26" t="str">
        <f aca="false">IF(OR($E25="",$F25=""),"",MOD($F25-$E25,1)*24)</f>
        <v/>
      </c>
      <c r="M25" s="27" t="str">
        <f aca="false">IF($B25="","",IFERROR(INDEX(Properties!$D$5:$D$104,MATCH($B25,Properties!$A$5:$A$104,0)),"?"))</f>
        <v/>
      </c>
      <c r="N25" s="28" t="str">
        <f aca="false">IF($B25="","",IFERROR(IF($D25="Completed",INDEX(Properties!$I$5:$I$104,MATCH($B25,Properties!$A$5:$A$104,0))*(1+IF($G25="Y",Settings!$B$8,0))+IF($H25="Y",Settings!$B$7,0)+N($I25),IF($D25="Deep clean",INDEX(Settings!$E$22:$E$26,MATCH(MIN(INDEX(Properties!$E$5:$E$104,MATCH($B25,Properties!$A$5:$A$104,0)),4),Settings!$A$22:$A$26,0))+N($I25),IF($D25="Late cancel",INDEX(Properties!$I$5:$I$104,MATCH($B25,Properties!$A$5:$A$104,0))*Settings!$B$10,0))),0))</f>
        <v/>
      </c>
      <c r="O25" s="28" t="str">
        <f aca="false">IF($B25="","",IFERROR(IF($D25="Completed",INDEX(Properties!$L$5:$L$104,MATCH($B25,Properties!$A$5:$A$104,0))+IF($G25="Y",INDEX(Properties!$I$5:$I$104,MATCH($B25,Properties!$A$5:$A$104,0))*Settings!$B$8*Settings!$B$9,0)+IF($H25="Y",Settings!$B$7*Settings!$B$9,0)+N($I25)*Settings!$B$9,IF($D25="Deep clean",INDEX(Settings!$E$22:$E$26,MATCH(MIN(INDEX(Properties!$E$5:$E$104,MATCH($B25,Properties!$A$5:$A$104,0)),4),Settings!$A$22:$A$26,0))*Settings!$B$19+N($I25)*Settings!$B$9,IF($D25="Late cancel",INDEX(Properties!$L$5:$L$104,MATCH($B25,Properties!$A$5:$A$104,0))*Settings!$B$11,0))),0))</f>
        <v/>
      </c>
      <c r="P25" s="28" t="str">
        <f aca="false">IF($B25="","",$N25-$O25)</f>
        <v/>
      </c>
      <c r="Q25" s="29" t="str">
        <f aca="false">IF($A25="","",DATE(YEAR($A25),MONTH($A25),1))</f>
        <v/>
      </c>
      <c r="R25" s="30" t="str">
        <f aca="false">IF($A25="","",$A25+MOD(6-WEEKDAY($A25),7))</f>
        <v/>
      </c>
      <c r="S25" s="31" t="str">
        <f aca="false">IF($B25="","",IF(AND($M25='Invoice Builder'!$C$5,$Q25='Invoice Builder'!$C$6,N($N25)&gt;0),COUNTIFS($M$5:$M25,'Invoice Builder'!$C$5,$Q$5:$Q25,'Invoice Builder'!$C$6,$N$5:$N25,"&gt;0"),""))</f>
        <v/>
      </c>
      <c r="T25" s="27" t="str">
        <f aca="false">IF($A25="","",IF($A25&gt;=DATE(YEAR($A25),4,6),YEAR($A25)&amp;"/"&amp;RIGHT(YEAR($A25)+1,2),YEAR($A25)-1&amp;"/"&amp;RIGHT(YEAR($A25),2)))</f>
        <v/>
      </c>
    </row>
    <row r="26" customFormat="false" ht="15" hidden="false" customHeight="false" outlineLevel="0" collapsed="false">
      <c r="A26" s="22"/>
      <c r="B26" s="23"/>
      <c r="C26" s="23"/>
      <c r="D26" s="23"/>
      <c r="E26" s="24"/>
      <c r="F26" s="24"/>
      <c r="G26" s="23"/>
      <c r="H26" s="23"/>
      <c r="I26" s="25"/>
      <c r="J26" s="23"/>
      <c r="K26" s="23"/>
      <c r="L26" s="26" t="str">
        <f aca="false">IF(OR($E26="",$F26=""),"",MOD($F26-$E26,1)*24)</f>
        <v/>
      </c>
      <c r="M26" s="27" t="str">
        <f aca="false">IF($B26="","",IFERROR(INDEX(Properties!$D$5:$D$104,MATCH($B26,Properties!$A$5:$A$104,0)),"?"))</f>
        <v/>
      </c>
      <c r="N26" s="28" t="str">
        <f aca="false">IF($B26="","",IFERROR(IF($D26="Completed",INDEX(Properties!$I$5:$I$104,MATCH($B26,Properties!$A$5:$A$104,0))*(1+IF($G26="Y",Settings!$B$8,0))+IF($H26="Y",Settings!$B$7,0)+N($I26),IF($D26="Deep clean",INDEX(Settings!$E$22:$E$26,MATCH(MIN(INDEX(Properties!$E$5:$E$104,MATCH($B26,Properties!$A$5:$A$104,0)),4),Settings!$A$22:$A$26,0))+N($I26),IF($D26="Late cancel",INDEX(Properties!$I$5:$I$104,MATCH($B26,Properties!$A$5:$A$104,0))*Settings!$B$10,0))),0))</f>
        <v/>
      </c>
      <c r="O26" s="28" t="str">
        <f aca="false">IF($B26="","",IFERROR(IF($D26="Completed",INDEX(Properties!$L$5:$L$104,MATCH($B26,Properties!$A$5:$A$104,0))+IF($G26="Y",INDEX(Properties!$I$5:$I$104,MATCH($B26,Properties!$A$5:$A$104,0))*Settings!$B$8*Settings!$B$9,0)+IF($H26="Y",Settings!$B$7*Settings!$B$9,0)+N($I26)*Settings!$B$9,IF($D26="Deep clean",INDEX(Settings!$E$22:$E$26,MATCH(MIN(INDEX(Properties!$E$5:$E$104,MATCH($B26,Properties!$A$5:$A$104,0)),4),Settings!$A$22:$A$26,0))*Settings!$B$19+N($I26)*Settings!$B$9,IF($D26="Late cancel",INDEX(Properties!$L$5:$L$104,MATCH($B26,Properties!$A$5:$A$104,0))*Settings!$B$11,0))),0))</f>
        <v/>
      </c>
      <c r="P26" s="28" t="str">
        <f aca="false">IF($B26="","",$N26-$O26)</f>
        <v/>
      </c>
      <c r="Q26" s="29" t="str">
        <f aca="false">IF($A26="","",DATE(YEAR($A26),MONTH($A26),1))</f>
        <v/>
      </c>
      <c r="R26" s="30" t="str">
        <f aca="false">IF($A26="","",$A26+MOD(6-WEEKDAY($A26),7))</f>
        <v/>
      </c>
      <c r="S26" s="31" t="str">
        <f aca="false">IF($B26="","",IF(AND($M26='Invoice Builder'!$C$5,$Q26='Invoice Builder'!$C$6,N($N26)&gt;0),COUNTIFS($M$5:$M26,'Invoice Builder'!$C$5,$Q$5:$Q26,'Invoice Builder'!$C$6,$N$5:$N26,"&gt;0"),""))</f>
        <v/>
      </c>
      <c r="T26" s="27" t="str">
        <f aca="false">IF($A26="","",IF($A26&gt;=DATE(YEAR($A26),4,6),YEAR($A26)&amp;"/"&amp;RIGHT(YEAR($A26)+1,2),YEAR($A26)-1&amp;"/"&amp;RIGHT(YEAR($A26),2)))</f>
        <v/>
      </c>
    </row>
    <row r="27" customFormat="false" ht="15" hidden="false" customHeight="false" outlineLevel="0" collapsed="false">
      <c r="A27" s="22"/>
      <c r="B27" s="23"/>
      <c r="C27" s="23"/>
      <c r="D27" s="23"/>
      <c r="E27" s="24"/>
      <c r="F27" s="24"/>
      <c r="G27" s="23"/>
      <c r="H27" s="23"/>
      <c r="I27" s="25"/>
      <c r="J27" s="23"/>
      <c r="K27" s="23"/>
      <c r="L27" s="26" t="str">
        <f aca="false">IF(OR($E27="",$F27=""),"",MOD($F27-$E27,1)*24)</f>
        <v/>
      </c>
      <c r="M27" s="27" t="str">
        <f aca="false">IF($B27="","",IFERROR(INDEX(Properties!$D$5:$D$104,MATCH($B27,Properties!$A$5:$A$104,0)),"?"))</f>
        <v/>
      </c>
      <c r="N27" s="28" t="str">
        <f aca="false">IF($B27="","",IFERROR(IF($D27="Completed",INDEX(Properties!$I$5:$I$104,MATCH($B27,Properties!$A$5:$A$104,0))*(1+IF($G27="Y",Settings!$B$8,0))+IF($H27="Y",Settings!$B$7,0)+N($I27),IF($D27="Deep clean",INDEX(Settings!$E$22:$E$26,MATCH(MIN(INDEX(Properties!$E$5:$E$104,MATCH($B27,Properties!$A$5:$A$104,0)),4),Settings!$A$22:$A$26,0))+N($I27),IF($D27="Late cancel",INDEX(Properties!$I$5:$I$104,MATCH($B27,Properties!$A$5:$A$104,0))*Settings!$B$10,0))),0))</f>
        <v/>
      </c>
      <c r="O27" s="28" t="str">
        <f aca="false">IF($B27="","",IFERROR(IF($D27="Completed",INDEX(Properties!$L$5:$L$104,MATCH($B27,Properties!$A$5:$A$104,0))+IF($G27="Y",INDEX(Properties!$I$5:$I$104,MATCH($B27,Properties!$A$5:$A$104,0))*Settings!$B$8*Settings!$B$9,0)+IF($H27="Y",Settings!$B$7*Settings!$B$9,0)+N($I27)*Settings!$B$9,IF($D27="Deep clean",INDEX(Settings!$E$22:$E$26,MATCH(MIN(INDEX(Properties!$E$5:$E$104,MATCH($B27,Properties!$A$5:$A$104,0)),4),Settings!$A$22:$A$26,0))*Settings!$B$19+N($I27)*Settings!$B$9,IF($D27="Late cancel",INDEX(Properties!$L$5:$L$104,MATCH($B27,Properties!$A$5:$A$104,0))*Settings!$B$11,0))),0))</f>
        <v/>
      </c>
      <c r="P27" s="28" t="str">
        <f aca="false">IF($B27="","",$N27-$O27)</f>
        <v/>
      </c>
      <c r="Q27" s="29" t="str">
        <f aca="false">IF($A27="","",DATE(YEAR($A27),MONTH($A27),1))</f>
        <v/>
      </c>
      <c r="R27" s="30" t="str">
        <f aca="false">IF($A27="","",$A27+MOD(6-WEEKDAY($A27),7))</f>
        <v/>
      </c>
      <c r="S27" s="31" t="str">
        <f aca="false">IF($B27="","",IF(AND($M27='Invoice Builder'!$C$5,$Q27='Invoice Builder'!$C$6,N($N27)&gt;0),COUNTIFS($M$5:$M27,'Invoice Builder'!$C$5,$Q$5:$Q27,'Invoice Builder'!$C$6,$N$5:$N27,"&gt;0"),""))</f>
        <v/>
      </c>
      <c r="T27" s="27" t="str">
        <f aca="false">IF($A27="","",IF($A27&gt;=DATE(YEAR($A27),4,6),YEAR($A27)&amp;"/"&amp;RIGHT(YEAR($A27)+1,2),YEAR($A27)-1&amp;"/"&amp;RIGHT(YEAR($A27),2)))</f>
        <v/>
      </c>
    </row>
    <row r="28" customFormat="false" ht="15" hidden="false" customHeight="false" outlineLevel="0" collapsed="false">
      <c r="A28" s="22"/>
      <c r="B28" s="23"/>
      <c r="C28" s="23"/>
      <c r="D28" s="23"/>
      <c r="E28" s="24"/>
      <c r="F28" s="24"/>
      <c r="G28" s="23"/>
      <c r="H28" s="23"/>
      <c r="I28" s="25"/>
      <c r="J28" s="23"/>
      <c r="K28" s="23"/>
      <c r="L28" s="26" t="str">
        <f aca="false">IF(OR($E28="",$F28=""),"",MOD($F28-$E28,1)*24)</f>
        <v/>
      </c>
      <c r="M28" s="27" t="str">
        <f aca="false">IF($B28="","",IFERROR(INDEX(Properties!$D$5:$D$104,MATCH($B28,Properties!$A$5:$A$104,0)),"?"))</f>
        <v/>
      </c>
      <c r="N28" s="28" t="str">
        <f aca="false">IF($B28="","",IFERROR(IF($D28="Completed",INDEX(Properties!$I$5:$I$104,MATCH($B28,Properties!$A$5:$A$104,0))*(1+IF($G28="Y",Settings!$B$8,0))+IF($H28="Y",Settings!$B$7,0)+N($I28),IF($D28="Deep clean",INDEX(Settings!$E$22:$E$26,MATCH(MIN(INDEX(Properties!$E$5:$E$104,MATCH($B28,Properties!$A$5:$A$104,0)),4),Settings!$A$22:$A$26,0))+N($I28),IF($D28="Late cancel",INDEX(Properties!$I$5:$I$104,MATCH($B28,Properties!$A$5:$A$104,0))*Settings!$B$10,0))),0))</f>
        <v/>
      </c>
      <c r="O28" s="28" t="str">
        <f aca="false">IF($B28="","",IFERROR(IF($D28="Completed",INDEX(Properties!$L$5:$L$104,MATCH($B28,Properties!$A$5:$A$104,0))+IF($G28="Y",INDEX(Properties!$I$5:$I$104,MATCH($B28,Properties!$A$5:$A$104,0))*Settings!$B$8*Settings!$B$9,0)+IF($H28="Y",Settings!$B$7*Settings!$B$9,0)+N($I28)*Settings!$B$9,IF($D28="Deep clean",INDEX(Settings!$E$22:$E$26,MATCH(MIN(INDEX(Properties!$E$5:$E$104,MATCH($B28,Properties!$A$5:$A$104,0)),4),Settings!$A$22:$A$26,0))*Settings!$B$19+N($I28)*Settings!$B$9,IF($D28="Late cancel",INDEX(Properties!$L$5:$L$104,MATCH($B28,Properties!$A$5:$A$104,0))*Settings!$B$11,0))),0))</f>
        <v/>
      </c>
      <c r="P28" s="28" t="str">
        <f aca="false">IF($B28="","",$N28-$O28)</f>
        <v/>
      </c>
      <c r="Q28" s="29" t="str">
        <f aca="false">IF($A28="","",DATE(YEAR($A28),MONTH($A28),1))</f>
        <v/>
      </c>
      <c r="R28" s="30" t="str">
        <f aca="false">IF($A28="","",$A28+MOD(6-WEEKDAY($A28),7))</f>
        <v/>
      </c>
      <c r="S28" s="31" t="str">
        <f aca="false">IF($B28="","",IF(AND($M28='Invoice Builder'!$C$5,$Q28='Invoice Builder'!$C$6,N($N28)&gt;0),COUNTIFS($M$5:$M28,'Invoice Builder'!$C$5,$Q$5:$Q28,'Invoice Builder'!$C$6,$N$5:$N28,"&gt;0"),""))</f>
        <v/>
      </c>
      <c r="T28" s="27" t="str">
        <f aca="false">IF($A28="","",IF($A28&gt;=DATE(YEAR($A28),4,6),YEAR($A28)&amp;"/"&amp;RIGHT(YEAR($A28)+1,2),YEAR($A28)-1&amp;"/"&amp;RIGHT(YEAR($A28),2)))</f>
        <v/>
      </c>
    </row>
    <row r="29" customFormat="false" ht="15" hidden="false" customHeight="false" outlineLevel="0" collapsed="false">
      <c r="A29" s="22"/>
      <c r="B29" s="23"/>
      <c r="C29" s="23"/>
      <c r="D29" s="23"/>
      <c r="E29" s="24"/>
      <c r="F29" s="24"/>
      <c r="G29" s="23"/>
      <c r="H29" s="23"/>
      <c r="I29" s="25"/>
      <c r="J29" s="23"/>
      <c r="K29" s="23"/>
      <c r="L29" s="26" t="str">
        <f aca="false">IF(OR($E29="",$F29=""),"",MOD($F29-$E29,1)*24)</f>
        <v/>
      </c>
      <c r="M29" s="27" t="str">
        <f aca="false">IF($B29="","",IFERROR(INDEX(Properties!$D$5:$D$104,MATCH($B29,Properties!$A$5:$A$104,0)),"?"))</f>
        <v/>
      </c>
      <c r="N29" s="28" t="str">
        <f aca="false">IF($B29="","",IFERROR(IF($D29="Completed",INDEX(Properties!$I$5:$I$104,MATCH($B29,Properties!$A$5:$A$104,0))*(1+IF($G29="Y",Settings!$B$8,0))+IF($H29="Y",Settings!$B$7,0)+N($I29),IF($D29="Deep clean",INDEX(Settings!$E$22:$E$26,MATCH(MIN(INDEX(Properties!$E$5:$E$104,MATCH($B29,Properties!$A$5:$A$104,0)),4),Settings!$A$22:$A$26,0))+N($I29),IF($D29="Late cancel",INDEX(Properties!$I$5:$I$104,MATCH($B29,Properties!$A$5:$A$104,0))*Settings!$B$10,0))),0))</f>
        <v/>
      </c>
      <c r="O29" s="28" t="str">
        <f aca="false">IF($B29="","",IFERROR(IF($D29="Completed",INDEX(Properties!$L$5:$L$104,MATCH($B29,Properties!$A$5:$A$104,0))+IF($G29="Y",INDEX(Properties!$I$5:$I$104,MATCH($B29,Properties!$A$5:$A$104,0))*Settings!$B$8*Settings!$B$9,0)+IF($H29="Y",Settings!$B$7*Settings!$B$9,0)+N($I29)*Settings!$B$9,IF($D29="Deep clean",INDEX(Settings!$E$22:$E$26,MATCH(MIN(INDEX(Properties!$E$5:$E$104,MATCH($B29,Properties!$A$5:$A$104,0)),4),Settings!$A$22:$A$26,0))*Settings!$B$19+N($I29)*Settings!$B$9,IF($D29="Late cancel",INDEX(Properties!$L$5:$L$104,MATCH($B29,Properties!$A$5:$A$104,0))*Settings!$B$11,0))),0))</f>
        <v/>
      </c>
      <c r="P29" s="28" t="str">
        <f aca="false">IF($B29="","",$N29-$O29)</f>
        <v/>
      </c>
      <c r="Q29" s="29" t="str">
        <f aca="false">IF($A29="","",DATE(YEAR($A29),MONTH($A29),1))</f>
        <v/>
      </c>
      <c r="R29" s="30" t="str">
        <f aca="false">IF($A29="","",$A29+MOD(6-WEEKDAY($A29),7))</f>
        <v/>
      </c>
      <c r="S29" s="31" t="str">
        <f aca="false">IF($B29="","",IF(AND($M29='Invoice Builder'!$C$5,$Q29='Invoice Builder'!$C$6,N($N29)&gt;0),COUNTIFS($M$5:$M29,'Invoice Builder'!$C$5,$Q$5:$Q29,'Invoice Builder'!$C$6,$N$5:$N29,"&gt;0"),""))</f>
        <v/>
      </c>
      <c r="T29" s="27" t="str">
        <f aca="false">IF($A29="","",IF($A29&gt;=DATE(YEAR($A29),4,6),YEAR($A29)&amp;"/"&amp;RIGHT(YEAR($A29)+1,2),YEAR($A29)-1&amp;"/"&amp;RIGHT(YEAR($A29),2)))</f>
        <v/>
      </c>
    </row>
    <row r="30" customFormat="false" ht="15" hidden="false" customHeight="false" outlineLevel="0" collapsed="false">
      <c r="A30" s="22"/>
      <c r="B30" s="23"/>
      <c r="C30" s="23"/>
      <c r="D30" s="23"/>
      <c r="E30" s="24"/>
      <c r="F30" s="24"/>
      <c r="G30" s="23"/>
      <c r="H30" s="23"/>
      <c r="I30" s="25"/>
      <c r="J30" s="23"/>
      <c r="K30" s="23"/>
      <c r="L30" s="26" t="str">
        <f aca="false">IF(OR($E30="",$F30=""),"",MOD($F30-$E30,1)*24)</f>
        <v/>
      </c>
      <c r="M30" s="27" t="str">
        <f aca="false">IF($B30="","",IFERROR(INDEX(Properties!$D$5:$D$104,MATCH($B30,Properties!$A$5:$A$104,0)),"?"))</f>
        <v/>
      </c>
      <c r="N30" s="28" t="str">
        <f aca="false">IF($B30="","",IFERROR(IF($D30="Completed",INDEX(Properties!$I$5:$I$104,MATCH($B30,Properties!$A$5:$A$104,0))*(1+IF($G30="Y",Settings!$B$8,0))+IF($H30="Y",Settings!$B$7,0)+N($I30),IF($D30="Deep clean",INDEX(Settings!$E$22:$E$26,MATCH(MIN(INDEX(Properties!$E$5:$E$104,MATCH($B30,Properties!$A$5:$A$104,0)),4),Settings!$A$22:$A$26,0))+N($I30),IF($D30="Late cancel",INDEX(Properties!$I$5:$I$104,MATCH($B30,Properties!$A$5:$A$104,0))*Settings!$B$10,0))),0))</f>
        <v/>
      </c>
      <c r="O30" s="28" t="str">
        <f aca="false">IF($B30="","",IFERROR(IF($D30="Completed",INDEX(Properties!$L$5:$L$104,MATCH($B30,Properties!$A$5:$A$104,0))+IF($G30="Y",INDEX(Properties!$I$5:$I$104,MATCH($B30,Properties!$A$5:$A$104,0))*Settings!$B$8*Settings!$B$9,0)+IF($H30="Y",Settings!$B$7*Settings!$B$9,0)+N($I30)*Settings!$B$9,IF($D30="Deep clean",INDEX(Settings!$E$22:$E$26,MATCH(MIN(INDEX(Properties!$E$5:$E$104,MATCH($B30,Properties!$A$5:$A$104,0)),4),Settings!$A$22:$A$26,0))*Settings!$B$19+N($I30)*Settings!$B$9,IF($D30="Late cancel",INDEX(Properties!$L$5:$L$104,MATCH($B30,Properties!$A$5:$A$104,0))*Settings!$B$11,0))),0))</f>
        <v/>
      </c>
      <c r="P30" s="28" t="str">
        <f aca="false">IF($B30="","",$N30-$O30)</f>
        <v/>
      </c>
      <c r="Q30" s="29" t="str">
        <f aca="false">IF($A30="","",DATE(YEAR($A30),MONTH($A30),1))</f>
        <v/>
      </c>
      <c r="R30" s="30" t="str">
        <f aca="false">IF($A30="","",$A30+MOD(6-WEEKDAY($A30),7))</f>
        <v/>
      </c>
      <c r="S30" s="31" t="str">
        <f aca="false">IF($B30="","",IF(AND($M30='Invoice Builder'!$C$5,$Q30='Invoice Builder'!$C$6,N($N30)&gt;0),COUNTIFS($M$5:$M30,'Invoice Builder'!$C$5,$Q$5:$Q30,'Invoice Builder'!$C$6,$N$5:$N30,"&gt;0"),""))</f>
        <v/>
      </c>
      <c r="T30" s="27" t="str">
        <f aca="false">IF($A30="","",IF($A30&gt;=DATE(YEAR($A30),4,6),YEAR($A30)&amp;"/"&amp;RIGHT(YEAR($A30)+1,2),YEAR($A30)-1&amp;"/"&amp;RIGHT(YEAR($A30),2)))</f>
        <v/>
      </c>
    </row>
    <row r="31" customFormat="false" ht="15" hidden="false" customHeight="false" outlineLevel="0" collapsed="false">
      <c r="A31" s="22"/>
      <c r="B31" s="23"/>
      <c r="C31" s="23"/>
      <c r="D31" s="23"/>
      <c r="E31" s="24"/>
      <c r="F31" s="24"/>
      <c r="G31" s="23"/>
      <c r="H31" s="23"/>
      <c r="I31" s="25"/>
      <c r="J31" s="23"/>
      <c r="K31" s="23"/>
      <c r="L31" s="26" t="str">
        <f aca="false">IF(OR($E31="",$F31=""),"",MOD($F31-$E31,1)*24)</f>
        <v/>
      </c>
      <c r="M31" s="27" t="str">
        <f aca="false">IF($B31="","",IFERROR(INDEX(Properties!$D$5:$D$104,MATCH($B31,Properties!$A$5:$A$104,0)),"?"))</f>
        <v/>
      </c>
      <c r="N31" s="28" t="str">
        <f aca="false">IF($B31="","",IFERROR(IF($D31="Completed",INDEX(Properties!$I$5:$I$104,MATCH($B31,Properties!$A$5:$A$104,0))*(1+IF($G31="Y",Settings!$B$8,0))+IF($H31="Y",Settings!$B$7,0)+N($I31),IF($D31="Deep clean",INDEX(Settings!$E$22:$E$26,MATCH(MIN(INDEX(Properties!$E$5:$E$104,MATCH($B31,Properties!$A$5:$A$104,0)),4),Settings!$A$22:$A$26,0))+N($I31),IF($D31="Late cancel",INDEX(Properties!$I$5:$I$104,MATCH($B31,Properties!$A$5:$A$104,0))*Settings!$B$10,0))),0))</f>
        <v/>
      </c>
      <c r="O31" s="28" t="str">
        <f aca="false">IF($B31="","",IFERROR(IF($D31="Completed",INDEX(Properties!$L$5:$L$104,MATCH($B31,Properties!$A$5:$A$104,0))+IF($G31="Y",INDEX(Properties!$I$5:$I$104,MATCH($B31,Properties!$A$5:$A$104,0))*Settings!$B$8*Settings!$B$9,0)+IF($H31="Y",Settings!$B$7*Settings!$B$9,0)+N($I31)*Settings!$B$9,IF($D31="Deep clean",INDEX(Settings!$E$22:$E$26,MATCH(MIN(INDEX(Properties!$E$5:$E$104,MATCH($B31,Properties!$A$5:$A$104,0)),4),Settings!$A$22:$A$26,0))*Settings!$B$19+N($I31)*Settings!$B$9,IF($D31="Late cancel",INDEX(Properties!$L$5:$L$104,MATCH($B31,Properties!$A$5:$A$104,0))*Settings!$B$11,0))),0))</f>
        <v/>
      </c>
      <c r="P31" s="28" t="str">
        <f aca="false">IF($B31="","",$N31-$O31)</f>
        <v/>
      </c>
      <c r="Q31" s="29" t="str">
        <f aca="false">IF($A31="","",DATE(YEAR($A31),MONTH($A31),1))</f>
        <v/>
      </c>
      <c r="R31" s="30" t="str">
        <f aca="false">IF($A31="","",$A31+MOD(6-WEEKDAY($A31),7))</f>
        <v/>
      </c>
      <c r="S31" s="31" t="str">
        <f aca="false">IF($B31="","",IF(AND($M31='Invoice Builder'!$C$5,$Q31='Invoice Builder'!$C$6,N($N31)&gt;0),COUNTIFS($M$5:$M31,'Invoice Builder'!$C$5,$Q$5:$Q31,'Invoice Builder'!$C$6,$N$5:$N31,"&gt;0"),""))</f>
        <v/>
      </c>
      <c r="T31" s="27" t="str">
        <f aca="false">IF($A31="","",IF($A31&gt;=DATE(YEAR($A31),4,6),YEAR($A31)&amp;"/"&amp;RIGHT(YEAR($A31)+1,2),YEAR($A31)-1&amp;"/"&amp;RIGHT(YEAR($A31),2)))</f>
        <v/>
      </c>
    </row>
    <row r="32" customFormat="false" ht="15" hidden="false" customHeight="false" outlineLevel="0" collapsed="false">
      <c r="A32" s="22"/>
      <c r="B32" s="23"/>
      <c r="C32" s="23"/>
      <c r="D32" s="23"/>
      <c r="E32" s="24"/>
      <c r="F32" s="24"/>
      <c r="G32" s="23"/>
      <c r="H32" s="23"/>
      <c r="I32" s="25"/>
      <c r="J32" s="23"/>
      <c r="K32" s="23"/>
      <c r="L32" s="26" t="str">
        <f aca="false">IF(OR($E32="",$F32=""),"",MOD($F32-$E32,1)*24)</f>
        <v/>
      </c>
      <c r="M32" s="27" t="str">
        <f aca="false">IF($B32="","",IFERROR(INDEX(Properties!$D$5:$D$104,MATCH($B32,Properties!$A$5:$A$104,0)),"?"))</f>
        <v/>
      </c>
      <c r="N32" s="28" t="str">
        <f aca="false">IF($B32="","",IFERROR(IF($D32="Completed",INDEX(Properties!$I$5:$I$104,MATCH($B32,Properties!$A$5:$A$104,0))*(1+IF($G32="Y",Settings!$B$8,0))+IF($H32="Y",Settings!$B$7,0)+N($I32),IF($D32="Deep clean",INDEX(Settings!$E$22:$E$26,MATCH(MIN(INDEX(Properties!$E$5:$E$104,MATCH($B32,Properties!$A$5:$A$104,0)),4),Settings!$A$22:$A$26,0))+N($I32),IF($D32="Late cancel",INDEX(Properties!$I$5:$I$104,MATCH($B32,Properties!$A$5:$A$104,0))*Settings!$B$10,0))),0))</f>
        <v/>
      </c>
      <c r="O32" s="28" t="str">
        <f aca="false">IF($B32="","",IFERROR(IF($D32="Completed",INDEX(Properties!$L$5:$L$104,MATCH($B32,Properties!$A$5:$A$104,0))+IF($G32="Y",INDEX(Properties!$I$5:$I$104,MATCH($B32,Properties!$A$5:$A$104,0))*Settings!$B$8*Settings!$B$9,0)+IF($H32="Y",Settings!$B$7*Settings!$B$9,0)+N($I32)*Settings!$B$9,IF($D32="Deep clean",INDEX(Settings!$E$22:$E$26,MATCH(MIN(INDEX(Properties!$E$5:$E$104,MATCH($B32,Properties!$A$5:$A$104,0)),4),Settings!$A$22:$A$26,0))*Settings!$B$19+N($I32)*Settings!$B$9,IF($D32="Late cancel",INDEX(Properties!$L$5:$L$104,MATCH($B32,Properties!$A$5:$A$104,0))*Settings!$B$11,0))),0))</f>
        <v/>
      </c>
      <c r="P32" s="28" t="str">
        <f aca="false">IF($B32="","",$N32-$O32)</f>
        <v/>
      </c>
      <c r="Q32" s="29" t="str">
        <f aca="false">IF($A32="","",DATE(YEAR($A32),MONTH($A32),1))</f>
        <v/>
      </c>
      <c r="R32" s="30" t="str">
        <f aca="false">IF($A32="","",$A32+MOD(6-WEEKDAY($A32),7))</f>
        <v/>
      </c>
      <c r="S32" s="31" t="str">
        <f aca="false">IF($B32="","",IF(AND($M32='Invoice Builder'!$C$5,$Q32='Invoice Builder'!$C$6,N($N32)&gt;0),COUNTIFS($M$5:$M32,'Invoice Builder'!$C$5,$Q$5:$Q32,'Invoice Builder'!$C$6,$N$5:$N32,"&gt;0"),""))</f>
        <v/>
      </c>
      <c r="T32" s="27" t="str">
        <f aca="false">IF($A32="","",IF($A32&gt;=DATE(YEAR($A32),4,6),YEAR($A32)&amp;"/"&amp;RIGHT(YEAR($A32)+1,2),YEAR($A32)-1&amp;"/"&amp;RIGHT(YEAR($A32),2)))</f>
        <v/>
      </c>
    </row>
    <row r="33" customFormat="false" ht="15" hidden="false" customHeight="false" outlineLevel="0" collapsed="false">
      <c r="A33" s="22"/>
      <c r="B33" s="23"/>
      <c r="C33" s="23"/>
      <c r="D33" s="23"/>
      <c r="E33" s="24"/>
      <c r="F33" s="24"/>
      <c r="G33" s="23"/>
      <c r="H33" s="23"/>
      <c r="I33" s="25"/>
      <c r="J33" s="23"/>
      <c r="K33" s="23"/>
      <c r="L33" s="26" t="str">
        <f aca="false">IF(OR($E33="",$F33=""),"",MOD($F33-$E33,1)*24)</f>
        <v/>
      </c>
      <c r="M33" s="27" t="str">
        <f aca="false">IF($B33="","",IFERROR(INDEX(Properties!$D$5:$D$104,MATCH($B33,Properties!$A$5:$A$104,0)),"?"))</f>
        <v/>
      </c>
      <c r="N33" s="28" t="str">
        <f aca="false">IF($B33="","",IFERROR(IF($D33="Completed",INDEX(Properties!$I$5:$I$104,MATCH($B33,Properties!$A$5:$A$104,0))*(1+IF($G33="Y",Settings!$B$8,0))+IF($H33="Y",Settings!$B$7,0)+N($I33),IF($D33="Deep clean",INDEX(Settings!$E$22:$E$26,MATCH(MIN(INDEX(Properties!$E$5:$E$104,MATCH($B33,Properties!$A$5:$A$104,0)),4),Settings!$A$22:$A$26,0))+N($I33),IF($D33="Late cancel",INDEX(Properties!$I$5:$I$104,MATCH($B33,Properties!$A$5:$A$104,0))*Settings!$B$10,0))),0))</f>
        <v/>
      </c>
      <c r="O33" s="28" t="str">
        <f aca="false">IF($B33="","",IFERROR(IF($D33="Completed",INDEX(Properties!$L$5:$L$104,MATCH($B33,Properties!$A$5:$A$104,0))+IF($G33="Y",INDEX(Properties!$I$5:$I$104,MATCH($B33,Properties!$A$5:$A$104,0))*Settings!$B$8*Settings!$B$9,0)+IF($H33="Y",Settings!$B$7*Settings!$B$9,0)+N($I33)*Settings!$B$9,IF($D33="Deep clean",INDEX(Settings!$E$22:$E$26,MATCH(MIN(INDEX(Properties!$E$5:$E$104,MATCH($B33,Properties!$A$5:$A$104,0)),4),Settings!$A$22:$A$26,0))*Settings!$B$19+N($I33)*Settings!$B$9,IF($D33="Late cancel",INDEX(Properties!$L$5:$L$104,MATCH($B33,Properties!$A$5:$A$104,0))*Settings!$B$11,0))),0))</f>
        <v/>
      </c>
      <c r="P33" s="28" t="str">
        <f aca="false">IF($B33="","",$N33-$O33)</f>
        <v/>
      </c>
      <c r="Q33" s="29" t="str">
        <f aca="false">IF($A33="","",DATE(YEAR($A33),MONTH($A33),1))</f>
        <v/>
      </c>
      <c r="R33" s="30" t="str">
        <f aca="false">IF($A33="","",$A33+MOD(6-WEEKDAY($A33),7))</f>
        <v/>
      </c>
      <c r="S33" s="31" t="str">
        <f aca="false">IF($B33="","",IF(AND($M33='Invoice Builder'!$C$5,$Q33='Invoice Builder'!$C$6,N($N33)&gt;0),COUNTIFS($M$5:$M33,'Invoice Builder'!$C$5,$Q$5:$Q33,'Invoice Builder'!$C$6,$N$5:$N33,"&gt;0"),""))</f>
        <v/>
      </c>
      <c r="T33" s="27" t="str">
        <f aca="false">IF($A33="","",IF($A33&gt;=DATE(YEAR($A33),4,6),YEAR($A33)&amp;"/"&amp;RIGHT(YEAR($A33)+1,2),YEAR($A33)-1&amp;"/"&amp;RIGHT(YEAR($A33),2)))</f>
        <v/>
      </c>
    </row>
    <row r="34" customFormat="false" ht="15" hidden="false" customHeight="false" outlineLevel="0" collapsed="false">
      <c r="A34" s="22"/>
      <c r="B34" s="23"/>
      <c r="C34" s="23"/>
      <c r="D34" s="23"/>
      <c r="E34" s="24"/>
      <c r="F34" s="24"/>
      <c r="G34" s="23"/>
      <c r="H34" s="23"/>
      <c r="I34" s="25"/>
      <c r="J34" s="23"/>
      <c r="K34" s="23"/>
      <c r="L34" s="26" t="str">
        <f aca="false">IF(OR($E34="",$F34=""),"",MOD($F34-$E34,1)*24)</f>
        <v/>
      </c>
      <c r="M34" s="27" t="str">
        <f aca="false">IF($B34="","",IFERROR(INDEX(Properties!$D$5:$D$104,MATCH($B34,Properties!$A$5:$A$104,0)),"?"))</f>
        <v/>
      </c>
      <c r="N34" s="28" t="str">
        <f aca="false">IF($B34="","",IFERROR(IF($D34="Completed",INDEX(Properties!$I$5:$I$104,MATCH($B34,Properties!$A$5:$A$104,0))*(1+IF($G34="Y",Settings!$B$8,0))+IF($H34="Y",Settings!$B$7,0)+N($I34),IF($D34="Deep clean",INDEX(Settings!$E$22:$E$26,MATCH(MIN(INDEX(Properties!$E$5:$E$104,MATCH($B34,Properties!$A$5:$A$104,0)),4),Settings!$A$22:$A$26,0))+N($I34),IF($D34="Late cancel",INDEX(Properties!$I$5:$I$104,MATCH($B34,Properties!$A$5:$A$104,0))*Settings!$B$10,0))),0))</f>
        <v/>
      </c>
      <c r="O34" s="28" t="str">
        <f aca="false">IF($B34="","",IFERROR(IF($D34="Completed",INDEX(Properties!$L$5:$L$104,MATCH($B34,Properties!$A$5:$A$104,0))+IF($G34="Y",INDEX(Properties!$I$5:$I$104,MATCH($B34,Properties!$A$5:$A$104,0))*Settings!$B$8*Settings!$B$9,0)+IF($H34="Y",Settings!$B$7*Settings!$B$9,0)+N($I34)*Settings!$B$9,IF($D34="Deep clean",INDEX(Settings!$E$22:$E$26,MATCH(MIN(INDEX(Properties!$E$5:$E$104,MATCH($B34,Properties!$A$5:$A$104,0)),4),Settings!$A$22:$A$26,0))*Settings!$B$19+N($I34)*Settings!$B$9,IF($D34="Late cancel",INDEX(Properties!$L$5:$L$104,MATCH($B34,Properties!$A$5:$A$104,0))*Settings!$B$11,0))),0))</f>
        <v/>
      </c>
      <c r="P34" s="28" t="str">
        <f aca="false">IF($B34="","",$N34-$O34)</f>
        <v/>
      </c>
      <c r="Q34" s="29" t="str">
        <f aca="false">IF($A34="","",DATE(YEAR($A34),MONTH($A34),1))</f>
        <v/>
      </c>
      <c r="R34" s="30" t="str">
        <f aca="false">IF($A34="","",$A34+MOD(6-WEEKDAY($A34),7))</f>
        <v/>
      </c>
      <c r="S34" s="31" t="str">
        <f aca="false">IF($B34="","",IF(AND($M34='Invoice Builder'!$C$5,$Q34='Invoice Builder'!$C$6,N($N34)&gt;0),COUNTIFS($M$5:$M34,'Invoice Builder'!$C$5,$Q$5:$Q34,'Invoice Builder'!$C$6,$N$5:$N34,"&gt;0"),""))</f>
        <v/>
      </c>
      <c r="T34" s="27" t="str">
        <f aca="false">IF($A34="","",IF($A34&gt;=DATE(YEAR($A34),4,6),YEAR($A34)&amp;"/"&amp;RIGHT(YEAR($A34)+1,2),YEAR($A34)-1&amp;"/"&amp;RIGHT(YEAR($A34),2)))</f>
        <v/>
      </c>
    </row>
    <row r="35" customFormat="false" ht="15" hidden="false" customHeight="false" outlineLevel="0" collapsed="false">
      <c r="A35" s="22"/>
      <c r="B35" s="23"/>
      <c r="C35" s="23"/>
      <c r="D35" s="23"/>
      <c r="E35" s="24"/>
      <c r="F35" s="24"/>
      <c r="G35" s="23"/>
      <c r="H35" s="23"/>
      <c r="I35" s="25"/>
      <c r="J35" s="23"/>
      <c r="K35" s="23"/>
      <c r="L35" s="26" t="str">
        <f aca="false">IF(OR($E35="",$F35=""),"",MOD($F35-$E35,1)*24)</f>
        <v/>
      </c>
      <c r="M35" s="27" t="str">
        <f aca="false">IF($B35="","",IFERROR(INDEX(Properties!$D$5:$D$104,MATCH($B35,Properties!$A$5:$A$104,0)),"?"))</f>
        <v/>
      </c>
      <c r="N35" s="28" t="str">
        <f aca="false">IF($B35="","",IFERROR(IF($D35="Completed",INDEX(Properties!$I$5:$I$104,MATCH($B35,Properties!$A$5:$A$104,0))*(1+IF($G35="Y",Settings!$B$8,0))+IF($H35="Y",Settings!$B$7,0)+N($I35),IF($D35="Deep clean",INDEX(Settings!$E$22:$E$26,MATCH(MIN(INDEX(Properties!$E$5:$E$104,MATCH($B35,Properties!$A$5:$A$104,0)),4),Settings!$A$22:$A$26,0))+N($I35),IF($D35="Late cancel",INDEX(Properties!$I$5:$I$104,MATCH($B35,Properties!$A$5:$A$104,0))*Settings!$B$10,0))),0))</f>
        <v/>
      </c>
      <c r="O35" s="28" t="str">
        <f aca="false">IF($B35="","",IFERROR(IF($D35="Completed",INDEX(Properties!$L$5:$L$104,MATCH($B35,Properties!$A$5:$A$104,0))+IF($G35="Y",INDEX(Properties!$I$5:$I$104,MATCH($B35,Properties!$A$5:$A$104,0))*Settings!$B$8*Settings!$B$9,0)+IF($H35="Y",Settings!$B$7*Settings!$B$9,0)+N($I35)*Settings!$B$9,IF($D35="Deep clean",INDEX(Settings!$E$22:$E$26,MATCH(MIN(INDEX(Properties!$E$5:$E$104,MATCH($B35,Properties!$A$5:$A$104,0)),4),Settings!$A$22:$A$26,0))*Settings!$B$19+N($I35)*Settings!$B$9,IF($D35="Late cancel",INDEX(Properties!$L$5:$L$104,MATCH($B35,Properties!$A$5:$A$104,0))*Settings!$B$11,0))),0))</f>
        <v/>
      </c>
      <c r="P35" s="28" t="str">
        <f aca="false">IF($B35="","",$N35-$O35)</f>
        <v/>
      </c>
      <c r="Q35" s="29" t="str">
        <f aca="false">IF($A35="","",DATE(YEAR($A35),MONTH($A35),1))</f>
        <v/>
      </c>
      <c r="R35" s="30" t="str">
        <f aca="false">IF($A35="","",$A35+MOD(6-WEEKDAY($A35),7))</f>
        <v/>
      </c>
      <c r="S35" s="31" t="str">
        <f aca="false">IF($B35="","",IF(AND($M35='Invoice Builder'!$C$5,$Q35='Invoice Builder'!$C$6,N($N35)&gt;0),COUNTIFS($M$5:$M35,'Invoice Builder'!$C$5,$Q$5:$Q35,'Invoice Builder'!$C$6,$N$5:$N35,"&gt;0"),""))</f>
        <v/>
      </c>
      <c r="T35" s="27" t="str">
        <f aca="false">IF($A35="","",IF($A35&gt;=DATE(YEAR($A35),4,6),YEAR($A35)&amp;"/"&amp;RIGHT(YEAR($A35)+1,2),YEAR($A35)-1&amp;"/"&amp;RIGHT(YEAR($A35),2)))</f>
        <v/>
      </c>
    </row>
    <row r="36" customFormat="false" ht="15" hidden="false" customHeight="false" outlineLevel="0" collapsed="false">
      <c r="A36" s="22"/>
      <c r="B36" s="23"/>
      <c r="C36" s="23"/>
      <c r="D36" s="23"/>
      <c r="E36" s="24"/>
      <c r="F36" s="24"/>
      <c r="G36" s="23"/>
      <c r="H36" s="23"/>
      <c r="I36" s="25"/>
      <c r="J36" s="23"/>
      <c r="K36" s="23"/>
      <c r="L36" s="26" t="str">
        <f aca="false">IF(OR($E36="",$F36=""),"",MOD($F36-$E36,1)*24)</f>
        <v/>
      </c>
      <c r="M36" s="27" t="str">
        <f aca="false">IF($B36="","",IFERROR(INDEX(Properties!$D$5:$D$104,MATCH($B36,Properties!$A$5:$A$104,0)),"?"))</f>
        <v/>
      </c>
      <c r="N36" s="28" t="str">
        <f aca="false">IF($B36="","",IFERROR(IF($D36="Completed",INDEX(Properties!$I$5:$I$104,MATCH($B36,Properties!$A$5:$A$104,0))*(1+IF($G36="Y",Settings!$B$8,0))+IF($H36="Y",Settings!$B$7,0)+N($I36),IF($D36="Deep clean",INDEX(Settings!$E$22:$E$26,MATCH(MIN(INDEX(Properties!$E$5:$E$104,MATCH($B36,Properties!$A$5:$A$104,0)),4),Settings!$A$22:$A$26,0))+N($I36),IF($D36="Late cancel",INDEX(Properties!$I$5:$I$104,MATCH($B36,Properties!$A$5:$A$104,0))*Settings!$B$10,0))),0))</f>
        <v/>
      </c>
      <c r="O36" s="28" t="str">
        <f aca="false">IF($B36="","",IFERROR(IF($D36="Completed",INDEX(Properties!$L$5:$L$104,MATCH($B36,Properties!$A$5:$A$104,0))+IF($G36="Y",INDEX(Properties!$I$5:$I$104,MATCH($B36,Properties!$A$5:$A$104,0))*Settings!$B$8*Settings!$B$9,0)+IF($H36="Y",Settings!$B$7*Settings!$B$9,0)+N($I36)*Settings!$B$9,IF($D36="Deep clean",INDEX(Settings!$E$22:$E$26,MATCH(MIN(INDEX(Properties!$E$5:$E$104,MATCH($B36,Properties!$A$5:$A$104,0)),4),Settings!$A$22:$A$26,0))*Settings!$B$19+N($I36)*Settings!$B$9,IF($D36="Late cancel",INDEX(Properties!$L$5:$L$104,MATCH($B36,Properties!$A$5:$A$104,0))*Settings!$B$11,0))),0))</f>
        <v/>
      </c>
      <c r="P36" s="28" t="str">
        <f aca="false">IF($B36="","",$N36-$O36)</f>
        <v/>
      </c>
      <c r="Q36" s="29" t="str">
        <f aca="false">IF($A36="","",DATE(YEAR($A36),MONTH($A36),1))</f>
        <v/>
      </c>
      <c r="R36" s="30" t="str">
        <f aca="false">IF($A36="","",$A36+MOD(6-WEEKDAY($A36),7))</f>
        <v/>
      </c>
      <c r="S36" s="31" t="str">
        <f aca="false">IF($B36="","",IF(AND($M36='Invoice Builder'!$C$5,$Q36='Invoice Builder'!$C$6,N($N36)&gt;0),COUNTIFS($M$5:$M36,'Invoice Builder'!$C$5,$Q$5:$Q36,'Invoice Builder'!$C$6,$N$5:$N36,"&gt;0"),""))</f>
        <v/>
      </c>
      <c r="T36" s="27" t="str">
        <f aca="false">IF($A36="","",IF($A36&gt;=DATE(YEAR($A36),4,6),YEAR($A36)&amp;"/"&amp;RIGHT(YEAR($A36)+1,2),YEAR($A36)-1&amp;"/"&amp;RIGHT(YEAR($A36),2)))</f>
        <v/>
      </c>
    </row>
    <row r="37" customFormat="false" ht="15" hidden="false" customHeight="false" outlineLevel="0" collapsed="false">
      <c r="A37" s="22"/>
      <c r="B37" s="23"/>
      <c r="C37" s="23"/>
      <c r="D37" s="23"/>
      <c r="E37" s="24"/>
      <c r="F37" s="24"/>
      <c r="G37" s="23"/>
      <c r="H37" s="23"/>
      <c r="I37" s="25"/>
      <c r="J37" s="23"/>
      <c r="K37" s="23"/>
      <c r="L37" s="26" t="str">
        <f aca="false">IF(OR($E37="",$F37=""),"",MOD($F37-$E37,1)*24)</f>
        <v/>
      </c>
      <c r="M37" s="27" t="str">
        <f aca="false">IF($B37="","",IFERROR(INDEX(Properties!$D$5:$D$104,MATCH($B37,Properties!$A$5:$A$104,0)),"?"))</f>
        <v/>
      </c>
      <c r="N37" s="28" t="str">
        <f aca="false">IF($B37="","",IFERROR(IF($D37="Completed",INDEX(Properties!$I$5:$I$104,MATCH($B37,Properties!$A$5:$A$104,0))*(1+IF($G37="Y",Settings!$B$8,0))+IF($H37="Y",Settings!$B$7,0)+N($I37),IF($D37="Deep clean",INDEX(Settings!$E$22:$E$26,MATCH(MIN(INDEX(Properties!$E$5:$E$104,MATCH($B37,Properties!$A$5:$A$104,0)),4),Settings!$A$22:$A$26,0))+N($I37),IF($D37="Late cancel",INDEX(Properties!$I$5:$I$104,MATCH($B37,Properties!$A$5:$A$104,0))*Settings!$B$10,0))),0))</f>
        <v/>
      </c>
      <c r="O37" s="28" t="str">
        <f aca="false">IF($B37="","",IFERROR(IF($D37="Completed",INDEX(Properties!$L$5:$L$104,MATCH($B37,Properties!$A$5:$A$104,0))+IF($G37="Y",INDEX(Properties!$I$5:$I$104,MATCH($B37,Properties!$A$5:$A$104,0))*Settings!$B$8*Settings!$B$9,0)+IF($H37="Y",Settings!$B$7*Settings!$B$9,0)+N($I37)*Settings!$B$9,IF($D37="Deep clean",INDEX(Settings!$E$22:$E$26,MATCH(MIN(INDEX(Properties!$E$5:$E$104,MATCH($B37,Properties!$A$5:$A$104,0)),4),Settings!$A$22:$A$26,0))*Settings!$B$19+N($I37)*Settings!$B$9,IF($D37="Late cancel",INDEX(Properties!$L$5:$L$104,MATCH($B37,Properties!$A$5:$A$104,0))*Settings!$B$11,0))),0))</f>
        <v/>
      </c>
      <c r="P37" s="28" t="str">
        <f aca="false">IF($B37="","",$N37-$O37)</f>
        <v/>
      </c>
      <c r="Q37" s="29" t="str">
        <f aca="false">IF($A37="","",DATE(YEAR($A37),MONTH($A37),1))</f>
        <v/>
      </c>
      <c r="R37" s="30" t="str">
        <f aca="false">IF($A37="","",$A37+MOD(6-WEEKDAY($A37),7))</f>
        <v/>
      </c>
      <c r="S37" s="31" t="str">
        <f aca="false">IF($B37="","",IF(AND($M37='Invoice Builder'!$C$5,$Q37='Invoice Builder'!$C$6,N($N37)&gt;0),COUNTIFS($M$5:$M37,'Invoice Builder'!$C$5,$Q$5:$Q37,'Invoice Builder'!$C$6,$N$5:$N37,"&gt;0"),""))</f>
        <v/>
      </c>
      <c r="T37" s="27" t="str">
        <f aca="false">IF($A37="","",IF($A37&gt;=DATE(YEAR($A37),4,6),YEAR($A37)&amp;"/"&amp;RIGHT(YEAR($A37)+1,2),YEAR($A37)-1&amp;"/"&amp;RIGHT(YEAR($A37),2)))</f>
        <v/>
      </c>
    </row>
    <row r="38" customFormat="false" ht="15" hidden="false" customHeight="false" outlineLevel="0" collapsed="false">
      <c r="A38" s="22"/>
      <c r="B38" s="23"/>
      <c r="C38" s="23"/>
      <c r="D38" s="23"/>
      <c r="E38" s="24"/>
      <c r="F38" s="24"/>
      <c r="G38" s="23"/>
      <c r="H38" s="23"/>
      <c r="I38" s="25"/>
      <c r="J38" s="23"/>
      <c r="K38" s="23"/>
      <c r="L38" s="26" t="str">
        <f aca="false">IF(OR($E38="",$F38=""),"",MOD($F38-$E38,1)*24)</f>
        <v/>
      </c>
      <c r="M38" s="27" t="str">
        <f aca="false">IF($B38="","",IFERROR(INDEX(Properties!$D$5:$D$104,MATCH($B38,Properties!$A$5:$A$104,0)),"?"))</f>
        <v/>
      </c>
      <c r="N38" s="28" t="str">
        <f aca="false">IF($B38="","",IFERROR(IF($D38="Completed",INDEX(Properties!$I$5:$I$104,MATCH($B38,Properties!$A$5:$A$104,0))*(1+IF($G38="Y",Settings!$B$8,0))+IF($H38="Y",Settings!$B$7,0)+N($I38),IF($D38="Deep clean",INDEX(Settings!$E$22:$E$26,MATCH(MIN(INDEX(Properties!$E$5:$E$104,MATCH($B38,Properties!$A$5:$A$104,0)),4),Settings!$A$22:$A$26,0))+N($I38),IF($D38="Late cancel",INDEX(Properties!$I$5:$I$104,MATCH($B38,Properties!$A$5:$A$104,0))*Settings!$B$10,0))),0))</f>
        <v/>
      </c>
      <c r="O38" s="28" t="str">
        <f aca="false">IF($B38="","",IFERROR(IF($D38="Completed",INDEX(Properties!$L$5:$L$104,MATCH($B38,Properties!$A$5:$A$104,0))+IF($G38="Y",INDEX(Properties!$I$5:$I$104,MATCH($B38,Properties!$A$5:$A$104,0))*Settings!$B$8*Settings!$B$9,0)+IF($H38="Y",Settings!$B$7*Settings!$B$9,0)+N($I38)*Settings!$B$9,IF($D38="Deep clean",INDEX(Settings!$E$22:$E$26,MATCH(MIN(INDEX(Properties!$E$5:$E$104,MATCH($B38,Properties!$A$5:$A$104,0)),4),Settings!$A$22:$A$26,0))*Settings!$B$19+N($I38)*Settings!$B$9,IF($D38="Late cancel",INDEX(Properties!$L$5:$L$104,MATCH($B38,Properties!$A$5:$A$104,0))*Settings!$B$11,0))),0))</f>
        <v/>
      </c>
      <c r="P38" s="28" t="str">
        <f aca="false">IF($B38="","",$N38-$O38)</f>
        <v/>
      </c>
      <c r="Q38" s="29" t="str">
        <f aca="false">IF($A38="","",DATE(YEAR($A38),MONTH($A38),1))</f>
        <v/>
      </c>
      <c r="R38" s="30" t="str">
        <f aca="false">IF($A38="","",$A38+MOD(6-WEEKDAY($A38),7))</f>
        <v/>
      </c>
      <c r="S38" s="31" t="str">
        <f aca="false">IF($B38="","",IF(AND($M38='Invoice Builder'!$C$5,$Q38='Invoice Builder'!$C$6,N($N38)&gt;0),COUNTIFS($M$5:$M38,'Invoice Builder'!$C$5,$Q$5:$Q38,'Invoice Builder'!$C$6,$N$5:$N38,"&gt;0"),""))</f>
        <v/>
      </c>
      <c r="T38" s="27" t="str">
        <f aca="false">IF($A38="","",IF($A38&gt;=DATE(YEAR($A38),4,6),YEAR($A38)&amp;"/"&amp;RIGHT(YEAR($A38)+1,2),YEAR($A38)-1&amp;"/"&amp;RIGHT(YEAR($A38),2)))</f>
        <v/>
      </c>
    </row>
    <row r="39" customFormat="false" ht="15" hidden="false" customHeight="false" outlineLevel="0" collapsed="false">
      <c r="A39" s="22"/>
      <c r="B39" s="23"/>
      <c r="C39" s="23"/>
      <c r="D39" s="23"/>
      <c r="E39" s="24"/>
      <c r="F39" s="24"/>
      <c r="G39" s="23"/>
      <c r="H39" s="23"/>
      <c r="I39" s="25"/>
      <c r="J39" s="23"/>
      <c r="K39" s="23"/>
      <c r="L39" s="26" t="str">
        <f aca="false">IF(OR($E39="",$F39=""),"",MOD($F39-$E39,1)*24)</f>
        <v/>
      </c>
      <c r="M39" s="27" t="str">
        <f aca="false">IF($B39="","",IFERROR(INDEX(Properties!$D$5:$D$104,MATCH($B39,Properties!$A$5:$A$104,0)),"?"))</f>
        <v/>
      </c>
      <c r="N39" s="28" t="str">
        <f aca="false">IF($B39="","",IFERROR(IF($D39="Completed",INDEX(Properties!$I$5:$I$104,MATCH($B39,Properties!$A$5:$A$104,0))*(1+IF($G39="Y",Settings!$B$8,0))+IF($H39="Y",Settings!$B$7,0)+N($I39),IF($D39="Deep clean",INDEX(Settings!$E$22:$E$26,MATCH(MIN(INDEX(Properties!$E$5:$E$104,MATCH($B39,Properties!$A$5:$A$104,0)),4),Settings!$A$22:$A$26,0))+N($I39),IF($D39="Late cancel",INDEX(Properties!$I$5:$I$104,MATCH($B39,Properties!$A$5:$A$104,0))*Settings!$B$10,0))),0))</f>
        <v/>
      </c>
      <c r="O39" s="28" t="str">
        <f aca="false">IF($B39="","",IFERROR(IF($D39="Completed",INDEX(Properties!$L$5:$L$104,MATCH($B39,Properties!$A$5:$A$104,0))+IF($G39="Y",INDEX(Properties!$I$5:$I$104,MATCH($B39,Properties!$A$5:$A$104,0))*Settings!$B$8*Settings!$B$9,0)+IF($H39="Y",Settings!$B$7*Settings!$B$9,0)+N($I39)*Settings!$B$9,IF($D39="Deep clean",INDEX(Settings!$E$22:$E$26,MATCH(MIN(INDEX(Properties!$E$5:$E$104,MATCH($B39,Properties!$A$5:$A$104,0)),4),Settings!$A$22:$A$26,0))*Settings!$B$19+N($I39)*Settings!$B$9,IF($D39="Late cancel",INDEX(Properties!$L$5:$L$104,MATCH($B39,Properties!$A$5:$A$104,0))*Settings!$B$11,0))),0))</f>
        <v/>
      </c>
      <c r="P39" s="28" t="str">
        <f aca="false">IF($B39="","",$N39-$O39)</f>
        <v/>
      </c>
      <c r="Q39" s="29" t="str">
        <f aca="false">IF($A39="","",DATE(YEAR($A39),MONTH($A39),1))</f>
        <v/>
      </c>
      <c r="R39" s="30" t="str">
        <f aca="false">IF($A39="","",$A39+MOD(6-WEEKDAY($A39),7))</f>
        <v/>
      </c>
      <c r="S39" s="31" t="str">
        <f aca="false">IF($B39="","",IF(AND($M39='Invoice Builder'!$C$5,$Q39='Invoice Builder'!$C$6,N($N39)&gt;0),COUNTIFS($M$5:$M39,'Invoice Builder'!$C$5,$Q$5:$Q39,'Invoice Builder'!$C$6,$N$5:$N39,"&gt;0"),""))</f>
        <v/>
      </c>
      <c r="T39" s="27" t="str">
        <f aca="false">IF($A39="","",IF($A39&gt;=DATE(YEAR($A39),4,6),YEAR($A39)&amp;"/"&amp;RIGHT(YEAR($A39)+1,2),YEAR($A39)-1&amp;"/"&amp;RIGHT(YEAR($A39),2)))</f>
        <v/>
      </c>
    </row>
    <row r="40" customFormat="false" ht="15" hidden="false" customHeight="false" outlineLevel="0" collapsed="false">
      <c r="A40" s="22"/>
      <c r="B40" s="23"/>
      <c r="C40" s="23"/>
      <c r="D40" s="23"/>
      <c r="E40" s="24"/>
      <c r="F40" s="24"/>
      <c r="G40" s="23"/>
      <c r="H40" s="23"/>
      <c r="I40" s="25"/>
      <c r="J40" s="23"/>
      <c r="K40" s="23"/>
      <c r="L40" s="26" t="str">
        <f aca="false">IF(OR($E40="",$F40=""),"",MOD($F40-$E40,1)*24)</f>
        <v/>
      </c>
      <c r="M40" s="27" t="str">
        <f aca="false">IF($B40="","",IFERROR(INDEX(Properties!$D$5:$D$104,MATCH($B40,Properties!$A$5:$A$104,0)),"?"))</f>
        <v/>
      </c>
      <c r="N40" s="28" t="str">
        <f aca="false">IF($B40="","",IFERROR(IF($D40="Completed",INDEX(Properties!$I$5:$I$104,MATCH($B40,Properties!$A$5:$A$104,0))*(1+IF($G40="Y",Settings!$B$8,0))+IF($H40="Y",Settings!$B$7,0)+N($I40),IF($D40="Deep clean",INDEX(Settings!$E$22:$E$26,MATCH(MIN(INDEX(Properties!$E$5:$E$104,MATCH($B40,Properties!$A$5:$A$104,0)),4),Settings!$A$22:$A$26,0))+N($I40),IF($D40="Late cancel",INDEX(Properties!$I$5:$I$104,MATCH($B40,Properties!$A$5:$A$104,0))*Settings!$B$10,0))),0))</f>
        <v/>
      </c>
      <c r="O40" s="28" t="str">
        <f aca="false">IF($B40="","",IFERROR(IF($D40="Completed",INDEX(Properties!$L$5:$L$104,MATCH($B40,Properties!$A$5:$A$104,0))+IF($G40="Y",INDEX(Properties!$I$5:$I$104,MATCH($B40,Properties!$A$5:$A$104,0))*Settings!$B$8*Settings!$B$9,0)+IF($H40="Y",Settings!$B$7*Settings!$B$9,0)+N($I40)*Settings!$B$9,IF($D40="Deep clean",INDEX(Settings!$E$22:$E$26,MATCH(MIN(INDEX(Properties!$E$5:$E$104,MATCH($B40,Properties!$A$5:$A$104,0)),4),Settings!$A$22:$A$26,0))*Settings!$B$19+N($I40)*Settings!$B$9,IF($D40="Late cancel",INDEX(Properties!$L$5:$L$104,MATCH($B40,Properties!$A$5:$A$104,0))*Settings!$B$11,0))),0))</f>
        <v/>
      </c>
      <c r="P40" s="28" t="str">
        <f aca="false">IF($B40="","",$N40-$O40)</f>
        <v/>
      </c>
      <c r="Q40" s="29" t="str">
        <f aca="false">IF($A40="","",DATE(YEAR($A40),MONTH($A40),1))</f>
        <v/>
      </c>
      <c r="R40" s="30" t="str">
        <f aca="false">IF($A40="","",$A40+MOD(6-WEEKDAY($A40),7))</f>
        <v/>
      </c>
      <c r="S40" s="31" t="str">
        <f aca="false">IF($B40="","",IF(AND($M40='Invoice Builder'!$C$5,$Q40='Invoice Builder'!$C$6,N($N40)&gt;0),COUNTIFS($M$5:$M40,'Invoice Builder'!$C$5,$Q$5:$Q40,'Invoice Builder'!$C$6,$N$5:$N40,"&gt;0"),""))</f>
        <v/>
      </c>
      <c r="T40" s="27" t="str">
        <f aca="false">IF($A40="","",IF($A40&gt;=DATE(YEAR($A40),4,6),YEAR($A40)&amp;"/"&amp;RIGHT(YEAR($A40)+1,2),YEAR($A40)-1&amp;"/"&amp;RIGHT(YEAR($A40),2)))</f>
        <v/>
      </c>
    </row>
    <row r="41" customFormat="false" ht="15" hidden="false" customHeight="false" outlineLevel="0" collapsed="false">
      <c r="A41" s="22"/>
      <c r="B41" s="23"/>
      <c r="C41" s="23"/>
      <c r="D41" s="23"/>
      <c r="E41" s="24"/>
      <c r="F41" s="24"/>
      <c r="G41" s="23"/>
      <c r="H41" s="23"/>
      <c r="I41" s="25"/>
      <c r="J41" s="23"/>
      <c r="K41" s="23"/>
      <c r="L41" s="26" t="str">
        <f aca="false">IF(OR($E41="",$F41=""),"",MOD($F41-$E41,1)*24)</f>
        <v/>
      </c>
      <c r="M41" s="27" t="str">
        <f aca="false">IF($B41="","",IFERROR(INDEX(Properties!$D$5:$D$104,MATCH($B41,Properties!$A$5:$A$104,0)),"?"))</f>
        <v/>
      </c>
      <c r="N41" s="28" t="str">
        <f aca="false">IF($B41="","",IFERROR(IF($D41="Completed",INDEX(Properties!$I$5:$I$104,MATCH($B41,Properties!$A$5:$A$104,0))*(1+IF($G41="Y",Settings!$B$8,0))+IF($H41="Y",Settings!$B$7,0)+N($I41),IF($D41="Deep clean",INDEX(Settings!$E$22:$E$26,MATCH(MIN(INDEX(Properties!$E$5:$E$104,MATCH($B41,Properties!$A$5:$A$104,0)),4),Settings!$A$22:$A$26,0))+N($I41),IF($D41="Late cancel",INDEX(Properties!$I$5:$I$104,MATCH($B41,Properties!$A$5:$A$104,0))*Settings!$B$10,0))),0))</f>
        <v/>
      </c>
      <c r="O41" s="28" t="str">
        <f aca="false">IF($B41="","",IFERROR(IF($D41="Completed",INDEX(Properties!$L$5:$L$104,MATCH($B41,Properties!$A$5:$A$104,0))+IF($G41="Y",INDEX(Properties!$I$5:$I$104,MATCH($B41,Properties!$A$5:$A$104,0))*Settings!$B$8*Settings!$B$9,0)+IF($H41="Y",Settings!$B$7*Settings!$B$9,0)+N($I41)*Settings!$B$9,IF($D41="Deep clean",INDEX(Settings!$E$22:$E$26,MATCH(MIN(INDEX(Properties!$E$5:$E$104,MATCH($B41,Properties!$A$5:$A$104,0)),4),Settings!$A$22:$A$26,0))*Settings!$B$19+N($I41)*Settings!$B$9,IF($D41="Late cancel",INDEX(Properties!$L$5:$L$104,MATCH($B41,Properties!$A$5:$A$104,0))*Settings!$B$11,0))),0))</f>
        <v/>
      </c>
      <c r="P41" s="28" t="str">
        <f aca="false">IF($B41="","",$N41-$O41)</f>
        <v/>
      </c>
      <c r="Q41" s="29" t="str">
        <f aca="false">IF($A41="","",DATE(YEAR($A41),MONTH($A41),1))</f>
        <v/>
      </c>
      <c r="R41" s="30" t="str">
        <f aca="false">IF($A41="","",$A41+MOD(6-WEEKDAY($A41),7))</f>
        <v/>
      </c>
      <c r="S41" s="31" t="str">
        <f aca="false">IF($B41="","",IF(AND($M41='Invoice Builder'!$C$5,$Q41='Invoice Builder'!$C$6,N($N41)&gt;0),COUNTIFS($M$5:$M41,'Invoice Builder'!$C$5,$Q$5:$Q41,'Invoice Builder'!$C$6,$N$5:$N41,"&gt;0"),""))</f>
        <v/>
      </c>
      <c r="T41" s="27" t="str">
        <f aca="false">IF($A41="","",IF($A41&gt;=DATE(YEAR($A41),4,6),YEAR($A41)&amp;"/"&amp;RIGHT(YEAR($A41)+1,2),YEAR($A41)-1&amp;"/"&amp;RIGHT(YEAR($A41),2)))</f>
        <v/>
      </c>
    </row>
    <row r="42" customFormat="false" ht="15" hidden="false" customHeight="false" outlineLevel="0" collapsed="false">
      <c r="A42" s="22"/>
      <c r="B42" s="23"/>
      <c r="C42" s="23"/>
      <c r="D42" s="23"/>
      <c r="E42" s="24"/>
      <c r="F42" s="24"/>
      <c r="G42" s="23"/>
      <c r="H42" s="23"/>
      <c r="I42" s="25"/>
      <c r="J42" s="23"/>
      <c r="K42" s="23"/>
      <c r="L42" s="26" t="str">
        <f aca="false">IF(OR($E42="",$F42=""),"",MOD($F42-$E42,1)*24)</f>
        <v/>
      </c>
      <c r="M42" s="27" t="str">
        <f aca="false">IF($B42="","",IFERROR(INDEX(Properties!$D$5:$D$104,MATCH($B42,Properties!$A$5:$A$104,0)),"?"))</f>
        <v/>
      </c>
      <c r="N42" s="28" t="str">
        <f aca="false">IF($B42="","",IFERROR(IF($D42="Completed",INDEX(Properties!$I$5:$I$104,MATCH($B42,Properties!$A$5:$A$104,0))*(1+IF($G42="Y",Settings!$B$8,0))+IF($H42="Y",Settings!$B$7,0)+N($I42),IF($D42="Deep clean",INDEX(Settings!$E$22:$E$26,MATCH(MIN(INDEX(Properties!$E$5:$E$104,MATCH($B42,Properties!$A$5:$A$104,0)),4),Settings!$A$22:$A$26,0))+N($I42),IF($D42="Late cancel",INDEX(Properties!$I$5:$I$104,MATCH($B42,Properties!$A$5:$A$104,0))*Settings!$B$10,0))),0))</f>
        <v/>
      </c>
      <c r="O42" s="28" t="str">
        <f aca="false">IF($B42="","",IFERROR(IF($D42="Completed",INDEX(Properties!$L$5:$L$104,MATCH($B42,Properties!$A$5:$A$104,0))+IF($G42="Y",INDEX(Properties!$I$5:$I$104,MATCH($B42,Properties!$A$5:$A$104,0))*Settings!$B$8*Settings!$B$9,0)+IF($H42="Y",Settings!$B$7*Settings!$B$9,0)+N($I42)*Settings!$B$9,IF($D42="Deep clean",INDEX(Settings!$E$22:$E$26,MATCH(MIN(INDEX(Properties!$E$5:$E$104,MATCH($B42,Properties!$A$5:$A$104,0)),4),Settings!$A$22:$A$26,0))*Settings!$B$19+N($I42)*Settings!$B$9,IF($D42="Late cancel",INDEX(Properties!$L$5:$L$104,MATCH($B42,Properties!$A$5:$A$104,0))*Settings!$B$11,0))),0))</f>
        <v/>
      </c>
      <c r="P42" s="28" t="str">
        <f aca="false">IF($B42="","",$N42-$O42)</f>
        <v/>
      </c>
      <c r="Q42" s="29" t="str">
        <f aca="false">IF($A42="","",DATE(YEAR($A42),MONTH($A42),1))</f>
        <v/>
      </c>
      <c r="R42" s="30" t="str">
        <f aca="false">IF($A42="","",$A42+MOD(6-WEEKDAY($A42),7))</f>
        <v/>
      </c>
      <c r="S42" s="31" t="str">
        <f aca="false">IF($B42="","",IF(AND($M42='Invoice Builder'!$C$5,$Q42='Invoice Builder'!$C$6,N($N42)&gt;0),COUNTIFS($M$5:$M42,'Invoice Builder'!$C$5,$Q$5:$Q42,'Invoice Builder'!$C$6,$N$5:$N42,"&gt;0"),""))</f>
        <v/>
      </c>
      <c r="T42" s="27" t="str">
        <f aca="false">IF($A42="","",IF($A42&gt;=DATE(YEAR($A42),4,6),YEAR($A42)&amp;"/"&amp;RIGHT(YEAR($A42)+1,2),YEAR($A42)-1&amp;"/"&amp;RIGHT(YEAR($A42),2)))</f>
        <v/>
      </c>
    </row>
    <row r="43" customFormat="false" ht="15" hidden="false" customHeight="false" outlineLevel="0" collapsed="false">
      <c r="A43" s="22"/>
      <c r="B43" s="23"/>
      <c r="C43" s="23"/>
      <c r="D43" s="23"/>
      <c r="E43" s="24"/>
      <c r="F43" s="24"/>
      <c r="G43" s="23"/>
      <c r="H43" s="23"/>
      <c r="I43" s="25"/>
      <c r="J43" s="23"/>
      <c r="K43" s="23"/>
      <c r="L43" s="26" t="str">
        <f aca="false">IF(OR($E43="",$F43=""),"",MOD($F43-$E43,1)*24)</f>
        <v/>
      </c>
      <c r="M43" s="27" t="str">
        <f aca="false">IF($B43="","",IFERROR(INDEX(Properties!$D$5:$D$104,MATCH($B43,Properties!$A$5:$A$104,0)),"?"))</f>
        <v/>
      </c>
      <c r="N43" s="28" t="str">
        <f aca="false">IF($B43="","",IFERROR(IF($D43="Completed",INDEX(Properties!$I$5:$I$104,MATCH($B43,Properties!$A$5:$A$104,0))*(1+IF($G43="Y",Settings!$B$8,0))+IF($H43="Y",Settings!$B$7,0)+N($I43),IF($D43="Deep clean",INDEX(Settings!$E$22:$E$26,MATCH(MIN(INDEX(Properties!$E$5:$E$104,MATCH($B43,Properties!$A$5:$A$104,0)),4),Settings!$A$22:$A$26,0))+N($I43),IF($D43="Late cancel",INDEX(Properties!$I$5:$I$104,MATCH($B43,Properties!$A$5:$A$104,0))*Settings!$B$10,0))),0))</f>
        <v/>
      </c>
      <c r="O43" s="28" t="str">
        <f aca="false">IF($B43="","",IFERROR(IF($D43="Completed",INDEX(Properties!$L$5:$L$104,MATCH($B43,Properties!$A$5:$A$104,0))+IF($G43="Y",INDEX(Properties!$I$5:$I$104,MATCH($B43,Properties!$A$5:$A$104,0))*Settings!$B$8*Settings!$B$9,0)+IF($H43="Y",Settings!$B$7*Settings!$B$9,0)+N($I43)*Settings!$B$9,IF($D43="Deep clean",INDEX(Settings!$E$22:$E$26,MATCH(MIN(INDEX(Properties!$E$5:$E$104,MATCH($B43,Properties!$A$5:$A$104,0)),4),Settings!$A$22:$A$26,0))*Settings!$B$19+N($I43)*Settings!$B$9,IF($D43="Late cancel",INDEX(Properties!$L$5:$L$104,MATCH($B43,Properties!$A$5:$A$104,0))*Settings!$B$11,0))),0))</f>
        <v/>
      </c>
      <c r="P43" s="28" t="str">
        <f aca="false">IF($B43="","",$N43-$O43)</f>
        <v/>
      </c>
      <c r="Q43" s="29" t="str">
        <f aca="false">IF($A43="","",DATE(YEAR($A43),MONTH($A43),1))</f>
        <v/>
      </c>
      <c r="R43" s="30" t="str">
        <f aca="false">IF($A43="","",$A43+MOD(6-WEEKDAY($A43),7))</f>
        <v/>
      </c>
      <c r="S43" s="31" t="str">
        <f aca="false">IF($B43="","",IF(AND($M43='Invoice Builder'!$C$5,$Q43='Invoice Builder'!$C$6,N($N43)&gt;0),COUNTIFS($M$5:$M43,'Invoice Builder'!$C$5,$Q$5:$Q43,'Invoice Builder'!$C$6,$N$5:$N43,"&gt;0"),""))</f>
        <v/>
      </c>
      <c r="T43" s="27" t="str">
        <f aca="false">IF($A43="","",IF($A43&gt;=DATE(YEAR($A43),4,6),YEAR($A43)&amp;"/"&amp;RIGHT(YEAR($A43)+1,2),YEAR($A43)-1&amp;"/"&amp;RIGHT(YEAR($A43),2)))</f>
        <v/>
      </c>
    </row>
    <row r="44" customFormat="false" ht="15" hidden="false" customHeight="false" outlineLevel="0" collapsed="false">
      <c r="A44" s="22"/>
      <c r="B44" s="23"/>
      <c r="C44" s="23"/>
      <c r="D44" s="23"/>
      <c r="E44" s="24"/>
      <c r="F44" s="24"/>
      <c r="G44" s="23"/>
      <c r="H44" s="23"/>
      <c r="I44" s="25"/>
      <c r="J44" s="23"/>
      <c r="K44" s="23"/>
      <c r="L44" s="26" t="str">
        <f aca="false">IF(OR($E44="",$F44=""),"",MOD($F44-$E44,1)*24)</f>
        <v/>
      </c>
      <c r="M44" s="27" t="str">
        <f aca="false">IF($B44="","",IFERROR(INDEX(Properties!$D$5:$D$104,MATCH($B44,Properties!$A$5:$A$104,0)),"?"))</f>
        <v/>
      </c>
      <c r="N44" s="28" t="str">
        <f aca="false">IF($B44="","",IFERROR(IF($D44="Completed",INDEX(Properties!$I$5:$I$104,MATCH($B44,Properties!$A$5:$A$104,0))*(1+IF($G44="Y",Settings!$B$8,0))+IF($H44="Y",Settings!$B$7,0)+N($I44),IF($D44="Deep clean",INDEX(Settings!$E$22:$E$26,MATCH(MIN(INDEX(Properties!$E$5:$E$104,MATCH($B44,Properties!$A$5:$A$104,0)),4),Settings!$A$22:$A$26,0))+N($I44),IF($D44="Late cancel",INDEX(Properties!$I$5:$I$104,MATCH($B44,Properties!$A$5:$A$104,0))*Settings!$B$10,0))),0))</f>
        <v/>
      </c>
      <c r="O44" s="28" t="str">
        <f aca="false">IF($B44="","",IFERROR(IF($D44="Completed",INDEX(Properties!$L$5:$L$104,MATCH($B44,Properties!$A$5:$A$104,0))+IF($G44="Y",INDEX(Properties!$I$5:$I$104,MATCH($B44,Properties!$A$5:$A$104,0))*Settings!$B$8*Settings!$B$9,0)+IF($H44="Y",Settings!$B$7*Settings!$B$9,0)+N($I44)*Settings!$B$9,IF($D44="Deep clean",INDEX(Settings!$E$22:$E$26,MATCH(MIN(INDEX(Properties!$E$5:$E$104,MATCH($B44,Properties!$A$5:$A$104,0)),4),Settings!$A$22:$A$26,0))*Settings!$B$19+N($I44)*Settings!$B$9,IF($D44="Late cancel",INDEX(Properties!$L$5:$L$104,MATCH($B44,Properties!$A$5:$A$104,0))*Settings!$B$11,0))),0))</f>
        <v/>
      </c>
      <c r="P44" s="28" t="str">
        <f aca="false">IF($B44="","",$N44-$O44)</f>
        <v/>
      </c>
      <c r="Q44" s="29" t="str">
        <f aca="false">IF($A44="","",DATE(YEAR($A44),MONTH($A44),1))</f>
        <v/>
      </c>
      <c r="R44" s="30" t="str">
        <f aca="false">IF($A44="","",$A44+MOD(6-WEEKDAY($A44),7))</f>
        <v/>
      </c>
      <c r="S44" s="31" t="str">
        <f aca="false">IF($B44="","",IF(AND($M44='Invoice Builder'!$C$5,$Q44='Invoice Builder'!$C$6,N($N44)&gt;0),COUNTIFS($M$5:$M44,'Invoice Builder'!$C$5,$Q$5:$Q44,'Invoice Builder'!$C$6,$N$5:$N44,"&gt;0"),""))</f>
        <v/>
      </c>
      <c r="T44" s="27" t="str">
        <f aca="false">IF($A44="","",IF($A44&gt;=DATE(YEAR($A44),4,6),YEAR($A44)&amp;"/"&amp;RIGHT(YEAR($A44)+1,2),YEAR($A44)-1&amp;"/"&amp;RIGHT(YEAR($A44),2)))</f>
        <v/>
      </c>
    </row>
    <row r="45" customFormat="false" ht="15" hidden="false" customHeight="false" outlineLevel="0" collapsed="false">
      <c r="A45" s="22"/>
      <c r="B45" s="23"/>
      <c r="C45" s="23"/>
      <c r="D45" s="23"/>
      <c r="E45" s="24"/>
      <c r="F45" s="24"/>
      <c r="G45" s="23"/>
      <c r="H45" s="23"/>
      <c r="I45" s="25"/>
      <c r="J45" s="23"/>
      <c r="K45" s="23"/>
      <c r="L45" s="26" t="str">
        <f aca="false">IF(OR($E45="",$F45=""),"",MOD($F45-$E45,1)*24)</f>
        <v/>
      </c>
      <c r="M45" s="27" t="str">
        <f aca="false">IF($B45="","",IFERROR(INDEX(Properties!$D$5:$D$104,MATCH($B45,Properties!$A$5:$A$104,0)),"?"))</f>
        <v/>
      </c>
      <c r="N45" s="28" t="str">
        <f aca="false">IF($B45="","",IFERROR(IF($D45="Completed",INDEX(Properties!$I$5:$I$104,MATCH($B45,Properties!$A$5:$A$104,0))*(1+IF($G45="Y",Settings!$B$8,0))+IF($H45="Y",Settings!$B$7,0)+N($I45),IF($D45="Deep clean",INDEX(Settings!$E$22:$E$26,MATCH(MIN(INDEX(Properties!$E$5:$E$104,MATCH($B45,Properties!$A$5:$A$104,0)),4),Settings!$A$22:$A$26,0))+N($I45),IF($D45="Late cancel",INDEX(Properties!$I$5:$I$104,MATCH($B45,Properties!$A$5:$A$104,0))*Settings!$B$10,0))),0))</f>
        <v/>
      </c>
      <c r="O45" s="28" t="str">
        <f aca="false">IF($B45="","",IFERROR(IF($D45="Completed",INDEX(Properties!$L$5:$L$104,MATCH($B45,Properties!$A$5:$A$104,0))+IF($G45="Y",INDEX(Properties!$I$5:$I$104,MATCH($B45,Properties!$A$5:$A$104,0))*Settings!$B$8*Settings!$B$9,0)+IF($H45="Y",Settings!$B$7*Settings!$B$9,0)+N($I45)*Settings!$B$9,IF($D45="Deep clean",INDEX(Settings!$E$22:$E$26,MATCH(MIN(INDEX(Properties!$E$5:$E$104,MATCH($B45,Properties!$A$5:$A$104,0)),4),Settings!$A$22:$A$26,0))*Settings!$B$19+N($I45)*Settings!$B$9,IF($D45="Late cancel",INDEX(Properties!$L$5:$L$104,MATCH($B45,Properties!$A$5:$A$104,0))*Settings!$B$11,0))),0))</f>
        <v/>
      </c>
      <c r="P45" s="28" t="str">
        <f aca="false">IF($B45="","",$N45-$O45)</f>
        <v/>
      </c>
      <c r="Q45" s="29" t="str">
        <f aca="false">IF($A45="","",DATE(YEAR($A45),MONTH($A45),1))</f>
        <v/>
      </c>
      <c r="R45" s="30" t="str">
        <f aca="false">IF($A45="","",$A45+MOD(6-WEEKDAY($A45),7))</f>
        <v/>
      </c>
      <c r="S45" s="31" t="str">
        <f aca="false">IF($B45="","",IF(AND($M45='Invoice Builder'!$C$5,$Q45='Invoice Builder'!$C$6,N($N45)&gt;0),COUNTIFS($M$5:$M45,'Invoice Builder'!$C$5,$Q$5:$Q45,'Invoice Builder'!$C$6,$N$5:$N45,"&gt;0"),""))</f>
        <v/>
      </c>
      <c r="T45" s="27" t="str">
        <f aca="false">IF($A45="","",IF($A45&gt;=DATE(YEAR($A45),4,6),YEAR($A45)&amp;"/"&amp;RIGHT(YEAR($A45)+1,2),YEAR($A45)-1&amp;"/"&amp;RIGHT(YEAR($A45),2)))</f>
        <v/>
      </c>
    </row>
    <row r="46" customFormat="false" ht="15" hidden="false" customHeight="false" outlineLevel="0" collapsed="false">
      <c r="A46" s="22"/>
      <c r="B46" s="23"/>
      <c r="C46" s="23"/>
      <c r="D46" s="23"/>
      <c r="E46" s="24"/>
      <c r="F46" s="24"/>
      <c r="G46" s="23"/>
      <c r="H46" s="23"/>
      <c r="I46" s="25"/>
      <c r="J46" s="23"/>
      <c r="K46" s="23"/>
      <c r="L46" s="26" t="str">
        <f aca="false">IF(OR($E46="",$F46=""),"",MOD($F46-$E46,1)*24)</f>
        <v/>
      </c>
      <c r="M46" s="27" t="str">
        <f aca="false">IF($B46="","",IFERROR(INDEX(Properties!$D$5:$D$104,MATCH($B46,Properties!$A$5:$A$104,0)),"?"))</f>
        <v/>
      </c>
      <c r="N46" s="28" t="str">
        <f aca="false">IF($B46="","",IFERROR(IF($D46="Completed",INDEX(Properties!$I$5:$I$104,MATCH($B46,Properties!$A$5:$A$104,0))*(1+IF($G46="Y",Settings!$B$8,0))+IF($H46="Y",Settings!$B$7,0)+N($I46),IF($D46="Deep clean",INDEX(Settings!$E$22:$E$26,MATCH(MIN(INDEX(Properties!$E$5:$E$104,MATCH($B46,Properties!$A$5:$A$104,0)),4),Settings!$A$22:$A$26,0))+N($I46),IF($D46="Late cancel",INDEX(Properties!$I$5:$I$104,MATCH($B46,Properties!$A$5:$A$104,0))*Settings!$B$10,0))),0))</f>
        <v/>
      </c>
      <c r="O46" s="28" t="str">
        <f aca="false">IF($B46="","",IFERROR(IF($D46="Completed",INDEX(Properties!$L$5:$L$104,MATCH($B46,Properties!$A$5:$A$104,0))+IF($G46="Y",INDEX(Properties!$I$5:$I$104,MATCH($B46,Properties!$A$5:$A$104,0))*Settings!$B$8*Settings!$B$9,0)+IF($H46="Y",Settings!$B$7*Settings!$B$9,0)+N($I46)*Settings!$B$9,IF($D46="Deep clean",INDEX(Settings!$E$22:$E$26,MATCH(MIN(INDEX(Properties!$E$5:$E$104,MATCH($B46,Properties!$A$5:$A$104,0)),4),Settings!$A$22:$A$26,0))*Settings!$B$19+N($I46)*Settings!$B$9,IF($D46="Late cancel",INDEX(Properties!$L$5:$L$104,MATCH($B46,Properties!$A$5:$A$104,0))*Settings!$B$11,0))),0))</f>
        <v/>
      </c>
      <c r="P46" s="28" t="str">
        <f aca="false">IF($B46="","",$N46-$O46)</f>
        <v/>
      </c>
      <c r="Q46" s="29" t="str">
        <f aca="false">IF($A46="","",DATE(YEAR($A46),MONTH($A46),1))</f>
        <v/>
      </c>
      <c r="R46" s="30" t="str">
        <f aca="false">IF($A46="","",$A46+MOD(6-WEEKDAY($A46),7))</f>
        <v/>
      </c>
      <c r="S46" s="31" t="str">
        <f aca="false">IF($B46="","",IF(AND($M46='Invoice Builder'!$C$5,$Q46='Invoice Builder'!$C$6,N($N46)&gt;0),COUNTIFS($M$5:$M46,'Invoice Builder'!$C$5,$Q$5:$Q46,'Invoice Builder'!$C$6,$N$5:$N46,"&gt;0"),""))</f>
        <v/>
      </c>
      <c r="T46" s="27" t="str">
        <f aca="false">IF($A46="","",IF($A46&gt;=DATE(YEAR($A46),4,6),YEAR($A46)&amp;"/"&amp;RIGHT(YEAR($A46)+1,2),YEAR($A46)-1&amp;"/"&amp;RIGHT(YEAR($A46),2)))</f>
        <v/>
      </c>
    </row>
    <row r="47" customFormat="false" ht="15" hidden="false" customHeight="false" outlineLevel="0" collapsed="false">
      <c r="A47" s="22"/>
      <c r="B47" s="23"/>
      <c r="C47" s="23"/>
      <c r="D47" s="23"/>
      <c r="E47" s="24"/>
      <c r="F47" s="24"/>
      <c r="G47" s="23"/>
      <c r="H47" s="23"/>
      <c r="I47" s="25"/>
      <c r="J47" s="23"/>
      <c r="K47" s="23"/>
      <c r="L47" s="26" t="str">
        <f aca="false">IF(OR($E47="",$F47=""),"",MOD($F47-$E47,1)*24)</f>
        <v/>
      </c>
      <c r="M47" s="27" t="str">
        <f aca="false">IF($B47="","",IFERROR(INDEX(Properties!$D$5:$D$104,MATCH($B47,Properties!$A$5:$A$104,0)),"?"))</f>
        <v/>
      </c>
      <c r="N47" s="28" t="str">
        <f aca="false">IF($B47="","",IFERROR(IF($D47="Completed",INDEX(Properties!$I$5:$I$104,MATCH($B47,Properties!$A$5:$A$104,0))*(1+IF($G47="Y",Settings!$B$8,0))+IF($H47="Y",Settings!$B$7,0)+N($I47),IF($D47="Deep clean",INDEX(Settings!$E$22:$E$26,MATCH(MIN(INDEX(Properties!$E$5:$E$104,MATCH($B47,Properties!$A$5:$A$104,0)),4),Settings!$A$22:$A$26,0))+N($I47),IF($D47="Late cancel",INDEX(Properties!$I$5:$I$104,MATCH($B47,Properties!$A$5:$A$104,0))*Settings!$B$10,0))),0))</f>
        <v/>
      </c>
      <c r="O47" s="28" t="str">
        <f aca="false">IF($B47="","",IFERROR(IF($D47="Completed",INDEX(Properties!$L$5:$L$104,MATCH($B47,Properties!$A$5:$A$104,0))+IF($G47="Y",INDEX(Properties!$I$5:$I$104,MATCH($B47,Properties!$A$5:$A$104,0))*Settings!$B$8*Settings!$B$9,0)+IF($H47="Y",Settings!$B$7*Settings!$B$9,0)+N($I47)*Settings!$B$9,IF($D47="Deep clean",INDEX(Settings!$E$22:$E$26,MATCH(MIN(INDEX(Properties!$E$5:$E$104,MATCH($B47,Properties!$A$5:$A$104,0)),4),Settings!$A$22:$A$26,0))*Settings!$B$19+N($I47)*Settings!$B$9,IF($D47="Late cancel",INDEX(Properties!$L$5:$L$104,MATCH($B47,Properties!$A$5:$A$104,0))*Settings!$B$11,0))),0))</f>
        <v/>
      </c>
      <c r="P47" s="28" t="str">
        <f aca="false">IF($B47="","",$N47-$O47)</f>
        <v/>
      </c>
      <c r="Q47" s="29" t="str">
        <f aca="false">IF($A47="","",DATE(YEAR($A47),MONTH($A47),1))</f>
        <v/>
      </c>
      <c r="R47" s="30" t="str">
        <f aca="false">IF($A47="","",$A47+MOD(6-WEEKDAY($A47),7))</f>
        <v/>
      </c>
      <c r="S47" s="31" t="str">
        <f aca="false">IF($B47="","",IF(AND($M47='Invoice Builder'!$C$5,$Q47='Invoice Builder'!$C$6,N($N47)&gt;0),COUNTIFS($M$5:$M47,'Invoice Builder'!$C$5,$Q$5:$Q47,'Invoice Builder'!$C$6,$N$5:$N47,"&gt;0"),""))</f>
        <v/>
      </c>
      <c r="T47" s="27" t="str">
        <f aca="false">IF($A47="","",IF($A47&gt;=DATE(YEAR($A47),4,6),YEAR($A47)&amp;"/"&amp;RIGHT(YEAR($A47)+1,2),YEAR($A47)-1&amp;"/"&amp;RIGHT(YEAR($A47),2)))</f>
        <v/>
      </c>
    </row>
    <row r="48" customFormat="false" ht="15" hidden="false" customHeight="false" outlineLevel="0" collapsed="false">
      <c r="A48" s="22"/>
      <c r="B48" s="23"/>
      <c r="C48" s="23"/>
      <c r="D48" s="23"/>
      <c r="E48" s="24"/>
      <c r="F48" s="24"/>
      <c r="G48" s="23"/>
      <c r="H48" s="23"/>
      <c r="I48" s="25"/>
      <c r="J48" s="23"/>
      <c r="K48" s="23"/>
      <c r="L48" s="26" t="str">
        <f aca="false">IF(OR($E48="",$F48=""),"",MOD($F48-$E48,1)*24)</f>
        <v/>
      </c>
      <c r="M48" s="27" t="str">
        <f aca="false">IF($B48="","",IFERROR(INDEX(Properties!$D$5:$D$104,MATCH($B48,Properties!$A$5:$A$104,0)),"?"))</f>
        <v/>
      </c>
      <c r="N48" s="28" t="str">
        <f aca="false">IF($B48="","",IFERROR(IF($D48="Completed",INDEX(Properties!$I$5:$I$104,MATCH($B48,Properties!$A$5:$A$104,0))*(1+IF($G48="Y",Settings!$B$8,0))+IF($H48="Y",Settings!$B$7,0)+N($I48),IF($D48="Deep clean",INDEX(Settings!$E$22:$E$26,MATCH(MIN(INDEX(Properties!$E$5:$E$104,MATCH($B48,Properties!$A$5:$A$104,0)),4),Settings!$A$22:$A$26,0))+N($I48),IF($D48="Late cancel",INDEX(Properties!$I$5:$I$104,MATCH($B48,Properties!$A$5:$A$104,0))*Settings!$B$10,0))),0))</f>
        <v/>
      </c>
      <c r="O48" s="28" t="str">
        <f aca="false">IF($B48="","",IFERROR(IF($D48="Completed",INDEX(Properties!$L$5:$L$104,MATCH($B48,Properties!$A$5:$A$104,0))+IF($G48="Y",INDEX(Properties!$I$5:$I$104,MATCH($B48,Properties!$A$5:$A$104,0))*Settings!$B$8*Settings!$B$9,0)+IF($H48="Y",Settings!$B$7*Settings!$B$9,0)+N($I48)*Settings!$B$9,IF($D48="Deep clean",INDEX(Settings!$E$22:$E$26,MATCH(MIN(INDEX(Properties!$E$5:$E$104,MATCH($B48,Properties!$A$5:$A$104,0)),4),Settings!$A$22:$A$26,0))*Settings!$B$19+N($I48)*Settings!$B$9,IF($D48="Late cancel",INDEX(Properties!$L$5:$L$104,MATCH($B48,Properties!$A$5:$A$104,0))*Settings!$B$11,0))),0))</f>
        <v/>
      </c>
      <c r="P48" s="28" t="str">
        <f aca="false">IF($B48="","",$N48-$O48)</f>
        <v/>
      </c>
      <c r="Q48" s="29" t="str">
        <f aca="false">IF($A48="","",DATE(YEAR($A48),MONTH($A48),1))</f>
        <v/>
      </c>
      <c r="R48" s="30" t="str">
        <f aca="false">IF($A48="","",$A48+MOD(6-WEEKDAY($A48),7))</f>
        <v/>
      </c>
      <c r="S48" s="31" t="str">
        <f aca="false">IF($B48="","",IF(AND($M48='Invoice Builder'!$C$5,$Q48='Invoice Builder'!$C$6,N($N48)&gt;0),COUNTIFS($M$5:$M48,'Invoice Builder'!$C$5,$Q$5:$Q48,'Invoice Builder'!$C$6,$N$5:$N48,"&gt;0"),""))</f>
        <v/>
      </c>
      <c r="T48" s="27" t="str">
        <f aca="false">IF($A48="","",IF($A48&gt;=DATE(YEAR($A48),4,6),YEAR($A48)&amp;"/"&amp;RIGHT(YEAR($A48)+1,2),YEAR($A48)-1&amp;"/"&amp;RIGHT(YEAR($A48),2)))</f>
        <v/>
      </c>
    </row>
    <row r="49" customFormat="false" ht="15" hidden="false" customHeight="false" outlineLevel="0" collapsed="false">
      <c r="A49" s="22"/>
      <c r="B49" s="23"/>
      <c r="C49" s="23"/>
      <c r="D49" s="23"/>
      <c r="E49" s="24"/>
      <c r="F49" s="24"/>
      <c r="G49" s="23"/>
      <c r="H49" s="23"/>
      <c r="I49" s="25"/>
      <c r="J49" s="23"/>
      <c r="K49" s="23"/>
      <c r="L49" s="26" t="str">
        <f aca="false">IF(OR($E49="",$F49=""),"",MOD($F49-$E49,1)*24)</f>
        <v/>
      </c>
      <c r="M49" s="27" t="str">
        <f aca="false">IF($B49="","",IFERROR(INDEX(Properties!$D$5:$D$104,MATCH($B49,Properties!$A$5:$A$104,0)),"?"))</f>
        <v/>
      </c>
      <c r="N49" s="28" t="str">
        <f aca="false">IF($B49="","",IFERROR(IF($D49="Completed",INDEX(Properties!$I$5:$I$104,MATCH($B49,Properties!$A$5:$A$104,0))*(1+IF($G49="Y",Settings!$B$8,0))+IF($H49="Y",Settings!$B$7,0)+N($I49),IF($D49="Deep clean",INDEX(Settings!$E$22:$E$26,MATCH(MIN(INDEX(Properties!$E$5:$E$104,MATCH($B49,Properties!$A$5:$A$104,0)),4),Settings!$A$22:$A$26,0))+N($I49),IF($D49="Late cancel",INDEX(Properties!$I$5:$I$104,MATCH($B49,Properties!$A$5:$A$104,0))*Settings!$B$10,0))),0))</f>
        <v/>
      </c>
      <c r="O49" s="28" t="str">
        <f aca="false">IF($B49="","",IFERROR(IF($D49="Completed",INDEX(Properties!$L$5:$L$104,MATCH($B49,Properties!$A$5:$A$104,0))+IF($G49="Y",INDEX(Properties!$I$5:$I$104,MATCH($B49,Properties!$A$5:$A$104,0))*Settings!$B$8*Settings!$B$9,0)+IF($H49="Y",Settings!$B$7*Settings!$B$9,0)+N($I49)*Settings!$B$9,IF($D49="Deep clean",INDEX(Settings!$E$22:$E$26,MATCH(MIN(INDEX(Properties!$E$5:$E$104,MATCH($B49,Properties!$A$5:$A$104,0)),4),Settings!$A$22:$A$26,0))*Settings!$B$19+N($I49)*Settings!$B$9,IF($D49="Late cancel",INDEX(Properties!$L$5:$L$104,MATCH($B49,Properties!$A$5:$A$104,0))*Settings!$B$11,0))),0))</f>
        <v/>
      </c>
      <c r="P49" s="28" t="str">
        <f aca="false">IF($B49="","",$N49-$O49)</f>
        <v/>
      </c>
      <c r="Q49" s="29" t="str">
        <f aca="false">IF($A49="","",DATE(YEAR($A49),MONTH($A49),1))</f>
        <v/>
      </c>
      <c r="R49" s="30" t="str">
        <f aca="false">IF($A49="","",$A49+MOD(6-WEEKDAY($A49),7))</f>
        <v/>
      </c>
      <c r="S49" s="31" t="str">
        <f aca="false">IF($B49="","",IF(AND($M49='Invoice Builder'!$C$5,$Q49='Invoice Builder'!$C$6,N($N49)&gt;0),COUNTIFS($M$5:$M49,'Invoice Builder'!$C$5,$Q$5:$Q49,'Invoice Builder'!$C$6,$N$5:$N49,"&gt;0"),""))</f>
        <v/>
      </c>
      <c r="T49" s="27" t="str">
        <f aca="false">IF($A49="","",IF($A49&gt;=DATE(YEAR($A49),4,6),YEAR($A49)&amp;"/"&amp;RIGHT(YEAR($A49)+1,2),YEAR($A49)-1&amp;"/"&amp;RIGHT(YEAR($A49),2)))</f>
        <v/>
      </c>
    </row>
    <row r="50" customFormat="false" ht="15" hidden="false" customHeight="false" outlineLevel="0" collapsed="false">
      <c r="A50" s="22"/>
      <c r="B50" s="23"/>
      <c r="C50" s="23"/>
      <c r="D50" s="23"/>
      <c r="E50" s="24"/>
      <c r="F50" s="24"/>
      <c r="G50" s="23"/>
      <c r="H50" s="23"/>
      <c r="I50" s="25"/>
      <c r="J50" s="23"/>
      <c r="K50" s="23"/>
      <c r="L50" s="26" t="str">
        <f aca="false">IF(OR($E50="",$F50=""),"",MOD($F50-$E50,1)*24)</f>
        <v/>
      </c>
      <c r="M50" s="27" t="str">
        <f aca="false">IF($B50="","",IFERROR(INDEX(Properties!$D$5:$D$104,MATCH($B50,Properties!$A$5:$A$104,0)),"?"))</f>
        <v/>
      </c>
      <c r="N50" s="28" t="str">
        <f aca="false">IF($B50="","",IFERROR(IF($D50="Completed",INDEX(Properties!$I$5:$I$104,MATCH($B50,Properties!$A$5:$A$104,0))*(1+IF($G50="Y",Settings!$B$8,0))+IF($H50="Y",Settings!$B$7,0)+N($I50),IF($D50="Deep clean",INDEX(Settings!$E$22:$E$26,MATCH(MIN(INDEX(Properties!$E$5:$E$104,MATCH($B50,Properties!$A$5:$A$104,0)),4),Settings!$A$22:$A$26,0))+N($I50),IF($D50="Late cancel",INDEX(Properties!$I$5:$I$104,MATCH($B50,Properties!$A$5:$A$104,0))*Settings!$B$10,0))),0))</f>
        <v/>
      </c>
      <c r="O50" s="28" t="str">
        <f aca="false">IF($B50="","",IFERROR(IF($D50="Completed",INDEX(Properties!$L$5:$L$104,MATCH($B50,Properties!$A$5:$A$104,0))+IF($G50="Y",INDEX(Properties!$I$5:$I$104,MATCH($B50,Properties!$A$5:$A$104,0))*Settings!$B$8*Settings!$B$9,0)+IF($H50="Y",Settings!$B$7*Settings!$B$9,0)+N($I50)*Settings!$B$9,IF($D50="Deep clean",INDEX(Settings!$E$22:$E$26,MATCH(MIN(INDEX(Properties!$E$5:$E$104,MATCH($B50,Properties!$A$5:$A$104,0)),4),Settings!$A$22:$A$26,0))*Settings!$B$19+N($I50)*Settings!$B$9,IF($D50="Late cancel",INDEX(Properties!$L$5:$L$104,MATCH($B50,Properties!$A$5:$A$104,0))*Settings!$B$11,0))),0))</f>
        <v/>
      </c>
      <c r="P50" s="28" t="str">
        <f aca="false">IF($B50="","",$N50-$O50)</f>
        <v/>
      </c>
      <c r="Q50" s="29" t="str">
        <f aca="false">IF($A50="","",DATE(YEAR($A50),MONTH($A50),1))</f>
        <v/>
      </c>
      <c r="R50" s="30" t="str">
        <f aca="false">IF($A50="","",$A50+MOD(6-WEEKDAY($A50),7))</f>
        <v/>
      </c>
      <c r="S50" s="31" t="str">
        <f aca="false">IF($B50="","",IF(AND($M50='Invoice Builder'!$C$5,$Q50='Invoice Builder'!$C$6,N($N50)&gt;0),COUNTIFS($M$5:$M50,'Invoice Builder'!$C$5,$Q$5:$Q50,'Invoice Builder'!$C$6,$N$5:$N50,"&gt;0"),""))</f>
        <v/>
      </c>
      <c r="T50" s="27" t="str">
        <f aca="false">IF($A50="","",IF($A50&gt;=DATE(YEAR($A50),4,6),YEAR($A50)&amp;"/"&amp;RIGHT(YEAR($A50)+1,2),YEAR($A50)-1&amp;"/"&amp;RIGHT(YEAR($A50),2)))</f>
        <v/>
      </c>
    </row>
    <row r="51" customFormat="false" ht="15" hidden="false" customHeight="false" outlineLevel="0" collapsed="false">
      <c r="A51" s="22"/>
      <c r="B51" s="23"/>
      <c r="C51" s="23"/>
      <c r="D51" s="23"/>
      <c r="E51" s="24"/>
      <c r="F51" s="24"/>
      <c r="G51" s="23"/>
      <c r="H51" s="23"/>
      <c r="I51" s="25"/>
      <c r="J51" s="23"/>
      <c r="K51" s="23"/>
      <c r="L51" s="26" t="str">
        <f aca="false">IF(OR($E51="",$F51=""),"",MOD($F51-$E51,1)*24)</f>
        <v/>
      </c>
      <c r="M51" s="27" t="str">
        <f aca="false">IF($B51="","",IFERROR(INDEX(Properties!$D$5:$D$104,MATCH($B51,Properties!$A$5:$A$104,0)),"?"))</f>
        <v/>
      </c>
      <c r="N51" s="28" t="str">
        <f aca="false">IF($B51="","",IFERROR(IF($D51="Completed",INDEX(Properties!$I$5:$I$104,MATCH($B51,Properties!$A$5:$A$104,0))*(1+IF($G51="Y",Settings!$B$8,0))+IF($H51="Y",Settings!$B$7,0)+N($I51),IF($D51="Deep clean",INDEX(Settings!$E$22:$E$26,MATCH(MIN(INDEX(Properties!$E$5:$E$104,MATCH($B51,Properties!$A$5:$A$104,0)),4),Settings!$A$22:$A$26,0))+N($I51),IF($D51="Late cancel",INDEX(Properties!$I$5:$I$104,MATCH($B51,Properties!$A$5:$A$104,0))*Settings!$B$10,0))),0))</f>
        <v/>
      </c>
      <c r="O51" s="28" t="str">
        <f aca="false">IF($B51="","",IFERROR(IF($D51="Completed",INDEX(Properties!$L$5:$L$104,MATCH($B51,Properties!$A$5:$A$104,0))+IF($G51="Y",INDEX(Properties!$I$5:$I$104,MATCH($B51,Properties!$A$5:$A$104,0))*Settings!$B$8*Settings!$B$9,0)+IF($H51="Y",Settings!$B$7*Settings!$B$9,0)+N($I51)*Settings!$B$9,IF($D51="Deep clean",INDEX(Settings!$E$22:$E$26,MATCH(MIN(INDEX(Properties!$E$5:$E$104,MATCH($B51,Properties!$A$5:$A$104,0)),4),Settings!$A$22:$A$26,0))*Settings!$B$19+N($I51)*Settings!$B$9,IF($D51="Late cancel",INDEX(Properties!$L$5:$L$104,MATCH($B51,Properties!$A$5:$A$104,0))*Settings!$B$11,0))),0))</f>
        <v/>
      </c>
      <c r="P51" s="28" t="str">
        <f aca="false">IF($B51="","",$N51-$O51)</f>
        <v/>
      </c>
      <c r="Q51" s="29" t="str">
        <f aca="false">IF($A51="","",DATE(YEAR($A51),MONTH($A51),1))</f>
        <v/>
      </c>
      <c r="R51" s="30" t="str">
        <f aca="false">IF($A51="","",$A51+MOD(6-WEEKDAY($A51),7))</f>
        <v/>
      </c>
      <c r="S51" s="31" t="str">
        <f aca="false">IF($B51="","",IF(AND($M51='Invoice Builder'!$C$5,$Q51='Invoice Builder'!$C$6,N($N51)&gt;0),COUNTIFS($M$5:$M51,'Invoice Builder'!$C$5,$Q$5:$Q51,'Invoice Builder'!$C$6,$N$5:$N51,"&gt;0"),""))</f>
        <v/>
      </c>
      <c r="T51" s="27" t="str">
        <f aca="false">IF($A51="","",IF($A51&gt;=DATE(YEAR($A51),4,6),YEAR($A51)&amp;"/"&amp;RIGHT(YEAR($A51)+1,2),YEAR($A51)-1&amp;"/"&amp;RIGHT(YEAR($A51),2)))</f>
        <v/>
      </c>
    </row>
    <row r="52" customFormat="false" ht="15" hidden="false" customHeight="false" outlineLevel="0" collapsed="false">
      <c r="A52" s="22"/>
      <c r="B52" s="23"/>
      <c r="C52" s="23"/>
      <c r="D52" s="23"/>
      <c r="E52" s="24"/>
      <c r="F52" s="24"/>
      <c r="G52" s="23"/>
      <c r="H52" s="23"/>
      <c r="I52" s="25"/>
      <c r="J52" s="23"/>
      <c r="K52" s="23"/>
      <c r="L52" s="26" t="str">
        <f aca="false">IF(OR($E52="",$F52=""),"",MOD($F52-$E52,1)*24)</f>
        <v/>
      </c>
      <c r="M52" s="27" t="str">
        <f aca="false">IF($B52="","",IFERROR(INDEX(Properties!$D$5:$D$104,MATCH($B52,Properties!$A$5:$A$104,0)),"?"))</f>
        <v/>
      </c>
      <c r="N52" s="28" t="str">
        <f aca="false">IF($B52="","",IFERROR(IF($D52="Completed",INDEX(Properties!$I$5:$I$104,MATCH($B52,Properties!$A$5:$A$104,0))*(1+IF($G52="Y",Settings!$B$8,0))+IF($H52="Y",Settings!$B$7,0)+N($I52),IF($D52="Deep clean",INDEX(Settings!$E$22:$E$26,MATCH(MIN(INDEX(Properties!$E$5:$E$104,MATCH($B52,Properties!$A$5:$A$104,0)),4),Settings!$A$22:$A$26,0))+N($I52),IF($D52="Late cancel",INDEX(Properties!$I$5:$I$104,MATCH($B52,Properties!$A$5:$A$104,0))*Settings!$B$10,0))),0))</f>
        <v/>
      </c>
      <c r="O52" s="28" t="str">
        <f aca="false">IF($B52="","",IFERROR(IF($D52="Completed",INDEX(Properties!$L$5:$L$104,MATCH($B52,Properties!$A$5:$A$104,0))+IF($G52="Y",INDEX(Properties!$I$5:$I$104,MATCH($B52,Properties!$A$5:$A$104,0))*Settings!$B$8*Settings!$B$9,0)+IF($H52="Y",Settings!$B$7*Settings!$B$9,0)+N($I52)*Settings!$B$9,IF($D52="Deep clean",INDEX(Settings!$E$22:$E$26,MATCH(MIN(INDEX(Properties!$E$5:$E$104,MATCH($B52,Properties!$A$5:$A$104,0)),4),Settings!$A$22:$A$26,0))*Settings!$B$19+N($I52)*Settings!$B$9,IF($D52="Late cancel",INDEX(Properties!$L$5:$L$104,MATCH($B52,Properties!$A$5:$A$104,0))*Settings!$B$11,0))),0))</f>
        <v/>
      </c>
      <c r="P52" s="28" t="str">
        <f aca="false">IF($B52="","",$N52-$O52)</f>
        <v/>
      </c>
      <c r="Q52" s="29" t="str">
        <f aca="false">IF($A52="","",DATE(YEAR($A52),MONTH($A52),1))</f>
        <v/>
      </c>
      <c r="R52" s="30" t="str">
        <f aca="false">IF($A52="","",$A52+MOD(6-WEEKDAY($A52),7))</f>
        <v/>
      </c>
      <c r="S52" s="31" t="str">
        <f aca="false">IF($B52="","",IF(AND($M52='Invoice Builder'!$C$5,$Q52='Invoice Builder'!$C$6,N($N52)&gt;0),COUNTIFS($M$5:$M52,'Invoice Builder'!$C$5,$Q$5:$Q52,'Invoice Builder'!$C$6,$N$5:$N52,"&gt;0"),""))</f>
        <v/>
      </c>
      <c r="T52" s="27" t="str">
        <f aca="false">IF($A52="","",IF($A52&gt;=DATE(YEAR($A52),4,6),YEAR($A52)&amp;"/"&amp;RIGHT(YEAR($A52)+1,2),YEAR($A52)-1&amp;"/"&amp;RIGHT(YEAR($A52),2)))</f>
        <v/>
      </c>
    </row>
    <row r="53" customFormat="false" ht="15" hidden="false" customHeight="false" outlineLevel="0" collapsed="false">
      <c r="A53" s="22"/>
      <c r="B53" s="23"/>
      <c r="C53" s="23"/>
      <c r="D53" s="23"/>
      <c r="E53" s="24"/>
      <c r="F53" s="24"/>
      <c r="G53" s="23"/>
      <c r="H53" s="23"/>
      <c r="I53" s="25"/>
      <c r="J53" s="23"/>
      <c r="K53" s="23"/>
      <c r="L53" s="26" t="str">
        <f aca="false">IF(OR($E53="",$F53=""),"",MOD($F53-$E53,1)*24)</f>
        <v/>
      </c>
      <c r="M53" s="27" t="str">
        <f aca="false">IF($B53="","",IFERROR(INDEX(Properties!$D$5:$D$104,MATCH($B53,Properties!$A$5:$A$104,0)),"?"))</f>
        <v/>
      </c>
      <c r="N53" s="28" t="str">
        <f aca="false">IF($B53="","",IFERROR(IF($D53="Completed",INDEX(Properties!$I$5:$I$104,MATCH($B53,Properties!$A$5:$A$104,0))*(1+IF($G53="Y",Settings!$B$8,0))+IF($H53="Y",Settings!$B$7,0)+N($I53),IF($D53="Deep clean",INDEX(Settings!$E$22:$E$26,MATCH(MIN(INDEX(Properties!$E$5:$E$104,MATCH($B53,Properties!$A$5:$A$104,0)),4),Settings!$A$22:$A$26,0))+N($I53),IF($D53="Late cancel",INDEX(Properties!$I$5:$I$104,MATCH($B53,Properties!$A$5:$A$104,0))*Settings!$B$10,0))),0))</f>
        <v/>
      </c>
      <c r="O53" s="28" t="str">
        <f aca="false">IF($B53="","",IFERROR(IF($D53="Completed",INDEX(Properties!$L$5:$L$104,MATCH($B53,Properties!$A$5:$A$104,0))+IF($G53="Y",INDEX(Properties!$I$5:$I$104,MATCH($B53,Properties!$A$5:$A$104,0))*Settings!$B$8*Settings!$B$9,0)+IF($H53="Y",Settings!$B$7*Settings!$B$9,0)+N($I53)*Settings!$B$9,IF($D53="Deep clean",INDEX(Settings!$E$22:$E$26,MATCH(MIN(INDEX(Properties!$E$5:$E$104,MATCH($B53,Properties!$A$5:$A$104,0)),4),Settings!$A$22:$A$26,0))*Settings!$B$19+N($I53)*Settings!$B$9,IF($D53="Late cancel",INDEX(Properties!$L$5:$L$104,MATCH($B53,Properties!$A$5:$A$104,0))*Settings!$B$11,0))),0))</f>
        <v/>
      </c>
      <c r="P53" s="28" t="str">
        <f aca="false">IF($B53="","",$N53-$O53)</f>
        <v/>
      </c>
      <c r="Q53" s="29" t="str">
        <f aca="false">IF($A53="","",DATE(YEAR($A53),MONTH($A53),1))</f>
        <v/>
      </c>
      <c r="R53" s="30" t="str">
        <f aca="false">IF($A53="","",$A53+MOD(6-WEEKDAY($A53),7))</f>
        <v/>
      </c>
      <c r="S53" s="31" t="str">
        <f aca="false">IF($B53="","",IF(AND($M53='Invoice Builder'!$C$5,$Q53='Invoice Builder'!$C$6,N($N53)&gt;0),COUNTIFS($M$5:$M53,'Invoice Builder'!$C$5,$Q$5:$Q53,'Invoice Builder'!$C$6,$N$5:$N53,"&gt;0"),""))</f>
        <v/>
      </c>
      <c r="T53" s="27" t="str">
        <f aca="false">IF($A53="","",IF($A53&gt;=DATE(YEAR($A53),4,6),YEAR($A53)&amp;"/"&amp;RIGHT(YEAR($A53)+1,2),YEAR($A53)-1&amp;"/"&amp;RIGHT(YEAR($A53),2)))</f>
        <v/>
      </c>
    </row>
    <row r="54" customFormat="false" ht="15" hidden="false" customHeight="false" outlineLevel="0" collapsed="false">
      <c r="A54" s="22"/>
      <c r="B54" s="23"/>
      <c r="C54" s="23"/>
      <c r="D54" s="23"/>
      <c r="E54" s="24"/>
      <c r="F54" s="24"/>
      <c r="G54" s="23"/>
      <c r="H54" s="23"/>
      <c r="I54" s="25"/>
      <c r="J54" s="23"/>
      <c r="K54" s="23"/>
      <c r="L54" s="26" t="str">
        <f aca="false">IF(OR($E54="",$F54=""),"",MOD($F54-$E54,1)*24)</f>
        <v/>
      </c>
      <c r="M54" s="27" t="str">
        <f aca="false">IF($B54="","",IFERROR(INDEX(Properties!$D$5:$D$104,MATCH($B54,Properties!$A$5:$A$104,0)),"?"))</f>
        <v/>
      </c>
      <c r="N54" s="28" t="str">
        <f aca="false">IF($B54="","",IFERROR(IF($D54="Completed",INDEX(Properties!$I$5:$I$104,MATCH($B54,Properties!$A$5:$A$104,0))*(1+IF($G54="Y",Settings!$B$8,0))+IF($H54="Y",Settings!$B$7,0)+N($I54),IF($D54="Deep clean",INDEX(Settings!$E$22:$E$26,MATCH(MIN(INDEX(Properties!$E$5:$E$104,MATCH($B54,Properties!$A$5:$A$104,0)),4),Settings!$A$22:$A$26,0))+N($I54),IF($D54="Late cancel",INDEX(Properties!$I$5:$I$104,MATCH($B54,Properties!$A$5:$A$104,0))*Settings!$B$10,0))),0))</f>
        <v/>
      </c>
      <c r="O54" s="28" t="str">
        <f aca="false">IF($B54="","",IFERROR(IF($D54="Completed",INDEX(Properties!$L$5:$L$104,MATCH($B54,Properties!$A$5:$A$104,0))+IF($G54="Y",INDEX(Properties!$I$5:$I$104,MATCH($B54,Properties!$A$5:$A$104,0))*Settings!$B$8*Settings!$B$9,0)+IF($H54="Y",Settings!$B$7*Settings!$B$9,0)+N($I54)*Settings!$B$9,IF($D54="Deep clean",INDEX(Settings!$E$22:$E$26,MATCH(MIN(INDEX(Properties!$E$5:$E$104,MATCH($B54,Properties!$A$5:$A$104,0)),4),Settings!$A$22:$A$26,0))*Settings!$B$19+N($I54)*Settings!$B$9,IF($D54="Late cancel",INDEX(Properties!$L$5:$L$104,MATCH($B54,Properties!$A$5:$A$104,0))*Settings!$B$11,0))),0))</f>
        <v/>
      </c>
      <c r="P54" s="28" t="str">
        <f aca="false">IF($B54="","",$N54-$O54)</f>
        <v/>
      </c>
      <c r="Q54" s="29" t="str">
        <f aca="false">IF($A54="","",DATE(YEAR($A54),MONTH($A54),1))</f>
        <v/>
      </c>
      <c r="R54" s="30" t="str">
        <f aca="false">IF($A54="","",$A54+MOD(6-WEEKDAY($A54),7))</f>
        <v/>
      </c>
      <c r="S54" s="31" t="str">
        <f aca="false">IF($B54="","",IF(AND($M54='Invoice Builder'!$C$5,$Q54='Invoice Builder'!$C$6,N($N54)&gt;0),COUNTIFS($M$5:$M54,'Invoice Builder'!$C$5,$Q$5:$Q54,'Invoice Builder'!$C$6,$N$5:$N54,"&gt;0"),""))</f>
        <v/>
      </c>
      <c r="T54" s="27" t="str">
        <f aca="false">IF($A54="","",IF($A54&gt;=DATE(YEAR($A54),4,6),YEAR($A54)&amp;"/"&amp;RIGHT(YEAR($A54)+1,2),YEAR($A54)-1&amp;"/"&amp;RIGHT(YEAR($A54),2)))</f>
        <v/>
      </c>
    </row>
    <row r="55" customFormat="false" ht="15" hidden="false" customHeight="false" outlineLevel="0" collapsed="false">
      <c r="A55" s="22"/>
      <c r="B55" s="23"/>
      <c r="C55" s="23"/>
      <c r="D55" s="23"/>
      <c r="E55" s="24"/>
      <c r="F55" s="24"/>
      <c r="G55" s="23"/>
      <c r="H55" s="23"/>
      <c r="I55" s="25"/>
      <c r="J55" s="23"/>
      <c r="K55" s="23"/>
      <c r="L55" s="26" t="str">
        <f aca="false">IF(OR($E55="",$F55=""),"",MOD($F55-$E55,1)*24)</f>
        <v/>
      </c>
      <c r="M55" s="27" t="str">
        <f aca="false">IF($B55="","",IFERROR(INDEX(Properties!$D$5:$D$104,MATCH($B55,Properties!$A$5:$A$104,0)),"?"))</f>
        <v/>
      </c>
      <c r="N55" s="28" t="str">
        <f aca="false">IF($B55="","",IFERROR(IF($D55="Completed",INDEX(Properties!$I$5:$I$104,MATCH($B55,Properties!$A$5:$A$104,0))*(1+IF($G55="Y",Settings!$B$8,0))+IF($H55="Y",Settings!$B$7,0)+N($I55),IF($D55="Deep clean",INDEX(Settings!$E$22:$E$26,MATCH(MIN(INDEX(Properties!$E$5:$E$104,MATCH($B55,Properties!$A$5:$A$104,0)),4),Settings!$A$22:$A$26,0))+N($I55),IF($D55="Late cancel",INDEX(Properties!$I$5:$I$104,MATCH($B55,Properties!$A$5:$A$104,0))*Settings!$B$10,0))),0))</f>
        <v/>
      </c>
      <c r="O55" s="28" t="str">
        <f aca="false">IF($B55="","",IFERROR(IF($D55="Completed",INDEX(Properties!$L$5:$L$104,MATCH($B55,Properties!$A$5:$A$104,0))+IF($G55="Y",INDEX(Properties!$I$5:$I$104,MATCH($B55,Properties!$A$5:$A$104,0))*Settings!$B$8*Settings!$B$9,0)+IF($H55="Y",Settings!$B$7*Settings!$B$9,0)+N($I55)*Settings!$B$9,IF($D55="Deep clean",INDEX(Settings!$E$22:$E$26,MATCH(MIN(INDEX(Properties!$E$5:$E$104,MATCH($B55,Properties!$A$5:$A$104,0)),4),Settings!$A$22:$A$26,0))*Settings!$B$19+N($I55)*Settings!$B$9,IF($D55="Late cancel",INDEX(Properties!$L$5:$L$104,MATCH($B55,Properties!$A$5:$A$104,0))*Settings!$B$11,0))),0))</f>
        <v/>
      </c>
      <c r="P55" s="28" t="str">
        <f aca="false">IF($B55="","",$N55-$O55)</f>
        <v/>
      </c>
      <c r="Q55" s="29" t="str">
        <f aca="false">IF($A55="","",DATE(YEAR($A55),MONTH($A55),1))</f>
        <v/>
      </c>
      <c r="R55" s="30" t="str">
        <f aca="false">IF($A55="","",$A55+MOD(6-WEEKDAY($A55),7))</f>
        <v/>
      </c>
      <c r="S55" s="31" t="str">
        <f aca="false">IF($B55="","",IF(AND($M55='Invoice Builder'!$C$5,$Q55='Invoice Builder'!$C$6,N($N55)&gt;0),COUNTIFS($M$5:$M55,'Invoice Builder'!$C$5,$Q$5:$Q55,'Invoice Builder'!$C$6,$N$5:$N55,"&gt;0"),""))</f>
        <v/>
      </c>
      <c r="T55" s="27" t="str">
        <f aca="false">IF($A55="","",IF($A55&gt;=DATE(YEAR($A55),4,6),YEAR($A55)&amp;"/"&amp;RIGHT(YEAR($A55)+1,2),YEAR($A55)-1&amp;"/"&amp;RIGHT(YEAR($A55),2)))</f>
        <v/>
      </c>
    </row>
    <row r="56" customFormat="false" ht="15" hidden="false" customHeight="false" outlineLevel="0" collapsed="false">
      <c r="A56" s="22"/>
      <c r="B56" s="23"/>
      <c r="C56" s="23"/>
      <c r="D56" s="23"/>
      <c r="E56" s="24"/>
      <c r="F56" s="24"/>
      <c r="G56" s="23"/>
      <c r="H56" s="23"/>
      <c r="I56" s="25"/>
      <c r="J56" s="23"/>
      <c r="K56" s="23"/>
      <c r="L56" s="26" t="str">
        <f aca="false">IF(OR($E56="",$F56=""),"",MOD($F56-$E56,1)*24)</f>
        <v/>
      </c>
      <c r="M56" s="27" t="str">
        <f aca="false">IF($B56="","",IFERROR(INDEX(Properties!$D$5:$D$104,MATCH($B56,Properties!$A$5:$A$104,0)),"?"))</f>
        <v/>
      </c>
      <c r="N56" s="28" t="str">
        <f aca="false">IF($B56="","",IFERROR(IF($D56="Completed",INDEX(Properties!$I$5:$I$104,MATCH($B56,Properties!$A$5:$A$104,0))*(1+IF($G56="Y",Settings!$B$8,0))+IF($H56="Y",Settings!$B$7,0)+N($I56),IF($D56="Deep clean",INDEX(Settings!$E$22:$E$26,MATCH(MIN(INDEX(Properties!$E$5:$E$104,MATCH($B56,Properties!$A$5:$A$104,0)),4),Settings!$A$22:$A$26,0))+N($I56),IF($D56="Late cancel",INDEX(Properties!$I$5:$I$104,MATCH($B56,Properties!$A$5:$A$104,0))*Settings!$B$10,0))),0))</f>
        <v/>
      </c>
      <c r="O56" s="28" t="str">
        <f aca="false">IF($B56="","",IFERROR(IF($D56="Completed",INDEX(Properties!$L$5:$L$104,MATCH($B56,Properties!$A$5:$A$104,0))+IF($G56="Y",INDEX(Properties!$I$5:$I$104,MATCH($B56,Properties!$A$5:$A$104,0))*Settings!$B$8*Settings!$B$9,0)+IF($H56="Y",Settings!$B$7*Settings!$B$9,0)+N($I56)*Settings!$B$9,IF($D56="Deep clean",INDEX(Settings!$E$22:$E$26,MATCH(MIN(INDEX(Properties!$E$5:$E$104,MATCH($B56,Properties!$A$5:$A$104,0)),4),Settings!$A$22:$A$26,0))*Settings!$B$19+N($I56)*Settings!$B$9,IF($D56="Late cancel",INDEX(Properties!$L$5:$L$104,MATCH($B56,Properties!$A$5:$A$104,0))*Settings!$B$11,0))),0))</f>
        <v/>
      </c>
      <c r="P56" s="28" t="str">
        <f aca="false">IF($B56="","",$N56-$O56)</f>
        <v/>
      </c>
      <c r="Q56" s="29" t="str">
        <f aca="false">IF($A56="","",DATE(YEAR($A56),MONTH($A56),1))</f>
        <v/>
      </c>
      <c r="R56" s="30" t="str">
        <f aca="false">IF($A56="","",$A56+MOD(6-WEEKDAY($A56),7))</f>
        <v/>
      </c>
      <c r="S56" s="31" t="str">
        <f aca="false">IF($B56="","",IF(AND($M56='Invoice Builder'!$C$5,$Q56='Invoice Builder'!$C$6,N($N56)&gt;0),COUNTIFS($M$5:$M56,'Invoice Builder'!$C$5,$Q$5:$Q56,'Invoice Builder'!$C$6,$N$5:$N56,"&gt;0"),""))</f>
        <v/>
      </c>
      <c r="T56" s="27" t="str">
        <f aca="false">IF($A56="","",IF($A56&gt;=DATE(YEAR($A56),4,6),YEAR($A56)&amp;"/"&amp;RIGHT(YEAR($A56)+1,2),YEAR($A56)-1&amp;"/"&amp;RIGHT(YEAR($A56),2)))</f>
        <v/>
      </c>
    </row>
    <row r="57" customFormat="false" ht="15" hidden="false" customHeight="false" outlineLevel="0" collapsed="false">
      <c r="A57" s="22"/>
      <c r="B57" s="23"/>
      <c r="C57" s="23"/>
      <c r="D57" s="23"/>
      <c r="E57" s="24"/>
      <c r="F57" s="24"/>
      <c r="G57" s="23"/>
      <c r="H57" s="23"/>
      <c r="I57" s="25"/>
      <c r="J57" s="23"/>
      <c r="K57" s="23"/>
      <c r="L57" s="26" t="str">
        <f aca="false">IF(OR($E57="",$F57=""),"",MOD($F57-$E57,1)*24)</f>
        <v/>
      </c>
      <c r="M57" s="27" t="str">
        <f aca="false">IF($B57="","",IFERROR(INDEX(Properties!$D$5:$D$104,MATCH($B57,Properties!$A$5:$A$104,0)),"?"))</f>
        <v/>
      </c>
      <c r="N57" s="28" t="str">
        <f aca="false">IF($B57="","",IFERROR(IF($D57="Completed",INDEX(Properties!$I$5:$I$104,MATCH($B57,Properties!$A$5:$A$104,0))*(1+IF($G57="Y",Settings!$B$8,0))+IF($H57="Y",Settings!$B$7,0)+N($I57),IF($D57="Deep clean",INDEX(Settings!$E$22:$E$26,MATCH(MIN(INDEX(Properties!$E$5:$E$104,MATCH($B57,Properties!$A$5:$A$104,0)),4),Settings!$A$22:$A$26,0))+N($I57),IF($D57="Late cancel",INDEX(Properties!$I$5:$I$104,MATCH($B57,Properties!$A$5:$A$104,0))*Settings!$B$10,0))),0))</f>
        <v/>
      </c>
      <c r="O57" s="28" t="str">
        <f aca="false">IF($B57="","",IFERROR(IF($D57="Completed",INDEX(Properties!$L$5:$L$104,MATCH($B57,Properties!$A$5:$A$104,0))+IF($G57="Y",INDEX(Properties!$I$5:$I$104,MATCH($B57,Properties!$A$5:$A$104,0))*Settings!$B$8*Settings!$B$9,0)+IF($H57="Y",Settings!$B$7*Settings!$B$9,0)+N($I57)*Settings!$B$9,IF($D57="Deep clean",INDEX(Settings!$E$22:$E$26,MATCH(MIN(INDEX(Properties!$E$5:$E$104,MATCH($B57,Properties!$A$5:$A$104,0)),4),Settings!$A$22:$A$26,0))*Settings!$B$19+N($I57)*Settings!$B$9,IF($D57="Late cancel",INDEX(Properties!$L$5:$L$104,MATCH($B57,Properties!$A$5:$A$104,0))*Settings!$B$11,0))),0))</f>
        <v/>
      </c>
      <c r="P57" s="28" t="str">
        <f aca="false">IF($B57="","",$N57-$O57)</f>
        <v/>
      </c>
      <c r="Q57" s="29" t="str">
        <f aca="false">IF($A57="","",DATE(YEAR($A57),MONTH($A57),1))</f>
        <v/>
      </c>
      <c r="R57" s="30" t="str">
        <f aca="false">IF($A57="","",$A57+MOD(6-WEEKDAY($A57),7))</f>
        <v/>
      </c>
      <c r="S57" s="31" t="str">
        <f aca="false">IF($B57="","",IF(AND($M57='Invoice Builder'!$C$5,$Q57='Invoice Builder'!$C$6,N($N57)&gt;0),COUNTIFS($M$5:$M57,'Invoice Builder'!$C$5,$Q$5:$Q57,'Invoice Builder'!$C$6,$N$5:$N57,"&gt;0"),""))</f>
        <v/>
      </c>
      <c r="T57" s="27" t="str">
        <f aca="false">IF($A57="","",IF($A57&gt;=DATE(YEAR($A57),4,6),YEAR($A57)&amp;"/"&amp;RIGHT(YEAR($A57)+1,2),YEAR($A57)-1&amp;"/"&amp;RIGHT(YEAR($A57),2)))</f>
        <v/>
      </c>
    </row>
    <row r="58" customFormat="false" ht="15" hidden="false" customHeight="false" outlineLevel="0" collapsed="false">
      <c r="A58" s="22"/>
      <c r="B58" s="23"/>
      <c r="C58" s="23"/>
      <c r="D58" s="23"/>
      <c r="E58" s="24"/>
      <c r="F58" s="24"/>
      <c r="G58" s="23"/>
      <c r="H58" s="23"/>
      <c r="I58" s="25"/>
      <c r="J58" s="23"/>
      <c r="K58" s="23"/>
      <c r="L58" s="26" t="str">
        <f aca="false">IF(OR($E58="",$F58=""),"",MOD($F58-$E58,1)*24)</f>
        <v/>
      </c>
      <c r="M58" s="27" t="str">
        <f aca="false">IF($B58="","",IFERROR(INDEX(Properties!$D$5:$D$104,MATCH($B58,Properties!$A$5:$A$104,0)),"?"))</f>
        <v/>
      </c>
      <c r="N58" s="28" t="str">
        <f aca="false">IF($B58="","",IFERROR(IF($D58="Completed",INDEX(Properties!$I$5:$I$104,MATCH($B58,Properties!$A$5:$A$104,0))*(1+IF($G58="Y",Settings!$B$8,0))+IF($H58="Y",Settings!$B$7,0)+N($I58),IF($D58="Deep clean",INDEX(Settings!$E$22:$E$26,MATCH(MIN(INDEX(Properties!$E$5:$E$104,MATCH($B58,Properties!$A$5:$A$104,0)),4),Settings!$A$22:$A$26,0))+N($I58),IF($D58="Late cancel",INDEX(Properties!$I$5:$I$104,MATCH($B58,Properties!$A$5:$A$104,0))*Settings!$B$10,0))),0))</f>
        <v/>
      </c>
      <c r="O58" s="28" t="str">
        <f aca="false">IF($B58="","",IFERROR(IF($D58="Completed",INDEX(Properties!$L$5:$L$104,MATCH($B58,Properties!$A$5:$A$104,0))+IF($G58="Y",INDEX(Properties!$I$5:$I$104,MATCH($B58,Properties!$A$5:$A$104,0))*Settings!$B$8*Settings!$B$9,0)+IF($H58="Y",Settings!$B$7*Settings!$B$9,0)+N($I58)*Settings!$B$9,IF($D58="Deep clean",INDEX(Settings!$E$22:$E$26,MATCH(MIN(INDEX(Properties!$E$5:$E$104,MATCH($B58,Properties!$A$5:$A$104,0)),4),Settings!$A$22:$A$26,0))*Settings!$B$19+N($I58)*Settings!$B$9,IF($D58="Late cancel",INDEX(Properties!$L$5:$L$104,MATCH($B58,Properties!$A$5:$A$104,0))*Settings!$B$11,0))),0))</f>
        <v/>
      </c>
      <c r="P58" s="28" t="str">
        <f aca="false">IF($B58="","",$N58-$O58)</f>
        <v/>
      </c>
      <c r="Q58" s="29" t="str">
        <f aca="false">IF($A58="","",DATE(YEAR($A58),MONTH($A58),1))</f>
        <v/>
      </c>
      <c r="R58" s="30" t="str">
        <f aca="false">IF($A58="","",$A58+MOD(6-WEEKDAY($A58),7))</f>
        <v/>
      </c>
      <c r="S58" s="31" t="str">
        <f aca="false">IF($B58="","",IF(AND($M58='Invoice Builder'!$C$5,$Q58='Invoice Builder'!$C$6,N($N58)&gt;0),COUNTIFS($M$5:$M58,'Invoice Builder'!$C$5,$Q$5:$Q58,'Invoice Builder'!$C$6,$N$5:$N58,"&gt;0"),""))</f>
        <v/>
      </c>
      <c r="T58" s="27" t="str">
        <f aca="false">IF($A58="","",IF($A58&gt;=DATE(YEAR($A58),4,6),YEAR($A58)&amp;"/"&amp;RIGHT(YEAR($A58)+1,2),YEAR($A58)-1&amp;"/"&amp;RIGHT(YEAR($A58),2)))</f>
        <v/>
      </c>
    </row>
    <row r="59" customFormat="false" ht="15" hidden="false" customHeight="false" outlineLevel="0" collapsed="false">
      <c r="A59" s="22"/>
      <c r="B59" s="23"/>
      <c r="C59" s="23"/>
      <c r="D59" s="23"/>
      <c r="E59" s="24"/>
      <c r="F59" s="24"/>
      <c r="G59" s="23"/>
      <c r="H59" s="23"/>
      <c r="I59" s="25"/>
      <c r="J59" s="23"/>
      <c r="K59" s="23"/>
      <c r="L59" s="26" t="str">
        <f aca="false">IF(OR($E59="",$F59=""),"",MOD($F59-$E59,1)*24)</f>
        <v/>
      </c>
      <c r="M59" s="27" t="str">
        <f aca="false">IF($B59="","",IFERROR(INDEX(Properties!$D$5:$D$104,MATCH($B59,Properties!$A$5:$A$104,0)),"?"))</f>
        <v/>
      </c>
      <c r="N59" s="28" t="str">
        <f aca="false">IF($B59="","",IFERROR(IF($D59="Completed",INDEX(Properties!$I$5:$I$104,MATCH($B59,Properties!$A$5:$A$104,0))*(1+IF($G59="Y",Settings!$B$8,0))+IF($H59="Y",Settings!$B$7,0)+N($I59),IF($D59="Deep clean",INDEX(Settings!$E$22:$E$26,MATCH(MIN(INDEX(Properties!$E$5:$E$104,MATCH($B59,Properties!$A$5:$A$104,0)),4),Settings!$A$22:$A$26,0))+N($I59),IF($D59="Late cancel",INDEX(Properties!$I$5:$I$104,MATCH($B59,Properties!$A$5:$A$104,0))*Settings!$B$10,0))),0))</f>
        <v/>
      </c>
      <c r="O59" s="28" t="str">
        <f aca="false">IF($B59="","",IFERROR(IF($D59="Completed",INDEX(Properties!$L$5:$L$104,MATCH($B59,Properties!$A$5:$A$104,0))+IF($G59="Y",INDEX(Properties!$I$5:$I$104,MATCH($B59,Properties!$A$5:$A$104,0))*Settings!$B$8*Settings!$B$9,0)+IF($H59="Y",Settings!$B$7*Settings!$B$9,0)+N($I59)*Settings!$B$9,IF($D59="Deep clean",INDEX(Settings!$E$22:$E$26,MATCH(MIN(INDEX(Properties!$E$5:$E$104,MATCH($B59,Properties!$A$5:$A$104,0)),4),Settings!$A$22:$A$26,0))*Settings!$B$19+N($I59)*Settings!$B$9,IF($D59="Late cancel",INDEX(Properties!$L$5:$L$104,MATCH($B59,Properties!$A$5:$A$104,0))*Settings!$B$11,0))),0))</f>
        <v/>
      </c>
      <c r="P59" s="28" t="str">
        <f aca="false">IF($B59="","",$N59-$O59)</f>
        <v/>
      </c>
      <c r="Q59" s="29" t="str">
        <f aca="false">IF($A59="","",DATE(YEAR($A59),MONTH($A59),1))</f>
        <v/>
      </c>
      <c r="R59" s="30" t="str">
        <f aca="false">IF($A59="","",$A59+MOD(6-WEEKDAY($A59),7))</f>
        <v/>
      </c>
      <c r="S59" s="31" t="str">
        <f aca="false">IF($B59="","",IF(AND($M59='Invoice Builder'!$C$5,$Q59='Invoice Builder'!$C$6,N($N59)&gt;0),COUNTIFS($M$5:$M59,'Invoice Builder'!$C$5,$Q$5:$Q59,'Invoice Builder'!$C$6,$N$5:$N59,"&gt;0"),""))</f>
        <v/>
      </c>
      <c r="T59" s="27" t="str">
        <f aca="false">IF($A59="","",IF($A59&gt;=DATE(YEAR($A59),4,6),YEAR($A59)&amp;"/"&amp;RIGHT(YEAR($A59)+1,2),YEAR($A59)-1&amp;"/"&amp;RIGHT(YEAR($A59),2)))</f>
        <v/>
      </c>
    </row>
    <row r="60" customFormat="false" ht="15" hidden="false" customHeight="false" outlineLevel="0" collapsed="false">
      <c r="A60" s="22"/>
      <c r="B60" s="23"/>
      <c r="C60" s="23"/>
      <c r="D60" s="23"/>
      <c r="E60" s="24"/>
      <c r="F60" s="24"/>
      <c r="G60" s="23"/>
      <c r="H60" s="23"/>
      <c r="I60" s="25"/>
      <c r="J60" s="23"/>
      <c r="K60" s="23"/>
      <c r="L60" s="26" t="str">
        <f aca="false">IF(OR($E60="",$F60=""),"",MOD($F60-$E60,1)*24)</f>
        <v/>
      </c>
      <c r="M60" s="27" t="str">
        <f aca="false">IF($B60="","",IFERROR(INDEX(Properties!$D$5:$D$104,MATCH($B60,Properties!$A$5:$A$104,0)),"?"))</f>
        <v/>
      </c>
      <c r="N60" s="28" t="str">
        <f aca="false">IF($B60="","",IFERROR(IF($D60="Completed",INDEX(Properties!$I$5:$I$104,MATCH($B60,Properties!$A$5:$A$104,0))*(1+IF($G60="Y",Settings!$B$8,0))+IF($H60="Y",Settings!$B$7,0)+N($I60),IF($D60="Deep clean",INDEX(Settings!$E$22:$E$26,MATCH(MIN(INDEX(Properties!$E$5:$E$104,MATCH($B60,Properties!$A$5:$A$104,0)),4),Settings!$A$22:$A$26,0))+N($I60),IF($D60="Late cancel",INDEX(Properties!$I$5:$I$104,MATCH($B60,Properties!$A$5:$A$104,0))*Settings!$B$10,0))),0))</f>
        <v/>
      </c>
      <c r="O60" s="28" t="str">
        <f aca="false">IF($B60="","",IFERROR(IF($D60="Completed",INDEX(Properties!$L$5:$L$104,MATCH($B60,Properties!$A$5:$A$104,0))+IF($G60="Y",INDEX(Properties!$I$5:$I$104,MATCH($B60,Properties!$A$5:$A$104,0))*Settings!$B$8*Settings!$B$9,0)+IF($H60="Y",Settings!$B$7*Settings!$B$9,0)+N($I60)*Settings!$B$9,IF($D60="Deep clean",INDEX(Settings!$E$22:$E$26,MATCH(MIN(INDEX(Properties!$E$5:$E$104,MATCH($B60,Properties!$A$5:$A$104,0)),4),Settings!$A$22:$A$26,0))*Settings!$B$19+N($I60)*Settings!$B$9,IF($D60="Late cancel",INDEX(Properties!$L$5:$L$104,MATCH($B60,Properties!$A$5:$A$104,0))*Settings!$B$11,0))),0))</f>
        <v/>
      </c>
      <c r="P60" s="28" t="str">
        <f aca="false">IF($B60="","",$N60-$O60)</f>
        <v/>
      </c>
      <c r="Q60" s="29" t="str">
        <f aca="false">IF($A60="","",DATE(YEAR($A60),MONTH($A60),1))</f>
        <v/>
      </c>
      <c r="R60" s="30" t="str">
        <f aca="false">IF($A60="","",$A60+MOD(6-WEEKDAY($A60),7))</f>
        <v/>
      </c>
      <c r="S60" s="31" t="str">
        <f aca="false">IF($B60="","",IF(AND($M60='Invoice Builder'!$C$5,$Q60='Invoice Builder'!$C$6,N($N60)&gt;0),COUNTIFS($M$5:$M60,'Invoice Builder'!$C$5,$Q$5:$Q60,'Invoice Builder'!$C$6,$N$5:$N60,"&gt;0"),""))</f>
        <v/>
      </c>
      <c r="T60" s="27" t="str">
        <f aca="false">IF($A60="","",IF($A60&gt;=DATE(YEAR($A60),4,6),YEAR($A60)&amp;"/"&amp;RIGHT(YEAR($A60)+1,2),YEAR($A60)-1&amp;"/"&amp;RIGHT(YEAR($A60),2)))</f>
        <v/>
      </c>
    </row>
    <row r="61" customFormat="false" ht="15" hidden="false" customHeight="false" outlineLevel="0" collapsed="false">
      <c r="A61" s="22"/>
      <c r="B61" s="23"/>
      <c r="C61" s="23"/>
      <c r="D61" s="23"/>
      <c r="E61" s="24"/>
      <c r="F61" s="24"/>
      <c r="G61" s="23"/>
      <c r="H61" s="23"/>
      <c r="I61" s="25"/>
      <c r="J61" s="23"/>
      <c r="K61" s="23"/>
      <c r="L61" s="26" t="str">
        <f aca="false">IF(OR($E61="",$F61=""),"",MOD($F61-$E61,1)*24)</f>
        <v/>
      </c>
      <c r="M61" s="27" t="str">
        <f aca="false">IF($B61="","",IFERROR(INDEX(Properties!$D$5:$D$104,MATCH($B61,Properties!$A$5:$A$104,0)),"?"))</f>
        <v/>
      </c>
      <c r="N61" s="28" t="str">
        <f aca="false">IF($B61="","",IFERROR(IF($D61="Completed",INDEX(Properties!$I$5:$I$104,MATCH($B61,Properties!$A$5:$A$104,0))*(1+IF($G61="Y",Settings!$B$8,0))+IF($H61="Y",Settings!$B$7,0)+N($I61),IF($D61="Deep clean",INDEX(Settings!$E$22:$E$26,MATCH(MIN(INDEX(Properties!$E$5:$E$104,MATCH($B61,Properties!$A$5:$A$104,0)),4),Settings!$A$22:$A$26,0))+N($I61),IF($D61="Late cancel",INDEX(Properties!$I$5:$I$104,MATCH($B61,Properties!$A$5:$A$104,0))*Settings!$B$10,0))),0))</f>
        <v/>
      </c>
      <c r="O61" s="28" t="str">
        <f aca="false">IF($B61="","",IFERROR(IF($D61="Completed",INDEX(Properties!$L$5:$L$104,MATCH($B61,Properties!$A$5:$A$104,0))+IF($G61="Y",INDEX(Properties!$I$5:$I$104,MATCH($B61,Properties!$A$5:$A$104,0))*Settings!$B$8*Settings!$B$9,0)+IF($H61="Y",Settings!$B$7*Settings!$B$9,0)+N($I61)*Settings!$B$9,IF($D61="Deep clean",INDEX(Settings!$E$22:$E$26,MATCH(MIN(INDEX(Properties!$E$5:$E$104,MATCH($B61,Properties!$A$5:$A$104,0)),4),Settings!$A$22:$A$26,0))*Settings!$B$19+N($I61)*Settings!$B$9,IF($D61="Late cancel",INDEX(Properties!$L$5:$L$104,MATCH($B61,Properties!$A$5:$A$104,0))*Settings!$B$11,0))),0))</f>
        <v/>
      </c>
      <c r="P61" s="28" t="str">
        <f aca="false">IF($B61="","",$N61-$O61)</f>
        <v/>
      </c>
      <c r="Q61" s="29" t="str">
        <f aca="false">IF($A61="","",DATE(YEAR($A61),MONTH($A61),1))</f>
        <v/>
      </c>
      <c r="R61" s="30" t="str">
        <f aca="false">IF($A61="","",$A61+MOD(6-WEEKDAY($A61),7))</f>
        <v/>
      </c>
      <c r="S61" s="31" t="str">
        <f aca="false">IF($B61="","",IF(AND($M61='Invoice Builder'!$C$5,$Q61='Invoice Builder'!$C$6,N($N61)&gt;0),COUNTIFS($M$5:$M61,'Invoice Builder'!$C$5,$Q$5:$Q61,'Invoice Builder'!$C$6,$N$5:$N61,"&gt;0"),""))</f>
        <v/>
      </c>
      <c r="T61" s="27" t="str">
        <f aca="false">IF($A61="","",IF($A61&gt;=DATE(YEAR($A61),4,6),YEAR($A61)&amp;"/"&amp;RIGHT(YEAR($A61)+1,2),YEAR($A61)-1&amp;"/"&amp;RIGHT(YEAR($A61),2)))</f>
        <v/>
      </c>
    </row>
    <row r="62" customFormat="false" ht="15" hidden="false" customHeight="false" outlineLevel="0" collapsed="false">
      <c r="A62" s="22"/>
      <c r="B62" s="23"/>
      <c r="C62" s="23"/>
      <c r="D62" s="23"/>
      <c r="E62" s="24"/>
      <c r="F62" s="24"/>
      <c r="G62" s="23"/>
      <c r="H62" s="23"/>
      <c r="I62" s="25"/>
      <c r="J62" s="23"/>
      <c r="K62" s="23"/>
      <c r="L62" s="26" t="str">
        <f aca="false">IF(OR($E62="",$F62=""),"",MOD($F62-$E62,1)*24)</f>
        <v/>
      </c>
      <c r="M62" s="27" t="str">
        <f aca="false">IF($B62="","",IFERROR(INDEX(Properties!$D$5:$D$104,MATCH($B62,Properties!$A$5:$A$104,0)),"?"))</f>
        <v/>
      </c>
      <c r="N62" s="28" t="str">
        <f aca="false">IF($B62="","",IFERROR(IF($D62="Completed",INDEX(Properties!$I$5:$I$104,MATCH($B62,Properties!$A$5:$A$104,0))*(1+IF($G62="Y",Settings!$B$8,0))+IF($H62="Y",Settings!$B$7,0)+N($I62),IF($D62="Deep clean",INDEX(Settings!$E$22:$E$26,MATCH(MIN(INDEX(Properties!$E$5:$E$104,MATCH($B62,Properties!$A$5:$A$104,0)),4),Settings!$A$22:$A$26,0))+N($I62),IF($D62="Late cancel",INDEX(Properties!$I$5:$I$104,MATCH($B62,Properties!$A$5:$A$104,0))*Settings!$B$10,0))),0))</f>
        <v/>
      </c>
      <c r="O62" s="28" t="str">
        <f aca="false">IF($B62="","",IFERROR(IF($D62="Completed",INDEX(Properties!$L$5:$L$104,MATCH($B62,Properties!$A$5:$A$104,0))+IF($G62="Y",INDEX(Properties!$I$5:$I$104,MATCH($B62,Properties!$A$5:$A$104,0))*Settings!$B$8*Settings!$B$9,0)+IF($H62="Y",Settings!$B$7*Settings!$B$9,0)+N($I62)*Settings!$B$9,IF($D62="Deep clean",INDEX(Settings!$E$22:$E$26,MATCH(MIN(INDEX(Properties!$E$5:$E$104,MATCH($B62,Properties!$A$5:$A$104,0)),4),Settings!$A$22:$A$26,0))*Settings!$B$19+N($I62)*Settings!$B$9,IF($D62="Late cancel",INDEX(Properties!$L$5:$L$104,MATCH($B62,Properties!$A$5:$A$104,0))*Settings!$B$11,0))),0))</f>
        <v/>
      </c>
      <c r="P62" s="28" t="str">
        <f aca="false">IF($B62="","",$N62-$O62)</f>
        <v/>
      </c>
      <c r="Q62" s="29" t="str">
        <f aca="false">IF($A62="","",DATE(YEAR($A62),MONTH($A62),1))</f>
        <v/>
      </c>
      <c r="R62" s="30" t="str">
        <f aca="false">IF($A62="","",$A62+MOD(6-WEEKDAY($A62),7))</f>
        <v/>
      </c>
      <c r="S62" s="31" t="str">
        <f aca="false">IF($B62="","",IF(AND($M62='Invoice Builder'!$C$5,$Q62='Invoice Builder'!$C$6,N($N62)&gt;0),COUNTIFS($M$5:$M62,'Invoice Builder'!$C$5,$Q$5:$Q62,'Invoice Builder'!$C$6,$N$5:$N62,"&gt;0"),""))</f>
        <v/>
      </c>
      <c r="T62" s="27" t="str">
        <f aca="false">IF($A62="","",IF($A62&gt;=DATE(YEAR($A62),4,6),YEAR($A62)&amp;"/"&amp;RIGHT(YEAR($A62)+1,2),YEAR($A62)-1&amp;"/"&amp;RIGHT(YEAR($A62),2)))</f>
        <v/>
      </c>
    </row>
    <row r="63" customFormat="false" ht="15" hidden="false" customHeight="false" outlineLevel="0" collapsed="false">
      <c r="A63" s="22"/>
      <c r="B63" s="23"/>
      <c r="C63" s="23"/>
      <c r="D63" s="23"/>
      <c r="E63" s="24"/>
      <c r="F63" s="24"/>
      <c r="G63" s="23"/>
      <c r="H63" s="23"/>
      <c r="I63" s="25"/>
      <c r="J63" s="23"/>
      <c r="K63" s="23"/>
      <c r="L63" s="26" t="str">
        <f aca="false">IF(OR($E63="",$F63=""),"",MOD($F63-$E63,1)*24)</f>
        <v/>
      </c>
      <c r="M63" s="27" t="str">
        <f aca="false">IF($B63="","",IFERROR(INDEX(Properties!$D$5:$D$104,MATCH($B63,Properties!$A$5:$A$104,0)),"?"))</f>
        <v/>
      </c>
      <c r="N63" s="28" t="str">
        <f aca="false">IF($B63="","",IFERROR(IF($D63="Completed",INDEX(Properties!$I$5:$I$104,MATCH($B63,Properties!$A$5:$A$104,0))*(1+IF($G63="Y",Settings!$B$8,0))+IF($H63="Y",Settings!$B$7,0)+N($I63),IF($D63="Deep clean",INDEX(Settings!$E$22:$E$26,MATCH(MIN(INDEX(Properties!$E$5:$E$104,MATCH($B63,Properties!$A$5:$A$104,0)),4),Settings!$A$22:$A$26,0))+N($I63),IF($D63="Late cancel",INDEX(Properties!$I$5:$I$104,MATCH($B63,Properties!$A$5:$A$104,0))*Settings!$B$10,0))),0))</f>
        <v/>
      </c>
      <c r="O63" s="28" t="str">
        <f aca="false">IF($B63="","",IFERROR(IF($D63="Completed",INDEX(Properties!$L$5:$L$104,MATCH($B63,Properties!$A$5:$A$104,0))+IF($G63="Y",INDEX(Properties!$I$5:$I$104,MATCH($B63,Properties!$A$5:$A$104,0))*Settings!$B$8*Settings!$B$9,0)+IF($H63="Y",Settings!$B$7*Settings!$B$9,0)+N($I63)*Settings!$B$9,IF($D63="Deep clean",INDEX(Settings!$E$22:$E$26,MATCH(MIN(INDEX(Properties!$E$5:$E$104,MATCH($B63,Properties!$A$5:$A$104,0)),4),Settings!$A$22:$A$26,0))*Settings!$B$19+N($I63)*Settings!$B$9,IF($D63="Late cancel",INDEX(Properties!$L$5:$L$104,MATCH($B63,Properties!$A$5:$A$104,0))*Settings!$B$11,0))),0))</f>
        <v/>
      </c>
      <c r="P63" s="28" t="str">
        <f aca="false">IF($B63="","",$N63-$O63)</f>
        <v/>
      </c>
      <c r="Q63" s="29" t="str">
        <f aca="false">IF($A63="","",DATE(YEAR($A63),MONTH($A63),1))</f>
        <v/>
      </c>
      <c r="R63" s="30" t="str">
        <f aca="false">IF($A63="","",$A63+MOD(6-WEEKDAY($A63),7))</f>
        <v/>
      </c>
      <c r="S63" s="31" t="str">
        <f aca="false">IF($B63="","",IF(AND($M63='Invoice Builder'!$C$5,$Q63='Invoice Builder'!$C$6,N($N63)&gt;0),COUNTIFS($M$5:$M63,'Invoice Builder'!$C$5,$Q$5:$Q63,'Invoice Builder'!$C$6,$N$5:$N63,"&gt;0"),""))</f>
        <v/>
      </c>
      <c r="T63" s="27" t="str">
        <f aca="false">IF($A63="","",IF($A63&gt;=DATE(YEAR($A63),4,6),YEAR($A63)&amp;"/"&amp;RIGHT(YEAR($A63)+1,2),YEAR($A63)-1&amp;"/"&amp;RIGHT(YEAR($A63),2)))</f>
        <v/>
      </c>
    </row>
    <row r="64" customFormat="false" ht="15" hidden="false" customHeight="false" outlineLevel="0" collapsed="false">
      <c r="A64" s="22"/>
      <c r="B64" s="23"/>
      <c r="C64" s="23"/>
      <c r="D64" s="23"/>
      <c r="E64" s="24"/>
      <c r="F64" s="24"/>
      <c r="G64" s="23"/>
      <c r="H64" s="23"/>
      <c r="I64" s="25"/>
      <c r="J64" s="23"/>
      <c r="K64" s="23"/>
      <c r="L64" s="26" t="str">
        <f aca="false">IF(OR($E64="",$F64=""),"",MOD($F64-$E64,1)*24)</f>
        <v/>
      </c>
      <c r="M64" s="27" t="str">
        <f aca="false">IF($B64="","",IFERROR(INDEX(Properties!$D$5:$D$104,MATCH($B64,Properties!$A$5:$A$104,0)),"?"))</f>
        <v/>
      </c>
      <c r="N64" s="28" t="str">
        <f aca="false">IF($B64="","",IFERROR(IF($D64="Completed",INDEX(Properties!$I$5:$I$104,MATCH($B64,Properties!$A$5:$A$104,0))*(1+IF($G64="Y",Settings!$B$8,0))+IF($H64="Y",Settings!$B$7,0)+N($I64),IF($D64="Deep clean",INDEX(Settings!$E$22:$E$26,MATCH(MIN(INDEX(Properties!$E$5:$E$104,MATCH($B64,Properties!$A$5:$A$104,0)),4),Settings!$A$22:$A$26,0))+N($I64),IF($D64="Late cancel",INDEX(Properties!$I$5:$I$104,MATCH($B64,Properties!$A$5:$A$104,0))*Settings!$B$10,0))),0))</f>
        <v/>
      </c>
      <c r="O64" s="28" t="str">
        <f aca="false">IF($B64="","",IFERROR(IF($D64="Completed",INDEX(Properties!$L$5:$L$104,MATCH($B64,Properties!$A$5:$A$104,0))+IF($G64="Y",INDEX(Properties!$I$5:$I$104,MATCH($B64,Properties!$A$5:$A$104,0))*Settings!$B$8*Settings!$B$9,0)+IF($H64="Y",Settings!$B$7*Settings!$B$9,0)+N($I64)*Settings!$B$9,IF($D64="Deep clean",INDEX(Settings!$E$22:$E$26,MATCH(MIN(INDEX(Properties!$E$5:$E$104,MATCH($B64,Properties!$A$5:$A$104,0)),4),Settings!$A$22:$A$26,0))*Settings!$B$19+N($I64)*Settings!$B$9,IF($D64="Late cancel",INDEX(Properties!$L$5:$L$104,MATCH($B64,Properties!$A$5:$A$104,0))*Settings!$B$11,0))),0))</f>
        <v/>
      </c>
      <c r="P64" s="28" t="str">
        <f aca="false">IF($B64="","",$N64-$O64)</f>
        <v/>
      </c>
      <c r="Q64" s="29" t="str">
        <f aca="false">IF($A64="","",DATE(YEAR($A64),MONTH($A64),1))</f>
        <v/>
      </c>
      <c r="R64" s="30" t="str">
        <f aca="false">IF($A64="","",$A64+MOD(6-WEEKDAY($A64),7))</f>
        <v/>
      </c>
      <c r="S64" s="31" t="str">
        <f aca="false">IF($B64="","",IF(AND($M64='Invoice Builder'!$C$5,$Q64='Invoice Builder'!$C$6,N($N64)&gt;0),COUNTIFS($M$5:$M64,'Invoice Builder'!$C$5,$Q$5:$Q64,'Invoice Builder'!$C$6,$N$5:$N64,"&gt;0"),""))</f>
        <v/>
      </c>
      <c r="T64" s="27" t="str">
        <f aca="false">IF($A64="","",IF($A64&gt;=DATE(YEAR($A64),4,6),YEAR($A64)&amp;"/"&amp;RIGHT(YEAR($A64)+1,2),YEAR($A64)-1&amp;"/"&amp;RIGHT(YEAR($A64),2)))</f>
        <v/>
      </c>
    </row>
    <row r="65" customFormat="false" ht="15" hidden="false" customHeight="false" outlineLevel="0" collapsed="false">
      <c r="A65" s="22"/>
      <c r="B65" s="23"/>
      <c r="C65" s="23"/>
      <c r="D65" s="23"/>
      <c r="E65" s="24"/>
      <c r="F65" s="24"/>
      <c r="G65" s="23"/>
      <c r="H65" s="23"/>
      <c r="I65" s="25"/>
      <c r="J65" s="23"/>
      <c r="K65" s="23"/>
      <c r="L65" s="26" t="str">
        <f aca="false">IF(OR($E65="",$F65=""),"",MOD($F65-$E65,1)*24)</f>
        <v/>
      </c>
      <c r="M65" s="27" t="str">
        <f aca="false">IF($B65="","",IFERROR(INDEX(Properties!$D$5:$D$104,MATCH($B65,Properties!$A$5:$A$104,0)),"?"))</f>
        <v/>
      </c>
      <c r="N65" s="28" t="str">
        <f aca="false">IF($B65="","",IFERROR(IF($D65="Completed",INDEX(Properties!$I$5:$I$104,MATCH($B65,Properties!$A$5:$A$104,0))*(1+IF($G65="Y",Settings!$B$8,0))+IF($H65="Y",Settings!$B$7,0)+N($I65),IF($D65="Deep clean",INDEX(Settings!$E$22:$E$26,MATCH(MIN(INDEX(Properties!$E$5:$E$104,MATCH($B65,Properties!$A$5:$A$104,0)),4),Settings!$A$22:$A$26,0))+N($I65),IF($D65="Late cancel",INDEX(Properties!$I$5:$I$104,MATCH($B65,Properties!$A$5:$A$104,0))*Settings!$B$10,0))),0))</f>
        <v/>
      </c>
      <c r="O65" s="28" t="str">
        <f aca="false">IF($B65="","",IFERROR(IF($D65="Completed",INDEX(Properties!$L$5:$L$104,MATCH($B65,Properties!$A$5:$A$104,0))+IF($G65="Y",INDEX(Properties!$I$5:$I$104,MATCH($B65,Properties!$A$5:$A$104,0))*Settings!$B$8*Settings!$B$9,0)+IF($H65="Y",Settings!$B$7*Settings!$B$9,0)+N($I65)*Settings!$B$9,IF($D65="Deep clean",INDEX(Settings!$E$22:$E$26,MATCH(MIN(INDEX(Properties!$E$5:$E$104,MATCH($B65,Properties!$A$5:$A$104,0)),4),Settings!$A$22:$A$26,0))*Settings!$B$19+N($I65)*Settings!$B$9,IF($D65="Late cancel",INDEX(Properties!$L$5:$L$104,MATCH($B65,Properties!$A$5:$A$104,0))*Settings!$B$11,0))),0))</f>
        <v/>
      </c>
      <c r="P65" s="28" t="str">
        <f aca="false">IF($B65="","",$N65-$O65)</f>
        <v/>
      </c>
      <c r="Q65" s="29" t="str">
        <f aca="false">IF($A65="","",DATE(YEAR($A65),MONTH($A65),1))</f>
        <v/>
      </c>
      <c r="R65" s="30" t="str">
        <f aca="false">IF($A65="","",$A65+MOD(6-WEEKDAY($A65),7))</f>
        <v/>
      </c>
      <c r="S65" s="31" t="str">
        <f aca="false">IF($B65="","",IF(AND($M65='Invoice Builder'!$C$5,$Q65='Invoice Builder'!$C$6,N($N65)&gt;0),COUNTIFS($M$5:$M65,'Invoice Builder'!$C$5,$Q$5:$Q65,'Invoice Builder'!$C$6,$N$5:$N65,"&gt;0"),""))</f>
        <v/>
      </c>
      <c r="T65" s="27" t="str">
        <f aca="false">IF($A65="","",IF($A65&gt;=DATE(YEAR($A65),4,6),YEAR($A65)&amp;"/"&amp;RIGHT(YEAR($A65)+1,2),YEAR($A65)-1&amp;"/"&amp;RIGHT(YEAR($A65),2)))</f>
        <v/>
      </c>
    </row>
    <row r="66" customFormat="false" ht="15" hidden="false" customHeight="false" outlineLevel="0" collapsed="false">
      <c r="A66" s="22"/>
      <c r="B66" s="23"/>
      <c r="C66" s="23"/>
      <c r="D66" s="23"/>
      <c r="E66" s="24"/>
      <c r="F66" s="24"/>
      <c r="G66" s="23"/>
      <c r="H66" s="23"/>
      <c r="I66" s="25"/>
      <c r="J66" s="23"/>
      <c r="K66" s="23"/>
      <c r="L66" s="26" t="str">
        <f aca="false">IF(OR($E66="",$F66=""),"",MOD($F66-$E66,1)*24)</f>
        <v/>
      </c>
      <c r="M66" s="27" t="str">
        <f aca="false">IF($B66="","",IFERROR(INDEX(Properties!$D$5:$D$104,MATCH($B66,Properties!$A$5:$A$104,0)),"?"))</f>
        <v/>
      </c>
      <c r="N66" s="28" t="str">
        <f aca="false">IF($B66="","",IFERROR(IF($D66="Completed",INDEX(Properties!$I$5:$I$104,MATCH($B66,Properties!$A$5:$A$104,0))*(1+IF($G66="Y",Settings!$B$8,0))+IF($H66="Y",Settings!$B$7,0)+N($I66),IF($D66="Deep clean",INDEX(Settings!$E$22:$E$26,MATCH(MIN(INDEX(Properties!$E$5:$E$104,MATCH($B66,Properties!$A$5:$A$104,0)),4),Settings!$A$22:$A$26,0))+N($I66),IF($D66="Late cancel",INDEX(Properties!$I$5:$I$104,MATCH($B66,Properties!$A$5:$A$104,0))*Settings!$B$10,0))),0))</f>
        <v/>
      </c>
      <c r="O66" s="28" t="str">
        <f aca="false">IF($B66="","",IFERROR(IF($D66="Completed",INDEX(Properties!$L$5:$L$104,MATCH($B66,Properties!$A$5:$A$104,0))+IF($G66="Y",INDEX(Properties!$I$5:$I$104,MATCH($B66,Properties!$A$5:$A$104,0))*Settings!$B$8*Settings!$B$9,0)+IF($H66="Y",Settings!$B$7*Settings!$B$9,0)+N($I66)*Settings!$B$9,IF($D66="Deep clean",INDEX(Settings!$E$22:$E$26,MATCH(MIN(INDEX(Properties!$E$5:$E$104,MATCH($B66,Properties!$A$5:$A$104,0)),4),Settings!$A$22:$A$26,0))*Settings!$B$19+N($I66)*Settings!$B$9,IF($D66="Late cancel",INDEX(Properties!$L$5:$L$104,MATCH($B66,Properties!$A$5:$A$104,0))*Settings!$B$11,0))),0))</f>
        <v/>
      </c>
      <c r="P66" s="28" t="str">
        <f aca="false">IF($B66="","",$N66-$O66)</f>
        <v/>
      </c>
      <c r="Q66" s="29" t="str">
        <f aca="false">IF($A66="","",DATE(YEAR($A66),MONTH($A66),1))</f>
        <v/>
      </c>
      <c r="R66" s="30" t="str">
        <f aca="false">IF($A66="","",$A66+MOD(6-WEEKDAY($A66),7))</f>
        <v/>
      </c>
      <c r="S66" s="31" t="str">
        <f aca="false">IF($B66="","",IF(AND($M66='Invoice Builder'!$C$5,$Q66='Invoice Builder'!$C$6,N($N66)&gt;0),COUNTIFS($M$5:$M66,'Invoice Builder'!$C$5,$Q$5:$Q66,'Invoice Builder'!$C$6,$N$5:$N66,"&gt;0"),""))</f>
        <v/>
      </c>
      <c r="T66" s="27" t="str">
        <f aca="false">IF($A66="","",IF($A66&gt;=DATE(YEAR($A66),4,6),YEAR($A66)&amp;"/"&amp;RIGHT(YEAR($A66)+1,2),YEAR($A66)-1&amp;"/"&amp;RIGHT(YEAR($A66),2)))</f>
        <v/>
      </c>
    </row>
    <row r="67" customFormat="false" ht="15" hidden="false" customHeight="false" outlineLevel="0" collapsed="false">
      <c r="A67" s="22"/>
      <c r="B67" s="23"/>
      <c r="C67" s="23"/>
      <c r="D67" s="23"/>
      <c r="E67" s="24"/>
      <c r="F67" s="24"/>
      <c r="G67" s="23"/>
      <c r="H67" s="23"/>
      <c r="I67" s="25"/>
      <c r="J67" s="23"/>
      <c r="K67" s="23"/>
      <c r="L67" s="26" t="str">
        <f aca="false">IF(OR($E67="",$F67=""),"",MOD($F67-$E67,1)*24)</f>
        <v/>
      </c>
      <c r="M67" s="27" t="str">
        <f aca="false">IF($B67="","",IFERROR(INDEX(Properties!$D$5:$D$104,MATCH($B67,Properties!$A$5:$A$104,0)),"?"))</f>
        <v/>
      </c>
      <c r="N67" s="28" t="str">
        <f aca="false">IF($B67="","",IFERROR(IF($D67="Completed",INDEX(Properties!$I$5:$I$104,MATCH($B67,Properties!$A$5:$A$104,0))*(1+IF($G67="Y",Settings!$B$8,0))+IF($H67="Y",Settings!$B$7,0)+N($I67),IF($D67="Deep clean",INDEX(Settings!$E$22:$E$26,MATCH(MIN(INDEX(Properties!$E$5:$E$104,MATCH($B67,Properties!$A$5:$A$104,0)),4),Settings!$A$22:$A$26,0))+N($I67),IF($D67="Late cancel",INDEX(Properties!$I$5:$I$104,MATCH($B67,Properties!$A$5:$A$104,0))*Settings!$B$10,0))),0))</f>
        <v/>
      </c>
      <c r="O67" s="28" t="str">
        <f aca="false">IF($B67="","",IFERROR(IF($D67="Completed",INDEX(Properties!$L$5:$L$104,MATCH($B67,Properties!$A$5:$A$104,0))+IF($G67="Y",INDEX(Properties!$I$5:$I$104,MATCH($B67,Properties!$A$5:$A$104,0))*Settings!$B$8*Settings!$B$9,0)+IF($H67="Y",Settings!$B$7*Settings!$B$9,0)+N($I67)*Settings!$B$9,IF($D67="Deep clean",INDEX(Settings!$E$22:$E$26,MATCH(MIN(INDEX(Properties!$E$5:$E$104,MATCH($B67,Properties!$A$5:$A$104,0)),4),Settings!$A$22:$A$26,0))*Settings!$B$19+N($I67)*Settings!$B$9,IF($D67="Late cancel",INDEX(Properties!$L$5:$L$104,MATCH($B67,Properties!$A$5:$A$104,0))*Settings!$B$11,0))),0))</f>
        <v/>
      </c>
      <c r="P67" s="28" t="str">
        <f aca="false">IF($B67="","",$N67-$O67)</f>
        <v/>
      </c>
      <c r="Q67" s="29" t="str">
        <f aca="false">IF($A67="","",DATE(YEAR($A67),MONTH($A67),1))</f>
        <v/>
      </c>
      <c r="R67" s="30" t="str">
        <f aca="false">IF($A67="","",$A67+MOD(6-WEEKDAY($A67),7))</f>
        <v/>
      </c>
      <c r="S67" s="31" t="str">
        <f aca="false">IF($B67="","",IF(AND($M67='Invoice Builder'!$C$5,$Q67='Invoice Builder'!$C$6,N($N67)&gt;0),COUNTIFS($M$5:$M67,'Invoice Builder'!$C$5,$Q$5:$Q67,'Invoice Builder'!$C$6,$N$5:$N67,"&gt;0"),""))</f>
        <v/>
      </c>
      <c r="T67" s="27" t="str">
        <f aca="false">IF($A67="","",IF($A67&gt;=DATE(YEAR($A67),4,6),YEAR($A67)&amp;"/"&amp;RIGHT(YEAR($A67)+1,2),YEAR($A67)-1&amp;"/"&amp;RIGHT(YEAR($A67),2)))</f>
        <v/>
      </c>
    </row>
    <row r="68" customFormat="false" ht="15" hidden="false" customHeight="false" outlineLevel="0" collapsed="false">
      <c r="A68" s="22"/>
      <c r="B68" s="23"/>
      <c r="C68" s="23"/>
      <c r="D68" s="23"/>
      <c r="E68" s="24"/>
      <c r="F68" s="24"/>
      <c r="G68" s="23"/>
      <c r="H68" s="23"/>
      <c r="I68" s="25"/>
      <c r="J68" s="23"/>
      <c r="K68" s="23"/>
      <c r="L68" s="26" t="str">
        <f aca="false">IF(OR($E68="",$F68=""),"",MOD($F68-$E68,1)*24)</f>
        <v/>
      </c>
      <c r="M68" s="27" t="str">
        <f aca="false">IF($B68="","",IFERROR(INDEX(Properties!$D$5:$D$104,MATCH($B68,Properties!$A$5:$A$104,0)),"?"))</f>
        <v/>
      </c>
      <c r="N68" s="28" t="str">
        <f aca="false">IF($B68="","",IFERROR(IF($D68="Completed",INDEX(Properties!$I$5:$I$104,MATCH($B68,Properties!$A$5:$A$104,0))*(1+IF($G68="Y",Settings!$B$8,0))+IF($H68="Y",Settings!$B$7,0)+N($I68),IF($D68="Deep clean",INDEX(Settings!$E$22:$E$26,MATCH(MIN(INDEX(Properties!$E$5:$E$104,MATCH($B68,Properties!$A$5:$A$104,0)),4),Settings!$A$22:$A$26,0))+N($I68),IF($D68="Late cancel",INDEX(Properties!$I$5:$I$104,MATCH($B68,Properties!$A$5:$A$104,0))*Settings!$B$10,0))),0))</f>
        <v/>
      </c>
      <c r="O68" s="28" t="str">
        <f aca="false">IF($B68="","",IFERROR(IF($D68="Completed",INDEX(Properties!$L$5:$L$104,MATCH($B68,Properties!$A$5:$A$104,0))+IF($G68="Y",INDEX(Properties!$I$5:$I$104,MATCH($B68,Properties!$A$5:$A$104,0))*Settings!$B$8*Settings!$B$9,0)+IF($H68="Y",Settings!$B$7*Settings!$B$9,0)+N($I68)*Settings!$B$9,IF($D68="Deep clean",INDEX(Settings!$E$22:$E$26,MATCH(MIN(INDEX(Properties!$E$5:$E$104,MATCH($B68,Properties!$A$5:$A$104,0)),4),Settings!$A$22:$A$26,0))*Settings!$B$19+N($I68)*Settings!$B$9,IF($D68="Late cancel",INDEX(Properties!$L$5:$L$104,MATCH($B68,Properties!$A$5:$A$104,0))*Settings!$B$11,0))),0))</f>
        <v/>
      </c>
      <c r="P68" s="28" t="str">
        <f aca="false">IF($B68="","",$N68-$O68)</f>
        <v/>
      </c>
      <c r="Q68" s="29" t="str">
        <f aca="false">IF($A68="","",DATE(YEAR($A68),MONTH($A68),1))</f>
        <v/>
      </c>
      <c r="R68" s="30" t="str">
        <f aca="false">IF($A68="","",$A68+MOD(6-WEEKDAY($A68),7))</f>
        <v/>
      </c>
      <c r="S68" s="31" t="str">
        <f aca="false">IF($B68="","",IF(AND($M68='Invoice Builder'!$C$5,$Q68='Invoice Builder'!$C$6,N($N68)&gt;0),COUNTIFS($M$5:$M68,'Invoice Builder'!$C$5,$Q$5:$Q68,'Invoice Builder'!$C$6,$N$5:$N68,"&gt;0"),""))</f>
        <v/>
      </c>
      <c r="T68" s="27" t="str">
        <f aca="false">IF($A68="","",IF($A68&gt;=DATE(YEAR($A68),4,6),YEAR($A68)&amp;"/"&amp;RIGHT(YEAR($A68)+1,2),YEAR($A68)-1&amp;"/"&amp;RIGHT(YEAR($A68),2)))</f>
        <v/>
      </c>
    </row>
    <row r="69" customFormat="false" ht="15" hidden="false" customHeight="false" outlineLevel="0" collapsed="false">
      <c r="A69" s="22"/>
      <c r="B69" s="23"/>
      <c r="C69" s="23"/>
      <c r="D69" s="23"/>
      <c r="E69" s="24"/>
      <c r="F69" s="24"/>
      <c r="G69" s="23"/>
      <c r="H69" s="23"/>
      <c r="I69" s="25"/>
      <c r="J69" s="23"/>
      <c r="K69" s="23"/>
      <c r="L69" s="26" t="str">
        <f aca="false">IF(OR($E69="",$F69=""),"",MOD($F69-$E69,1)*24)</f>
        <v/>
      </c>
      <c r="M69" s="27" t="str">
        <f aca="false">IF($B69="","",IFERROR(INDEX(Properties!$D$5:$D$104,MATCH($B69,Properties!$A$5:$A$104,0)),"?"))</f>
        <v/>
      </c>
      <c r="N69" s="28" t="str">
        <f aca="false">IF($B69="","",IFERROR(IF($D69="Completed",INDEX(Properties!$I$5:$I$104,MATCH($B69,Properties!$A$5:$A$104,0))*(1+IF($G69="Y",Settings!$B$8,0))+IF($H69="Y",Settings!$B$7,0)+N($I69),IF($D69="Deep clean",INDEX(Settings!$E$22:$E$26,MATCH(MIN(INDEX(Properties!$E$5:$E$104,MATCH($B69,Properties!$A$5:$A$104,0)),4),Settings!$A$22:$A$26,0))+N($I69),IF($D69="Late cancel",INDEX(Properties!$I$5:$I$104,MATCH($B69,Properties!$A$5:$A$104,0))*Settings!$B$10,0))),0))</f>
        <v/>
      </c>
      <c r="O69" s="28" t="str">
        <f aca="false">IF($B69="","",IFERROR(IF($D69="Completed",INDEX(Properties!$L$5:$L$104,MATCH($B69,Properties!$A$5:$A$104,0))+IF($G69="Y",INDEX(Properties!$I$5:$I$104,MATCH($B69,Properties!$A$5:$A$104,0))*Settings!$B$8*Settings!$B$9,0)+IF($H69="Y",Settings!$B$7*Settings!$B$9,0)+N($I69)*Settings!$B$9,IF($D69="Deep clean",INDEX(Settings!$E$22:$E$26,MATCH(MIN(INDEX(Properties!$E$5:$E$104,MATCH($B69,Properties!$A$5:$A$104,0)),4),Settings!$A$22:$A$26,0))*Settings!$B$19+N($I69)*Settings!$B$9,IF($D69="Late cancel",INDEX(Properties!$L$5:$L$104,MATCH($B69,Properties!$A$5:$A$104,0))*Settings!$B$11,0))),0))</f>
        <v/>
      </c>
      <c r="P69" s="28" t="str">
        <f aca="false">IF($B69="","",$N69-$O69)</f>
        <v/>
      </c>
      <c r="Q69" s="29" t="str">
        <f aca="false">IF($A69="","",DATE(YEAR($A69),MONTH($A69),1))</f>
        <v/>
      </c>
      <c r="R69" s="30" t="str">
        <f aca="false">IF($A69="","",$A69+MOD(6-WEEKDAY($A69),7))</f>
        <v/>
      </c>
      <c r="S69" s="31" t="str">
        <f aca="false">IF($B69="","",IF(AND($M69='Invoice Builder'!$C$5,$Q69='Invoice Builder'!$C$6,N($N69)&gt;0),COUNTIFS($M$5:$M69,'Invoice Builder'!$C$5,$Q$5:$Q69,'Invoice Builder'!$C$6,$N$5:$N69,"&gt;0"),""))</f>
        <v/>
      </c>
      <c r="T69" s="27" t="str">
        <f aca="false">IF($A69="","",IF($A69&gt;=DATE(YEAR($A69),4,6),YEAR($A69)&amp;"/"&amp;RIGHT(YEAR($A69)+1,2),YEAR($A69)-1&amp;"/"&amp;RIGHT(YEAR($A69),2)))</f>
        <v/>
      </c>
    </row>
    <row r="70" customFormat="false" ht="15" hidden="false" customHeight="false" outlineLevel="0" collapsed="false">
      <c r="A70" s="22"/>
      <c r="B70" s="23"/>
      <c r="C70" s="23"/>
      <c r="D70" s="23"/>
      <c r="E70" s="24"/>
      <c r="F70" s="24"/>
      <c r="G70" s="23"/>
      <c r="H70" s="23"/>
      <c r="I70" s="25"/>
      <c r="J70" s="23"/>
      <c r="K70" s="23"/>
      <c r="L70" s="26" t="str">
        <f aca="false">IF(OR($E70="",$F70=""),"",MOD($F70-$E70,1)*24)</f>
        <v/>
      </c>
      <c r="M70" s="27" t="str">
        <f aca="false">IF($B70="","",IFERROR(INDEX(Properties!$D$5:$D$104,MATCH($B70,Properties!$A$5:$A$104,0)),"?"))</f>
        <v/>
      </c>
      <c r="N70" s="28" t="str">
        <f aca="false">IF($B70="","",IFERROR(IF($D70="Completed",INDEX(Properties!$I$5:$I$104,MATCH($B70,Properties!$A$5:$A$104,0))*(1+IF($G70="Y",Settings!$B$8,0))+IF($H70="Y",Settings!$B$7,0)+N($I70),IF($D70="Deep clean",INDEX(Settings!$E$22:$E$26,MATCH(MIN(INDEX(Properties!$E$5:$E$104,MATCH($B70,Properties!$A$5:$A$104,0)),4),Settings!$A$22:$A$26,0))+N($I70),IF($D70="Late cancel",INDEX(Properties!$I$5:$I$104,MATCH($B70,Properties!$A$5:$A$104,0))*Settings!$B$10,0))),0))</f>
        <v/>
      </c>
      <c r="O70" s="28" t="str">
        <f aca="false">IF($B70="","",IFERROR(IF($D70="Completed",INDEX(Properties!$L$5:$L$104,MATCH($B70,Properties!$A$5:$A$104,0))+IF($G70="Y",INDEX(Properties!$I$5:$I$104,MATCH($B70,Properties!$A$5:$A$104,0))*Settings!$B$8*Settings!$B$9,0)+IF($H70="Y",Settings!$B$7*Settings!$B$9,0)+N($I70)*Settings!$B$9,IF($D70="Deep clean",INDEX(Settings!$E$22:$E$26,MATCH(MIN(INDEX(Properties!$E$5:$E$104,MATCH($B70,Properties!$A$5:$A$104,0)),4),Settings!$A$22:$A$26,0))*Settings!$B$19+N($I70)*Settings!$B$9,IF($D70="Late cancel",INDEX(Properties!$L$5:$L$104,MATCH($B70,Properties!$A$5:$A$104,0))*Settings!$B$11,0))),0))</f>
        <v/>
      </c>
      <c r="P70" s="28" t="str">
        <f aca="false">IF($B70="","",$N70-$O70)</f>
        <v/>
      </c>
      <c r="Q70" s="29" t="str">
        <f aca="false">IF($A70="","",DATE(YEAR($A70),MONTH($A70),1))</f>
        <v/>
      </c>
      <c r="R70" s="30" t="str">
        <f aca="false">IF($A70="","",$A70+MOD(6-WEEKDAY($A70),7))</f>
        <v/>
      </c>
      <c r="S70" s="31" t="str">
        <f aca="false">IF($B70="","",IF(AND($M70='Invoice Builder'!$C$5,$Q70='Invoice Builder'!$C$6,N($N70)&gt;0),COUNTIFS($M$5:$M70,'Invoice Builder'!$C$5,$Q$5:$Q70,'Invoice Builder'!$C$6,$N$5:$N70,"&gt;0"),""))</f>
        <v/>
      </c>
      <c r="T70" s="27" t="str">
        <f aca="false">IF($A70="","",IF($A70&gt;=DATE(YEAR($A70),4,6),YEAR($A70)&amp;"/"&amp;RIGHT(YEAR($A70)+1,2),YEAR($A70)-1&amp;"/"&amp;RIGHT(YEAR($A70),2)))</f>
        <v/>
      </c>
    </row>
    <row r="71" customFormat="false" ht="15" hidden="false" customHeight="false" outlineLevel="0" collapsed="false">
      <c r="A71" s="22"/>
      <c r="B71" s="23"/>
      <c r="C71" s="23"/>
      <c r="D71" s="23"/>
      <c r="E71" s="24"/>
      <c r="F71" s="24"/>
      <c r="G71" s="23"/>
      <c r="H71" s="23"/>
      <c r="I71" s="25"/>
      <c r="J71" s="23"/>
      <c r="K71" s="23"/>
      <c r="L71" s="26" t="str">
        <f aca="false">IF(OR($E71="",$F71=""),"",MOD($F71-$E71,1)*24)</f>
        <v/>
      </c>
      <c r="M71" s="27" t="str">
        <f aca="false">IF($B71="","",IFERROR(INDEX(Properties!$D$5:$D$104,MATCH($B71,Properties!$A$5:$A$104,0)),"?"))</f>
        <v/>
      </c>
      <c r="N71" s="28" t="str">
        <f aca="false">IF($B71="","",IFERROR(IF($D71="Completed",INDEX(Properties!$I$5:$I$104,MATCH($B71,Properties!$A$5:$A$104,0))*(1+IF($G71="Y",Settings!$B$8,0))+IF($H71="Y",Settings!$B$7,0)+N($I71),IF($D71="Deep clean",INDEX(Settings!$E$22:$E$26,MATCH(MIN(INDEX(Properties!$E$5:$E$104,MATCH($B71,Properties!$A$5:$A$104,0)),4),Settings!$A$22:$A$26,0))+N($I71),IF($D71="Late cancel",INDEX(Properties!$I$5:$I$104,MATCH($B71,Properties!$A$5:$A$104,0))*Settings!$B$10,0))),0))</f>
        <v/>
      </c>
      <c r="O71" s="28" t="str">
        <f aca="false">IF($B71="","",IFERROR(IF($D71="Completed",INDEX(Properties!$L$5:$L$104,MATCH($B71,Properties!$A$5:$A$104,0))+IF($G71="Y",INDEX(Properties!$I$5:$I$104,MATCH($B71,Properties!$A$5:$A$104,0))*Settings!$B$8*Settings!$B$9,0)+IF($H71="Y",Settings!$B$7*Settings!$B$9,0)+N($I71)*Settings!$B$9,IF($D71="Deep clean",INDEX(Settings!$E$22:$E$26,MATCH(MIN(INDEX(Properties!$E$5:$E$104,MATCH($B71,Properties!$A$5:$A$104,0)),4),Settings!$A$22:$A$26,0))*Settings!$B$19+N($I71)*Settings!$B$9,IF($D71="Late cancel",INDEX(Properties!$L$5:$L$104,MATCH($B71,Properties!$A$5:$A$104,0))*Settings!$B$11,0))),0))</f>
        <v/>
      </c>
      <c r="P71" s="28" t="str">
        <f aca="false">IF($B71="","",$N71-$O71)</f>
        <v/>
      </c>
      <c r="Q71" s="29" t="str">
        <f aca="false">IF($A71="","",DATE(YEAR($A71),MONTH($A71),1))</f>
        <v/>
      </c>
      <c r="R71" s="30" t="str">
        <f aca="false">IF($A71="","",$A71+MOD(6-WEEKDAY($A71),7))</f>
        <v/>
      </c>
      <c r="S71" s="31" t="str">
        <f aca="false">IF($B71="","",IF(AND($M71='Invoice Builder'!$C$5,$Q71='Invoice Builder'!$C$6,N($N71)&gt;0),COUNTIFS($M$5:$M71,'Invoice Builder'!$C$5,$Q$5:$Q71,'Invoice Builder'!$C$6,$N$5:$N71,"&gt;0"),""))</f>
        <v/>
      </c>
      <c r="T71" s="27" t="str">
        <f aca="false">IF($A71="","",IF($A71&gt;=DATE(YEAR($A71),4,6),YEAR($A71)&amp;"/"&amp;RIGHT(YEAR($A71)+1,2),YEAR($A71)-1&amp;"/"&amp;RIGHT(YEAR($A71),2)))</f>
        <v/>
      </c>
    </row>
    <row r="72" customFormat="false" ht="15" hidden="false" customHeight="false" outlineLevel="0" collapsed="false">
      <c r="A72" s="22"/>
      <c r="B72" s="23"/>
      <c r="C72" s="23"/>
      <c r="D72" s="23"/>
      <c r="E72" s="24"/>
      <c r="F72" s="24"/>
      <c r="G72" s="23"/>
      <c r="H72" s="23"/>
      <c r="I72" s="25"/>
      <c r="J72" s="23"/>
      <c r="K72" s="23"/>
      <c r="L72" s="26" t="str">
        <f aca="false">IF(OR($E72="",$F72=""),"",MOD($F72-$E72,1)*24)</f>
        <v/>
      </c>
      <c r="M72" s="27" t="str">
        <f aca="false">IF($B72="","",IFERROR(INDEX(Properties!$D$5:$D$104,MATCH($B72,Properties!$A$5:$A$104,0)),"?"))</f>
        <v/>
      </c>
      <c r="N72" s="28" t="str">
        <f aca="false">IF($B72="","",IFERROR(IF($D72="Completed",INDEX(Properties!$I$5:$I$104,MATCH($B72,Properties!$A$5:$A$104,0))*(1+IF($G72="Y",Settings!$B$8,0))+IF($H72="Y",Settings!$B$7,0)+N($I72),IF($D72="Deep clean",INDEX(Settings!$E$22:$E$26,MATCH(MIN(INDEX(Properties!$E$5:$E$104,MATCH($B72,Properties!$A$5:$A$104,0)),4),Settings!$A$22:$A$26,0))+N($I72),IF($D72="Late cancel",INDEX(Properties!$I$5:$I$104,MATCH($B72,Properties!$A$5:$A$104,0))*Settings!$B$10,0))),0))</f>
        <v/>
      </c>
      <c r="O72" s="28" t="str">
        <f aca="false">IF($B72="","",IFERROR(IF($D72="Completed",INDEX(Properties!$L$5:$L$104,MATCH($B72,Properties!$A$5:$A$104,0))+IF($G72="Y",INDEX(Properties!$I$5:$I$104,MATCH($B72,Properties!$A$5:$A$104,0))*Settings!$B$8*Settings!$B$9,0)+IF($H72="Y",Settings!$B$7*Settings!$B$9,0)+N($I72)*Settings!$B$9,IF($D72="Deep clean",INDEX(Settings!$E$22:$E$26,MATCH(MIN(INDEX(Properties!$E$5:$E$104,MATCH($B72,Properties!$A$5:$A$104,0)),4),Settings!$A$22:$A$26,0))*Settings!$B$19+N($I72)*Settings!$B$9,IF($D72="Late cancel",INDEX(Properties!$L$5:$L$104,MATCH($B72,Properties!$A$5:$A$104,0))*Settings!$B$11,0))),0))</f>
        <v/>
      </c>
      <c r="P72" s="28" t="str">
        <f aca="false">IF($B72="","",$N72-$O72)</f>
        <v/>
      </c>
      <c r="Q72" s="29" t="str">
        <f aca="false">IF($A72="","",DATE(YEAR($A72),MONTH($A72),1))</f>
        <v/>
      </c>
      <c r="R72" s="30" t="str">
        <f aca="false">IF($A72="","",$A72+MOD(6-WEEKDAY($A72),7))</f>
        <v/>
      </c>
      <c r="S72" s="31" t="str">
        <f aca="false">IF($B72="","",IF(AND($M72='Invoice Builder'!$C$5,$Q72='Invoice Builder'!$C$6,N($N72)&gt;0),COUNTIFS($M$5:$M72,'Invoice Builder'!$C$5,$Q$5:$Q72,'Invoice Builder'!$C$6,$N$5:$N72,"&gt;0"),""))</f>
        <v/>
      </c>
      <c r="T72" s="27" t="str">
        <f aca="false">IF($A72="","",IF($A72&gt;=DATE(YEAR($A72),4,6),YEAR($A72)&amp;"/"&amp;RIGHT(YEAR($A72)+1,2),YEAR($A72)-1&amp;"/"&amp;RIGHT(YEAR($A72),2)))</f>
        <v/>
      </c>
    </row>
    <row r="73" customFormat="false" ht="15" hidden="false" customHeight="false" outlineLevel="0" collapsed="false">
      <c r="A73" s="22"/>
      <c r="B73" s="23"/>
      <c r="C73" s="23"/>
      <c r="D73" s="23"/>
      <c r="E73" s="24"/>
      <c r="F73" s="24"/>
      <c r="G73" s="23"/>
      <c r="H73" s="23"/>
      <c r="I73" s="25"/>
      <c r="J73" s="23"/>
      <c r="K73" s="23"/>
      <c r="L73" s="26" t="str">
        <f aca="false">IF(OR($E73="",$F73=""),"",MOD($F73-$E73,1)*24)</f>
        <v/>
      </c>
      <c r="M73" s="27" t="str">
        <f aca="false">IF($B73="","",IFERROR(INDEX(Properties!$D$5:$D$104,MATCH($B73,Properties!$A$5:$A$104,0)),"?"))</f>
        <v/>
      </c>
      <c r="N73" s="28" t="str">
        <f aca="false">IF($B73="","",IFERROR(IF($D73="Completed",INDEX(Properties!$I$5:$I$104,MATCH($B73,Properties!$A$5:$A$104,0))*(1+IF($G73="Y",Settings!$B$8,0))+IF($H73="Y",Settings!$B$7,0)+N($I73),IF($D73="Deep clean",INDEX(Settings!$E$22:$E$26,MATCH(MIN(INDEX(Properties!$E$5:$E$104,MATCH($B73,Properties!$A$5:$A$104,0)),4),Settings!$A$22:$A$26,0))+N($I73),IF($D73="Late cancel",INDEX(Properties!$I$5:$I$104,MATCH($B73,Properties!$A$5:$A$104,0))*Settings!$B$10,0))),0))</f>
        <v/>
      </c>
      <c r="O73" s="28" t="str">
        <f aca="false">IF($B73="","",IFERROR(IF($D73="Completed",INDEX(Properties!$L$5:$L$104,MATCH($B73,Properties!$A$5:$A$104,0))+IF($G73="Y",INDEX(Properties!$I$5:$I$104,MATCH($B73,Properties!$A$5:$A$104,0))*Settings!$B$8*Settings!$B$9,0)+IF($H73="Y",Settings!$B$7*Settings!$B$9,0)+N($I73)*Settings!$B$9,IF($D73="Deep clean",INDEX(Settings!$E$22:$E$26,MATCH(MIN(INDEX(Properties!$E$5:$E$104,MATCH($B73,Properties!$A$5:$A$104,0)),4),Settings!$A$22:$A$26,0))*Settings!$B$19+N($I73)*Settings!$B$9,IF($D73="Late cancel",INDEX(Properties!$L$5:$L$104,MATCH($B73,Properties!$A$5:$A$104,0))*Settings!$B$11,0))),0))</f>
        <v/>
      </c>
      <c r="P73" s="28" t="str">
        <f aca="false">IF($B73="","",$N73-$O73)</f>
        <v/>
      </c>
      <c r="Q73" s="29" t="str">
        <f aca="false">IF($A73="","",DATE(YEAR($A73),MONTH($A73),1))</f>
        <v/>
      </c>
      <c r="R73" s="30" t="str">
        <f aca="false">IF($A73="","",$A73+MOD(6-WEEKDAY($A73),7))</f>
        <v/>
      </c>
      <c r="S73" s="31" t="str">
        <f aca="false">IF($B73="","",IF(AND($M73='Invoice Builder'!$C$5,$Q73='Invoice Builder'!$C$6,N($N73)&gt;0),COUNTIFS($M$5:$M73,'Invoice Builder'!$C$5,$Q$5:$Q73,'Invoice Builder'!$C$6,$N$5:$N73,"&gt;0"),""))</f>
        <v/>
      </c>
      <c r="T73" s="27" t="str">
        <f aca="false">IF($A73="","",IF($A73&gt;=DATE(YEAR($A73),4,6),YEAR($A73)&amp;"/"&amp;RIGHT(YEAR($A73)+1,2),YEAR($A73)-1&amp;"/"&amp;RIGHT(YEAR($A73),2)))</f>
        <v/>
      </c>
    </row>
    <row r="74" customFormat="false" ht="15" hidden="false" customHeight="false" outlineLevel="0" collapsed="false">
      <c r="A74" s="22"/>
      <c r="B74" s="23"/>
      <c r="C74" s="23"/>
      <c r="D74" s="23"/>
      <c r="E74" s="24"/>
      <c r="F74" s="24"/>
      <c r="G74" s="23"/>
      <c r="H74" s="23"/>
      <c r="I74" s="25"/>
      <c r="J74" s="23"/>
      <c r="K74" s="23"/>
      <c r="L74" s="26" t="str">
        <f aca="false">IF(OR($E74="",$F74=""),"",MOD($F74-$E74,1)*24)</f>
        <v/>
      </c>
      <c r="M74" s="27" t="str">
        <f aca="false">IF($B74="","",IFERROR(INDEX(Properties!$D$5:$D$104,MATCH($B74,Properties!$A$5:$A$104,0)),"?"))</f>
        <v/>
      </c>
      <c r="N74" s="28" t="str">
        <f aca="false">IF($B74="","",IFERROR(IF($D74="Completed",INDEX(Properties!$I$5:$I$104,MATCH($B74,Properties!$A$5:$A$104,0))*(1+IF($G74="Y",Settings!$B$8,0))+IF($H74="Y",Settings!$B$7,0)+N($I74),IF($D74="Deep clean",INDEX(Settings!$E$22:$E$26,MATCH(MIN(INDEX(Properties!$E$5:$E$104,MATCH($B74,Properties!$A$5:$A$104,0)),4),Settings!$A$22:$A$26,0))+N($I74),IF($D74="Late cancel",INDEX(Properties!$I$5:$I$104,MATCH($B74,Properties!$A$5:$A$104,0))*Settings!$B$10,0))),0))</f>
        <v/>
      </c>
      <c r="O74" s="28" t="str">
        <f aca="false">IF($B74="","",IFERROR(IF($D74="Completed",INDEX(Properties!$L$5:$L$104,MATCH($B74,Properties!$A$5:$A$104,0))+IF($G74="Y",INDEX(Properties!$I$5:$I$104,MATCH($B74,Properties!$A$5:$A$104,0))*Settings!$B$8*Settings!$B$9,0)+IF($H74="Y",Settings!$B$7*Settings!$B$9,0)+N($I74)*Settings!$B$9,IF($D74="Deep clean",INDEX(Settings!$E$22:$E$26,MATCH(MIN(INDEX(Properties!$E$5:$E$104,MATCH($B74,Properties!$A$5:$A$104,0)),4),Settings!$A$22:$A$26,0))*Settings!$B$19+N($I74)*Settings!$B$9,IF($D74="Late cancel",INDEX(Properties!$L$5:$L$104,MATCH($B74,Properties!$A$5:$A$104,0))*Settings!$B$11,0))),0))</f>
        <v/>
      </c>
      <c r="P74" s="28" t="str">
        <f aca="false">IF($B74="","",$N74-$O74)</f>
        <v/>
      </c>
      <c r="Q74" s="29" t="str">
        <f aca="false">IF($A74="","",DATE(YEAR($A74),MONTH($A74),1))</f>
        <v/>
      </c>
      <c r="R74" s="30" t="str">
        <f aca="false">IF($A74="","",$A74+MOD(6-WEEKDAY($A74),7))</f>
        <v/>
      </c>
      <c r="S74" s="31" t="str">
        <f aca="false">IF($B74="","",IF(AND($M74='Invoice Builder'!$C$5,$Q74='Invoice Builder'!$C$6,N($N74)&gt;0),COUNTIFS($M$5:$M74,'Invoice Builder'!$C$5,$Q$5:$Q74,'Invoice Builder'!$C$6,$N$5:$N74,"&gt;0"),""))</f>
        <v/>
      </c>
      <c r="T74" s="27" t="str">
        <f aca="false">IF($A74="","",IF($A74&gt;=DATE(YEAR($A74),4,6),YEAR($A74)&amp;"/"&amp;RIGHT(YEAR($A74)+1,2),YEAR($A74)-1&amp;"/"&amp;RIGHT(YEAR($A74),2)))</f>
        <v/>
      </c>
    </row>
    <row r="75" customFormat="false" ht="15" hidden="false" customHeight="false" outlineLevel="0" collapsed="false">
      <c r="A75" s="22"/>
      <c r="B75" s="23"/>
      <c r="C75" s="23"/>
      <c r="D75" s="23"/>
      <c r="E75" s="24"/>
      <c r="F75" s="24"/>
      <c r="G75" s="23"/>
      <c r="H75" s="23"/>
      <c r="I75" s="25"/>
      <c r="J75" s="23"/>
      <c r="K75" s="23"/>
      <c r="L75" s="26" t="str">
        <f aca="false">IF(OR($E75="",$F75=""),"",MOD($F75-$E75,1)*24)</f>
        <v/>
      </c>
      <c r="M75" s="27" t="str">
        <f aca="false">IF($B75="","",IFERROR(INDEX(Properties!$D$5:$D$104,MATCH($B75,Properties!$A$5:$A$104,0)),"?"))</f>
        <v/>
      </c>
      <c r="N75" s="28" t="str">
        <f aca="false">IF($B75="","",IFERROR(IF($D75="Completed",INDEX(Properties!$I$5:$I$104,MATCH($B75,Properties!$A$5:$A$104,0))*(1+IF($G75="Y",Settings!$B$8,0))+IF($H75="Y",Settings!$B$7,0)+N($I75),IF($D75="Deep clean",INDEX(Settings!$E$22:$E$26,MATCH(MIN(INDEX(Properties!$E$5:$E$104,MATCH($B75,Properties!$A$5:$A$104,0)),4),Settings!$A$22:$A$26,0))+N($I75),IF($D75="Late cancel",INDEX(Properties!$I$5:$I$104,MATCH($B75,Properties!$A$5:$A$104,0))*Settings!$B$10,0))),0))</f>
        <v/>
      </c>
      <c r="O75" s="28" t="str">
        <f aca="false">IF($B75="","",IFERROR(IF($D75="Completed",INDEX(Properties!$L$5:$L$104,MATCH($B75,Properties!$A$5:$A$104,0))+IF($G75="Y",INDEX(Properties!$I$5:$I$104,MATCH($B75,Properties!$A$5:$A$104,0))*Settings!$B$8*Settings!$B$9,0)+IF($H75="Y",Settings!$B$7*Settings!$B$9,0)+N($I75)*Settings!$B$9,IF($D75="Deep clean",INDEX(Settings!$E$22:$E$26,MATCH(MIN(INDEX(Properties!$E$5:$E$104,MATCH($B75,Properties!$A$5:$A$104,0)),4),Settings!$A$22:$A$26,0))*Settings!$B$19+N($I75)*Settings!$B$9,IF($D75="Late cancel",INDEX(Properties!$L$5:$L$104,MATCH($B75,Properties!$A$5:$A$104,0))*Settings!$B$11,0))),0))</f>
        <v/>
      </c>
      <c r="P75" s="28" t="str">
        <f aca="false">IF($B75="","",$N75-$O75)</f>
        <v/>
      </c>
      <c r="Q75" s="29" t="str">
        <f aca="false">IF($A75="","",DATE(YEAR($A75),MONTH($A75),1))</f>
        <v/>
      </c>
      <c r="R75" s="30" t="str">
        <f aca="false">IF($A75="","",$A75+MOD(6-WEEKDAY($A75),7))</f>
        <v/>
      </c>
      <c r="S75" s="31" t="str">
        <f aca="false">IF($B75="","",IF(AND($M75='Invoice Builder'!$C$5,$Q75='Invoice Builder'!$C$6,N($N75)&gt;0),COUNTIFS($M$5:$M75,'Invoice Builder'!$C$5,$Q$5:$Q75,'Invoice Builder'!$C$6,$N$5:$N75,"&gt;0"),""))</f>
        <v/>
      </c>
      <c r="T75" s="27" t="str">
        <f aca="false">IF($A75="","",IF($A75&gt;=DATE(YEAR($A75),4,6),YEAR($A75)&amp;"/"&amp;RIGHT(YEAR($A75)+1,2),YEAR($A75)-1&amp;"/"&amp;RIGHT(YEAR($A75),2)))</f>
        <v/>
      </c>
    </row>
    <row r="76" customFormat="false" ht="15" hidden="false" customHeight="false" outlineLevel="0" collapsed="false">
      <c r="A76" s="22"/>
      <c r="B76" s="23"/>
      <c r="C76" s="23"/>
      <c r="D76" s="23"/>
      <c r="E76" s="24"/>
      <c r="F76" s="24"/>
      <c r="G76" s="23"/>
      <c r="H76" s="23"/>
      <c r="I76" s="25"/>
      <c r="J76" s="23"/>
      <c r="K76" s="23"/>
      <c r="L76" s="26" t="str">
        <f aca="false">IF(OR($E76="",$F76=""),"",MOD($F76-$E76,1)*24)</f>
        <v/>
      </c>
      <c r="M76" s="27" t="str">
        <f aca="false">IF($B76="","",IFERROR(INDEX(Properties!$D$5:$D$104,MATCH($B76,Properties!$A$5:$A$104,0)),"?"))</f>
        <v/>
      </c>
      <c r="N76" s="28" t="str">
        <f aca="false">IF($B76="","",IFERROR(IF($D76="Completed",INDEX(Properties!$I$5:$I$104,MATCH($B76,Properties!$A$5:$A$104,0))*(1+IF($G76="Y",Settings!$B$8,0))+IF($H76="Y",Settings!$B$7,0)+N($I76),IF($D76="Deep clean",INDEX(Settings!$E$22:$E$26,MATCH(MIN(INDEX(Properties!$E$5:$E$104,MATCH($B76,Properties!$A$5:$A$104,0)),4),Settings!$A$22:$A$26,0))+N($I76),IF($D76="Late cancel",INDEX(Properties!$I$5:$I$104,MATCH($B76,Properties!$A$5:$A$104,0))*Settings!$B$10,0))),0))</f>
        <v/>
      </c>
      <c r="O76" s="28" t="str">
        <f aca="false">IF($B76="","",IFERROR(IF($D76="Completed",INDEX(Properties!$L$5:$L$104,MATCH($B76,Properties!$A$5:$A$104,0))+IF($G76="Y",INDEX(Properties!$I$5:$I$104,MATCH($B76,Properties!$A$5:$A$104,0))*Settings!$B$8*Settings!$B$9,0)+IF($H76="Y",Settings!$B$7*Settings!$B$9,0)+N($I76)*Settings!$B$9,IF($D76="Deep clean",INDEX(Settings!$E$22:$E$26,MATCH(MIN(INDEX(Properties!$E$5:$E$104,MATCH($B76,Properties!$A$5:$A$104,0)),4),Settings!$A$22:$A$26,0))*Settings!$B$19+N($I76)*Settings!$B$9,IF($D76="Late cancel",INDEX(Properties!$L$5:$L$104,MATCH($B76,Properties!$A$5:$A$104,0))*Settings!$B$11,0))),0))</f>
        <v/>
      </c>
      <c r="P76" s="28" t="str">
        <f aca="false">IF($B76="","",$N76-$O76)</f>
        <v/>
      </c>
      <c r="Q76" s="29" t="str">
        <f aca="false">IF($A76="","",DATE(YEAR($A76),MONTH($A76),1))</f>
        <v/>
      </c>
      <c r="R76" s="30" t="str">
        <f aca="false">IF($A76="","",$A76+MOD(6-WEEKDAY($A76),7))</f>
        <v/>
      </c>
      <c r="S76" s="31" t="str">
        <f aca="false">IF($B76="","",IF(AND($M76='Invoice Builder'!$C$5,$Q76='Invoice Builder'!$C$6,N($N76)&gt;0),COUNTIFS($M$5:$M76,'Invoice Builder'!$C$5,$Q$5:$Q76,'Invoice Builder'!$C$6,$N$5:$N76,"&gt;0"),""))</f>
        <v/>
      </c>
      <c r="T76" s="27" t="str">
        <f aca="false">IF($A76="","",IF($A76&gt;=DATE(YEAR($A76),4,6),YEAR($A76)&amp;"/"&amp;RIGHT(YEAR($A76)+1,2),YEAR($A76)-1&amp;"/"&amp;RIGHT(YEAR($A76),2)))</f>
        <v/>
      </c>
    </row>
    <row r="77" customFormat="false" ht="15" hidden="false" customHeight="false" outlineLevel="0" collapsed="false">
      <c r="A77" s="22"/>
      <c r="B77" s="23"/>
      <c r="C77" s="23"/>
      <c r="D77" s="23"/>
      <c r="E77" s="24"/>
      <c r="F77" s="24"/>
      <c r="G77" s="23"/>
      <c r="H77" s="23"/>
      <c r="I77" s="25"/>
      <c r="J77" s="23"/>
      <c r="K77" s="23"/>
      <c r="L77" s="26" t="str">
        <f aca="false">IF(OR($E77="",$F77=""),"",MOD($F77-$E77,1)*24)</f>
        <v/>
      </c>
      <c r="M77" s="27" t="str">
        <f aca="false">IF($B77="","",IFERROR(INDEX(Properties!$D$5:$D$104,MATCH($B77,Properties!$A$5:$A$104,0)),"?"))</f>
        <v/>
      </c>
      <c r="N77" s="28" t="str">
        <f aca="false">IF($B77="","",IFERROR(IF($D77="Completed",INDEX(Properties!$I$5:$I$104,MATCH($B77,Properties!$A$5:$A$104,0))*(1+IF($G77="Y",Settings!$B$8,0))+IF($H77="Y",Settings!$B$7,0)+N($I77),IF($D77="Deep clean",INDEX(Settings!$E$22:$E$26,MATCH(MIN(INDEX(Properties!$E$5:$E$104,MATCH($B77,Properties!$A$5:$A$104,0)),4),Settings!$A$22:$A$26,0))+N($I77),IF($D77="Late cancel",INDEX(Properties!$I$5:$I$104,MATCH($B77,Properties!$A$5:$A$104,0))*Settings!$B$10,0))),0))</f>
        <v/>
      </c>
      <c r="O77" s="28" t="str">
        <f aca="false">IF($B77="","",IFERROR(IF($D77="Completed",INDEX(Properties!$L$5:$L$104,MATCH($B77,Properties!$A$5:$A$104,0))+IF($G77="Y",INDEX(Properties!$I$5:$I$104,MATCH($B77,Properties!$A$5:$A$104,0))*Settings!$B$8*Settings!$B$9,0)+IF($H77="Y",Settings!$B$7*Settings!$B$9,0)+N($I77)*Settings!$B$9,IF($D77="Deep clean",INDEX(Settings!$E$22:$E$26,MATCH(MIN(INDEX(Properties!$E$5:$E$104,MATCH($B77,Properties!$A$5:$A$104,0)),4),Settings!$A$22:$A$26,0))*Settings!$B$19+N($I77)*Settings!$B$9,IF($D77="Late cancel",INDEX(Properties!$L$5:$L$104,MATCH($B77,Properties!$A$5:$A$104,0))*Settings!$B$11,0))),0))</f>
        <v/>
      </c>
      <c r="P77" s="28" t="str">
        <f aca="false">IF($B77="","",$N77-$O77)</f>
        <v/>
      </c>
      <c r="Q77" s="29" t="str">
        <f aca="false">IF($A77="","",DATE(YEAR($A77),MONTH($A77),1))</f>
        <v/>
      </c>
      <c r="R77" s="30" t="str">
        <f aca="false">IF($A77="","",$A77+MOD(6-WEEKDAY($A77),7))</f>
        <v/>
      </c>
      <c r="S77" s="31" t="str">
        <f aca="false">IF($B77="","",IF(AND($M77='Invoice Builder'!$C$5,$Q77='Invoice Builder'!$C$6,N($N77)&gt;0),COUNTIFS($M$5:$M77,'Invoice Builder'!$C$5,$Q$5:$Q77,'Invoice Builder'!$C$6,$N$5:$N77,"&gt;0"),""))</f>
        <v/>
      </c>
      <c r="T77" s="27" t="str">
        <f aca="false">IF($A77="","",IF($A77&gt;=DATE(YEAR($A77),4,6),YEAR($A77)&amp;"/"&amp;RIGHT(YEAR($A77)+1,2),YEAR($A77)-1&amp;"/"&amp;RIGHT(YEAR($A77),2)))</f>
        <v/>
      </c>
    </row>
    <row r="78" customFormat="false" ht="15" hidden="false" customHeight="false" outlineLevel="0" collapsed="false">
      <c r="A78" s="22"/>
      <c r="B78" s="23"/>
      <c r="C78" s="23"/>
      <c r="D78" s="23"/>
      <c r="E78" s="24"/>
      <c r="F78" s="24"/>
      <c r="G78" s="23"/>
      <c r="H78" s="23"/>
      <c r="I78" s="25"/>
      <c r="J78" s="23"/>
      <c r="K78" s="23"/>
      <c r="L78" s="26" t="str">
        <f aca="false">IF(OR($E78="",$F78=""),"",MOD($F78-$E78,1)*24)</f>
        <v/>
      </c>
      <c r="M78" s="27" t="str">
        <f aca="false">IF($B78="","",IFERROR(INDEX(Properties!$D$5:$D$104,MATCH($B78,Properties!$A$5:$A$104,0)),"?"))</f>
        <v/>
      </c>
      <c r="N78" s="28" t="str">
        <f aca="false">IF($B78="","",IFERROR(IF($D78="Completed",INDEX(Properties!$I$5:$I$104,MATCH($B78,Properties!$A$5:$A$104,0))*(1+IF($G78="Y",Settings!$B$8,0))+IF($H78="Y",Settings!$B$7,0)+N($I78),IF($D78="Deep clean",INDEX(Settings!$E$22:$E$26,MATCH(MIN(INDEX(Properties!$E$5:$E$104,MATCH($B78,Properties!$A$5:$A$104,0)),4),Settings!$A$22:$A$26,0))+N($I78),IF($D78="Late cancel",INDEX(Properties!$I$5:$I$104,MATCH($B78,Properties!$A$5:$A$104,0))*Settings!$B$10,0))),0))</f>
        <v/>
      </c>
      <c r="O78" s="28" t="str">
        <f aca="false">IF($B78="","",IFERROR(IF($D78="Completed",INDEX(Properties!$L$5:$L$104,MATCH($B78,Properties!$A$5:$A$104,0))+IF($G78="Y",INDEX(Properties!$I$5:$I$104,MATCH($B78,Properties!$A$5:$A$104,0))*Settings!$B$8*Settings!$B$9,0)+IF($H78="Y",Settings!$B$7*Settings!$B$9,0)+N($I78)*Settings!$B$9,IF($D78="Deep clean",INDEX(Settings!$E$22:$E$26,MATCH(MIN(INDEX(Properties!$E$5:$E$104,MATCH($B78,Properties!$A$5:$A$104,0)),4),Settings!$A$22:$A$26,0))*Settings!$B$19+N($I78)*Settings!$B$9,IF($D78="Late cancel",INDEX(Properties!$L$5:$L$104,MATCH($B78,Properties!$A$5:$A$104,0))*Settings!$B$11,0))),0))</f>
        <v/>
      </c>
      <c r="P78" s="28" t="str">
        <f aca="false">IF($B78="","",$N78-$O78)</f>
        <v/>
      </c>
      <c r="Q78" s="29" t="str">
        <f aca="false">IF($A78="","",DATE(YEAR($A78),MONTH($A78),1))</f>
        <v/>
      </c>
      <c r="R78" s="30" t="str">
        <f aca="false">IF($A78="","",$A78+MOD(6-WEEKDAY($A78),7))</f>
        <v/>
      </c>
      <c r="S78" s="31" t="str">
        <f aca="false">IF($B78="","",IF(AND($M78='Invoice Builder'!$C$5,$Q78='Invoice Builder'!$C$6,N($N78)&gt;0),COUNTIFS($M$5:$M78,'Invoice Builder'!$C$5,$Q$5:$Q78,'Invoice Builder'!$C$6,$N$5:$N78,"&gt;0"),""))</f>
        <v/>
      </c>
      <c r="T78" s="27" t="str">
        <f aca="false">IF($A78="","",IF($A78&gt;=DATE(YEAR($A78),4,6),YEAR($A78)&amp;"/"&amp;RIGHT(YEAR($A78)+1,2),YEAR($A78)-1&amp;"/"&amp;RIGHT(YEAR($A78),2)))</f>
        <v/>
      </c>
    </row>
    <row r="79" customFormat="false" ht="15" hidden="false" customHeight="false" outlineLevel="0" collapsed="false">
      <c r="A79" s="22"/>
      <c r="B79" s="23"/>
      <c r="C79" s="23"/>
      <c r="D79" s="23"/>
      <c r="E79" s="24"/>
      <c r="F79" s="24"/>
      <c r="G79" s="23"/>
      <c r="H79" s="23"/>
      <c r="I79" s="25"/>
      <c r="J79" s="23"/>
      <c r="K79" s="23"/>
      <c r="L79" s="26" t="str">
        <f aca="false">IF(OR($E79="",$F79=""),"",MOD($F79-$E79,1)*24)</f>
        <v/>
      </c>
      <c r="M79" s="27" t="str">
        <f aca="false">IF($B79="","",IFERROR(INDEX(Properties!$D$5:$D$104,MATCH($B79,Properties!$A$5:$A$104,0)),"?"))</f>
        <v/>
      </c>
      <c r="N79" s="28" t="str">
        <f aca="false">IF($B79="","",IFERROR(IF($D79="Completed",INDEX(Properties!$I$5:$I$104,MATCH($B79,Properties!$A$5:$A$104,0))*(1+IF($G79="Y",Settings!$B$8,0))+IF($H79="Y",Settings!$B$7,0)+N($I79),IF($D79="Deep clean",INDEX(Settings!$E$22:$E$26,MATCH(MIN(INDEX(Properties!$E$5:$E$104,MATCH($B79,Properties!$A$5:$A$104,0)),4),Settings!$A$22:$A$26,0))+N($I79),IF($D79="Late cancel",INDEX(Properties!$I$5:$I$104,MATCH($B79,Properties!$A$5:$A$104,0))*Settings!$B$10,0))),0))</f>
        <v/>
      </c>
      <c r="O79" s="28" t="str">
        <f aca="false">IF($B79="","",IFERROR(IF($D79="Completed",INDEX(Properties!$L$5:$L$104,MATCH($B79,Properties!$A$5:$A$104,0))+IF($G79="Y",INDEX(Properties!$I$5:$I$104,MATCH($B79,Properties!$A$5:$A$104,0))*Settings!$B$8*Settings!$B$9,0)+IF($H79="Y",Settings!$B$7*Settings!$B$9,0)+N($I79)*Settings!$B$9,IF($D79="Deep clean",INDEX(Settings!$E$22:$E$26,MATCH(MIN(INDEX(Properties!$E$5:$E$104,MATCH($B79,Properties!$A$5:$A$104,0)),4),Settings!$A$22:$A$26,0))*Settings!$B$19+N($I79)*Settings!$B$9,IF($D79="Late cancel",INDEX(Properties!$L$5:$L$104,MATCH($B79,Properties!$A$5:$A$104,0))*Settings!$B$11,0))),0))</f>
        <v/>
      </c>
      <c r="P79" s="28" t="str">
        <f aca="false">IF($B79="","",$N79-$O79)</f>
        <v/>
      </c>
      <c r="Q79" s="29" t="str">
        <f aca="false">IF($A79="","",DATE(YEAR($A79),MONTH($A79),1))</f>
        <v/>
      </c>
      <c r="R79" s="30" t="str">
        <f aca="false">IF($A79="","",$A79+MOD(6-WEEKDAY($A79),7))</f>
        <v/>
      </c>
      <c r="S79" s="31" t="str">
        <f aca="false">IF($B79="","",IF(AND($M79='Invoice Builder'!$C$5,$Q79='Invoice Builder'!$C$6,N($N79)&gt;0),COUNTIFS($M$5:$M79,'Invoice Builder'!$C$5,$Q$5:$Q79,'Invoice Builder'!$C$6,$N$5:$N79,"&gt;0"),""))</f>
        <v/>
      </c>
      <c r="T79" s="27" t="str">
        <f aca="false">IF($A79="","",IF($A79&gt;=DATE(YEAR($A79),4,6),YEAR($A79)&amp;"/"&amp;RIGHT(YEAR($A79)+1,2),YEAR($A79)-1&amp;"/"&amp;RIGHT(YEAR($A79),2)))</f>
        <v/>
      </c>
    </row>
    <row r="80" customFormat="false" ht="15" hidden="false" customHeight="false" outlineLevel="0" collapsed="false">
      <c r="A80" s="22"/>
      <c r="B80" s="23"/>
      <c r="C80" s="23"/>
      <c r="D80" s="23"/>
      <c r="E80" s="24"/>
      <c r="F80" s="24"/>
      <c r="G80" s="23"/>
      <c r="H80" s="23"/>
      <c r="I80" s="25"/>
      <c r="J80" s="23"/>
      <c r="K80" s="23"/>
      <c r="L80" s="26" t="str">
        <f aca="false">IF(OR($E80="",$F80=""),"",MOD($F80-$E80,1)*24)</f>
        <v/>
      </c>
      <c r="M80" s="27" t="str">
        <f aca="false">IF($B80="","",IFERROR(INDEX(Properties!$D$5:$D$104,MATCH($B80,Properties!$A$5:$A$104,0)),"?"))</f>
        <v/>
      </c>
      <c r="N80" s="28" t="str">
        <f aca="false">IF($B80="","",IFERROR(IF($D80="Completed",INDEX(Properties!$I$5:$I$104,MATCH($B80,Properties!$A$5:$A$104,0))*(1+IF($G80="Y",Settings!$B$8,0))+IF($H80="Y",Settings!$B$7,0)+N($I80),IF($D80="Deep clean",INDEX(Settings!$E$22:$E$26,MATCH(MIN(INDEX(Properties!$E$5:$E$104,MATCH($B80,Properties!$A$5:$A$104,0)),4),Settings!$A$22:$A$26,0))+N($I80),IF($D80="Late cancel",INDEX(Properties!$I$5:$I$104,MATCH($B80,Properties!$A$5:$A$104,0))*Settings!$B$10,0))),0))</f>
        <v/>
      </c>
      <c r="O80" s="28" t="str">
        <f aca="false">IF($B80="","",IFERROR(IF($D80="Completed",INDEX(Properties!$L$5:$L$104,MATCH($B80,Properties!$A$5:$A$104,0))+IF($G80="Y",INDEX(Properties!$I$5:$I$104,MATCH($B80,Properties!$A$5:$A$104,0))*Settings!$B$8*Settings!$B$9,0)+IF($H80="Y",Settings!$B$7*Settings!$B$9,0)+N($I80)*Settings!$B$9,IF($D80="Deep clean",INDEX(Settings!$E$22:$E$26,MATCH(MIN(INDEX(Properties!$E$5:$E$104,MATCH($B80,Properties!$A$5:$A$104,0)),4),Settings!$A$22:$A$26,0))*Settings!$B$19+N($I80)*Settings!$B$9,IF($D80="Late cancel",INDEX(Properties!$L$5:$L$104,MATCH($B80,Properties!$A$5:$A$104,0))*Settings!$B$11,0))),0))</f>
        <v/>
      </c>
      <c r="P80" s="28" t="str">
        <f aca="false">IF($B80="","",$N80-$O80)</f>
        <v/>
      </c>
      <c r="Q80" s="29" t="str">
        <f aca="false">IF($A80="","",DATE(YEAR($A80),MONTH($A80),1))</f>
        <v/>
      </c>
      <c r="R80" s="30" t="str">
        <f aca="false">IF($A80="","",$A80+MOD(6-WEEKDAY($A80),7))</f>
        <v/>
      </c>
      <c r="S80" s="31" t="str">
        <f aca="false">IF($B80="","",IF(AND($M80='Invoice Builder'!$C$5,$Q80='Invoice Builder'!$C$6,N($N80)&gt;0),COUNTIFS($M$5:$M80,'Invoice Builder'!$C$5,$Q$5:$Q80,'Invoice Builder'!$C$6,$N$5:$N80,"&gt;0"),""))</f>
        <v/>
      </c>
      <c r="T80" s="27" t="str">
        <f aca="false">IF($A80="","",IF($A80&gt;=DATE(YEAR($A80),4,6),YEAR($A80)&amp;"/"&amp;RIGHT(YEAR($A80)+1,2),YEAR($A80)-1&amp;"/"&amp;RIGHT(YEAR($A80),2)))</f>
        <v/>
      </c>
    </row>
    <row r="81" customFormat="false" ht="15" hidden="false" customHeight="false" outlineLevel="0" collapsed="false">
      <c r="A81" s="22"/>
      <c r="B81" s="23"/>
      <c r="C81" s="23"/>
      <c r="D81" s="23"/>
      <c r="E81" s="24"/>
      <c r="F81" s="24"/>
      <c r="G81" s="23"/>
      <c r="H81" s="23"/>
      <c r="I81" s="25"/>
      <c r="J81" s="23"/>
      <c r="K81" s="23"/>
      <c r="L81" s="26" t="str">
        <f aca="false">IF(OR($E81="",$F81=""),"",MOD($F81-$E81,1)*24)</f>
        <v/>
      </c>
      <c r="M81" s="27" t="str">
        <f aca="false">IF($B81="","",IFERROR(INDEX(Properties!$D$5:$D$104,MATCH($B81,Properties!$A$5:$A$104,0)),"?"))</f>
        <v/>
      </c>
      <c r="N81" s="28" t="str">
        <f aca="false">IF($B81="","",IFERROR(IF($D81="Completed",INDEX(Properties!$I$5:$I$104,MATCH($B81,Properties!$A$5:$A$104,0))*(1+IF($G81="Y",Settings!$B$8,0))+IF($H81="Y",Settings!$B$7,0)+N($I81),IF($D81="Deep clean",INDEX(Settings!$E$22:$E$26,MATCH(MIN(INDEX(Properties!$E$5:$E$104,MATCH($B81,Properties!$A$5:$A$104,0)),4),Settings!$A$22:$A$26,0))+N($I81),IF($D81="Late cancel",INDEX(Properties!$I$5:$I$104,MATCH($B81,Properties!$A$5:$A$104,0))*Settings!$B$10,0))),0))</f>
        <v/>
      </c>
      <c r="O81" s="28" t="str">
        <f aca="false">IF($B81="","",IFERROR(IF($D81="Completed",INDEX(Properties!$L$5:$L$104,MATCH($B81,Properties!$A$5:$A$104,0))+IF($G81="Y",INDEX(Properties!$I$5:$I$104,MATCH($B81,Properties!$A$5:$A$104,0))*Settings!$B$8*Settings!$B$9,0)+IF($H81="Y",Settings!$B$7*Settings!$B$9,0)+N($I81)*Settings!$B$9,IF($D81="Deep clean",INDEX(Settings!$E$22:$E$26,MATCH(MIN(INDEX(Properties!$E$5:$E$104,MATCH($B81,Properties!$A$5:$A$104,0)),4),Settings!$A$22:$A$26,0))*Settings!$B$19+N($I81)*Settings!$B$9,IF($D81="Late cancel",INDEX(Properties!$L$5:$L$104,MATCH($B81,Properties!$A$5:$A$104,0))*Settings!$B$11,0))),0))</f>
        <v/>
      </c>
      <c r="P81" s="28" t="str">
        <f aca="false">IF($B81="","",$N81-$O81)</f>
        <v/>
      </c>
      <c r="Q81" s="29" t="str">
        <f aca="false">IF($A81="","",DATE(YEAR($A81),MONTH($A81),1))</f>
        <v/>
      </c>
      <c r="R81" s="30" t="str">
        <f aca="false">IF($A81="","",$A81+MOD(6-WEEKDAY($A81),7))</f>
        <v/>
      </c>
      <c r="S81" s="31" t="str">
        <f aca="false">IF($B81="","",IF(AND($M81='Invoice Builder'!$C$5,$Q81='Invoice Builder'!$C$6,N($N81)&gt;0),COUNTIFS($M$5:$M81,'Invoice Builder'!$C$5,$Q$5:$Q81,'Invoice Builder'!$C$6,$N$5:$N81,"&gt;0"),""))</f>
        <v/>
      </c>
      <c r="T81" s="27" t="str">
        <f aca="false">IF($A81="","",IF($A81&gt;=DATE(YEAR($A81),4,6),YEAR($A81)&amp;"/"&amp;RIGHT(YEAR($A81)+1,2),YEAR($A81)-1&amp;"/"&amp;RIGHT(YEAR($A81),2)))</f>
        <v/>
      </c>
    </row>
    <row r="82" customFormat="false" ht="15" hidden="false" customHeight="false" outlineLevel="0" collapsed="false">
      <c r="A82" s="22"/>
      <c r="B82" s="23"/>
      <c r="C82" s="23"/>
      <c r="D82" s="23"/>
      <c r="E82" s="24"/>
      <c r="F82" s="24"/>
      <c r="G82" s="23"/>
      <c r="H82" s="23"/>
      <c r="I82" s="25"/>
      <c r="J82" s="23"/>
      <c r="K82" s="23"/>
      <c r="L82" s="26" t="str">
        <f aca="false">IF(OR($E82="",$F82=""),"",MOD($F82-$E82,1)*24)</f>
        <v/>
      </c>
      <c r="M82" s="27" t="str">
        <f aca="false">IF($B82="","",IFERROR(INDEX(Properties!$D$5:$D$104,MATCH($B82,Properties!$A$5:$A$104,0)),"?"))</f>
        <v/>
      </c>
      <c r="N82" s="28" t="str">
        <f aca="false">IF($B82="","",IFERROR(IF($D82="Completed",INDEX(Properties!$I$5:$I$104,MATCH($B82,Properties!$A$5:$A$104,0))*(1+IF($G82="Y",Settings!$B$8,0))+IF($H82="Y",Settings!$B$7,0)+N($I82),IF($D82="Deep clean",INDEX(Settings!$E$22:$E$26,MATCH(MIN(INDEX(Properties!$E$5:$E$104,MATCH($B82,Properties!$A$5:$A$104,0)),4),Settings!$A$22:$A$26,0))+N($I82),IF($D82="Late cancel",INDEX(Properties!$I$5:$I$104,MATCH($B82,Properties!$A$5:$A$104,0))*Settings!$B$10,0))),0))</f>
        <v/>
      </c>
      <c r="O82" s="28" t="str">
        <f aca="false">IF($B82="","",IFERROR(IF($D82="Completed",INDEX(Properties!$L$5:$L$104,MATCH($B82,Properties!$A$5:$A$104,0))+IF($G82="Y",INDEX(Properties!$I$5:$I$104,MATCH($B82,Properties!$A$5:$A$104,0))*Settings!$B$8*Settings!$B$9,0)+IF($H82="Y",Settings!$B$7*Settings!$B$9,0)+N($I82)*Settings!$B$9,IF($D82="Deep clean",INDEX(Settings!$E$22:$E$26,MATCH(MIN(INDEX(Properties!$E$5:$E$104,MATCH($B82,Properties!$A$5:$A$104,0)),4),Settings!$A$22:$A$26,0))*Settings!$B$19+N($I82)*Settings!$B$9,IF($D82="Late cancel",INDEX(Properties!$L$5:$L$104,MATCH($B82,Properties!$A$5:$A$104,0))*Settings!$B$11,0))),0))</f>
        <v/>
      </c>
      <c r="P82" s="28" t="str">
        <f aca="false">IF($B82="","",$N82-$O82)</f>
        <v/>
      </c>
      <c r="Q82" s="29" t="str">
        <f aca="false">IF($A82="","",DATE(YEAR($A82),MONTH($A82),1))</f>
        <v/>
      </c>
      <c r="R82" s="30" t="str">
        <f aca="false">IF($A82="","",$A82+MOD(6-WEEKDAY($A82),7))</f>
        <v/>
      </c>
      <c r="S82" s="31" t="str">
        <f aca="false">IF($B82="","",IF(AND($M82='Invoice Builder'!$C$5,$Q82='Invoice Builder'!$C$6,N($N82)&gt;0),COUNTIFS($M$5:$M82,'Invoice Builder'!$C$5,$Q$5:$Q82,'Invoice Builder'!$C$6,$N$5:$N82,"&gt;0"),""))</f>
        <v/>
      </c>
      <c r="T82" s="27" t="str">
        <f aca="false">IF($A82="","",IF($A82&gt;=DATE(YEAR($A82),4,6),YEAR($A82)&amp;"/"&amp;RIGHT(YEAR($A82)+1,2),YEAR($A82)-1&amp;"/"&amp;RIGHT(YEAR($A82),2)))</f>
        <v/>
      </c>
    </row>
    <row r="83" customFormat="false" ht="15" hidden="false" customHeight="false" outlineLevel="0" collapsed="false">
      <c r="A83" s="22"/>
      <c r="B83" s="23"/>
      <c r="C83" s="23"/>
      <c r="D83" s="23"/>
      <c r="E83" s="24"/>
      <c r="F83" s="24"/>
      <c r="G83" s="23"/>
      <c r="H83" s="23"/>
      <c r="I83" s="25"/>
      <c r="J83" s="23"/>
      <c r="K83" s="23"/>
      <c r="L83" s="26" t="str">
        <f aca="false">IF(OR($E83="",$F83=""),"",MOD($F83-$E83,1)*24)</f>
        <v/>
      </c>
      <c r="M83" s="27" t="str">
        <f aca="false">IF($B83="","",IFERROR(INDEX(Properties!$D$5:$D$104,MATCH($B83,Properties!$A$5:$A$104,0)),"?"))</f>
        <v/>
      </c>
      <c r="N83" s="28" t="str">
        <f aca="false">IF($B83="","",IFERROR(IF($D83="Completed",INDEX(Properties!$I$5:$I$104,MATCH($B83,Properties!$A$5:$A$104,0))*(1+IF($G83="Y",Settings!$B$8,0))+IF($H83="Y",Settings!$B$7,0)+N($I83),IF($D83="Deep clean",INDEX(Settings!$E$22:$E$26,MATCH(MIN(INDEX(Properties!$E$5:$E$104,MATCH($B83,Properties!$A$5:$A$104,0)),4),Settings!$A$22:$A$26,0))+N($I83),IF($D83="Late cancel",INDEX(Properties!$I$5:$I$104,MATCH($B83,Properties!$A$5:$A$104,0))*Settings!$B$10,0))),0))</f>
        <v/>
      </c>
      <c r="O83" s="28" t="str">
        <f aca="false">IF($B83="","",IFERROR(IF($D83="Completed",INDEX(Properties!$L$5:$L$104,MATCH($B83,Properties!$A$5:$A$104,0))+IF($G83="Y",INDEX(Properties!$I$5:$I$104,MATCH($B83,Properties!$A$5:$A$104,0))*Settings!$B$8*Settings!$B$9,0)+IF($H83="Y",Settings!$B$7*Settings!$B$9,0)+N($I83)*Settings!$B$9,IF($D83="Deep clean",INDEX(Settings!$E$22:$E$26,MATCH(MIN(INDEX(Properties!$E$5:$E$104,MATCH($B83,Properties!$A$5:$A$104,0)),4),Settings!$A$22:$A$26,0))*Settings!$B$19+N($I83)*Settings!$B$9,IF($D83="Late cancel",INDEX(Properties!$L$5:$L$104,MATCH($B83,Properties!$A$5:$A$104,0))*Settings!$B$11,0))),0))</f>
        <v/>
      </c>
      <c r="P83" s="28" t="str">
        <f aca="false">IF($B83="","",$N83-$O83)</f>
        <v/>
      </c>
      <c r="Q83" s="29" t="str">
        <f aca="false">IF($A83="","",DATE(YEAR($A83),MONTH($A83),1))</f>
        <v/>
      </c>
      <c r="R83" s="30" t="str">
        <f aca="false">IF($A83="","",$A83+MOD(6-WEEKDAY($A83),7))</f>
        <v/>
      </c>
      <c r="S83" s="31" t="str">
        <f aca="false">IF($B83="","",IF(AND($M83='Invoice Builder'!$C$5,$Q83='Invoice Builder'!$C$6,N($N83)&gt;0),COUNTIFS($M$5:$M83,'Invoice Builder'!$C$5,$Q$5:$Q83,'Invoice Builder'!$C$6,$N$5:$N83,"&gt;0"),""))</f>
        <v/>
      </c>
      <c r="T83" s="27" t="str">
        <f aca="false">IF($A83="","",IF($A83&gt;=DATE(YEAR($A83),4,6),YEAR($A83)&amp;"/"&amp;RIGHT(YEAR($A83)+1,2),YEAR($A83)-1&amp;"/"&amp;RIGHT(YEAR($A83),2)))</f>
        <v/>
      </c>
    </row>
    <row r="84" customFormat="false" ht="15" hidden="false" customHeight="false" outlineLevel="0" collapsed="false">
      <c r="A84" s="22"/>
      <c r="B84" s="23"/>
      <c r="C84" s="23"/>
      <c r="D84" s="23"/>
      <c r="E84" s="24"/>
      <c r="F84" s="24"/>
      <c r="G84" s="23"/>
      <c r="H84" s="23"/>
      <c r="I84" s="25"/>
      <c r="J84" s="23"/>
      <c r="K84" s="23"/>
      <c r="L84" s="26" t="str">
        <f aca="false">IF(OR($E84="",$F84=""),"",MOD($F84-$E84,1)*24)</f>
        <v/>
      </c>
      <c r="M84" s="27" t="str">
        <f aca="false">IF($B84="","",IFERROR(INDEX(Properties!$D$5:$D$104,MATCH($B84,Properties!$A$5:$A$104,0)),"?"))</f>
        <v/>
      </c>
      <c r="N84" s="28" t="str">
        <f aca="false">IF($B84="","",IFERROR(IF($D84="Completed",INDEX(Properties!$I$5:$I$104,MATCH($B84,Properties!$A$5:$A$104,0))*(1+IF($G84="Y",Settings!$B$8,0))+IF($H84="Y",Settings!$B$7,0)+N($I84),IF($D84="Deep clean",INDEX(Settings!$E$22:$E$26,MATCH(MIN(INDEX(Properties!$E$5:$E$104,MATCH($B84,Properties!$A$5:$A$104,0)),4),Settings!$A$22:$A$26,0))+N($I84),IF($D84="Late cancel",INDEX(Properties!$I$5:$I$104,MATCH($B84,Properties!$A$5:$A$104,0))*Settings!$B$10,0))),0))</f>
        <v/>
      </c>
      <c r="O84" s="28" t="str">
        <f aca="false">IF($B84="","",IFERROR(IF($D84="Completed",INDEX(Properties!$L$5:$L$104,MATCH($B84,Properties!$A$5:$A$104,0))+IF($G84="Y",INDEX(Properties!$I$5:$I$104,MATCH($B84,Properties!$A$5:$A$104,0))*Settings!$B$8*Settings!$B$9,0)+IF($H84="Y",Settings!$B$7*Settings!$B$9,0)+N($I84)*Settings!$B$9,IF($D84="Deep clean",INDEX(Settings!$E$22:$E$26,MATCH(MIN(INDEX(Properties!$E$5:$E$104,MATCH($B84,Properties!$A$5:$A$104,0)),4),Settings!$A$22:$A$26,0))*Settings!$B$19+N($I84)*Settings!$B$9,IF($D84="Late cancel",INDEX(Properties!$L$5:$L$104,MATCH($B84,Properties!$A$5:$A$104,0))*Settings!$B$11,0))),0))</f>
        <v/>
      </c>
      <c r="P84" s="28" t="str">
        <f aca="false">IF($B84="","",$N84-$O84)</f>
        <v/>
      </c>
      <c r="Q84" s="29" t="str">
        <f aca="false">IF($A84="","",DATE(YEAR($A84),MONTH($A84),1))</f>
        <v/>
      </c>
      <c r="R84" s="30" t="str">
        <f aca="false">IF($A84="","",$A84+MOD(6-WEEKDAY($A84),7))</f>
        <v/>
      </c>
      <c r="S84" s="31" t="str">
        <f aca="false">IF($B84="","",IF(AND($M84='Invoice Builder'!$C$5,$Q84='Invoice Builder'!$C$6,N($N84)&gt;0),COUNTIFS($M$5:$M84,'Invoice Builder'!$C$5,$Q$5:$Q84,'Invoice Builder'!$C$6,$N$5:$N84,"&gt;0"),""))</f>
        <v/>
      </c>
      <c r="T84" s="27" t="str">
        <f aca="false">IF($A84="","",IF($A84&gt;=DATE(YEAR($A84),4,6),YEAR($A84)&amp;"/"&amp;RIGHT(YEAR($A84)+1,2),YEAR($A84)-1&amp;"/"&amp;RIGHT(YEAR($A84),2)))</f>
        <v/>
      </c>
    </row>
    <row r="85" customFormat="false" ht="15" hidden="false" customHeight="false" outlineLevel="0" collapsed="false">
      <c r="A85" s="22"/>
      <c r="B85" s="23"/>
      <c r="C85" s="23"/>
      <c r="D85" s="23"/>
      <c r="E85" s="24"/>
      <c r="F85" s="24"/>
      <c r="G85" s="23"/>
      <c r="H85" s="23"/>
      <c r="I85" s="25"/>
      <c r="J85" s="23"/>
      <c r="K85" s="23"/>
      <c r="L85" s="26" t="str">
        <f aca="false">IF(OR($E85="",$F85=""),"",MOD($F85-$E85,1)*24)</f>
        <v/>
      </c>
      <c r="M85" s="27" t="str">
        <f aca="false">IF($B85="","",IFERROR(INDEX(Properties!$D$5:$D$104,MATCH($B85,Properties!$A$5:$A$104,0)),"?"))</f>
        <v/>
      </c>
      <c r="N85" s="28" t="str">
        <f aca="false">IF($B85="","",IFERROR(IF($D85="Completed",INDEX(Properties!$I$5:$I$104,MATCH($B85,Properties!$A$5:$A$104,0))*(1+IF($G85="Y",Settings!$B$8,0))+IF($H85="Y",Settings!$B$7,0)+N($I85),IF($D85="Deep clean",INDEX(Settings!$E$22:$E$26,MATCH(MIN(INDEX(Properties!$E$5:$E$104,MATCH($B85,Properties!$A$5:$A$104,0)),4),Settings!$A$22:$A$26,0))+N($I85),IF($D85="Late cancel",INDEX(Properties!$I$5:$I$104,MATCH($B85,Properties!$A$5:$A$104,0))*Settings!$B$10,0))),0))</f>
        <v/>
      </c>
      <c r="O85" s="28" t="str">
        <f aca="false">IF($B85="","",IFERROR(IF($D85="Completed",INDEX(Properties!$L$5:$L$104,MATCH($B85,Properties!$A$5:$A$104,0))+IF($G85="Y",INDEX(Properties!$I$5:$I$104,MATCH($B85,Properties!$A$5:$A$104,0))*Settings!$B$8*Settings!$B$9,0)+IF($H85="Y",Settings!$B$7*Settings!$B$9,0)+N($I85)*Settings!$B$9,IF($D85="Deep clean",INDEX(Settings!$E$22:$E$26,MATCH(MIN(INDEX(Properties!$E$5:$E$104,MATCH($B85,Properties!$A$5:$A$104,0)),4),Settings!$A$22:$A$26,0))*Settings!$B$19+N($I85)*Settings!$B$9,IF($D85="Late cancel",INDEX(Properties!$L$5:$L$104,MATCH($B85,Properties!$A$5:$A$104,0))*Settings!$B$11,0))),0))</f>
        <v/>
      </c>
      <c r="P85" s="28" t="str">
        <f aca="false">IF($B85="","",$N85-$O85)</f>
        <v/>
      </c>
      <c r="Q85" s="29" t="str">
        <f aca="false">IF($A85="","",DATE(YEAR($A85),MONTH($A85),1))</f>
        <v/>
      </c>
      <c r="R85" s="30" t="str">
        <f aca="false">IF($A85="","",$A85+MOD(6-WEEKDAY($A85),7))</f>
        <v/>
      </c>
      <c r="S85" s="31" t="str">
        <f aca="false">IF($B85="","",IF(AND($M85='Invoice Builder'!$C$5,$Q85='Invoice Builder'!$C$6,N($N85)&gt;0),COUNTIFS($M$5:$M85,'Invoice Builder'!$C$5,$Q$5:$Q85,'Invoice Builder'!$C$6,$N$5:$N85,"&gt;0"),""))</f>
        <v/>
      </c>
      <c r="T85" s="27" t="str">
        <f aca="false">IF($A85="","",IF($A85&gt;=DATE(YEAR($A85),4,6),YEAR($A85)&amp;"/"&amp;RIGHT(YEAR($A85)+1,2),YEAR($A85)-1&amp;"/"&amp;RIGHT(YEAR($A85),2)))</f>
        <v/>
      </c>
    </row>
    <row r="86" customFormat="false" ht="15" hidden="false" customHeight="false" outlineLevel="0" collapsed="false">
      <c r="A86" s="22"/>
      <c r="B86" s="23"/>
      <c r="C86" s="23"/>
      <c r="D86" s="23"/>
      <c r="E86" s="24"/>
      <c r="F86" s="24"/>
      <c r="G86" s="23"/>
      <c r="H86" s="23"/>
      <c r="I86" s="25"/>
      <c r="J86" s="23"/>
      <c r="K86" s="23"/>
      <c r="L86" s="26" t="str">
        <f aca="false">IF(OR($E86="",$F86=""),"",MOD($F86-$E86,1)*24)</f>
        <v/>
      </c>
      <c r="M86" s="27" t="str">
        <f aca="false">IF($B86="","",IFERROR(INDEX(Properties!$D$5:$D$104,MATCH($B86,Properties!$A$5:$A$104,0)),"?"))</f>
        <v/>
      </c>
      <c r="N86" s="28" t="str">
        <f aca="false">IF($B86="","",IFERROR(IF($D86="Completed",INDEX(Properties!$I$5:$I$104,MATCH($B86,Properties!$A$5:$A$104,0))*(1+IF($G86="Y",Settings!$B$8,0))+IF($H86="Y",Settings!$B$7,0)+N($I86),IF($D86="Deep clean",INDEX(Settings!$E$22:$E$26,MATCH(MIN(INDEX(Properties!$E$5:$E$104,MATCH($B86,Properties!$A$5:$A$104,0)),4),Settings!$A$22:$A$26,0))+N($I86),IF($D86="Late cancel",INDEX(Properties!$I$5:$I$104,MATCH($B86,Properties!$A$5:$A$104,0))*Settings!$B$10,0))),0))</f>
        <v/>
      </c>
      <c r="O86" s="28" t="str">
        <f aca="false">IF($B86="","",IFERROR(IF($D86="Completed",INDEX(Properties!$L$5:$L$104,MATCH($B86,Properties!$A$5:$A$104,0))+IF($G86="Y",INDEX(Properties!$I$5:$I$104,MATCH($B86,Properties!$A$5:$A$104,0))*Settings!$B$8*Settings!$B$9,0)+IF($H86="Y",Settings!$B$7*Settings!$B$9,0)+N($I86)*Settings!$B$9,IF($D86="Deep clean",INDEX(Settings!$E$22:$E$26,MATCH(MIN(INDEX(Properties!$E$5:$E$104,MATCH($B86,Properties!$A$5:$A$104,0)),4),Settings!$A$22:$A$26,0))*Settings!$B$19+N($I86)*Settings!$B$9,IF($D86="Late cancel",INDEX(Properties!$L$5:$L$104,MATCH($B86,Properties!$A$5:$A$104,0))*Settings!$B$11,0))),0))</f>
        <v/>
      </c>
      <c r="P86" s="28" t="str">
        <f aca="false">IF($B86="","",$N86-$O86)</f>
        <v/>
      </c>
      <c r="Q86" s="29" t="str">
        <f aca="false">IF($A86="","",DATE(YEAR($A86),MONTH($A86),1))</f>
        <v/>
      </c>
      <c r="R86" s="30" t="str">
        <f aca="false">IF($A86="","",$A86+MOD(6-WEEKDAY($A86),7))</f>
        <v/>
      </c>
      <c r="S86" s="31" t="str">
        <f aca="false">IF($B86="","",IF(AND($M86='Invoice Builder'!$C$5,$Q86='Invoice Builder'!$C$6,N($N86)&gt;0),COUNTIFS($M$5:$M86,'Invoice Builder'!$C$5,$Q$5:$Q86,'Invoice Builder'!$C$6,$N$5:$N86,"&gt;0"),""))</f>
        <v/>
      </c>
      <c r="T86" s="27" t="str">
        <f aca="false">IF($A86="","",IF($A86&gt;=DATE(YEAR($A86),4,6),YEAR($A86)&amp;"/"&amp;RIGHT(YEAR($A86)+1,2),YEAR($A86)-1&amp;"/"&amp;RIGHT(YEAR($A86),2)))</f>
        <v/>
      </c>
    </row>
    <row r="87" customFormat="false" ht="15" hidden="false" customHeight="false" outlineLevel="0" collapsed="false">
      <c r="A87" s="22"/>
      <c r="B87" s="23"/>
      <c r="C87" s="23"/>
      <c r="D87" s="23"/>
      <c r="E87" s="24"/>
      <c r="F87" s="24"/>
      <c r="G87" s="23"/>
      <c r="H87" s="23"/>
      <c r="I87" s="25"/>
      <c r="J87" s="23"/>
      <c r="K87" s="23"/>
      <c r="L87" s="26" t="str">
        <f aca="false">IF(OR($E87="",$F87=""),"",MOD($F87-$E87,1)*24)</f>
        <v/>
      </c>
      <c r="M87" s="27" t="str">
        <f aca="false">IF($B87="","",IFERROR(INDEX(Properties!$D$5:$D$104,MATCH($B87,Properties!$A$5:$A$104,0)),"?"))</f>
        <v/>
      </c>
      <c r="N87" s="28" t="str">
        <f aca="false">IF($B87="","",IFERROR(IF($D87="Completed",INDEX(Properties!$I$5:$I$104,MATCH($B87,Properties!$A$5:$A$104,0))*(1+IF($G87="Y",Settings!$B$8,0))+IF($H87="Y",Settings!$B$7,0)+N($I87),IF($D87="Deep clean",INDEX(Settings!$E$22:$E$26,MATCH(MIN(INDEX(Properties!$E$5:$E$104,MATCH($B87,Properties!$A$5:$A$104,0)),4),Settings!$A$22:$A$26,0))+N($I87),IF($D87="Late cancel",INDEX(Properties!$I$5:$I$104,MATCH($B87,Properties!$A$5:$A$104,0))*Settings!$B$10,0))),0))</f>
        <v/>
      </c>
      <c r="O87" s="28" t="str">
        <f aca="false">IF($B87="","",IFERROR(IF($D87="Completed",INDEX(Properties!$L$5:$L$104,MATCH($B87,Properties!$A$5:$A$104,0))+IF($G87="Y",INDEX(Properties!$I$5:$I$104,MATCH($B87,Properties!$A$5:$A$104,0))*Settings!$B$8*Settings!$B$9,0)+IF($H87="Y",Settings!$B$7*Settings!$B$9,0)+N($I87)*Settings!$B$9,IF($D87="Deep clean",INDEX(Settings!$E$22:$E$26,MATCH(MIN(INDEX(Properties!$E$5:$E$104,MATCH($B87,Properties!$A$5:$A$104,0)),4),Settings!$A$22:$A$26,0))*Settings!$B$19+N($I87)*Settings!$B$9,IF($D87="Late cancel",INDEX(Properties!$L$5:$L$104,MATCH($B87,Properties!$A$5:$A$104,0))*Settings!$B$11,0))),0))</f>
        <v/>
      </c>
      <c r="P87" s="28" t="str">
        <f aca="false">IF($B87="","",$N87-$O87)</f>
        <v/>
      </c>
      <c r="Q87" s="29" t="str">
        <f aca="false">IF($A87="","",DATE(YEAR($A87),MONTH($A87),1))</f>
        <v/>
      </c>
      <c r="R87" s="30" t="str">
        <f aca="false">IF($A87="","",$A87+MOD(6-WEEKDAY($A87),7))</f>
        <v/>
      </c>
      <c r="S87" s="31" t="str">
        <f aca="false">IF($B87="","",IF(AND($M87='Invoice Builder'!$C$5,$Q87='Invoice Builder'!$C$6,N($N87)&gt;0),COUNTIFS($M$5:$M87,'Invoice Builder'!$C$5,$Q$5:$Q87,'Invoice Builder'!$C$6,$N$5:$N87,"&gt;0"),""))</f>
        <v/>
      </c>
      <c r="T87" s="27" t="str">
        <f aca="false">IF($A87="","",IF($A87&gt;=DATE(YEAR($A87),4,6),YEAR($A87)&amp;"/"&amp;RIGHT(YEAR($A87)+1,2),YEAR($A87)-1&amp;"/"&amp;RIGHT(YEAR($A87),2)))</f>
        <v/>
      </c>
    </row>
    <row r="88" customFormat="false" ht="15" hidden="false" customHeight="false" outlineLevel="0" collapsed="false">
      <c r="A88" s="22"/>
      <c r="B88" s="23"/>
      <c r="C88" s="23"/>
      <c r="D88" s="23"/>
      <c r="E88" s="24"/>
      <c r="F88" s="24"/>
      <c r="G88" s="23"/>
      <c r="H88" s="23"/>
      <c r="I88" s="25"/>
      <c r="J88" s="23"/>
      <c r="K88" s="23"/>
      <c r="L88" s="26" t="str">
        <f aca="false">IF(OR($E88="",$F88=""),"",MOD($F88-$E88,1)*24)</f>
        <v/>
      </c>
      <c r="M88" s="27" t="str">
        <f aca="false">IF($B88="","",IFERROR(INDEX(Properties!$D$5:$D$104,MATCH($B88,Properties!$A$5:$A$104,0)),"?"))</f>
        <v/>
      </c>
      <c r="N88" s="28" t="str">
        <f aca="false">IF($B88="","",IFERROR(IF($D88="Completed",INDEX(Properties!$I$5:$I$104,MATCH($B88,Properties!$A$5:$A$104,0))*(1+IF($G88="Y",Settings!$B$8,0))+IF($H88="Y",Settings!$B$7,0)+N($I88),IF($D88="Deep clean",INDEX(Settings!$E$22:$E$26,MATCH(MIN(INDEX(Properties!$E$5:$E$104,MATCH($B88,Properties!$A$5:$A$104,0)),4),Settings!$A$22:$A$26,0))+N($I88),IF($D88="Late cancel",INDEX(Properties!$I$5:$I$104,MATCH($B88,Properties!$A$5:$A$104,0))*Settings!$B$10,0))),0))</f>
        <v/>
      </c>
      <c r="O88" s="28" t="str">
        <f aca="false">IF($B88="","",IFERROR(IF($D88="Completed",INDEX(Properties!$L$5:$L$104,MATCH($B88,Properties!$A$5:$A$104,0))+IF($G88="Y",INDEX(Properties!$I$5:$I$104,MATCH($B88,Properties!$A$5:$A$104,0))*Settings!$B$8*Settings!$B$9,0)+IF($H88="Y",Settings!$B$7*Settings!$B$9,0)+N($I88)*Settings!$B$9,IF($D88="Deep clean",INDEX(Settings!$E$22:$E$26,MATCH(MIN(INDEX(Properties!$E$5:$E$104,MATCH($B88,Properties!$A$5:$A$104,0)),4),Settings!$A$22:$A$26,0))*Settings!$B$19+N($I88)*Settings!$B$9,IF($D88="Late cancel",INDEX(Properties!$L$5:$L$104,MATCH($B88,Properties!$A$5:$A$104,0))*Settings!$B$11,0))),0))</f>
        <v/>
      </c>
      <c r="P88" s="28" t="str">
        <f aca="false">IF($B88="","",$N88-$O88)</f>
        <v/>
      </c>
      <c r="Q88" s="29" t="str">
        <f aca="false">IF($A88="","",DATE(YEAR($A88),MONTH($A88),1))</f>
        <v/>
      </c>
      <c r="R88" s="30" t="str">
        <f aca="false">IF($A88="","",$A88+MOD(6-WEEKDAY($A88),7))</f>
        <v/>
      </c>
      <c r="S88" s="31" t="str">
        <f aca="false">IF($B88="","",IF(AND($M88='Invoice Builder'!$C$5,$Q88='Invoice Builder'!$C$6,N($N88)&gt;0),COUNTIFS($M$5:$M88,'Invoice Builder'!$C$5,$Q$5:$Q88,'Invoice Builder'!$C$6,$N$5:$N88,"&gt;0"),""))</f>
        <v/>
      </c>
      <c r="T88" s="27" t="str">
        <f aca="false">IF($A88="","",IF($A88&gt;=DATE(YEAR($A88),4,6),YEAR($A88)&amp;"/"&amp;RIGHT(YEAR($A88)+1,2),YEAR($A88)-1&amp;"/"&amp;RIGHT(YEAR($A88),2)))</f>
        <v/>
      </c>
    </row>
    <row r="89" customFormat="false" ht="15" hidden="false" customHeight="false" outlineLevel="0" collapsed="false">
      <c r="A89" s="22"/>
      <c r="B89" s="23"/>
      <c r="C89" s="23"/>
      <c r="D89" s="23"/>
      <c r="E89" s="24"/>
      <c r="F89" s="24"/>
      <c r="G89" s="23"/>
      <c r="H89" s="23"/>
      <c r="I89" s="25"/>
      <c r="J89" s="23"/>
      <c r="K89" s="23"/>
      <c r="L89" s="26" t="str">
        <f aca="false">IF(OR($E89="",$F89=""),"",MOD($F89-$E89,1)*24)</f>
        <v/>
      </c>
      <c r="M89" s="27" t="str">
        <f aca="false">IF($B89="","",IFERROR(INDEX(Properties!$D$5:$D$104,MATCH($B89,Properties!$A$5:$A$104,0)),"?"))</f>
        <v/>
      </c>
      <c r="N89" s="28" t="str">
        <f aca="false">IF($B89="","",IFERROR(IF($D89="Completed",INDEX(Properties!$I$5:$I$104,MATCH($B89,Properties!$A$5:$A$104,0))*(1+IF($G89="Y",Settings!$B$8,0))+IF($H89="Y",Settings!$B$7,0)+N($I89),IF($D89="Deep clean",INDEX(Settings!$E$22:$E$26,MATCH(MIN(INDEX(Properties!$E$5:$E$104,MATCH($B89,Properties!$A$5:$A$104,0)),4),Settings!$A$22:$A$26,0))+N($I89),IF($D89="Late cancel",INDEX(Properties!$I$5:$I$104,MATCH($B89,Properties!$A$5:$A$104,0))*Settings!$B$10,0))),0))</f>
        <v/>
      </c>
      <c r="O89" s="28" t="str">
        <f aca="false">IF($B89="","",IFERROR(IF($D89="Completed",INDEX(Properties!$L$5:$L$104,MATCH($B89,Properties!$A$5:$A$104,0))+IF($G89="Y",INDEX(Properties!$I$5:$I$104,MATCH($B89,Properties!$A$5:$A$104,0))*Settings!$B$8*Settings!$B$9,0)+IF($H89="Y",Settings!$B$7*Settings!$B$9,0)+N($I89)*Settings!$B$9,IF($D89="Deep clean",INDEX(Settings!$E$22:$E$26,MATCH(MIN(INDEX(Properties!$E$5:$E$104,MATCH($B89,Properties!$A$5:$A$104,0)),4),Settings!$A$22:$A$26,0))*Settings!$B$19+N($I89)*Settings!$B$9,IF($D89="Late cancel",INDEX(Properties!$L$5:$L$104,MATCH($B89,Properties!$A$5:$A$104,0))*Settings!$B$11,0))),0))</f>
        <v/>
      </c>
      <c r="P89" s="28" t="str">
        <f aca="false">IF($B89="","",$N89-$O89)</f>
        <v/>
      </c>
      <c r="Q89" s="29" t="str">
        <f aca="false">IF($A89="","",DATE(YEAR($A89),MONTH($A89),1))</f>
        <v/>
      </c>
      <c r="R89" s="30" t="str">
        <f aca="false">IF($A89="","",$A89+MOD(6-WEEKDAY($A89),7))</f>
        <v/>
      </c>
      <c r="S89" s="31" t="str">
        <f aca="false">IF($B89="","",IF(AND($M89='Invoice Builder'!$C$5,$Q89='Invoice Builder'!$C$6,N($N89)&gt;0),COUNTIFS($M$5:$M89,'Invoice Builder'!$C$5,$Q$5:$Q89,'Invoice Builder'!$C$6,$N$5:$N89,"&gt;0"),""))</f>
        <v/>
      </c>
      <c r="T89" s="27" t="str">
        <f aca="false">IF($A89="","",IF($A89&gt;=DATE(YEAR($A89),4,6),YEAR($A89)&amp;"/"&amp;RIGHT(YEAR($A89)+1,2),YEAR($A89)-1&amp;"/"&amp;RIGHT(YEAR($A89),2)))</f>
        <v/>
      </c>
    </row>
    <row r="90" customFormat="false" ht="15" hidden="false" customHeight="false" outlineLevel="0" collapsed="false">
      <c r="A90" s="22"/>
      <c r="B90" s="23"/>
      <c r="C90" s="23"/>
      <c r="D90" s="23"/>
      <c r="E90" s="24"/>
      <c r="F90" s="24"/>
      <c r="G90" s="23"/>
      <c r="H90" s="23"/>
      <c r="I90" s="25"/>
      <c r="J90" s="23"/>
      <c r="K90" s="23"/>
      <c r="L90" s="26" t="str">
        <f aca="false">IF(OR($E90="",$F90=""),"",MOD($F90-$E90,1)*24)</f>
        <v/>
      </c>
      <c r="M90" s="27" t="str">
        <f aca="false">IF($B90="","",IFERROR(INDEX(Properties!$D$5:$D$104,MATCH($B90,Properties!$A$5:$A$104,0)),"?"))</f>
        <v/>
      </c>
      <c r="N90" s="28" t="str">
        <f aca="false">IF($B90="","",IFERROR(IF($D90="Completed",INDEX(Properties!$I$5:$I$104,MATCH($B90,Properties!$A$5:$A$104,0))*(1+IF($G90="Y",Settings!$B$8,0))+IF($H90="Y",Settings!$B$7,0)+N($I90),IF($D90="Deep clean",INDEX(Settings!$E$22:$E$26,MATCH(MIN(INDEX(Properties!$E$5:$E$104,MATCH($B90,Properties!$A$5:$A$104,0)),4),Settings!$A$22:$A$26,0))+N($I90),IF($D90="Late cancel",INDEX(Properties!$I$5:$I$104,MATCH($B90,Properties!$A$5:$A$104,0))*Settings!$B$10,0))),0))</f>
        <v/>
      </c>
      <c r="O90" s="28" t="str">
        <f aca="false">IF($B90="","",IFERROR(IF($D90="Completed",INDEX(Properties!$L$5:$L$104,MATCH($B90,Properties!$A$5:$A$104,0))+IF($G90="Y",INDEX(Properties!$I$5:$I$104,MATCH($B90,Properties!$A$5:$A$104,0))*Settings!$B$8*Settings!$B$9,0)+IF($H90="Y",Settings!$B$7*Settings!$B$9,0)+N($I90)*Settings!$B$9,IF($D90="Deep clean",INDEX(Settings!$E$22:$E$26,MATCH(MIN(INDEX(Properties!$E$5:$E$104,MATCH($B90,Properties!$A$5:$A$104,0)),4),Settings!$A$22:$A$26,0))*Settings!$B$19+N($I90)*Settings!$B$9,IF($D90="Late cancel",INDEX(Properties!$L$5:$L$104,MATCH($B90,Properties!$A$5:$A$104,0))*Settings!$B$11,0))),0))</f>
        <v/>
      </c>
      <c r="P90" s="28" t="str">
        <f aca="false">IF($B90="","",$N90-$O90)</f>
        <v/>
      </c>
      <c r="Q90" s="29" t="str">
        <f aca="false">IF($A90="","",DATE(YEAR($A90),MONTH($A90),1))</f>
        <v/>
      </c>
      <c r="R90" s="30" t="str">
        <f aca="false">IF($A90="","",$A90+MOD(6-WEEKDAY($A90),7))</f>
        <v/>
      </c>
      <c r="S90" s="31" t="str">
        <f aca="false">IF($B90="","",IF(AND($M90='Invoice Builder'!$C$5,$Q90='Invoice Builder'!$C$6,N($N90)&gt;0),COUNTIFS($M$5:$M90,'Invoice Builder'!$C$5,$Q$5:$Q90,'Invoice Builder'!$C$6,$N$5:$N90,"&gt;0"),""))</f>
        <v/>
      </c>
      <c r="T90" s="27" t="str">
        <f aca="false">IF($A90="","",IF($A90&gt;=DATE(YEAR($A90),4,6),YEAR($A90)&amp;"/"&amp;RIGHT(YEAR($A90)+1,2),YEAR($A90)-1&amp;"/"&amp;RIGHT(YEAR($A90),2)))</f>
        <v/>
      </c>
    </row>
    <row r="91" customFormat="false" ht="15" hidden="false" customHeight="false" outlineLevel="0" collapsed="false">
      <c r="A91" s="22"/>
      <c r="B91" s="23"/>
      <c r="C91" s="23"/>
      <c r="D91" s="23"/>
      <c r="E91" s="24"/>
      <c r="F91" s="24"/>
      <c r="G91" s="23"/>
      <c r="H91" s="23"/>
      <c r="I91" s="25"/>
      <c r="J91" s="23"/>
      <c r="K91" s="23"/>
      <c r="L91" s="26" t="str">
        <f aca="false">IF(OR($E91="",$F91=""),"",MOD($F91-$E91,1)*24)</f>
        <v/>
      </c>
      <c r="M91" s="27" t="str">
        <f aca="false">IF($B91="","",IFERROR(INDEX(Properties!$D$5:$D$104,MATCH($B91,Properties!$A$5:$A$104,0)),"?"))</f>
        <v/>
      </c>
      <c r="N91" s="28" t="str">
        <f aca="false">IF($B91="","",IFERROR(IF($D91="Completed",INDEX(Properties!$I$5:$I$104,MATCH($B91,Properties!$A$5:$A$104,0))*(1+IF($G91="Y",Settings!$B$8,0))+IF($H91="Y",Settings!$B$7,0)+N($I91),IF($D91="Deep clean",INDEX(Settings!$E$22:$E$26,MATCH(MIN(INDEX(Properties!$E$5:$E$104,MATCH($B91,Properties!$A$5:$A$104,0)),4),Settings!$A$22:$A$26,0))+N($I91),IF($D91="Late cancel",INDEX(Properties!$I$5:$I$104,MATCH($B91,Properties!$A$5:$A$104,0))*Settings!$B$10,0))),0))</f>
        <v/>
      </c>
      <c r="O91" s="28" t="str">
        <f aca="false">IF($B91="","",IFERROR(IF($D91="Completed",INDEX(Properties!$L$5:$L$104,MATCH($B91,Properties!$A$5:$A$104,0))+IF($G91="Y",INDEX(Properties!$I$5:$I$104,MATCH($B91,Properties!$A$5:$A$104,0))*Settings!$B$8*Settings!$B$9,0)+IF($H91="Y",Settings!$B$7*Settings!$B$9,0)+N($I91)*Settings!$B$9,IF($D91="Deep clean",INDEX(Settings!$E$22:$E$26,MATCH(MIN(INDEX(Properties!$E$5:$E$104,MATCH($B91,Properties!$A$5:$A$104,0)),4),Settings!$A$22:$A$26,0))*Settings!$B$19+N($I91)*Settings!$B$9,IF($D91="Late cancel",INDEX(Properties!$L$5:$L$104,MATCH($B91,Properties!$A$5:$A$104,0))*Settings!$B$11,0))),0))</f>
        <v/>
      </c>
      <c r="P91" s="28" t="str">
        <f aca="false">IF($B91="","",$N91-$O91)</f>
        <v/>
      </c>
      <c r="Q91" s="29" t="str">
        <f aca="false">IF($A91="","",DATE(YEAR($A91),MONTH($A91),1))</f>
        <v/>
      </c>
      <c r="R91" s="30" t="str">
        <f aca="false">IF($A91="","",$A91+MOD(6-WEEKDAY($A91),7))</f>
        <v/>
      </c>
      <c r="S91" s="31" t="str">
        <f aca="false">IF($B91="","",IF(AND($M91='Invoice Builder'!$C$5,$Q91='Invoice Builder'!$C$6,N($N91)&gt;0),COUNTIFS($M$5:$M91,'Invoice Builder'!$C$5,$Q$5:$Q91,'Invoice Builder'!$C$6,$N$5:$N91,"&gt;0"),""))</f>
        <v/>
      </c>
      <c r="T91" s="27" t="str">
        <f aca="false">IF($A91="","",IF($A91&gt;=DATE(YEAR($A91),4,6),YEAR($A91)&amp;"/"&amp;RIGHT(YEAR($A91)+1,2),YEAR($A91)-1&amp;"/"&amp;RIGHT(YEAR($A91),2)))</f>
        <v/>
      </c>
    </row>
    <row r="92" customFormat="false" ht="15" hidden="false" customHeight="false" outlineLevel="0" collapsed="false">
      <c r="A92" s="22"/>
      <c r="B92" s="23"/>
      <c r="C92" s="23"/>
      <c r="D92" s="23"/>
      <c r="E92" s="24"/>
      <c r="F92" s="24"/>
      <c r="G92" s="23"/>
      <c r="H92" s="23"/>
      <c r="I92" s="25"/>
      <c r="J92" s="23"/>
      <c r="K92" s="23"/>
      <c r="L92" s="26" t="str">
        <f aca="false">IF(OR($E92="",$F92=""),"",MOD($F92-$E92,1)*24)</f>
        <v/>
      </c>
      <c r="M92" s="27" t="str">
        <f aca="false">IF($B92="","",IFERROR(INDEX(Properties!$D$5:$D$104,MATCH($B92,Properties!$A$5:$A$104,0)),"?"))</f>
        <v/>
      </c>
      <c r="N92" s="28" t="str">
        <f aca="false">IF($B92="","",IFERROR(IF($D92="Completed",INDEX(Properties!$I$5:$I$104,MATCH($B92,Properties!$A$5:$A$104,0))*(1+IF($G92="Y",Settings!$B$8,0))+IF($H92="Y",Settings!$B$7,0)+N($I92),IF($D92="Deep clean",INDEX(Settings!$E$22:$E$26,MATCH(MIN(INDEX(Properties!$E$5:$E$104,MATCH($B92,Properties!$A$5:$A$104,0)),4),Settings!$A$22:$A$26,0))+N($I92),IF($D92="Late cancel",INDEX(Properties!$I$5:$I$104,MATCH($B92,Properties!$A$5:$A$104,0))*Settings!$B$10,0))),0))</f>
        <v/>
      </c>
      <c r="O92" s="28" t="str">
        <f aca="false">IF($B92="","",IFERROR(IF($D92="Completed",INDEX(Properties!$L$5:$L$104,MATCH($B92,Properties!$A$5:$A$104,0))+IF($G92="Y",INDEX(Properties!$I$5:$I$104,MATCH($B92,Properties!$A$5:$A$104,0))*Settings!$B$8*Settings!$B$9,0)+IF($H92="Y",Settings!$B$7*Settings!$B$9,0)+N($I92)*Settings!$B$9,IF($D92="Deep clean",INDEX(Settings!$E$22:$E$26,MATCH(MIN(INDEX(Properties!$E$5:$E$104,MATCH($B92,Properties!$A$5:$A$104,0)),4),Settings!$A$22:$A$26,0))*Settings!$B$19+N($I92)*Settings!$B$9,IF($D92="Late cancel",INDEX(Properties!$L$5:$L$104,MATCH($B92,Properties!$A$5:$A$104,0))*Settings!$B$11,0))),0))</f>
        <v/>
      </c>
      <c r="P92" s="28" t="str">
        <f aca="false">IF($B92="","",$N92-$O92)</f>
        <v/>
      </c>
      <c r="Q92" s="29" t="str">
        <f aca="false">IF($A92="","",DATE(YEAR($A92),MONTH($A92),1))</f>
        <v/>
      </c>
      <c r="R92" s="30" t="str">
        <f aca="false">IF($A92="","",$A92+MOD(6-WEEKDAY($A92),7))</f>
        <v/>
      </c>
      <c r="S92" s="31" t="str">
        <f aca="false">IF($B92="","",IF(AND($M92='Invoice Builder'!$C$5,$Q92='Invoice Builder'!$C$6,N($N92)&gt;0),COUNTIFS($M$5:$M92,'Invoice Builder'!$C$5,$Q$5:$Q92,'Invoice Builder'!$C$6,$N$5:$N92,"&gt;0"),""))</f>
        <v/>
      </c>
      <c r="T92" s="27" t="str">
        <f aca="false">IF($A92="","",IF($A92&gt;=DATE(YEAR($A92),4,6),YEAR($A92)&amp;"/"&amp;RIGHT(YEAR($A92)+1,2),YEAR($A92)-1&amp;"/"&amp;RIGHT(YEAR($A92),2)))</f>
        <v/>
      </c>
    </row>
    <row r="93" customFormat="false" ht="15" hidden="false" customHeight="false" outlineLevel="0" collapsed="false">
      <c r="A93" s="22"/>
      <c r="B93" s="23"/>
      <c r="C93" s="23"/>
      <c r="D93" s="23"/>
      <c r="E93" s="24"/>
      <c r="F93" s="24"/>
      <c r="G93" s="23"/>
      <c r="H93" s="23"/>
      <c r="I93" s="25"/>
      <c r="J93" s="23"/>
      <c r="K93" s="23"/>
      <c r="L93" s="26" t="str">
        <f aca="false">IF(OR($E93="",$F93=""),"",MOD($F93-$E93,1)*24)</f>
        <v/>
      </c>
      <c r="M93" s="27" t="str">
        <f aca="false">IF($B93="","",IFERROR(INDEX(Properties!$D$5:$D$104,MATCH($B93,Properties!$A$5:$A$104,0)),"?"))</f>
        <v/>
      </c>
      <c r="N93" s="28" t="str">
        <f aca="false">IF($B93="","",IFERROR(IF($D93="Completed",INDEX(Properties!$I$5:$I$104,MATCH($B93,Properties!$A$5:$A$104,0))*(1+IF($G93="Y",Settings!$B$8,0))+IF($H93="Y",Settings!$B$7,0)+N($I93),IF($D93="Deep clean",INDEX(Settings!$E$22:$E$26,MATCH(MIN(INDEX(Properties!$E$5:$E$104,MATCH($B93,Properties!$A$5:$A$104,0)),4),Settings!$A$22:$A$26,0))+N($I93),IF($D93="Late cancel",INDEX(Properties!$I$5:$I$104,MATCH($B93,Properties!$A$5:$A$104,0))*Settings!$B$10,0))),0))</f>
        <v/>
      </c>
      <c r="O93" s="28" t="str">
        <f aca="false">IF($B93="","",IFERROR(IF($D93="Completed",INDEX(Properties!$L$5:$L$104,MATCH($B93,Properties!$A$5:$A$104,0))+IF($G93="Y",INDEX(Properties!$I$5:$I$104,MATCH($B93,Properties!$A$5:$A$104,0))*Settings!$B$8*Settings!$B$9,0)+IF($H93="Y",Settings!$B$7*Settings!$B$9,0)+N($I93)*Settings!$B$9,IF($D93="Deep clean",INDEX(Settings!$E$22:$E$26,MATCH(MIN(INDEX(Properties!$E$5:$E$104,MATCH($B93,Properties!$A$5:$A$104,0)),4),Settings!$A$22:$A$26,0))*Settings!$B$19+N($I93)*Settings!$B$9,IF($D93="Late cancel",INDEX(Properties!$L$5:$L$104,MATCH($B93,Properties!$A$5:$A$104,0))*Settings!$B$11,0))),0))</f>
        <v/>
      </c>
      <c r="P93" s="28" t="str">
        <f aca="false">IF($B93="","",$N93-$O93)</f>
        <v/>
      </c>
      <c r="Q93" s="29" t="str">
        <f aca="false">IF($A93="","",DATE(YEAR($A93),MONTH($A93),1))</f>
        <v/>
      </c>
      <c r="R93" s="30" t="str">
        <f aca="false">IF($A93="","",$A93+MOD(6-WEEKDAY($A93),7))</f>
        <v/>
      </c>
      <c r="S93" s="31" t="str">
        <f aca="false">IF($B93="","",IF(AND($M93='Invoice Builder'!$C$5,$Q93='Invoice Builder'!$C$6,N($N93)&gt;0),COUNTIFS($M$5:$M93,'Invoice Builder'!$C$5,$Q$5:$Q93,'Invoice Builder'!$C$6,$N$5:$N93,"&gt;0"),""))</f>
        <v/>
      </c>
      <c r="T93" s="27" t="str">
        <f aca="false">IF($A93="","",IF($A93&gt;=DATE(YEAR($A93),4,6),YEAR($A93)&amp;"/"&amp;RIGHT(YEAR($A93)+1,2),YEAR($A93)-1&amp;"/"&amp;RIGHT(YEAR($A93),2)))</f>
        <v/>
      </c>
    </row>
    <row r="94" customFormat="false" ht="15" hidden="false" customHeight="false" outlineLevel="0" collapsed="false">
      <c r="A94" s="22"/>
      <c r="B94" s="23"/>
      <c r="C94" s="23"/>
      <c r="D94" s="23"/>
      <c r="E94" s="24"/>
      <c r="F94" s="24"/>
      <c r="G94" s="23"/>
      <c r="H94" s="23"/>
      <c r="I94" s="25"/>
      <c r="J94" s="23"/>
      <c r="K94" s="23"/>
      <c r="L94" s="26" t="str">
        <f aca="false">IF(OR($E94="",$F94=""),"",MOD($F94-$E94,1)*24)</f>
        <v/>
      </c>
      <c r="M94" s="27" t="str">
        <f aca="false">IF($B94="","",IFERROR(INDEX(Properties!$D$5:$D$104,MATCH($B94,Properties!$A$5:$A$104,0)),"?"))</f>
        <v/>
      </c>
      <c r="N94" s="28" t="str">
        <f aca="false">IF($B94="","",IFERROR(IF($D94="Completed",INDEX(Properties!$I$5:$I$104,MATCH($B94,Properties!$A$5:$A$104,0))*(1+IF($G94="Y",Settings!$B$8,0))+IF($H94="Y",Settings!$B$7,0)+N($I94),IF($D94="Deep clean",INDEX(Settings!$E$22:$E$26,MATCH(MIN(INDEX(Properties!$E$5:$E$104,MATCH($B94,Properties!$A$5:$A$104,0)),4),Settings!$A$22:$A$26,0))+N($I94),IF($D94="Late cancel",INDEX(Properties!$I$5:$I$104,MATCH($B94,Properties!$A$5:$A$104,0))*Settings!$B$10,0))),0))</f>
        <v/>
      </c>
      <c r="O94" s="28" t="str">
        <f aca="false">IF($B94="","",IFERROR(IF($D94="Completed",INDEX(Properties!$L$5:$L$104,MATCH($B94,Properties!$A$5:$A$104,0))+IF($G94="Y",INDEX(Properties!$I$5:$I$104,MATCH($B94,Properties!$A$5:$A$104,0))*Settings!$B$8*Settings!$B$9,0)+IF($H94="Y",Settings!$B$7*Settings!$B$9,0)+N($I94)*Settings!$B$9,IF($D94="Deep clean",INDEX(Settings!$E$22:$E$26,MATCH(MIN(INDEX(Properties!$E$5:$E$104,MATCH($B94,Properties!$A$5:$A$104,0)),4),Settings!$A$22:$A$26,0))*Settings!$B$19+N($I94)*Settings!$B$9,IF($D94="Late cancel",INDEX(Properties!$L$5:$L$104,MATCH($B94,Properties!$A$5:$A$104,0))*Settings!$B$11,0))),0))</f>
        <v/>
      </c>
      <c r="P94" s="28" t="str">
        <f aca="false">IF($B94="","",$N94-$O94)</f>
        <v/>
      </c>
      <c r="Q94" s="29" t="str">
        <f aca="false">IF($A94="","",DATE(YEAR($A94),MONTH($A94),1))</f>
        <v/>
      </c>
      <c r="R94" s="30" t="str">
        <f aca="false">IF($A94="","",$A94+MOD(6-WEEKDAY($A94),7))</f>
        <v/>
      </c>
      <c r="S94" s="31" t="str">
        <f aca="false">IF($B94="","",IF(AND($M94='Invoice Builder'!$C$5,$Q94='Invoice Builder'!$C$6,N($N94)&gt;0),COUNTIFS($M$5:$M94,'Invoice Builder'!$C$5,$Q$5:$Q94,'Invoice Builder'!$C$6,$N$5:$N94,"&gt;0"),""))</f>
        <v/>
      </c>
      <c r="T94" s="27" t="str">
        <f aca="false">IF($A94="","",IF($A94&gt;=DATE(YEAR($A94),4,6),YEAR($A94)&amp;"/"&amp;RIGHT(YEAR($A94)+1,2),YEAR($A94)-1&amp;"/"&amp;RIGHT(YEAR($A94),2)))</f>
        <v/>
      </c>
    </row>
    <row r="95" customFormat="false" ht="15" hidden="false" customHeight="false" outlineLevel="0" collapsed="false">
      <c r="A95" s="22"/>
      <c r="B95" s="23"/>
      <c r="C95" s="23"/>
      <c r="D95" s="23"/>
      <c r="E95" s="24"/>
      <c r="F95" s="24"/>
      <c r="G95" s="23"/>
      <c r="H95" s="23"/>
      <c r="I95" s="25"/>
      <c r="J95" s="23"/>
      <c r="K95" s="23"/>
      <c r="L95" s="26" t="str">
        <f aca="false">IF(OR($E95="",$F95=""),"",MOD($F95-$E95,1)*24)</f>
        <v/>
      </c>
      <c r="M95" s="27" t="str">
        <f aca="false">IF($B95="","",IFERROR(INDEX(Properties!$D$5:$D$104,MATCH($B95,Properties!$A$5:$A$104,0)),"?"))</f>
        <v/>
      </c>
      <c r="N95" s="28" t="str">
        <f aca="false">IF($B95="","",IFERROR(IF($D95="Completed",INDEX(Properties!$I$5:$I$104,MATCH($B95,Properties!$A$5:$A$104,0))*(1+IF($G95="Y",Settings!$B$8,0))+IF($H95="Y",Settings!$B$7,0)+N($I95),IF($D95="Deep clean",INDEX(Settings!$E$22:$E$26,MATCH(MIN(INDEX(Properties!$E$5:$E$104,MATCH($B95,Properties!$A$5:$A$104,0)),4),Settings!$A$22:$A$26,0))+N($I95),IF($D95="Late cancel",INDEX(Properties!$I$5:$I$104,MATCH($B95,Properties!$A$5:$A$104,0))*Settings!$B$10,0))),0))</f>
        <v/>
      </c>
      <c r="O95" s="28" t="str">
        <f aca="false">IF($B95="","",IFERROR(IF($D95="Completed",INDEX(Properties!$L$5:$L$104,MATCH($B95,Properties!$A$5:$A$104,0))+IF($G95="Y",INDEX(Properties!$I$5:$I$104,MATCH($B95,Properties!$A$5:$A$104,0))*Settings!$B$8*Settings!$B$9,0)+IF($H95="Y",Settings!$B$7*Settings!$B$9,0)+N($I95)*Settings!$B$9,IF($D95="Deep clean",INDEX(Settings!$E$22:$E$26,MATCH(MIN(INDEX(Properties!$E$5:$E$104,MATCH($B95,Properties!$A$5:$A$104,0)),4),Settings!$A$22:$A$26,0))*Settings!$B$19+N($I95)*Settings!$B$9,IF($D95="Late cancel",INDEX(Properties!$L$5:$L$104,MATCH($B95,Properties!$A$5:$A$104,0))*Settings!$B$11,0))),0))</f>
        <v/>
      </c>
      <c r="P95" s="28" t="str">
        <f aca="false">IF($B95="","",$N95-$O95)</f>
        <v/>
      </c>
      <c r="Q95" s="29" t="str">
        <f aca="false">IF($A95="","",DATE(YEAR($A95),MONTH($A95),1))</f>
        <v/>
      </c>
      <c r="R95" s="30" t="str">
        <f aca="false">IF($A95="","",$A95+MOD(6-WEEKDAY($A95),7))</f>
        <v/>
      </c>
      <c r="S95" s="31" t="str">
        <f aca="false">IF($B95="","",IF(AND($M95='Invoice Builder'!$C$5,$Q95='Invoice Builder'!$C$6,N($N95)&gt;0),COUNTIFS($M$5:$M95,'Invoice Builder'!$C$5,$Q$5:$Q95,'Invoice Builder'!$C$6,$N$5:$N95,"&gt;0"),""))</f>
        <v/>
      </c>
      <c r="T95" s="27" t="str">
        <f aca="false">IF($A95="","",IF($A95&gt;=DATE(YEAR($A95),4,6),YEAR($A95)&amp;"/"&amp;RIGHT(YEAR($A95)+1,2),YEAR($A95)-1&amp;"/"&amp;RIGHT(YEAR($A95),2)))</f>
        <v/>
      </c>
    </row>
    <row r="96" customFormat="false" ht="15" hidden="false" customHeight="false" outlineLevel="0" collapsed="false">
      <c r="A96" s="22"/>
      <c r="B96" s="23"/>
      <c r="C96" s="23"/>
      <c r="D96" s="23"/>
      <c r="E96" s="24"/>
      <c r="F96" s="24"/>
      <c r="G96" s="23"/>
      <c r="H96" s="23"/>
      <c r="I96" s="25"/>
      <c r="J96" s="23"/>
      <c r="K96" s="23"/>
      <c r="L96" s="26" t="str">
        <f aca="false">IF(OR($E96="",$F96=""),"",MOD($F96-$E96,1)*24)</f>
        <v/>
      </c>
      <c r="M96" s="27" t="str">
        <f aca="false">IF($B96="","",IFERROR(INDEX(Properties!$D$5:$D$104,MATCH($B96,Properties!$A$5:$A$104,0)),"?"))</f>
        <v/>
      </c>
      <c r="N96" s="28" t="str">
        <f aca="false">IF($B96="","",IFERROR(IF($D96="Completed",INDEX(Properties!$I$5:$I$104,MATCH($B96,Properties!$A$5:$A$104,0))*(1+IF($G96="Y",Settings!$B$8,0))+IF($H96="Y",Settings!$B$7,0)+N($I96),IF($D96="Deep clean",INDEX(Settings!$E$22:$E$26,MATCH(MIN(INDEX(Properties!$E$5:$E$104,MATCH($B96,Properties!$A$5:$A$104,0)),4),Settings!$A$22:$A$26,0))+N($I96),IF($D96="Late cancel",INDEX(Properties!$I$5:$I$104,MATCH($B96,Properties!$A$5:$A$104,0))*Settings!$B$10,0))),0))</f>
        <v/>
      </c>
      <c r="O96" s="28" t="str">
        <f aca="false">IF($B96="","",IFERROR(IF($D96="Completed",INDEX(Properties!$L$5:$L$104,MATCH($B96,Properties!$A$5:$A$104,0))+IF($G96="Y",INDEX(Properties!$I$5:$I$104,MATCH($B96,Properties!$A$5:$A$104,0))*Settings!$B$8*Settings!$B$9,0)+IF($H96="Y",Settings!$B$7*Settings!$B$9,0)+N($I96)*Settings!$B$9,IF($D96="Deep clean",INDEX(Settings!$E$22:$E$26,MATCH(MIN(INDEX(Properties!$E$5:$E$104,MATCH($B96,Properties!$A$5:$A$104,0)),4),Settings!$A$22:$A$26,0))*Settings!$B$19+N($I96)*Settings!$B$9,IF($D96="Late cancel",INDEX(Properties!$L$5:$L$104,MATCH($B96,Properties!$A$5:$A$104,0))*Settings!$B$11,0))),0))</f>
        <v/>
      </c>
      <c r="P96" s="28" t="str">
        <f aca="false">IF($B96="","",$N96-$O96)</f>
        <v/>
      </c>
      <c r="Q96" s="29" t="str">
        <f aca="false">IF($A96="","",DATE(YEAR($A96),MONTH($A96),1))</f>
        <v/>
      </c>
      <c r="R96" s="30" t="str">
        <f aca="false">IF($A96="","",$A96+MOD(6-WEEKDAY($A96),7))</f>
        <v/>
      </c>
      <c r="S96" s="31" t="str">
        <f aca="false">IF($B96="","",IF(AND($M96='Invoice Builder'!$C$5,$Q96='Invoice Builder'!$C$6,N($N96)&gt;0),COUNTIFS($M$5:$M96,'Invoice Builder'!$C$5,$Q$5:$Q96,'Invoice Builder'!$C$6,$N$5:$N96,"&gt;0"),""))</f>
        <v/>
      </c>
      <c r="T96" s="27" t="str">
        <f aca="false">IF($A96="","",IF($A96&gt;=DATE(YEAR($A96),4,6),YEAR($A96)&amp;"/"&amp;RIGHT(YEAR($A96)+1,2),YEAR($A96)-1&amp;"/"&amp;RIGHT(YEAR($A96),2)))</f>
        <v/>
      </c>
    </row>
    <row r="97" customFormat="false" ht="15" hidden="false" customHeight="false" outlineLevel="0" collapsed="false">
      <c r="A97" s="22"/>
      <c r="B97" s="23"/>
      <c r="C97" s="23"/>
      <c r="D97" s="23"/>
      <c r="E97" s="24"/>
      <c r="F97" s="24"/>
      <c r="G97" s="23"/>
      <c r="H97" s="23"/>
      <c r="I97" s="25"/>
      <c r="J97" s="23"/>
      <c r="K97" s="23"/>
      <c r="L97" s="26" t="str">
        <f aca="false">IF(OR($E97="",$F97=""),"",MOD($F97-$E97,1)*24)</f>
        <v/>
      </c>
      <c r="M97" s="27" t="str">
        <f aca="false">IF($B97="","",IFERROR(INDEX(Properties!$D$5:$D$104,MATCH($B97,Properties!$A$5:$A$104,0)),"?"))</f>
        <v/>
      </c>
      <c r="N97" s="28" t="str">
        <f aca="false">IF($B97="","",IFERROR(IF($D97="Completed",INDEX(Properties!$I$5:$I$104,MATCH($B97,Properties!$A$5:$A$104,0))*(1+IF($G97="Y",Settings!$B$8,0))+IF($H97="Y",Settings!$B$7,0)+N($I97),IF($D97="Deep clean",INDEX(Settings!$E$22:$E$26,MATCH(MIN(INDEX(Properties!$E$5:$E$104,MATCH($B97,Properties!$A$5:$A$104,0)),4),Settings!$A$22:$A$26,0))+N($I97),IF($D97="Late cancel",INDEX(Properties!$I$5:$I$104,MATCH($B97,Properties!$A$5:$A$104,0))*Settings!$B$10,0))),0))</f>
        <v/>
      </c>
      <c r="O97" s="28" t="str">
        <f aca="false">IF($B97="","",IFERROR(IF($D97="Completed",INDEX(Properties!$L$5:$L$104,MATCH($B97,Properties!$A$5:$A$104,0))+IF($G97="Y",INDEX(Properties!$I$5:$I$104,MATCH($B97,Properties!$A$5:$A$104,0))*Settings!$B$8*Settings!$B$9,0)+IF($H97="Y",Settings!$B$7*Settings!$B$9,0)+N($I97)*Settings!$B$9,IF($D97="Deep clean",INDEX(Settings!$E$22:$E$26,MATCH(MIN(INDEX(Properties!$E$5:$E$104,MATCH($B97,Properties!$A$5:$A$104,0)),4),Settings!$A$22:$A$26,0))*Settings!$B$19+N($I97)*Settings!$B$9,IF($D97="Late cancel",INDEX(Properties!$L$5:$L$104,MATCH($B97,Properties!$A$5:$A$104,0))*Settings!$B$11,0))),0))</f>
        <v/>
      </c>
      <c r="P97" s="28" t="str">
        <f aca="false">IF($B97="","",$N97-$O97)</f>
        <v/>
      </c>
      <c r="Q97" s="29" t="str">
        <f aca="false">IF($A97="","",DATE(YEAR($A97),MONTH($A97),1))</f>
        <v/>
      </c>
      <c r="R97" s="30" t="str">
        <f aca="false">IF($A97="","",$A97+MOD(6-WEEKDAY($A97),7))</f>
        <v/>
      </c>
      <c r="S97" s="31" t="str">
        <f aca="false">IF($B97="","",IF(AND($M97='Invoice Builder'!$C$5,$Q97='Invoice Builder'!$C$6,N($N97)&gt;0),COUNTIFS($M$5:$M97,'Invoice Builder'!$C$5,$Q$5:$Q97,'Invoice Builder'!$C$6,$N$5:$N97,"&gt;0"),""))</f>
        <v/>
      </c>
      <c r="T97" s="27" t="str">
        <f aca="false">IF($A97="","",IF($A97&gt;=DATE(YEAR($A97),4,6),YEAR($A97)&amp;"/"&amp;RIGHT(YEAR($A97)+1,2),YEAR($A97)-1&amp;"/"&amp;RIGHT(YEAR($A97),2)))</f>
        <v/>
      </c>
    </row>
    <row r="98" customFormat="false" ht="15" hidden="false" customHeight="false" outlineLevel="0" collapsed="false">
      <c r="A98" s="22"/>
      <c r="B98" s="23"/>
      <c r="C98" s="23"/>
      <c r="D98" s="23"/>
      <c r="E98" s="24"/>
      <c r="F98" s="24"/>
      <c r="G98" s="23"/>
      <c r="H98" s="23"/>
      <c r="I98" s="25"/>
      <c r="J98" s="23"/>
      <c r="K98" s="23"/>
      <c r="L98" s="26" t="str">
        <f aca="false">IF(OR($E98="",$F98=""),"",MOD($F98-$E98,1)*24)</f>
        <v/>
      </c>
      <c r="M98" s="27" t="str">
        <f aca="false">IF($B98="","",IFERROR(INDEX(Properties!$D$5:$D$104,MATCH($B98,Properties!$A$5:$A$104,0)),"?"))</f>
        <v/>
      </c>
      <c r="N98" s="28" t="str">
        <f aca="false">IF($B98="","",IFERROR(IF($D98="Completed",INDEX(Properties!$I$5:$I$104,MATCH($B98,Properties!$A$5:$A$104,0))*(1+IF($G98="Y",Settings!$B$8,0))+IF($H98="Y",Settings!$B$7,0)+N($I98),IF($D98="Deep clean",INDEX(Settings!$E$22:$E$26,MATCH(MIN(INDEX(Properties!$E$5:$E$104,MATCH($B98,Properties!$A$5:$A$104,0)),4),Settings!$A$22:$A$26,0))+N($I98),IF($D98="Late cancel",INDEX(Properties!$I$5:$I$104,MATCH($B98,Properties!$A$5:$A$104,0))*Settings!$B$10,0))),0))</f>
        <v/>
      </c>
      <c r="O98" s="28" t="str">
        <f aca="false">IF($B98="","",IFERROR(IF($D98="Completed",INDEX(Properties!$L$5:$L$104,MATCH($B98,Properties!$A$5:$A$104,0))+IF($G98="Y",INDEX(Properties!$I$5:$I$104,MATCH($B98,Properties!$A$5:$A$104,0))*Settings!$B$8*Settings!$B$9,0)+IF($H98="Y",Settings!$B$7*Settings!$B$9,0)+N($I98)*Settings!$B$9,IF($D98="Deep clean",INDEX(Settings!$E$22:$E$26,MATCH(MIN(INDEX(Properties!$E$5:$E$104,MATCH($B98,Properties!$A$5:$A$104,0)),4),Settings!$A$22:$A$26,0))*Settings!$B$19+N($I98)*Settings!$B$9,IF($D98="Late cancel",INDEX(Properties!$L$5:$L$104,MATCH($B98,Properties!$A$5:$A$104,0))*Settings!$B$11,0))),0))</f>
        <v/>
      </c>
      <c r="P98" s="28" t="str">
        <f aca="false">IF($B98="","",$N98-$O98)</f>
        <v/>
      </c>
      <c r="Q98" s="29" t="str">
        <f aca="false">IF($A98="","",DATE(YEAR($A98),MONTH($A98),1))</f>
        <v/>
      </c>
      <c r="R98" s="30" t="str">
        <f aca="false">IF($A98="","",$A98+MOD(6-WEEKDAY($A98),7))</f>
        <v/>
      </c>
      <c r="S98" s="31" t="str">
        <f aca="false">IF($B98="","",IF(AND($M98='Invoice Builder'!$C$5,$Q98='Invoice Builder'!$C$6,N($N98)&gt;0),COUNTIFS($M$5:$M98,'Invoice Builder'!$C$5,$Q$5:$Q98,'Invoice Builder'!$C$6,$N$5:$N98,"&gt;0"),""))</f>
        <v/>
      </c>
      <c r="T98" s="27" t="str">
        <f aca="false">IF($A98="","",IF($A98&gt;=DATE(YEAR($A98),4,6),YEAR($A98)&amp;"/"&amp;RIGHT(YEAR($A98)+1,2),YEAR($A98)-1&amp;"/"&amp;RIGHT(YEAR($A98),2)))</f>
        <v/>
      </c>
    </row>
    <row r="99" customFormat="false" ht="15" hidden="false" customHeight="false" outlineLevel="0" collapsed="false">
      <c r="A99" s="22"/>
      <c r="B99" s="23"/>
      <c r="C99" s="23"/>
      <c r="D99" s="23"/>
      <c r="E99" s="24"/>
      <c r="F99" s="24"/>
      <c r="G99" s="23"/>
      <c r="H99" s="23"/>
      <c r="I99" s="25"/>
      <c r="J99" s="23"/>
      <c r="K99" s="23"/>
      <c r="L99" s="26" t="str">
        <f aca="false">IF(OR($E99="",$F99=""),"",MOD($F99-$E99,1)*24)</f>
        <v/>
      </c>
      <c r="M99" s="27" t="str">
        <f aca="false">IF($B99="","",IFERROR(INDEX(Properties!$D$5:$D$104,MATCH($B99,Properties!$A$5:$A$104,0)),"?"))</f>
        <v/>
      </c>
      <c r="N99" s="28" t="str">
        <f aca="false">IF($B99="","",IFERROR(IF($D99="Completed",INDEX(Properties!$I$5:$I$104,MATCH($B99,Properties!$A$5:$A$104,0))*(1+IF($G99="Y",Settings!$B$8,0))+IF($H99="Y",Settings!$B$7,0)+N($I99),IF($D99="Deep clean",INDEX(Settings!$E$22:$E$26,MATCH(MIN(INDEX(Properties!$E$5:$E$104,MATCH($B99,Properties!$A$5:$A$104,0)),4),Settings!$A$22:$A$26,0))+N($I99),IF($D99="Late cancel",INDEX(Properties!$I$5:$I$104,MATCH($B99,Properties!$A$5:$A$104,0))*Settings!$B$10,0))),0))</f>
        <v/>
      </c>
      <c r="O99" s="28" t="str">
        <f aca="false">IF($B99="","",IFERROR(IF($D99="Completed",INDEX(Properties!$L$5:$L$104,MATCH($B99,Properties!$A$5:$A$104,0))+IF($G99="Y",INDEX(Properties!$I$5:$I$104,MATCH($B99,Properties!$A$5:$A$104,0))*Settings!$B$8*Settings!$B$9,0)+IF($H99="Y",Settings!$B$7*Settings!$B$9,0)+N($I99)*Settings!$B$9,IF($D99="Deep clean",INDEX(Settings!$E$22:$E$26,MATCH(MIN(INDEX(Properties!$E$5:$E$104,MATCH($B99,Properties!$A$5:$A$104,0)),4),Settings!$A$22:$A$26,0))*Settings!$B$19+N($I99)*Settings!$B$9,IF($D99="Late cancel",INDEX(Properties!$L$5:$L$104,MATCH($B99,Properties!$A$5:$A$104,0))*Settings!$B$11,0))),0))</f>
        <v/>
      </c>
      <c r="P99" s="28" t="str">
        <f aca="false">IF($B99="","",$N99-$O99)</f>
        <v/>
      </c>
      <c r="Q99" s="29" t="str">
        <f aca="false">IF($A99="","",DATE(YEAR($A99),MONTH($A99),1))</f>
        <v/>
      </c>
      <c r="R99" s="30" t="str">
        <f aca="false">IF($A99="","",$A99+MOD(6-WEEKDAY($A99),7))</f>
        <v/>
      </c>
      <c r="S99" s="31" t="str">
        <f aca="false">IF($B99="","",IF(AND($M99='Invoice Builder'!$C$5,$Q99='Invoice Builder'!$C$6,N($N99)&gt;0),COUNTIFS($M$5:$M99,'Invoice Builder'!$C$5,$Q$5:$Q99,'Invoice Builder'!$C$6,$N$5:$N99,"&gt;0"),""))</f>
        <v/>
      </c>
      <c r="T99" s="27" t="str">
        <f aca="false">IF($A99="","",IF($A99&gt;=DATE(YEAR($A99),4,6),YEAR($A99)&amp;"/"&amp;RIGHT(YEAR($A99)+1,2),YEAR($A99)-1&amp;"/"&amp;RIGHT(YEAR($A99),2)))</f>
        <v/>
      </c>
    </row>
    <row r="100" customFormat="false" ht="15" hidden="false" customHeight="false" outlineLevel="0" collapsed="false">
      <c r="A100" s="22"/>
      <c r="B100" s="23"/>
      <c r="C100" s="23"/>
      <c r="D100" s="23"/>
      <c r="E100" s="24"/>
      <c r="F100" s="24"/>
      <c r="G100" s="23"/>
      <c r="H100" s="23"/>
      <c r="I100" s="25"/>
      <c r="J100" s="23"/>
      <c r="K100" s="23"/>
      <c r="L100" s="26" t="str">
        <f aca="false">IF(OR($E100="",$F100=""),"",MOD($F100-$E100,1)*24)</f>
        <v/>
      </c>
      <c r="M100" s="27" t="str">
        <f aca="false">IF($B100="","",IFERROR(INDEX(Properties!$D$5:$D$104,MATCH($B100,Properties!$A$5:$A$104,0)),"?"))</f>
        <v/>
      </c>
      <c r="N100" s="28" t="str">
        <f aca="false">IF($B100="","",IFERROR(IF($D100="Completed",INDEX(Properties!$I$5:$I$104,MATCH($B100,Properties!$A$5:$A$104,0))*(1+IF($G100="Y",Settings!$B$8,0))+IF($H100="Y",Settings!$B$7,0)+N($I100),IF($D100="Deep clean",INDEX(Settings!$E$22:$E$26,MATCH(MIN(INDEX(Properties!$E$5:$E$104,MATCH($B100,Properties!$A$5:$A$104,0)),4),Settings!$A$22:$A$26,0))+N($I100),IF($D100="Late cancel",INDEX(Properties!$I$5:$I$104,MATCH($B100,Properties!$A$5:$A$104,0))*Settings!$B$10,0))),0))</f>
        <v/>
      </c>
      <c r="O100" s="28" t="str">
        <f aca="false">IF($B100="","",IFERROR(IF($D100="Completed",INDEX(Properties!$L$5:$L$104,MATCH($B100,Properties!$A$5:$A$104,0))+IF($G100="Y",INDEX(Properties!$I$5:$I$104,MATCH($B100,Properties!$A$5:$A$104,0))*Settings!$B$8*Settings!$B$9,0)+IF($H100="Y",Settings!$B$7*Settings!$B$9,0)+N($I100)*Settings!$B$9,IF($D100="Deep clean",INDEX(Settings!$E$22:$E$26,MATCH(MIN(INDEX(Properties!$E$5:$E$104,MATCH($B100,Properties!$A$5:$A$104,0)),4),Settings!$A$22:$A$26,0))*Settings!$B$19+N($I100)*Settings!$B$9,IF($D100="Late cancel",INDEX(Properties!$L$5:$L$104,MATCH($B100,Properties!$A$5:$A$104,0))*Settings!$B$11,0))),0))</f>
        <v/>
      </c>
      <c r="P100" s="28" t="str">
        <f aca="false">IF($B100="","",$N100-$O100)</f>
        <v/>
      </c>
      <c r="Q100" s="29" t="str">
        <f aca="false">IF($A100="","",DATE(YEAR($A100),MONTH($A100),1))</f>
        <v/>
      </c>
      <c r="R100" s="30" t="str">
        <f aca="false">IF($A100="","",$A100+MOD(6-WEEKDAY($A100),7))</f>
        <v/>
      </c>
      <c r="S100" s="31" t="str">
        <f aca="false">IF($B100="","",IF(AND($M100='Invoice Builder'!$C$5,$Q100='Invoice Builder'!$C$6,N($N100)&gt;0),COUNTIFS($M$5:$M100,'Invoice Builder'!$C$5,$Q$5:$Q100,'Invoice Builder'!$C$6,$N$5:$N100,"&gt;0"),""))</f>
        <v/>
      </c>
      <c r="T100" s="27" t="str">
        <f aca="false">IF($A100="","",IF($A100&gt;=DATE(YEAR($A100),4,6),YEAR($A100)&amp;"/"&amp;RIGHT(YEAR($A100)+1,2),YEAR($A100)-1&amp;"/"&amp;RIGHT(YEAR($A100),2)))</f>
        <v/>
      </c>
    </row>
    <row r="101" customFormat="false" ht="15" hidden="false" customHeight="false" outlineLevel="0" collapsed="false">
      <c r="A101" s="22"/>
      <c r="B101" s="23"/>
      <c r="C101" s="23"/>
      <c r="D101" s="23"/>
      <c r="E101" s="24"/>
      <c r="F101" s="24"/>
      <c r="G101" s="23"/>
      <c r="H101" s="23"/>
      <c r="I101" s="25"/>
      <c r="J101" s="23"/>
      <c r="K101" s="23"/>
      <c r="L101" s="26" t="str">
        <f aca="false">IF(OR($E101="",$F101=""),"",MOD($F101-$E101,1)*24)</f>
        <v/>
      </c>
      <c r="M101" s="27" t="str">
        <f aca="false">IF($B101="","",IFERROR(INDEX(Properties!$D$5:$D$104,MATCH($B101,Properties!$A$5:$A$104,0)),"?"))</f>
        <v/>
      </c>
      <c r="N101" s="28" t="str">
        <f aca="false">IF($B101="","",IFERROR(IF($D101="Completed",INDEX(Properties!$I$5:$I$104,MATCH($B101,Properties!$A$5:$A$104,0))*(1+IF($G101="Y",Settings!$B$8,0))+IF($H101="Y",Settings!$B$7,0)+N($I101),IF($D101="Deep clean",INDEX(Settings!$E$22:$E$26,MATCH(MIN(INDEX(Properties!$E$5:$E$104,MATCH($B101,Properties!$A$5:$A$104,0)),4),Settings!$A$22:$A$26,0))+N($I101),IF($D101="Late cancel",INDEX(Properties!$I$5:$I$104,MATCH($B101,Properties!$A$5:$A$104,0))*Settings!$B$10,0))),0))</f>
        <v/>
      </c>
      <c r="O101" s="28" t="str">
        <f aca="false">IF($B101="","",IFERROR(IF($D101="Completed",INDEX(Properties!$L$5:$L$104,MATCH($B101,Properties!$A$5:$A$104,0))+IF($G101="Y",INDEX(Properties!$I$5:$I$104,MATCH($B101,Properties!$A$5:$A$104,0))*Settings!$B$8*Settings!$B$9,0)+IF($H101="Y",Settings!$B$7*Settings!$B$9,0)+N($I101)*Settings!$B$9,IF($D101="Deep clean",INDEX(Settings!$E$22:$E$26,MATCH(MIN(INDEX(Properties!$E$5:$E$104,MATCH($B101,Properties!$A$5:$A$104,0)),4),Settings!$A$22:$A$26,0))*Settings!$B$19+N($I101)*Settings!$B$9,IF($D101="Late cancel",INDEX(Properties!$L$5:$L$104,MATCH($B101,Properties!$A$5:$A$104,0))*Settings!$B$11,0))),0))</f>
        <v/>
      </c>
      <c r="P101" s="28" t="str">
        <f aca="false">IF($B101="","",$N101-$O101)</f>
        <v/>
      </c>
      <c r="Q101" s="29" t="str">
        <f aca="false">IF($A101="","",DATE(YEAR($A101),MONTH($A101),1))</f>
        <v/>
      </c>
      <c r="R101" s="30" t="str">
        <f aca="false">IF($A101="","",$A101+MOD(6-WEEKDAY($A101),7))</f>
        <v/>
      </c>
      <c r="S101" s="31" t="str">
        <f aca="false">IF($B101="","",IF(AND($M101='Invoice Builder'!$C$5,$Q101='Invoice Builder'!$C$6,N($N101)&gt;0),COUNTIFS($M$5:$M101,'Invoice Builder'!$C$5,$Q$5:$Q101,'Invoice Builder'!$C$6,$N$5:$N101,"&gt;0"),""))</f>
        <v/>
      </c>
      <c r="T101" s="27" t="str">
        <f aca="false">IF($A101="","",IF($A101&gt;=DATE(YEAR($A101),4,6),YEAR($A101)&amp;"/"&amp;RIGHT(YEAR($A101)+1,2),YEAR($A101)-1&amp;"/"&amp;RIGHT(YEAR($A101),2)))</f>
        <v/>
      </c>
    </row>
    <row r="102" customFormat="false" ht="15" hidden="false" customHeight="false" outlineLevel="0" collapsed="false">
      <c r="A102" s="22"/>
      <c r="B102" s="23"/>
      <c r="C102" s="23"/>
      <c r="D102" s="23"/>
      <c r="E102" s="24"/>
      <c r="F102" s="24"/>
      <c r="G102" s="23"/>
      <c r="H102" s="23"/>
      <c r="I102" s="25"/>
      <c r="J102" s="23"/>
      <c r="K102" s="23"/>
      <c r="L102" s="26" t="str">
        <f aca="false">IF(OR($E102="",$F102=""),"",MOD($F102-$E102,1)*24)</f>
        <v/>
      </c>
      <c r="M102" s="27" t="str">
        <f aca="false">IF($B102="","",IFERROR(INDEX(Properties!$D$5:$D$104,MATCH($B102,Properties!$A$5:$A$104,0)),"?"))</f>
        <v/>
      </c>
      <c r="N102" s="28" t="str">
        <f aca="false">IF($B102="","",IFERROR(IF($D102="Completed",INDEX(Properties!$I$5:$I$104,MATCH($B102,Properties!$A$5:$A$104,0))*(1+IF($G102="Y",Settings!$B$8,0))+IF($H102="Y",Settings!$B$7,0)+N($I102),IF($D102="Deep clean",INDEX(Settings!$E$22:$E$26,MATCH(MIN(INDEX(Properties!$E$5:$E$104,MATCH($B102,Properties!$A$5:$A$104,0)),4),Settings!$A$22:$A$26,0))+N($I102),IF($D102="Late cancel",INDEX(Properties!$I$5:$I$104,MATCH($B102,Properties!$A$5:$A$104,0))*Settings!$B$10,0))),0))</f>
        <v/>
      </c>
      <c r="O102" s="28" t="str">
        <f aca="false">IF($B102="","",IFERROR(IF($D102="Completed",INDEX(Properties!$L$5:$L$104,MATCH($B102,Properties!$A$5:$A$104,0))+IF($G102="Y",INDEX(Properties!$I$5:$I$104,MATCH($B102,Properties!$A$5:$A$104,0))*Settings!$B$8*Settings!$B$9,0)+IF($H102="Y",Settings!$B$7*Settings!$B$9,0)+N($I102)*Settings!$B$9,IF($D102="Deep clean",INDEX(Settings!$E$22:$E$26,MATCH(MIN(INDEX(Properties!$E$5:$E$104,MATCH($B102,Properties!$A$5:$A$104,0)),4),Settings!$A$22:$A$26,0))*Settings!$B$19+N($I102)*Settings!$B$9,IF($D102="Late cancel",INDEX(Properties!$L$5:$L$104,MATCH($B102,Properties!$A$5:$A$104,0))*Settings!$B$11,0))),0))</f>
        <v/>
      </c>
      <c r="P102" s="28" t="str">
        <f aca="false">IF($B102="","",$N102-$O102)</f>
        <v/>
      </c>
      <c r="Q102" s="29" t="str">
        <f aca="false">IF($A102="","",DATE(YEAR($A102),MONTH($A102),1))</f>
        <v/>
      </c>
      <c r="R102" s="30" t="str">
        <f aca="false">IF($A102="","",$A102+MOD(6-WEEKDAY($A102),7))</f>
        <v/>
      </c>
      <c r="S102" s="31" t="str">
        <f aca="false">IF($B102="","",IF(AND($M102='Invoice Builder'!$C$5,$Q102='Invoice Builder'!$C$6,N($N102)&gt;0),COUNTIFS($M$5:$M102,'Invoice Builder'!$C$5,$Q$5:$Q102,'Invoice Builder'!$C$6,$N$5:$N102,"&gt;0"),""))</f>
        <v/>
      </c>
      <c r="T102" s="27" t="str">
        <f aca="false">IF($A102="","",IF($A102&gt;=DATE(YEAR($A102),4,6),YEAR($A102)&amp;"/"&amp;RIGHT(YEAR($A102)+1,2),YEAR($A102)-1&amp;"/"&amp;RIGHT(YEAR($A102),2)))</f>
        <v/>
      </c>
    </row>
    <row r="103" customFormat="false" ht="15" hidden="false" customHeight="false" outlineLevel="0" collapsed="false">
      <c r="A103" s="22"/>
      <c r="B103" s="23"/>
      <c r="C103" s="23"/>
      <c r="D103" s="23"/>
      <c r="E103" s="24"/>
      <c r="F103" s="24"/>
      <c r="G103" s="23"/>
      <c r="H103" s="23"/>
      <c r="I103" s="25"/>
      <c r="J103" s="23"/>
      <c r="K103" s="23"/>
      <c r="L103" s="26" t="str">
        <f aca="false">IF(OR($E103="",$F103=""),"",MOD($F103-$E103,1)*24)</f>
        <v/>
      </c>
      <c r="M103" s="27" t="str">
        <f aca="false">IF($B103="","",IFERROR(INDEX(Properties!$D$5:$D$104,MATCH($B103,Properties!$A$5:$A$104,0)),"?"))</f>
        <v/>
      </c>
      <c r="N103" s="28" t="str">
        <f aca="false">IF($B103="","",IFERROR(IF($D103="Completed",INDEX(Properties!$I$5:$I$104,MATCH($B103,Properties!$A$5:$A$104,0))*(1+IF($G103="Y",Settings!$B$8,0))+IF($H103="Y",Settings!$B$7,0)+N($I103),IF($D103="Deep clean",INDEX(Settings!$E$22:$E$26,MATCH(MIN(INDEX(Properties!$E$5:$E$104,MATCH($B103,Properties!$A$5:$A$104,0)),4),Settings!$A$22:$A$26,0))+N($I103),IF($D103="Late cancel",INDEX(Properties!$I$5:$I$104,MATCH($B103,Properties!$A$5:$A$104,0))*Settings!$B$10,0))),0))</f>
        <v/>
      </c>
      <c r="O103" s="28" t="str">
        <f aca="false">IF($B103="","",IFERROR(IF($D103="Completed",INDEX(Properties!$L$5:$L$104,MATCH($B103,Properties!$A$5:$A$104,0))+IF($G103="Y",INDEX(Properties!$I$5:$I$104,MATCH($B103,Properties!$A$5:$A$104,0))*Settings!$B$8*Settings!$B$9,0)+IF($H103="Y",Settings!$B$7*Settings!$B$9,0)+N($I103)*Settings!$B$9,IF($D103="Deep clean",INDEX(Settings!$E$22:$E$26,MATCH(MIN(INDEX(Properties!$E$5:$E$104,MATCH($B103,Properties!$A$5:$A$104,0)),4),Settings!$A$22:$A$26,0))*Settings!$B$19+N($I103)*Settings!$B$9,IF($D103="Late cancel",INDEX(Properties!$L$5:$L$104,MATCH($B103,Properties!$A$5:$A$104,0))*Settings!$B$11,0))),0))</f>
        <v/>
      </c>
      <c r="P103" s="28" t="str">
        <f aca="false">IF($B103="","",$N103-$O103)</f>
        <v/>
      </c>
      <c r="Q103" s="29" t="str">
        <f aca="false">IF($A103="","",DATE(YEAR($A103),MONTH($A103),1))</f>
        <v/>
      </c>
      <c r="R103" s="30" t="str">
        <f aca="false">IF($A103="","",$A103+MOD(6-WEEKDAY($A103),7))</f>
        <v/>
      </c>
      <c r="S103" s="31" t="str">
        <f aca="false">IF($B103="","",IF(AND($M103='Invoice Builder'!$C$5,$Q103='Invoice Builder'!$C$6,N($N103)&gt;0),COUNTIFS($M$5:$M103,'Invoice Builder'!$C$5,$Q$5:$Q103,'Invoice Builder'!$C$6,$N$5:$N103,"&gt;0"),""))</f>
        <v/>
      </c>
      <c r="T103" s="27" t="str">
        <f aca="false">IF($A103="","",IF($A103&gt;=DATE(YEAR($A103),4,6),YEAR($A103)&amp;"/"&amp;RIGHT(YEAR($A103)+1,2),YEAR($A103)-1&amp;"/"&amp;RIGHT(YEAR($A103),2)))</f>
        <v/>
      </c>
    </row>
    <row r="104" customFormat="false" ht="15" hidden="false" customHeight="false" outlineLevel="0" collapsed="false">
      <c r="A104" s="22"/>
      <c r="B104" s="23"/>
      <c r="C104" s="23"/>
      <c r="D104" s="23"/>
      <c r="E104" s="24"/>
      <c r="F104" s="24"/>
      <c r="G104" s="23"/>
      <c r="H104" s="23"/>
      <c r="I104" s="25"/>
      <c r="J104" s="23"/>
      <c r="K104" s="23"/>
      <c r="L104" s="26" t="str">
        <f aca="false">IF(OR($E104="",$F104=""),"",MOD($F104-$E104,1)*24)</f>
        <v/>
      </c>
      <c r="M104" s="27" t="str">
        <f aca="false">IF($B104="","",IFERROR(INDEX(Properties!$D$5:$D$104,MATCH($B104,Properties!$A$5:$A$104,0)),"?"))</f>
        <v/>
      </c>
      <c r="N104" s="28" t="str">
        <f aca="false">IF($B104="","",IFERROR(IF($D104="Completed",INDEX(Properties!$I$5:$I$104,MATCH($B104,Properties!$A$5:$A$104,0))*(1+IF($G104="Y",Settings!$B$8,0))+IF($H104="Y",Settings!$B$7,0)+N($I104),IF($D104="Deep clean",INDEX(Settings!$E$22:$E$26,MATCH(MIN(INDEX(Properties!$E$5:$E$104,MATCH($B104,Properties!$A$5:$A$104,0)),4),Settings!$A$22:$A$26,0))+N($I104),IF($D104="Late cancel",INDEX(Properties!$I$5:$I$104,MATCH($B104,Properties!$A$5:$A$104,0))*Settings!$B$10,0))),0))</f>
        <v/>
      </c>
      <c r="O104" s="28" t="str">
        <f aca="false">IF($B104="","",IFERROR(IF($D104="Completed",INDEX(Properties!$L$5:$L$104,MATCH($B104,Properties!$A$5:$A$104,0))+IF($G104="Y",INDEX(Properties!$I$5:$I$104,MATCH($B104,Properties!$A$5:$A$104,0))*Settings!$B$8*Settings!$B$9,0)+IF($H104="Y",Settings!$B$7*Settings!$B$9,0)+N($I104)*Settings!$B$9,IF($D104="Deep clean",INDEX(Settings!$E$22:$E$26,MATCH(MIN(INDEX(Properties!$E$5:$E$104,MATCH($B104,Properties!$A$5:$A$104,0)),4),Settings!$A$22:$A$26,0))*Settings!$B$19+N($I104)*Settings!$B$9,IF($D104="Late cancel",INDEX(Properties!$L$5:$L$104,MATCH($B104,Properties!$A$5:$A$104,0))*Settings!$B$11,0))),0))</f>
        <v/>
      </c>
      <c r="P104" s="28" t="str">
        <f aca="false">IF($B104="","",$N104-$O104)</f>
        <v/>
      </c>
      <c r="Q104" s="29" t="str">
        <f aca="false">IF($A104="","",DATE(YEAR($A104),MONTH($A104),1))</f>
        <v/>
      </c>
      <c r="R104" s="30" t="str">
        <f aca="false">IF($A104="","",$A104+MOD(6-WEEKDAY($A104),7))</f>
        <v/>
      </c>
      <c r="S104" s="31" t="str">
        <f aca="false">IF($B104="","",IF(AND($M104='Invoice Builder'!$C$5,$Q104='Invoice Builder'!$C$6,N($N104)&gt;0),COUNTIFS($M$5:$M104,'Invoice Builder'!$C$5,$Q$5:$Q104,'Invoice Builder'!$C$6,$N$5:$N104,"&gt;0"),""))</f>
        <v/>
      </c>
      <c r="T104" s="27" t="str">
        <f aca="false">IF($A104="","",IF($A104&gt;=DATE(YEAR($A104),4,6),YEAR($A104)&amp;"/"&amp;RIGHT(YEAR($A104)+1,2),YEAR($A104)-1&amp;"/"&amp;RIGHT(YEAR($A104),2)))</f>
        <v/>
      </c>
    </row>
    <row r="105" customFormat="false" ht="15" hidden="false" customHeight="false" outlineLevel="0" collapsed="false">
      <c r="A105" s="22"/>
      <c r="B105" s="23"/>
      <c r="C105" s="23"/>
      <c r="D105" s="23"/>
      <c r="E105" s="24"/>
      <c r="F105" s="24"/>
      <c r="G105" s="23"/>
      <c r="H105" s="23"/>
      <c r="I105" s="25"/>
      <c r="J105" s="23"/>
      <c r="K105" s="23"/>
      <c r="L105" s="26" t="str">
        <f aca="false">IF(OR($E105="",$F105=""),"",MOD($F105-$E105,1)*24)</f>
        <v/>
      </c>
      <c r="M105" s="27" t="str">
        <f aca="false">IF($B105="","",IFERROR(INDEX(Properties!$D$5:$D$104,MATCH($B105,Properties!$A$5:$A$104,0)),"?"))</f>
        <v/>
      </c>
      <c r="N105" s="28" t="str">
        <f aca="false">IF($B105="","",IFERROR(IF($D105="Completed",INDEX(Properties!$I$5:$I$104,MATCH($B105,Properties!$A$5:$A$104,0))*(1+IF($G105="Y",Settings!$B$8,0))+IF($H105="Y",Settings!$B$7,0)+N($I105),IF($D105="Deep clean",INDEX(Settings!$E$22:$E$26,MATCH(MIN(INDEX(Properties!$E$5:$E$104,MATCH($B105,Properties!$A$5:$A$104,0)),4),Settings!$A$22:$A$26,0))+N($I105),IF($D105="Late cancel",INDEX(Properties!$I$5:$I$104,MATCH($B105,Properties!$A$5:$A$104,0))*Settings!$B$10,0))),0))</f>
        <v/>
      </c>
      <c r="O105" s="28" t="str">
        <f aca="false">IF($B105="","",IFERROR(IF($D105="Completed",INDEX(Properties!$L$5:$L$104,MATCH($B105,Properties!$A$5:$A$104,0))+IF($G105="Y",INDEX(Properties!$I$5:$I$104,MATCH($B105,Properties!$A$5:$A$104,0))*Settings!$B$8*Settings!$B$9,0)+IF($H105="Y",Settings!$B$7*Settings!$B$9,0)+N($I105)*Settings!$B$9,IF($D105="Deep clean",INDEX(Settings!$E$22:$E$26,MATCH(MIN(INDEX(Properties!$E$5:$E$104,MATCH($B105,Properties!$A$5:$A$104,0)),4),Settings!$A$22:$A$26,0))*Settings!$B$19+N($I105)*Settings!$B$9,IF($D105="Late cancel",INDEX(Properties!$L$5:$L$104,MATCH($B105,Properties!$A$5:$A$104,0))*Settings!$B$11,0))),0))</f>
        <v/>
      </c>
      <c r="P105" s="28" t="str">
        <f aca="false">IF($B105="","",$N105-$O105)</f>
        <v/>
      </c>
      <c r="Q105" s="29" t="str">
        <f aca="false">IF($A105="","",DATE(YEAR($A105),MONTH($A105),1))</f>
        <v/>
      </c>
      <c r="R105" s="30" t="str">
        <f aca="false">IF($A105="","",$A105+MOD(6-WEEKDAY($A105),7))</f>
        <v/>
      </c>
      <c r="S105" s="31" t="str">
        <f aca="false">IF($B105="","",IF(AND($M105='Invoice Builder'!$C$5,$Q105='Invoice Builder'!$C$6,N($N105)&gt;0),COUNTIFS($M$5:$M105,'Invoice Builder'!$C$5,$Q$5:$Q105,'Invoice Builder'!$C$6,$N$5:$N105,"&gt;0"),""))</f>
        <v/>
      </c>
      <c r="T105" s="27" t="str">
        <f aca="false">IF($A105="","",IF($A105&gt;=DATE(YEAR($A105),4,6),YEAR($A105)&amp;"/"&amp;RIGHT(YEAR($A105)+1,2),YEAR($A105)-1&amp;"/"&amp;RIGHT(YEAR($A105),2)))</f>
        <v/>
      </c>
    </row>
    <row r="106" customFormat="false" ht="15" hidden="false" customHeight="false" outlineLevel="0" collapsed="false">
      <c r="A106" s="22"/>
      <c r="B106" s="23"/>
      <c r="C106" s="23"/>
      <c r="D106" s="23"/>
      <c r="E106" s="24"/>
      <c r="F106" s="24"/>
      <c r="G106" s="23"/>
      <c r="H106" s="23"/>
      <c r="I106" s="25"/>
      <c r="J106" s="23"/>
      <c r="K106" s="23"/>
      <c r="L106" s="26" t="str">
        <f aca="false">IF(OR($E106="",$F106=""),"",MOD($F106-$E106,1)*24)</f>
        <v/>
      </c>
      <c r="M106" s="27" t="str">
        <f aca="false">IF($B106="","",IFERROR(INDEX(Properties!$D$5:$D$104,MATCH($B106,Properties!$A$5:$A$104,0)),"?"))</f>
        <v/>
      </c>
      <c r="N106" s="28" t="str">
        <f aca="false">IF($B106="","",IFERROR(IF($D106="Completed",INDEX(Properties!$I$5:$I$104,MATCH($B106,Properties!$A$5:$A$104,0))*(1+IF($G106="Y",Settings!$B$8,0))+IF($H106="Y",Settings!$B$7,0)+N($I106),IF($D106="Deep clean",INDEX(Settings!$E$22:$E$26,MATCH(MIN(INDEX(Properties!$E$5:$E$104,MATCH($B106,Properties!$A$5:$A$104,0)),4),Settings!$A$22:$A$26,0))+N($I106),IF($D106="Late cancel",INDEX(Properties!$I$5:$I$104,MATCH($B106,Properties!$A$5:$A$104,0))*Settings!$B$10,0))),0))</f>
        <v/>
      </c>
      <c r="O106" s="28" t="str">
        <f aca="false">IF($B106="","",IFERROR(IF($D106="Completed",INDEX(Properties!$L$5:$L$104,MATCH($B106,Properties!$A$5:$A$104,0))+IF($G106="Y",INDEX(Properties!$I$5:$I$104,MATCH($B106,Properties!$A$5:$A$104,0))*Settings!$B$8*Settings!$B$9,0)+IF($H106="Y",Settings!$B$7*Settings!$B$9,0)+N($I106)*Settings!$B$9,IF($D106="Deep clean",INDEX(Settings!$E$22:$E$26,MATCH(MIN(INDEX(Properties!$E$5:$E$104,MATCH($B106,Properties!$A$5:$A$104,0)),4),Settings!$A$22:$A$26,0))*Settings!$B$19+N($I106)*Settings!$B$9,IF($D106="Late cancel",INDEX(Properties!$L$5:$L$104,MATCH($B106,Properties!$A$5:$A$104,0))*Settings!$B$11,0))),0))</f>
        <v/>
      </c>
      <c r="P106" s="28" t="str">
        <f aca="false">IF($B106="","",$N106-$O106)</f>
        <v/>
      </c>
      <c r="Q106" s="29" t="str">
        <f aca="false">IF($A106="","",DATE(YEAR($A106),MONTH($A106),1))</f>
        <v/>
      </c>
      <c r="R106" s="30" t="str">
        <f aca="false">IF($A106="","",$A106+MOD(6-WEEKDAY($A106),7))</f>
        <v/>
      </c>
      <c r="S106" s="31" t="str">
        <f aca="false">IF($B106="","",IF(AND($M106='Invoice Builder'!$C$5,$Q106='Invoice Builder'!$C$6,N($N106)&gt;0),COUNTIFS($M$5:$M106,'Invoice Builder'!$C$5,$Q$5:$Q106,'Invoice Builder'!$C$6,$N$5:$N106,"&gt;0"),""))</f>
        <v/>
      </c>
      <c r="T106" s="27" t="str">
        <f aca="false">IF($A106="","",IF($A106&gt;=DATE(YEAR($A106),4,6),YEAR($A106)&amp;"/"&amp;RIGHT(YEAR($A106)+1,2),YEAR($A106)-1&amp;"/"&amp;RIGHT(YEAR($A106),2)))</f>
        <v/>
      </c>
    </row>
    <row r="107" customFormat="false" ht="15" hidden="false" customHeight="false" outlineLevel="0" collapsed="false">
      <c r="A107" s="22"/>
      <c r="B107" s="23"/>
      <c r="C107" s="23"/>
      <c r="D107" s="23"/>
      <c r="E107" s="24"/>
      <c r="F107" s="24"/>
      <c r="G107" s="23"/>
      <c r="H107" s="23"/>
      <c r="I107" s="25"/>
      <c r="J107" s="23"/>
      <c r="K107" s="23"/>
      <c r="L107" s="26" t="str">
        <f aca="false">IF(OR($E107="",$F107=""),"",MOD($F107-$E107,1)*24)</f>
        <v/>
      </c>
      <c r="M107" s="27" t="str">
        <f aca="false">IF($B107="","",IFERROR(INDEX(Properties!$D$5:$D$104,MATCH($B107,Properties!$A$5:$A$104,0)),"?"))</f>
        <v/>
      </c>
      <c r="N107" s="28" t="str">
        <f aca="false">IF($B107="","",IFERROR(IF($D107="Completed",INDEX(Properties!$I$5:$I$104,MATCH($B107,Properties!$A$5:$A$104,0))*(1+IF($G107="Y",Settings!$B$8,0))+IF($H107="Y",Settings!$B$7,0)+N($I107),IF($D107="Deep clean",INDEX(Settings!$E$22:$E$26,MATCH(MIN(INDEX(Properties!$E$5:$E$104,MATCH($B107,Properties!$A$5:$A$104,0)),4),Settings!$A$22:$A$26,0))+N($I107),IF($D107="Late cancel",INDEX(Properties!$I$5:$I$104,MATCH($B107,Properties!$A$5:$A$104,0))*Settings!$B$10,0))),0))</f>
        <v/>
      </c>
      <c r="O107" s="28" t="str">
        <f aca="false">IF($B107="","",IFERROR(IF($D107="Completed",INDEX(Properties!$L$5:$L$104,MATCH($B107,Properties!$A$5:$A$104,0))+IF($G107="Y",INDEX(Properties!$I$5:$I$104,MATCH($B107,Properties!$A$5:$A$104,0))*Settings!$B$8*Settings!$B$9,0)+IF($H107="Y",Settings!$B$7*Settings!$B$9,0)+N($I107)*Settings!$B$9,IF($D107="Deep clean",INDEX(Settings!$E$22:$E$26,MATCH(MIN(INDEX(Properties!$E$5:$E$104,MATCH($B107,Properties!$A$5:$A$104,0)),4),Settings!$A$22:$A$26,0))*Settings!$B$19+N($I107)*Settings!$B$9,IF($D107="Late cancel",INDEX(Properties!$L$5:$L$104,MATCH($B107,Properties!$A$5:$A$104,0))*Settings!$B$11,0))),0))</f>
        <v/>
      </c>
      <c r="P107" s="28" t="str">
        <f aca="false">IF($B107="","",$N107-$O107)</f>
        <v/>
      </c>
      <c r="Q107" s="29" t="str">
        <f aca="false">IF($A107="","",DATE(YEAR($A107),MONTH($A107),1))</f>
        <v/>
      </c>
      <c r="R107" s="30" t="str">
        <f aca="false">IF($A107="","",$A107+MOD(6-WEEKDAY($A107),7))</f>
        <v/>
      </c>
      <c r="S107" s="31" t="str">
        <f aca="false">IF($B107="","",IF(AND($M107='Invoice Builder'!$C$5,$Q107='Invoice Builder'!$C$6,N($N107)&gt;0),COUNTIFS($M$5:$M107,'Invoice Builder'!$C$5,$Q$5:$Q107,'Invoice Builder'!$C$6,$N$5:$N107,"&gt;0"),""))</f>
        <v/>
      </c>
      <c r="T107" s="27" t="str">
        <f aca="false">IF($A107="","",IF($A107&gt;=DATE(YEAR($A107),4,6),YEAR($A107)&amp;"/"&amp;RIGHT(YEAR($A107)+1,2),YEAR($A107)-1&amp;"/"&amp;RIGHT(YEAR($A107),2)))</f>
        <v/>
      </c>
    </row>
    <row r="108" customFormat="false" ht="15" hidden="false" customHeight="false" outlineLevel="0" collapsed="false">
      <c r="A108" s="22"/>
      <c r="B108" s="23"/>
      <c r="C108" s="23"/>
      <c r="D108" s="23"/>
      <c r="E108" s="24"/>
      <c r="F108" s="24"/>
      <c r="G108" s="23"/>
      <c r="H108" s="23"/>
      <c r="I108" s="25"/>
      <c r="J108" s="23"/>
      <c r="K108" s="23"/>
      <c r="L108" s="26" t="str">
        <f aca="false">IF(OR($E108="",$F108=""),"",MOD($F108-$E108,1)*24)</f>
        <v/>
      </c>
      <c r="M108" s="27" t="str">
        <f aca="false">IF($B108="","",IFERROR(INDEX(Properties!$D$5:$D$104,MATCH($B108,Properties!$A$5:$A$104,0)),"?"))</f>
        <v/>
      </c>
      <c r="N108" s="28" t="str">
        <f aca="false">IF($B108="","",IFERROR(IF($D108="Completed",INDEX(Properties!$I$5:$I$104,MATCH($B108,Properties!$A$5:$A$104,0))*(1+IF($G108="Y",Settings!$B$8,0))+IF($H108="Y",Settings!$B$7,0)+N($I108),IF($D108="Deep clean",INDEX(Settings!$E$22:$E$26,MATCH(MIN(INDEX(Properties!$E$5:$E$104,MATCH($B108,Properties!$A$5:$A$104,0)),4),Settings!$A$22:$A$26,0))+N($I108),IF($D108="Late cancel",INDEX(Properties!$I$5:$I$104,MATCH($B108,Properties!$A$5:$A$104,0))*Settings!$B$10,0))),0))</f>
        <v/>
      </c>
      <c r="O108" s="28" t="str">
        <f aca="false">IF($B108="","",IFERROR(IF($D108="Completed",INDEX(Properties!$L$5:$L$104,MATCH($B108,Properties!$A$5:$A$104,0))+IF($G108="Y",INDEX(Properties!$I$5:$I$104,MATCH($B108,Properties!$A$5:$A$104,0))*Settings!$B$8*Settings!$B$9,0)+IF($H108="Y",Settings!$B$7*Settings!$B$9,0)+N($I108)*Settings!$B$9,IF($D108="Deep clean",INDEX(Settings!$E$22:$E$26,MATCH(MIN(INDEX(Properties!$E$5:$E$104,MATCH($B108,Properties!$A$5:$A$104,0)),4),Settings!$A$22:$A$26,0))*Settings!$B$19+N($I108)*Settings!$B$9,IF($D108="Late cancel",INDEX(Properties!$L$5:$L$104,MATCH($B108,Properties!$A$5:$A$104,0))*Settings!$B$11,0))),0))</f>
        <v/>
      </c>
      <c r="P108" s="28" t="str">
        <f aca="false">IF($B108="","",$N108-$O108)</f>
        <v/>
      </c>
      <c r="Q108" s="29" t="str">
        <f aca="false">IF($A108="","",DATE(YEAR($A108),MONTH($A108),1))</f>
        <v/>
      </c>
      <c r="R108" s="30" t="str">
        <f aca="false">IF($A108="","",$A108+MOD(6-WEEKDAY($A108),7))</f>
        <v/>
      </c>
      <c r="S108" s="31" t="str">
        <f aca="false">IF($B108="","",IF(AND($M108='Invoice Builder'!$C$5,$Q108='Invoice Builder'!$C$6,N($N108)&gt;0),COUNTIFS($M$5:$M108,'Invoice Builder'!$C$5,$Q$5:$Q108,'Invoice Builder'!$C$6,$N$5:$N108,"&gt;0"),""))</f>
        <v/>
      </c>
      <c r="T108" s="27" t="str">
        <f aca="false">IF($A108="","",IF($A108&gt;=DATE(YEAR($A108),4,6),YEAR($A108)&amp;"/"&amp;RIGHT(YEAR($A108)+1,2),YEAR($A108)-1&amp;"/"&amp;RIGHT(YEAR($A108),2)))</f>
        <v/>
      </c>
    </row>
    <row r="109" customFormat="false" ht="15" hidden="false" customHeight="false" outlineLevel="0" collapsed="false">
      <c r="A109" s="22"/>
      <c r="B109" s="23"/>
      <c r="C109" s="23"/>
      <c r="D109" s="23"/>
      <c r="E109" s="24"/>
      <c r="F109" s="24"/>
      <c r="G109" s="23"/>
      <c r="H109" s="23"/>
      <c r="I109" s="25"/>
      <c r="J109" s="23"/>
      <c r="K109" s="23"/>
      <c r="L109" s="26" t="str">
        <f aca="false">IF(OR($E109="",$F109=""),"",MOD($F109-$E109,1)*24)</f>
        <v/>
      </c>
      <c r="M109" s="27" t="str">
        <f aca="false">IF($B109="","",IFERROR(INDEX(Properties!$D$5:$D$104,MATCH($B109,Properties!$A$5:$A$104,0)),"?"))</f>
        <v/>
      </c>
      <c r="N109" s="28" t="str">
        <f aca="false">IF($B109="","",IFERROR(IF($D109="Completed",INDEX(Properties!$I$5:$I$104,MATCH($B109,Properties!$A$5:$A$104,0))*(1+IF($G109="Y",Settings!$B$8,0))+IF($H109="Y",Settings!$B$7,0)+N($I109),IF($D109="Deep clean",INDEX(Settings!$E$22:$E$26,MATCH(MIN(INDEX(Properties!$E$5:$E$104,MATCH($B109,Properties!$A$5:$A$104,0)),4),Settings!$A$22:$A$26,0))+N($I109),IF($D109="Late cancel",INDEX(Properties!$I$5:$I$104,MATCH($B109,Properties!$A$5:$A$104,0))*Settings!$B$10,0))),0))</f>
        <v/>
      </c>
      <c r="O109" s="28" t="str">
        <f aca="false">IF($B109="","",IFERROR(IF($D109="Completed",INDEX(Properties!$L$5:$L$104,MATCH($B109,Properties!$A$5:$A$104,0))+IF($G109="Y",INDEX(Properties!$I$5:$I$104,MATCH($B109,Properties!$A$5:$A$104,0))*Settings!$B$8*Settings!$B$9,0)+IF($H109="Y",Settings!$B$7*Settings!$B$9,0)+N($I109)*Settings!$B$9,IF($D109="Deep clean",INDEX(Settings!$E$22:$E$26,MATCH(MIN(INDEX(Properties!$E$5:$E$104,MATCH($B109,Properties!$A$5:$A$104,0)),4),Settings!$A$22:$A$26,0))*Settings!$B$19+N($I109)*Settings!$B$9,IF($D109="Late cancel",INDEX(Properties!$L$5:$L$104,MATCH($B109,Properties!$A$5:$A$104,0))*Settings!$B$11,0))),0))</f>
        <v/>
      </c>
      <c r="P109" s="28" t="str">
        <f aca="false">IF($B109="","",$N109-$O109)</f>
        <v/>
      </c>
      <c r="Q109" s="29" t="str">
        <f aca="false">IF($A109="","",DATE(YEAR($A109),MONTH($A109),1))</f>
        <v/>
      </c>
      <c r="R109" s="30" t="str">
        <f aca="false">IF($A109="","",$A109+MOD(6-WEEKDAY($A109),7))</f>
        <v/>
      </c>
      <c r="S109" s="31" t="str">
        <f aca="false">IF($B109="","",IF(AND($M109='Invoice Builder'!$C$5,$Q109='Invoice Builder'!$C$6,N($N109)&gt;0),COUNTIFS($M$5:$M109,'Invoice Builder'!$C$5,$Q$5:$Q109,'Invoice Builder'!$C$6,$N$5:$N109,"&gt;0"),""))</f>
        <v/>
      </c>
      <c r="T109" s="27" t="str">
        <f aca="false">IF($A109="","",IF($A109&gt;=DATE(YEAR($A109),4,6),YEAR($A109)&amp;"/"&amp;RIGHT(YEAR($A109)+1,2),YEAR($A109)-1&amp;"/"&amp;RIGHT(YEAR($A109),2)))</f>
        <v/>
      </c>
    </row>
    <row r="110" customFormat="false" ht="15" hidden="false" customHeight="false" outlineLevel="0" collapsed="false">
      <c r="A110" s="22"/>
      <c r="B110" s="23"/>
      <c r="C110" s="23"/>
      <c r="D110" s="23"/>
      <c r="E110" s="24"/>
      <c r="F110" s="24"/>
      <c r="G110" s="23"/>
      <c r="H110" s="23"/>
      <c r="I110" s="25"/>
      <c r="J110" s="23"/>
      <c r="K110" s="23"/>
      <c r="L110" s="26" t="str">
        <f aca="false">IF(OR($E110="",$F110=""),"",MOD($F110-$E110,1)*24)</f>
        <v/>
      </c>
      <c r="M110" s="27" t="str">
        <f aca="false">IF($B110="","",IFERROR(INDEX(Properties!$D$5:$D$104,MATCH($B110,Properties!$A$5:$A$104,0)),"?"))</f>
        <v/>
      </c>
      <c r="N110" s="28" t="str">
        <f aca="false">IF($B110="","",IFERROR(IF($D110="Completed",INDEX(Properties!$I$5:$I$104,MATCH($B110,Properties!$A$5:$A$104,0))*(1+IF($G110="Y",Settings!$B$8,0))+IF($H110="Y",Settings!$B$7,0)+N($I110),IF($D110="Deep clean",INDEX(Settings!$E$22:$E$26,MATCH(MIN(INDEX(Properties!$E$5:$E$104,MATCH($B110,Properties!$A$5:$A$104,0)),4),Settings!$A$22:$A$26,0))+N($I110),IF($D110="Late cancel",INDEX(Properties!$I$5:$I$104,MATCH($B110,Properties!$A$5:$A$104,0))*Settings!$B$10,0))),0))</f>
        <v/>
      </c>
      <c r="O110" s="28" t="str">
        <f aca="false">IF($B110="","",IFERROR(IF($D110="Completed",INDEX(Properties!$L$5:$L$104,MATCH($B110,Properties!$A$5:$A$104,0))+IF($G110="Y",INDEX(Properties!$I$5:$I$104,MATCH($B110,Properties!$A$5:$A$104,0))*Settings!$B$8*Settings!$B$9,0)+IF($H110="Y",Settings!$B$7*Settings!$B$9,0)+N($I110)*Settings!$B$9,IF($D110="Deep clean",INDEX(Settings!$E$22:$E$26,MATCH(MIN(INDEX(Properties!$E$5:$E$104,MATCH($B110,Properties!$A$5:$A$104,0)),4),Settings!$A$22:$A$26,0))*Settings!$B$19+N($I110)*Settings!$B$9,IF($D110="Late cancel",INDEX(Properties!$L$5:$L$104,MATCH($B110,Properties!$A$5:$A$104,0))*Settings!$B$11,0))),0))</f>
        <v/>
      </c>
      <c r="P110" s="28" t="str">
        <f aca="false">IF($B110="","",$N110-$O110)</f>
        <v/>
      </c>
      <c r="Q110" s="29" t="str">
        <f aca="false">IF($A110="","",DATE(YEAR($A110),MONTH($A110),1))</f>
        <v/>
      </c>
      <c r="R110" s="30" t="str">
        <f aca="false">IF($A110="","",$A110+MOD(6-WEEKDAY($A110),7))</f>
        <v/>
      </c>
      <c r="S110" s="31" t="str">
        <f aca="false">IF($B110="","",IF(AND($M110='Invoice Builder'!$C$5,$Q110='Invoice Builder'!$C$6,N($N110)&gt;0),COUNTIFS($M$5:$M110,'Invoice Builder'!$C$5,$Q$5:$Q110,'Invoice Builder'!$C$6,$N$5:$N110,"&gt;0"),""))</f>
        <v/>
      </c>
      <c r="T110" s="27" t="str">
        <f aca="false">IF($A110="","",IF($A110&gt;=DATE(YEAR($A110),4,6),YEAR($A110)&amp;"/"&amp;RIGHT(YEAR($A110)+1,2),YEAR($A110)-1&amp;"/"&amp;RIGHT(YEAR($A110),2)))</f>
        <v/>
      </c>
    </row>
    <row r="111" customFormat="false" ht="15" hidden="false" customHeight="false" outlineLevel="0" collapsed="false">
      <c r="A111" s="22"/>
      <c r="B111" s="23"/>
      <c r="C111" s="23"/>
      <c r="D111" s="23"/>
      <c r="E111" s="24"/>
      <c r="F111" s="24"/>
      <c r="G111" s="23"/>
      <c r="H111" s="23"/>
      <c r="I111" s="25"/>
      <c r="J111" s="23"/>
      <c r="K111" s="23"/>
      <c r="L111" s="26" t="str">
        <f aca="false">IF(OR($E111="",$F111=""),"",MOD($F111-$E111,1)*24)</f>
        <v/>
      </c>
      <c r="M111" s="27" t="str">
        <f aca="false">IF($B111="","",IFERROR(INDEX(Properties!$D$5:$D$104,MATCH($B111,Properties!$A$5:$A$104,0)),"?"))</f>
        <v/>
      </c>
      <c r="N111" s="28" t="str">
        <f aca="false">IF($B111="","",IFERROR(IF($D111="Completed",INDEX(Properties!$I$5:$I$104,MATCH($B111,Properties!$A$5:$A$104,0))*(1+IF($G111="Y",Settings!$B$8,0))+IF($H111="Y",Settings!$B$7,0)+N($I111),IF($D111="Deep clean",INDEX(Settings!$E$22:$E$26,MATCH(MIN(INDEX(Properties!$E$5:$E$104,MATCH($B111,Properties!$A$5:$A$104,0)),4),Settings!$A$22:$A$26,0))+N($I111),IF($D111="Late cancel",INDEX(Properties!$I$5:$I$104,MATCH($B111,Properties!$A$5:$A$104,0))*Settings!$B$10,0))),0))</f>
        <v/>
      </c>
      <c r="O111" s="28" t="str">
        <f aca="false">IF($B111="","",IFERROR(IF($D111="Completed",INDEX(Properties!$L$5:$L$104,MATCH($B111,Properties!$A$5:$A$104,0))+IF($G111="Y",INDEX(Properties!$I$5:$I$104,MATCH($B111,Properties!$A$5:$A$104,0))*Settings!$B$8*Settings!$B$9,0)+IF($H111="Y",Settings!$B$7*Settings!$B$9,0)+N($I111)*Settings!$B$9,IF($D111="Deep clean",INDEX(Settings!$E$22:$E$26,MATCH(MIN(INDEX(Properties!$E$5:$E$104,MATCH($B111,Properties!$A$5:$A$104,0)),4),Settings!$A$22:$A$26,0))*Settings!$B$19+N($I111)*Settings!$B$9,IF($D111="Late cancel",INDEX(Properties!$L$5:$L$104,MATCH($B111,Properties!$A$5:$A$104,0))*Settings!$B$11,0))),0))</f>
        <v/>
      </c>
      <c r="P111" s="28" t="str">
        <f aca="false">IF($B111="","",$N111-$O111)</f>
        <v/>
      </c>
      <c r="Q111" s="29" t="str">
        <f aca="false">IF($A111="","",DATE(YEAR($A111),MONTH($A111),1))</f>
        <v/>
      </c>
      <c r="R111" s="30" t="str">
        <f aca="false">IF($A111="","",$A111+MOD(6-WEEKDAY($A111),7))</f>
        <v/>
      </c>
      <c r="S111" s="31" t="str">
        <f aca="false">IF($B111="","",IF(AND($M111='Invoice Builder'!$C$5,$Q111='Invoice Builder'!$C$6,N($N111)&gt;0),COUNTIFS($M$5:$M111,'Invoice Builder'!$C$5,$Q$5:$Q111,'Invoice Builder'!$C$6,$N$5:$N111,"&gt;0"),""))</f>
        <v/>
      </c>
      <c r="T111" s="27" t="str">
        <f aca="false">IF($A111="","",IF($A111&gt;=DATE(YEAR($A111),4,6),YEAR($A111)&amp;"/"&amp;RIGHT(YEAR($A111)+1,2),YEAR($A111)-1&amp;"/"&amp;RIGHT(YEAR($A111),2)))</f>
        <v/>
      </c>
    </row>
    <row r="112" customFormat="false" ht="15" hidden="false" customHeight="false" outlineLevel="0" collapsed="false">
      <c r="A112" s="22"/>
      <c r="B112" s="23"/>
      <c r="C112" s="23"/>
      <c r="D112" s="23"/>
      <c r="E112" s="24"/>
      <c r="F112" s="24"/>
      <c r="G112" s="23"/>
      <c r="H112" s="23"/>
      <c r="I112" s="25"/>
      <c r="J112" s="23"/>
      <c r="K112" s="23"/>
      <c r="L112" s="26" t="str">
        <f aca="false">IF(OR($E112="",$F112=""),"",MOD($F112-$E112,1)*24)</f>
        <v/>
      </c>
      <c r="M112" s="27" t="str">
        <f aca="false">IF($B112="","",IFERROR(INDEX(Properties!$D$5:$D$104,MATCH($B112,Properties!$A$5:$A$104,0)),"?"))</f>
        <v/>
      </c>
      <c r="N112" s="28" t="str">
        <f aca="false">IF($B112="","",IFERROR(IF($D112="Completed",INDEX(Properties!$I$5:$I$104,MATCH($B112,Properties!$A$5:$A$104,0))*(1+IF($G112="Y",Settings!$B$8,0))+IF($H112="Y",Settings!$B$7,0)+N($I112),IF($D112="Deep clean",INDEX(Settings!$E$22:$E$26,MATCH(MIN(INDEX(Properties!$E$5:$E$104,MATCH($B112,Properties!$A$5:$A$104,0)),4),Settings!$A$22:$A$26,0))+N($I112),IF($D112="Late cancel",INDEX(Properties!$I$5:$I$104,MATCH($B112,Properties!$A$5:$A$104,0))*Settings!$B$10,0))),0))</f>
        <v/>
      </c>
      <c r="O112" s="28" t="str">
        <f aca="false">IF($B112="","",IFERROR(IF($D112="Completed",INDEX(Properties!$L$5:$L$104,MATCH($B112,Properties!$A$5:$A$104,0))+IF($G112="Y",INDEX(Properties!$I$5:$I$104,MATCH($B112,Properties!$A$5:$A$104,0))*Settings!$B$8*Settings!$B$9,0)+IF($H112="Y",Settings!$B$7*Settings!$B$9,0)+N($I112)*Settings!$B$9,IF($D112="Deep clean",INDEX(Settings!$E$22:$E$26,MATCH(MIN(INDEX(Properties!$E$5:$E$104,MATCH($B112,Properties!$A$5:$A$104,0)),4),Settings!$A$22:$A$26,0))*Settings!$B$19+N($I112)*Settings!$B$9,IF($D112="Late cancel",INDEX(Properties!$L$5:$L$104,MATCH($B112,Properties!$A$5:$A$104,0))*Settings!$B$11,0))),0))</f>
        <v/>
      </c>
      <c r="P112" s="28" t="str">
        <f aca="false">IF($B112="","",$N112-$O112)</f>
        <v/>
      </c>
      <c r="Q112" s="29" t="str">
        <f aca="false">IF($A112="","",DATE(YEAR($A112),MONTH($A112),1))</f>
        <v/>
      </c>
      <c r="R112" s="30" t="str">
        <f aca="false">IF($A112="","",$A112+MOD(6-WEEKDAY($A112),7))</f>
        <v/>
      </c>
      <c r="S112" s="31" t="str">
        <f aca="false">IF($B112="","",IF(AND($M112='Invoice Builder'!$C$5,$Q112='Invoice Builder'!$C$6,N($N112)&gt;0),COUNTIFS($M$5:$M112,'Invoice Builder'!$C$5,$Q$5:$Q112,'Invoice Builder'!$C$6,$N$5:$N112,"&gt;0"),""))</f>
        <v/>
      </c>
      <c r="T112" s="27" t="str">
        <f aca="false">IF($A112="","",IF($A112&gt;=DATE(YEAR($A112),4,6),YEAR($A112)&amp;"/"&amp;RIGHT(YEAR($A112)+1,2),YEAR($A112)-1&amp;"/"&amp;RIGHT(YEAR($A112),2)))</f>
        <v/>
      </c>
    </row>
    <row r="113" customFormat="false" ht="15" hidden="false" customHeight="false" outlineLevel="0" collapsed="false">
      <c r="A113" s="22"/>
      <c r="B113" s="23"/>
      <c r="C113" s="23"/>
      <c r="D113" s="23"/>
      <c r="E113" s="24"/>
      <c r="F113" s="24"/>
      <c r="G113" s="23"/>
      <c r="H113" s="23"/>
      <c r="I113" s="25"/>
      <c r="J113" s="23"/>
      <c r="K113" s="23"/>
      <c r="L113" s="26" t="str">
        <f aca="false">IF(OR($E113="",$F113=""),"",MOD($F113-$E113,1)*24)</f>
        <v/>
      </c>
      <c r="M113" s="27" t="str">
        <f aca="false">IF($B113="","",IFERROR(INDEX(Properties!$D$5:$D$104,MATCH($B113,Properties!$A$5:$A$104,0)),"?"))</f>
        <v/>
      </c>
      <c r="N113" s="28" t="str">
        <f aca="false">IF($B113="","",IFERROR(IF($D113="Completed",INDEX(Properties!$I$5:$I$104,MATCH($B113,Properties!$A$5:$A$104,0))*(1+IF($G113="Y",Settings!$B$8,0))+IF($H113="Y",Settings!$B$7,0)+N($I113),IF($D113="Deep clean",INDEX(Settings!$E$22:$E$26,MATCH(MIN(INDEX(Properties!$E$5:$E$104,MATCH($B113,Properties!$A$5:$A$104,0)),4),Settings!$A$22:$A$26,0))+N($I113),IF($D113="Late cancel",INDEX(Properties!$I$5:$I$104,MATCH($B113,Properties!$A$5:$A$104,0))*Settings!$B$10,0))),0))</f>
        <v/>
      </c>
      <c r="O113" s="28" t="str">
        <f aca="false">IF($B113="","",IFERROR(IF($D113="Completed",INDEX(Properties!$L$5:$L$104,MATCH($B113,Properties!$A$5:$A$104,0))+IF($G113="Y",INDEX(Properties!$I$5:$I$104,MATCH($B113,Properties!$A$5:$A$104,0))*Settings!$B$8*Settings!$B$9,0)+IF($H113="Y",Settings!$B$7*Settings!$B$9,0)+N($I113)*Settings!$B$9,IF($D113="Deep clean",INDEX(Settings!$E$22:$E$26,MATCH(MIN(INDEX(Properties!$E$5:$E$104,MATCH($B113,Properties!$A$5:$A$104,0)),4),Settings!$A$22:$A$26,0))*Settings!$B$19+N($I113)*Settings!$B$9,IF($D113="Late cancel",INDEX(Properties!$L$5:$L$104,MATCH($B113,Properties!$A$5:$A$104,0))*Settings!$B$11,0))),0))</f>
        <v/>
      </c>
      <c r="P113" s="28" t="str">
        <f aca="false">IF($B113="","",$N113-$O113)</f>
        <v/>
      </c>
      <c r="Q113" s="29" t="str">
        <f aca="false">IF($A113="","",DATE(YEAR($A113),MONTH($A113),1))</f>
        <v/>
      </c>
      <c r="R113" s="30" t="str">
        <f aca="false">IF($A113="","",$A113+MOD(6-WEEKDAY($A113),7))</f>
        <v/>
      </c>
      <c r="S113" s="31" t="str">
        <f aca="false">IF($B113="","",IF(AND($M113='Invoice Builder'!$C$5,$Q113='Invoice Builder'!$C$6,N($N113)&gt;0),COUNTIFS($M$5:$M113,'Invoice Builder'!$C$5,$Q$5:$Q113,'Invoice Builder'!$C$6,$N$5:$N113,"&gt;0"),""))</f>
        <v/>
      </c>
      <c r="T113" s="27" t="str">
        <f aca="false">IF($A113="","",IF($A113&gt;=DATE(YEAR($A113),4,6),YEAR($A113)&amp;"/"&amp;RIGHT(YEAR($A113)+1,2),YEAR($A113)-1&amp;"/"&amp;RIGHT(YEAR($A113),2)))</f>
        <v/>
      </c>
    </row>
    <row r="114" customFormat="false" ht="15" hidden="false" customHeight="false" outlineLevel="0" collapsed="false">
      <c r="A114" s="22"/>
      <c r="B114" s="23"/>
      <c r="C114" s="23"/>
      <c r="D114" s="23"/>
      <c r="E114" s="24"/>
      <c r="F114" s="24"/>
      <c r="G114" s="23"/>
      <c r="H114" s="23"/>
      <c r="I114" s="25"/>
      <c r="J114" s="23"/>
      <c r="K114" s="23"/>
      <c r="L114" s="26" t="str">
        <f aca="false">IF(OR($E114="",$F114=""),"",MOD($F114-$E114,1)*24)</f>
        <v/>
      </c>
      <c r="M114" s="27" t="str">
        <f aca="false">IF($B114="","",IFERROR(INDEX(Properties!$D$5:$D$104,MATCH($B114,Properties!$A$5:$A$104,0)),"?"))</f>
        <v/>
      </c>
      <c r="N114" s="28" t="str">
        <f aca="false">IF($B114="","",IFERROR(IF($D114="Completed",INDEX(Properties!$I$5:$I$104,MATCH($B114,Properties!$A$5:$A$104,0))*(1+IF($G114="Y",Settings!$B$8,0))+IF($H114="Y",Settings!$B$7,0)+N($I114),IF($D114="Deep clean",INDEX(Settings!$E$22:$E$26,MATCH(MIN(INDEX(Properties!$E$5:$E$104,MATCH($B114,Properties!$A$5:$A$104,0)),4),Settings!$A$22:$A$26,0))+N($I114),IF($D114="Late cancel",INDEX(Properties!$I$5:$I$104,MATCH($B114,Properties!$A$5:$A$104,0))*Settings!$B$10,0))),0))</f>
        <v/>
      </c>
      <c r="O114" s="28" t="str">
        <f aca="false">IF($B114="","",IFERROR(IF($D114="Completed",INDEX(Properties!$L$5:$L$104,MATCH($B114,Properties!$A$5:$A$104,0))+IF($G114="Y",INDEX(Properties!$I$5:$I$104,MATCH($B114,Properties!$A$5:$A$104,0))*Settings!$B$8*Settings!$B$9,0)+IF($H114="Y",Settings!$B$7*Settings!$B$9,0)+N($I114)*Settings!$B$9,IF($D114="Deep clean",INDEX(Settings!$E$22:$E$26,MATCH(MIN(INDEX(Properties!$E$5:$E$104,MATCH($B114,Properties!$A$5:$A$104,0)),4),Settings!$A$22:$A$26,0))*Settings!$B$19+N($I114)*Settings!$B$9,IF($D114="Late cancel",INDEX(Properties!$L$5:$L$104,MATCH($B114,Properties!$A$5:$A$104,0))*Settings!$B$11,0))),0))</f>
        <v/>
      </c>
      <c r="P114" s="28" t="str">
        <f aca="false">IF($B114="","",$N114-$O114)</f>
        <v/>
      </c>
      <c r="Q114" s="29" t="str">
        <f aca="false">IF($A114="","",DATE(YEAR($A114),MONTH($A114),1))</f>
        <v/>
      </c>
      <c r="R114" s="30" t="str">
        <f aca="false">IF($A114="","",$A114+MOD(6-WEEKDAY($A114),7))</f>
        <v/>
      </c>
      <c r="S114" s="31" t="str">
        <f aca="false">IF($B114="","",IF(AND($M114='Invoice Builder'!$C$5,$Q114='Invoice Builder'!$C$6,N($N114)&gt;0),COUNTIFS($M$5:$M114,'Invoice Builder'!$C$5,$Q$5:$Q114,'Invoice Builder'!$C$6,$N$5:$N114,"&gt;0"),""))</f>
        <v/>
      </c>
      <c r="T114" s="27" t="str">
        <f aca="false">IF($A114="","",IF($A114&gt;=DATE(YEAR($A114),4,6),YEAR($A114)&amp;"/"&amp;RIGHT(YEAR($A114)+1,2),YEAR($A114)-1&amp;"/"&amp;RIGHT(YEAR($A114),2)))</f>
        <v/>
      </c>
    </row>
    <row r="115" customFormat="false" ht="15" hidden="false" customHeight="false" outlineLevel="0" collapsed="false">
      <c r="A115" s="22"/>
      <c r="B115" s="23"/>
      <c r="C115" s="23"/>
      <c r="D115" s="23"/>
      <c r="E115" s="24"/>
      <c r="F115" s="24"/>
      <c r="G115" s="23"/>
      <c r="H115" s="23"/>
      <c r="I115" s="25"/>
      <c r="J115" s="23"/>
      <c r="K115" s="23"/>
      <c r="L115" s="26" t="str">
        <f aca="false">IF(OR($E115="",$F115=""),"",MOD($F115-$E115,1)*24)</f>
        <v/>
      </c>
      <c r="M115" s="27" t="str">
        <f aca="false">IF($B115="","",IFERROR(INDEX(Properties!$D$5:$D$104,MATCH($B115,Properties!$A$5:$A$104,0)),"?"))</f>
        <v/>
      </c>
      <c r="N115" s="28" t="str">
        <f aca="false">IF($B115="","",IFERROR(IF($D115="Completed",INDEX(Properties!$I$5:$I$104,MATCH($B115,Properties!$A$5:$A$104,0))*(1+IF($G115="Y",Settings!$B$8,0))+IF($H115="Y",Settings!$B$7,0)+N($I115),IF($D115="Deep clean",INDEX(Settings!$E$22:$E$26,MATCH(MIN(INDEX(Properties!$E$5:$E$104,MATCH($B115,Properties!$A$5:$A$104,0)),4),Settings!$A$22:$A$26,0))+N($I115),IF($D115="Late cancel",INDEX(Properties!$I$5:$I$104,MATCH($B115,Properties!$A$5:$A$104,0))*Settings!$B$10,0))),0))</f>
        <v/>
      </c>
      <c r="O115" s="28" t="str">
        <f aca="false">IF($B115="","",IFERROR(IF($D115="Completed",INDEX(Properties!$L$5:$L$104,MATCH($B115,Properties!$A$5:$A$104,0))+IF($G115="Y",INDEX(Properties!$I$5:$I$104,MATCH($B115,Properties!$A$5:$A$104,0))*Settings!$B$8*Settings!$B$9,0)+IF($H115="Y",Settings!$B$7*Settings!$B$9,0)+N($I115)*Settings!$B$9,IF($D115="Deep clean",INDEX(Settings!$E$22:$E$26,MATCH(MIN(INDEX(Properties!$E$5:$E$104,MATCH($B115,Properties!$A$5:$A$104,0)),4),Settings!$A$22:$A$26,0))*Settings!$B$19+N($I115)*Settings!$B$9,IF($D115="Late cancel",INDEX(Properties!$L$5:$L$104,MATCH($B115,Properties!$A$5:$A$104,0))*Settings!$B$11,0))),0))</f>
        <v/>
      </c>
      <c r="P115" s="28" t="str">
        <f aca="false">IF($B115="","",$N115-$O115)</f>
        <v/>
      </c>
      <c r="Q115" s="29" t="str">
        <f aca="false">IF($A115="","",DATE(YEAR($A115),MONTH($A115),1))</f>
        <v/>
      </c>
      <c r="R115" s="30" t="str">
        <f aca="false">IF($A115="","",$A115+MOD(6-WEEKDAY($A115),7))</f>
        <v/>
      </c>
      <c r="S115" s="31" t="str">
        <f aca="false">IF($B115="","",IF(AND($M115='Invoice Builder'!$C$5,$Q115='Invoice Builder'!$C$6,N($N115)&gt;0),COUNTIFS($M$5:$M115,'Invoice Builder'!$C$5,$Q$5:$Q115,'Invoice Builder'!$C$6,$N$5:$N115,"&gt;0"),""))</f>
        <v/>
      </c>
      <c r="T115" s="27" t="str">
        <f aca="false">IF($A115="","",IF($A115&gt;=DATE(YEAR($A115),4,6),YEAR($A115)&amp;"/"&amp;RIGHT(YEAR($A115)+1,2),YEAR($A115)-1&amp;"/"&amp;RIGHT(YEAR($A115),2)))</f>
        <v/>
      </c>
    </row>
    <row r="116" customFormat="false" ht="15" hidden="false" customHeight="false" outlineLevel="0" collapsed="false">
      <c r="A116" s="22"/>
      <c r="B116" s="23"/>
      <c r="C116" s="23"/>
      <c r="D116" s="23"/>
      <c r="E116" s="24"/>
      <c r="F116" s="24"/>
      <c r="G116" s="23"/>
      <c r="H116" s="23"/>
      <c r="I116" s="25"/>
      <c r="J116" s="23"/>
      <c r="K116" s="23"/>
      <c r="L116" s="26" t="str">
        <f aca="false">IF(OR($E116="",$F116=""),"",MOD($F116-$E116,1)*24)</f>
        <v/>
      </c>
      <c r="M116" s="27" t="str">
        <f aca="false">IF($B116="","",IFERROR(INDEX(Properties!$D$5:$D$104,MATCH($B116,Properties!$A$5:$A$104,0)),"?"))</f>
        <v/>
      </c>
      <c r="N116" s="28" t="str">
        <f aca="false">IF($B116="","",IFERROR(IF($D116="Completed",INDEX(Properties!$I$5:$I$104,MATCH($B116,Properties!$A$5:$A$104,0))*(1+IF($G116="Y",Settings!$B$8,0))+IF($H116="Y",Settings!$B$7,0)+N($I116),IF($D116="Deep clean",INDEX(Settings!$E$22:$E$26,MATCH(MIN(INDEX(Properties!$E$5:$E$104,MATCH($B116,Properties!$A$5:$A$104,0)),4),Settings!$A$22:$A$26,0))+N($I116),IF($D116="Late cancel",INDEX(Properties!$I$5:$I$104,MATCH($B116,Properties!$A$5:$A$104,0))*Settings!$B$10,0))),0))</f>
        <v/>
      </c>
      <c r="O116" s="28" t="str">
        <f aca="false">IF($B116="","",IFERROR(IF($D116="Completed",INDEX(Properties!$L$5:$L$104,MATCH($B116,Properties!$A$5:$A$104,0))+IF($G116="Y",INDEX(Properties!$I$5:$I$104,MATCH($B116,Properties!$A$5:$A$104,0))*Settings!$B$8*Settings!$B$9,0)+IF($H116="Y",Settings!$B$7*Settings!$B$9,0)+N($I116)*Settings!$B$9,IF($D116="Deep clean",INDEX(Settings!$E$22:$E$26,MATCH(MIN(INDEX(Properties!$E$5:$E$104,MATCH($B116,Properties!$A$5:$A$104,0)),4),Settings!$A$22:$A$26,0))*Settings!$B$19+N($I116)*Settings!$B$9,IF($D116="Late cancel",INDEX(Properties!$L$5:$L$104,MATCH($B116,Properties!$A$5:$A$104,0))*Settings!$B$11,0))),0))</f>
        <v/>
      </c>
      <c r="P116" s="28" t="str">
        <f aca="false">IF($B116="","",$N116-$O116)</f>
        <v/>
      </c>
      <c r="Q116" s="29" t="str">
        <f aca="false">IF($A116="","",DATE(YEAR($A116),MONTH($A116),1))</f>
        <v/>
      </c>
      <c r="R116" s="30" t="str">
        <f aca="false">IF($A116="","",$A116+MOD(6-WEEKDAY($A116),7))</f>
        <v/>
      </c>
      <c r="S116" s="31" t="str">
        <f aca="false">IF($B116="","",IF(AND($M116='Invoice Builder'!$C$5,$Q116='Invoice Builder'!$C$6,N($N116)&gt;0),COUNTIFS($M$5:$M116,'Invoice Builder'!$C$5,$Q$5:$Q116,'Invoice Builder'!$C$6,$N$5:$N116,"&gt;0"),""))</f>
        <v/>
      </c>
      <c r="T116" s="27" t="str">
        <f aca="false">IF($A116="","",IF($A116&gt;=DATE(YEAR($A116),4,6),YEAR($A116)&amp;"/"&amp;RIGHT(YEAR($A116)+1,2),YEAR($A116)-1&amp;"/"&amp;RIGHT(YEAR($A116),2)))</f>
        <v/>
      </c>
    </row>
    <row r="117" customFormat="false" ht="15" hidden="false" customHeight="false" outlineLevel="0" collapsed="false">
      <c r="A117" s="22"/>
      <c r="B117" s="23"/>
      <c r="C117" s="23"/>
      <c r="D117" s="23"/>
      <c r="E117" s="24"/>
      <c r="F117" s="24"/>
      <c r="G117" s="23"/>
      <c r="H117" s="23"/>
      <c r="I117" s="25"/>
      <c r="J117" s="23"/>
      <c r="K117" s="23"/>
      <c r="L117" s="26" t="str">
        <f aca="false">IF(OR($E117="",$F117=""),"",MOD($F117-$E117,1)*24)</f>
        <v/>
      </c>
      <c r="M117" s="27" t="str">
        <f aca="false">IF($B117="","",IFERROR(INDEX(Properties!$D$5:$D$104,MATCH($B117,Properties!$A$5:$A$104,0)),"?"))</f>
        <v/>
      </c>
      <c r="N117" s="28" t="str">
        <f aca="false">IF($B117="","",IFERROR(IF($D117="Completed",INDEX(Properties!$I$5:$I$104,MATCH($B117,Properties!$A$5:$A$104,0))*(1+IF($G117="Y",Settings!$B$8,0))+IF($H117="Y",Settings!$B$7,0)+N($I117),IF($D117="Deep clean",INDEX(Settings!$E$22:$E$26,MATCH(MIN(INDEX(Properties!$E$5:$E$104,MATCH($B117,Properties!$A$5:$A$104,0)),4),Settings!$A$22:$A$26,0))+N($I117),IF($D117="Late cancel",INDEX(Properties!$I$5:$I$104,MATCH($B117,Properties!$A$5:$A$104,0))*Settings!$B$10,0))),0))</f>
        <v/>
      </c>
      <c r="O117" s="28" t="str">
        <f aca="false">IF($B117="","",IFERROR(IF($D117="Completed",INDEX(Properties!$L$5:$L$104,MATCH($B117,Properties!$A$5:$A$104,0))+IF($G117="Y",INDEX(Properties!$I$5:$I$104,MATCH($B117,Properties!$A$5:$A$104,0))*Settings!$B$8*Settings!$B$9,0)+IF($H117="Y",Settings!$B$7*Settings!$B$9,0)+N($I117)*Settings!$B$9,IF($D117="Deep clean",INDEX(Settings!$E$22:$E$26,MATCH(MIN(INDEX(Properties!$E$5:$E$104,MATCH($B117,Properties!$A$5:$A$104,0)),4),Settings!$A$22:$A$26,0))*Settings!$B$19+N($I117)*Settings!$B$9,IF($D117="Late cancel",INDEX(Properties!$L$5:$L$104,MATCH($B117,Properties!$A$5:$A$104,0))*Settings!$B$11,0))),0))</f>
        <v/>
      </c>
      <c r="P117" s="28" t="str">
        <f aca="false">IF($B117="","",$N117-$O117)</f>
        <v/>
      </c>
      <c r="Q117" s="29" t="str">
        <f aca="false">IF($A117="","",DATE(YEAR($A117),MONTH($A117),1))</f>
        <v/>
      </c>
      <c r="R117" s="30" t="str">
        <f aca="false">IF($A117="","",$A117+MOD(6-WEEKDAY($A117),7))</f>
        <v/>
      </c>
      <c r="S117" s="31" t="str">
        <f aca="false">IF($B117="","",IF(AND($M117='Invoice Builder'!$C$5,$Q117='Invoice Builder'!$C$6,N($N117)&gt;0),COUNTIFS($M$5:$M117,'Invoice Builder'!$C$5,$Q$5:$Q117,'Invoice Builder'!$C$6,$N$5:$N117,"&gt;0"),""))</f>
        <v/>
      </c>
      <c r="T117" s="27" t="str">
        <f aca="false">IF($A117="","",IF($A117&gt;=DATE(YEAR($A117),4,6),YEAR($A117)&amp;"/"&amp;RIGHT(YEAR($A117)+1,2),YEAR($A117)-1&amp;"/"&amp;RIGHT(YEAR($A117),2)))</f>
        <v/>
      </c>
    </row>
    <row r="118" customFormat="false" ht="15" hidden="false" customHeight="false" outlineLevel="0" collapsed="false">
      <c r="A118" s="22"/>
      <c r="B118" s="23"/>
      <c r="C118" s="23"/>
      <c r="D118" s="23"/>
      <c r="E118" s="24"/>
      <c r="F118" s="24"/>
      <c r="G118" s="23"/>
      <c r="H118" s="23"/>
      <c r="I118" s="25"/>
      <c r="J118" s="23"/>
      <c r="K118" s="23"/>
      <c r="L118" s="26" t="str">
        <f aca="false">IF(OR($E118="",$F118=""),"",MOD($F118-$E118,1)*24)</f>
        <v/>
      </c>
      <c r="M118" s="27" t="str">
        <f aca="false">IF($B118="","",IFERROR(INDEX(Properties!$D$5:$D$104,MATCH($B118,Properties!$A$5:$A$104,0)),"?"))</f>
        <v/>
      </c>
      <c r="N118" s="28" t="str">
        <f aca="false">IF($B118="","",IFERROR(IF($D118="Completed",INDEX(Properties!$I$5:$I$104,MATCH($B118,Properties!$A$5:$A$104,0))*(1+IF($G118="Y",Settings!$B$8,0))+IF($H118="Y",Settings!$B$7,0)+N($I118),IF($D118="Deep clean",INDEX(Settings!$E$22:$E$26,MATCH(MIN(INDEX(Properties!$E$5:$E$104,MATCH($B118,Properties!$A$5:$A$104,0)),4),Settings!$A$22:$A$26,0))+N($I118),IF($D118="Late cancel",INDEX(Properties!$I$5:$I$104,MATCH($B118,Properties!$A$5:$A$104,0))*Settings!$B$10,0))),0))</f>
        <v/>
      </c>
      <c r="O118" s="28" t="str">
        <f aca="false">IF($B118="","",IFERROR(IF($D118="Completed",INDEX(Properties!$L$5:$L$104,MATCH($B118,Properties!$A$5:$A$104,0))+IF($G118="Y",INDEX(Properties!$I$5:$I$104,MATCH($B118,Properties!$A$5:$A$104,0))*Settings!$B$8*Settings!$B$9,0)+IF($H118="Y",Settings!$B$7*Settings!$B$9,0)+N($I118)*Settings!$B$9,IF($D118="Deep clean",INDEX(Settings!$E$22:$E$26,MATCH(MIN(INDEX(Properties!$E$5:$E$104,MATCH($B118,Properties!$A$5:$A$104,0)),4),Settings!$A$22:$A$26,0))*Settings!$B$19+N($I118)*Settings!$B$9,IF($D118="Late cancel",INDEX(Properties!$L$5:$L$104,MATCH($B118,Properties!$A$5:$A$104,0))*Settings!$B$11,0))),0))</f>
        <v/>
      </c>
      <c r="P118" s="28" t="str">
        <f aca="false">IF($B118="","",$N118-$O118)</f>
        <v/>
      </c>
      <c r="Q118" s="29" t="str">
        <f aca="false">IF($A118="","",DATE(YEAR($A118),MONTH($A118),1))</f>
        <v/>
      </c>
      <c r="R118" s="30" t="str">
        <f aca="false">IF($A118="","",$A118+MOD(6-WEEKDAY($A118),7))</f>
        <v/>
      </c>
      <c r="S118" s="31" t="str">
        <f aca="false">IF($B118="","",IF(AND($M118='Invoice Builder'!$C$5,$Q118='Invoice Builder'!$C$6,N($N118)&gt;0),COUNTIFS($M$5:$M118,'Invoice Builder'!$C$5,$Q$5:$Q118,'Invoice Builder'!$C$6,$N$5:$N118,"&gt;0"),""))</f>
        <v/>
      </c>
      <c r="T118" s="27" t="str">
        <f aca="false">IF($A118="","",IF($A118&gt;=DATE(YEAR($A118),4,6),YEAR($A118)&amp;"/"&amp;RIGHT(YEAR($A118)+1,2),YEAR($A118)-1&amp;"/"&amp;RIGHT(YEAR($A118),2)))</f>
        <v/>
      </c>
    </row>
    <row r="119" customFormat="false" ht="15" hidden="false" customHeight="false" outlineLevel="0" collapsed="false">
      <c r="A119" s="22"/>
      <c r="B119" s="23"/>
      <c r="C119" s="23"/>
      <c r="D119" s="23"/>
      <c r="E119" s="24"/>
      <c r="F119" s="24"/>
      <c r="G119" s="23"/>
      <c r="H119" s="23"/>
      <c r="I119" s="25"/>
      <c r="J119" s="23"/>
      <c r="K119" s="23"/>
      <c r="L119" s="26" t="str">
        <f aca="false">IF(OR($E119="",$F119=""),"",MOD($F119-$E119,1)*24)</f>
        <v/>
      </c>
      <c r="M119" s="27" t="str">
        <f aca="false">IF($B119="","",IFERROR(INDEX(Properties!$D$5:$D$104,MATCH($B119,Properties!$A$5:$A$104,0)),"?"))</f>
        <v/>
      </c>
      <c r="N119" s="28" t="str">
        <f aca="false">IF($B119="","",IFERROR(IF($D119="Completed",INDEX(Properties!$I$5:$I$104,MATCH($B119,Properties!$A$5:$A$104,0))*(1+IF($G119="Y",Settings!$B$8,0))+IF($H119="Y",Settings!$B$7,0)+N($I119),IF($D119="Deep clean",INDEX(Settings!$E$22:$E$26,MATCH(MIN(INDEX(Properties!$E$5:$E$104,MATCH($B119,Properties!$A$5:$A$104,0)),4),Settings!$A$22:$A$26,0))+N($I119),IF($D119="Late cancel",INDEX(Properties!$I$5:$I$104,MATCH($B119,Properties!$A$5:$A$104,0))*Settings!$B$10,0))),0))</f>
        <v/>
      </c>
      <c r="O119" s="28" t="str">
        <f aca="false">IF($B119="","",IFERROR(IF($D119="Completed",INDEX(Properties!$L$5:$L$104,MATCH($B119,Properties!$A$5:$A$104,0))+IF($G119="Y",INDEX(Properties!$I$5:$I$104,MATCH($B119,Properties!$A$5:$A$104,0))*Settings!$B$8*Settings!$B$9,0)+IF($H119="Y",Settings!$B$7*Settings!$B$9,0)+N($I119)*Settings!$B$9,IF($D119="Deep clean",INDEX(Settings!$E$22:$E$26,MATCH(MIN(INDEX(Properties!$E$5:$E$104,MATCH($B119,Properties!$A$5:$A$104,0)),4),Settings!$A$22:$A$26,0))*Settings!$B$19+N($I119)*Settings!$B$9,IF($D119="Late cancel",INDEX(Properties!$L$5:$L$104,MATCH($B119,Properties!$A$5:$A$104,0))*Settings!$B$11,0))),0))</f>
        <v/>
      </c>
      <c r="P119" s="28" t="str">
        <f aca="false">IF($B119="","",$N119-$O119)</f>
        <v/>
      </c>
      <c r="Q119" s="29" t="str">
        <f aca="false">IF($A119="","",DATE(YEAR($A119),MONTH($A119),1))</f>
        <v/>
      </c>
      <c r="R119" s="30" t="str">
        <f aca="false">IF($A119="","",$A119+MOD(6-WEEKDAY($A119),7))</f>
        <v/>
      </c>
      <c r="S119" s="31" t="str">
        <f aca="false">IF($B119="","",IF(AND($M119='Invoice Builder'!$C$5,$Q119='Invoice Builder'!$C$6,N($N119)&gt;0),COUNTIFS($M$5:$M119,'Invoice Builder'!$C$5,$Q$5:$Q119,'Invoice Builder'!$C$6,$N$5:$N119,"&gt;0"),""))</f>
        <v/>
      </c>
      <c r="T119" s="27" t="str">
        <f aca="false">IF($A119="","",IF($A119&gt;=DATE(YEAR($A119),4,6),YEAR($A119)&amp;"/"&amp;RIGHT(YEAR($A119)+1,2),YEAR($A119)-1&amp;"/"&amp;RIGHT(YEAR($A119),2)))</f>
        <v/>
      </c>
    </row>
    <row r="120" customFormat="false" ht="15" hidden="false" customHeight="false" outlineLevel="0" collapsed="false">
      <c r="A120" s="22"/>
      <c r="B120" s="23"/>
      <c r="C120" s="23"/>
      <c r="D120" s="23"/>
      <c r="E120" s="24"/>
      <c r="F120" s="24"/>
      <c r="G120" s="23"/>
      <c r="H120" s="23"/>
      <c r="I120" s="25"/>
      <c r="J120" s="23"/>
      <c r="K120" s="23"/>
      <c r="L120" s="26" t="str">
        <f aca="false">IF(OR($E120="",$F120=""),"",MOD($F120-$E120,1)*24)</f>
        <v/>
      </c>
      <c r="M120" s="27" t="str">
        <f aca="false">IF($B120="","",IFERROR(INDEX(Properties!$D$5:$D$104,MATCH($B120,Properties!$A$5:$A$104,0)),"?"))</f>
        <v/>
      </c>
      <c r="N120" s="28" t="str">
        <f aca="false">IF($B120="","",IFERROR(IF($D120="Completed",INDEX(Properties!$I$5:$I$104,MATCH($B120,Properties!$A$5:$A$104,0))*(1+IF($G120="Y",Settings!$B$8,0))+IF($H120="Y",Settings!$B$7,0)+N($I120),IF($D120="Deep clean",INDEX(Settings!$E$22:$E$26,MATCH(MIN(INDEX(Properties!$E$5:$E$104,MATCH($B120,Properties!$A$5:$A$104,0)),4),Settings!$A$22:$A$26,0))+N($I120),IF($D120="Late cancel",INDEX(Properties!$I$5:$I$104,MATCH($B120,Properties!$A$5:$A$104,0))*Settings!$B$10,0))),0))</f>
        <v/>
      </c>
      <c r="O120" s="28" t="str">
        <f aca="false">IF($B120="","",IFERROR(IF($D120="Completed",INDEX(Properties!$L$5:$L$104,MATCH($B120,Properties!$A$5:$A$104,0))+IF($G120="Y",INDEX(Properties!$I$5:$I$104,MATCH($B120,Properties!$A$5:$A$104,0))*Settings!$B$8*Settings!$B$9,0)+IF($H120="Y",Settings!$B$7*Settings!$B$9,0)+N($I120)*Settings!$B$9,IF($D120="Deep clean",INDEX(Settings!$E$22:$E$26,MATCH(MIN(INDEX(Properties!$E$5:$E$104,MATCH($B120,Properties!$A$5:$A$104,0)),4),Settings!$A$22:$A$26,0))*Settings!$B$19+N($I120)*Settings!$B$9,IF($D120="Late cancel",INDEX(Properties!$L$5:$L$104,MATCH($B120,Properties!$A$5:$A$104,0))*Settings!$B$11,0))),0))</f>
        <v/>
      </c>
      <c r="P120" s="28" t="str">
        <f aca="false">IF($B120="","",$N120-$O120)</f>
        <v/>
      </c>
      <c r="Q120" s="29" t="str">
        <f aca="false">IF($A120="","",DATE(YEAR($A120),MONTH($A120),1))</f>
        <v/>
      </c>
      <c r="R120" s="30" t="str">
        <f aca="false">IF($A120="","",$A120+MOD(6-WEEKDAY($A120),7))</f>
        <v/>
      </c>
      <c r="S120" s="31" t="str">
        <f aca="false">IF($B120="","",IF(AND($M120='Invoice Builder'!$C$5,$Q120='Invoice Builder'!$C$6,N($N120)&gt;0),COUNTIFS($M$5:$M120,'Invoice Builder'!$C$5,$Q$5:$Q120,'Invoice Builder'!$C$6,$N$5:$N120,"&gt;0"),""))</f>
        <v/>
      </c>
      <c r="T120" s="27" t="str">
        <f aca="false">IF($A120="","",IF($A120&gt;=DATE(YEAR($A120),4,6),YEAR($A120)&amp;"/"&amp;RIGHT(YEAR($A120)+1,2),YEAR($A120)-1&amp;"/"&amp;RIGHT(YEAR($A120),2)))</f>
        <v/>
      </c>
    </row>
    <row r="121" customFormat="false" ht="15" hidden="false" customHeight="false" outlineLevel="0" collapsed="false">
      <c r="A121" s="22"/>
      <c r="B121" s="23"/>
      <c r="C121" s="23"/>
      <c r="D121" s="23"/>
      <c r="E121" s="24"/>
      <c r="F121" s="24"/>
      <c r="G121" s="23"/>
      <c r="H121" s="23"/>
      <c r="I121" s="25"/>
      <c r="J121" s="23"/>
      <c r="K121" s="23"/>
      <c r="L121" s="26" t="str">
        <f aca="false">IF(OR($E121="",$F121=""),"",MOD($F121-$E121,1)*24)</f>
        <v/>
      </c>
      <c r="M121" s="27" t="str">
        <f aca="false">IF($B121="","",IFERROR(INDEX(Properties!$D$5:$D$104,MATCH($B121,Properties!$A$5:$A$104,0)),"?"))</f>
        <v/>
      </c>
      <c r="N121" s="28" t="str">
        <f aca="false">IF($B121="","",IFERROR(IF($D121="Completed",INDEX(Properties!$I$5:$I$104,MATCH($B121,Properties!$A$5:$A$104,0))*(1+IF($G121="Y",Settings!$B$8,0))+IF($H121="Y",Settings!$B$7,0)+N($I121),IF($D121="Deep clean",INDEX(Settings!$E$22:$E$26,MATCH(MIN(INDEX(Properties!$E$5:$E$104,MATCH($B121,Properties!$A$5:$A$104,0)),4),Settings!$A$22:$A$26,0))+N($I121),IF($D121="Late cancel",INDEX(Properties!$I$5:$I$104,MATCH($B121,Properties!$A$5:$A$104,0))*Settings!$B$10,0))),0))</f>
        <v/>
      </c>
      <c r="O121" s="28" t="str">
        <f aca="false">IF($B121="","",IFERROR(IF($D121="Completed",INDEX(Properties!$L$5:$L$104,MATCH($B121,Properties!$A$5:$A$104,0))+IF($G121="Y",INDEX(Properties!$I$5:$I$104,MATCH($B121,Properties!$A$5:$A$104,0))*Settings!$B$8*Settings!$B$9,0)+IF($H121="Y",Settings!$B$7*Settings!$B$9,0)+N($I121)*Settings!$B$9,IF($D121="Deep clean",INDEX(Settings!$E$22:$E$26,MATCH(MIN(INDEX(Properties!$E$5:$E$104,MATCH($B121,Properties!$A$5:$A$104,0)),4),Settings!$A$22:$A$26,0))*Settings!$B$19+N($I121)*Settings!$B$9,IF($D121="Late cancel",INDEX(Properties!$L$5:$L$104,MATCH($B121,Properties!$A$5:$A$104,0))*Settings!$B$11,0))),0))</f>
        <v/>
      </c>
      <c r="P121" s="28" t="str">
        <f aca="false">IF($B121="","",$N121-$O121)</f>
        <v/>
      </c>
      <c r="Q121" s="29" t="str">
        <f aca="false">IF($A121="","",DATE(YEAR($A121),MONTH($A121),1))</f>
        <v/>
      </c>
      <c r="R121" s="30" t="str">
        <f aca="false">IF($A121="","",$A121+MOD(6-WEEKDAY($A121),7))</f>
        <v/>
      </c>
      <c r="S121" s="31" t="str">
        <f aca="false">IF($B121="","",IF(AND($M121='Invoice Builder'!$C$5,$Q121='Invoice Builder'!$C$6,N($N121)&gt;0),COUNTIFS($M$5:$M121,'Invoice Builder'!$C$5,$Q$5:$Q121,'Invoice Builder'!$C$6,$N$5:$N121,"&gt;0"),""))</f>
        <v/>
      </c>
      <c r="T121" s="27" t="str">
        <f aca="false">IF($A121="","",IF($A121&gt;=DATE(YEAR($A121),4,6),YEAR($A121)&amp;"/"&amp;RIGHT(YEAR($A121)+1,2),YEAR($A121)-1&amp;"/"&amp;RIGHT(YEAR($A121),2)))</f>
        <v/>
      </c>
    </row>
    <row r="122" customFormat="false" ht="15" hidden="false" customHeight="false" outlineLevel="0" collapsed="false">
      <c r="A122" s="22"/>
      <c r="B122" s="23"/>
      <c r="C122" s="23"/>
      <c r="D122" s="23"/>
      <c r="E122" s="24"/>
      <c r="F122" s="24"/>
      <c r="G122" s="23"/>
      <c r="H122" s="23"/>
      <c r="I122" s="25"/>
      <c r="J122" s="23"/>
      <c r="K122" s="23"/>
      <c r="L122" s="26" t="str">
        <f aca="false">IF(OR($E122="",$F122=""),"",MOD($F122-$E122,1)*24)</f>
        <v/>
      </c>
      <c r="M122" s="27" t="str">
        <f aca="false">IF($B122="","",IFERROR(INDEX(Properties!$D$5:$D$104,MATCH($B122,Properties!$A$5:$A$104,0)),"?"))</f>
        <v/>
      </c>
      <c r="N122" s="28" t="str">
        <f aca="false">IF($B122="","",IFERROR(IF($D122="Completed",INDEX(Properties!$I$5:$I$104,MATCH($B122,Properties!$A$5:$A$104,0))*(1+IF($G122="Y",Settings!$B$8,0))+IF($H122="Y",Settings!$B$7,0)+N($I122),IF($D122="Deep clean",INDEX(Settings!$E$22:$E$26,MATCH(MIN(INDEX(Properties!$E$5:$E$104,MATCH($B122,Properties!$A$5:$A$104,0)),4),Settings!$A$22:$A$26,0))+N($I122),IF($D122="Late cancel",INDEX(Properties!$I$5:$I$104,MATCH($B122,Properties!$A$5:$A$104,0))*Settings!$B$10,0))),0))</f>
        <v/>
      </c>
      <c r="O122" s="28" t="str">
        <f aca="false">IF($B122="","",IFERROR(IF($D122="Completed",INDEX(Properties!$L$5:$L$104,MATCH($B122,Properties!$A$5:$A$104,0))+IF($G122="Y",INDEX(Properties!$I$5:$I$104,MATCH($B122,Properties!$A$5:$A$104,0))*Settings!$B$8*Settings!$B$9,0)+IF($H122="Y",Settings!$B$7*Settings!$B$9,0)+N($I122)*Settings!$B$9,IF($D122="Deep clean",INDEX(Settings!$E$22:$E$26,MATCH(MIN(INDEX(Properties!$E$5:$E$104,MATCH($B122,Properties!$A$5:$A$104,0)),4),Settings!$A$22:$A$26,0))*Settings!$B$19+N($I122)*Settings!$B$9,IF($D122="Late cancel",INDEX(Properties!$L$5:$L$104,MATCH($B122,Properties!$A$5:$A$104,0))*Settings!$B$11,0))),0))</f>
        <v/>
      </c>
      <c r="P122" s="28" t="str">
        <f aca="false">IF($B122="","",$N122-$O122)</f>
        <v/>
      </c>
      <c r="Q122" s="29" t="str">
        <f aca="false">IF($A122="","",DATE(YEAR($A122),MONTH($A122),1))</f>
        <v/>
      </c>
      <c r="R122" s="30" t="str">
        <f aca="false">IF($A122="","",$A122+MOD(6-WEEKDAY($A122),7))</f>
        <v/>
      </c>
      <c r="S122" s="31" t="str">
        <f aca="false">IF($B122="","",IF(AND($M122='Invoice Builder'!$C$5,$Q122='Invoice Builder'!$C$6,N($N122)&gt;0),COUNTIFS($M$5:$M122,'Invoice Builder'!$C$5,$Q$5:$Q122,'Invoice Builder'!$C$6,$N$5:$N122,"&gt;0"),""))</f>
        <v/>
      </c>
      <c r="T122" s="27" t="str">
        <f aca="false">IF($A122="","",IF($A122&gt;=DATE(YEAR($A122),4,6),YEAR($A122)&amp;"/"&amp;RIGHT(YEAR($A122)+1,2),YEAR($A122)-1&amp;"/"&amp;RIGHT(YEAR($A122),2)))</f>
        <v/>
      </c>
    </row>
    <row r="123" customFormat="false" ht="15" hidden="false" customHeight="false" outlineLevel="0" collapsed="false">
      <c r="A123" s="22"/>
      <c r="B123" s="23"/>
      <c r="C123" s="23"/>
      <c r="D123" s="23"/>
      <c r="E123" s="24"/>
      <c r="F123" s="24"/>
      <c r="G123" s="23"/>
      <c r="H123" s="23"/>
      <c r="I123" s="25"/>
      <c r="J123" s="23"/>
      <c r="K123" s="23"/>
      <c r="L123" s="26" t="str">
        <f aca="false">IF(OR($E123="",$F123=""),"",MOD($F123-$E123,1)*24)</f>
        <v/>
      </c>
      <c r="M123" s="27" t="str">
        <f aca="false">IF($B123="","",IFERROR(INDEX(Properties!$D$5:$D$104,MATCH($B123,Properties!$A$5:$A$104,0)),"?"))</f>
        <v/>
      </c>
      <c r="N123" s="28" t="str">
        <f aca="false">IF($B123="","",IFERROR(IF($D123="Completed",INDEX(Properties!$I$5:$I$104,MATCH($B123,Properties!$A$5:$A$104,0))*(1+IF($G123="Y",Settings!$B$8,0))+IF($H123="Y",Settings!$B$7,0)+N($I123),IF($D123="Deep clean",INDEX(Settings!$E$22:$E$26,MATCH(MIN(INDEX(Properties!$E$5:$E$104,MATCH($B123,Properties!$A$5:$A$104,0)),4),Settings!$A$22:$A$26,0))+N($I123),IF($D123="Late cancel",INDEX(Properties!$I$5:$I$104,MATCH($B123,Properties!$A$5:$A$104,0))*Settings!$B$10,0))),0))</f>
        <v/>
      </c>
      <c r="O123" s="28" t="str">
        <f aca="false">IF($B123="","",IFERROR(IF($D123="Completed",INDEX(Properties!$L$5:$L$104,MATCH($B123,Properties!$A$5:$A$104,0))+IF($G123="Y",INDEX(Properties!$I$5:$I$104,MATCH($B123,Properties!$A$5:$A$104,0))*Settings!$B$8*Settings!$B$9,0)+IF($H123="Y",Settings!$B$7*Settings!$B$9,0)+N($I123)*Settings!$B$9,IF($D123="Deep clean",INDEX(Settings!$E$22:$E$26,MATCH(MIN(INDEX(Properties!$E$5:$E$104,MATCH($B123,Properties!$A$5:$A$104,0)),4),Settings!$A$22:$A$26,0))*Settings!$B$19+N($I123)*Settings!$B$9,IF($D123="Late cancel",INDEX(Properties!$L$5:$L$104,MATCH($B123,Properties!$A$5:$A$104,0))*Settings!$B$11,0))),0))</f>
        <v/>
      </c>
      <c r="P123" s="28" t="str">
        <f aca="false">IF($B123="","",$N123-$O123)</f>
        <v/>
      </c>
      <c r="Q123" s="29" t="str">
        <f aca="false">IF($A123="","",DATE(YEAR($A123),MONTH($A123),1))</f>
        <v/>
      </c>
      <c r="R123" s="30" t="str">
        <f aca="false">IF($A123="","",$A123+MOD(6-WEEKDAY($A123),7))</f>
        <v/>
      </c>
      <c r="S123" s="31" t="str">
        <f aca="false">IF($B123="","",IF(AND($M123='Invoice Builder'!$C$5,$Q123='Invoice Builder'!$C$6,N($N123)&gt;0),COUNTIFS($M$5:$M123,'Invoice Builder'!$C$5,$Q$5:$Q123,'Invoice Builder'!$C$6,$N$5:$N123,"&gt;0"),""))</f>
        <v/>
      </c>
      <c r="T123" s="27" t="str">
        <f aca="false">IF($A123="","",IF($A123&gt;=DATE(YEAR($A123),4,6),YEAR($A123)&amp;"/"&amp;RIGHT(YEAR($A123)+1,2),YEAR($A123)-1&amp;"/"&amp;RIGHT(YEAR($A123),2)))</f>
        <v/>
      </c>
    </row>
    <row r="124" customFormat="false" ht="15" hidden="false" customHeight="false" outlineLevel="0" collapsed="false">
      <c r="A124" s="22"/>
      <c r="B124" s="23"/>
      <c r="C124" s="23"/>
      <c r="D124" s="23"/>
      <c r="E124" s="24"/>
      <c r="F124" s="24"/>
      <c r="G124" s="23"/>
      <c r="H124" s="23"/>
      <c r="I124" s="25"/>
      <c r="J124" s="23"/>
      <c r="K124" s="23"/>
      <c r="L124" s="26" t="str">
        <f aca="false">IF(OR($E124="",$F124=""),"",MOD($F124-$E124,1)*24)</f>
        <v/>
      </c>
      <c r="M124" s="27" t="str">
        <f aca="false">IF($B124="","",IFERROR(INDEX(Properties!$D$5:$D$104,MATCH($B124,Properties!$A$5:$A$104,0)),"?"))</f>
        <v/>
      </c>
      <c r="N124" s="28" t="str">
        <f aca="false">IF($B124="","",IFERROR(IF($D124="Completed",INDEX(Properties!$I$5:$I$104,MATCH($B124,Properties!$A$5:$A$104,0))*(1+IF($G124="Y",Settings!$B$8,0))+IF($H124="Y",Settings!$B$7,0)+N($I124),IF($D124="Deep clean",INDEX(Settings!$E$22:$E$26,MATCH(MIN(INDEX(Properties!$E$5:$E$104,MATCH($B124,Properties!$A$5:$A$104,0)),4),Settings!$A$22:$A$26,0))+N($I124),IF($D124="Late cancel",INDEX(Properties!$I$5:$I$104,MATCH($B124,Properties!$A$5:$A$104,0))*Settings!$B$10,0))),0))</f>
        <v/>
      </c>
      <c r="O124" s="28" t="str">
        <f aca="false">IF($B124="","",IFERROR(IF($D124="Completed",INDEX(Properties!$L$5:$L$104,MATCH($B124,Properties!$A$5:$A$104,0))+IF($G124="Y",INDEX(Properties!$I$5:$I$104,MATCH($B124,Properties!$A$5:$A$104,0))*Settings!$B$8*Settings!$B$9,0)+IF($H124="Y",Settings!$B$7*Settings!$B$9,0)+N($I124)*Settings!$B$9,IF($D124="Deep clean",INDEX(Settings!$E$22:$E$26,MATCH(MIN(INDEX(Properties!$E$5:$E$104,MATCH($B124,Properties!$A$5:$A$104,0)),4),Settings!$A$22:$A$26,0))*Settings!$B$19+N($I124)*Settings!$B$9,IF($D124="Late cancel",INDEX(Properties!$L$5:$L$104,MATCH($B124,Properties!$A$5:$A$104,0))*Settings!$B$11,0))),0))</f>
        <v/>
      </c>
      <c r="P124" s="28" t="str">
        <f aca="false">IF($B124="","",$N124-$O124)</f>
        <v/>
      </c>
      <c r="Q124" s="29" t="str">
        <f aca="false">IF($A124="","",DATE(YEAR($A124),MONTH($A124),1))</f>
        <v/>
      </c>
      <c r="R124" s="30" t="str">
        <f aca="false">IF($A124="","",$A124+MOD(6-WEEKDAY($A124),7))</f>
        <v/>
      </c>
      <c r="S124" s="31" t="str">
        <f aca="false">IF($B124="","",IF(AND($M124='Invoice Builder'!$C$5,$Q124='Invoice Builder'!$C$6,N($N124)&gt;0),COUNTIFS($M$5:$M124,'Invoice Builder'!$C$5,$Q$5:$Q124,'Invoice Builder'!$C$6,$N$5:$N124,"&gt;0"),""))</f>
        <v/>
      </c>
      <c r="T124" s="27" t="str">
        <f aca="false">IF($A124="","",IF($A124&gt;=DATE(YEAR($A124),4,6),YEAR($A124)&amp;"/"&amp;RIGHT(YEAR($A124)+1,2),YEAR($A124)-1&amp;"/"&amp;RIGHT(YEAR($A124),2)))</f>
        <v/>
      </c>
    </row>
    <row r="125" customFormat="false" ht="15" hidden="false" customHeight="false" outlineLevel="0" collapsed="false">
      <c r="A125" s="22"/>
      <c r="B125" s="23"/>
      <c r="C125" s="23"/>
      <c r="D125" s="23"/>
      <c r="E125" s="24"/>
      <c r="F125" s="24"/>
      <c r="G125" s="23"/>
      <c r="H125" s="23"/>
      <c r="I125" s="25"/>
      <c r="J125" s="23"/>
      <c r="K125" s="23"/>
      <c r="L125" s="26" t="str">
        <f aca="false">IF(OR($E125="",$F125=""),"",MOD($F125-$E125,1)*24)</f>
        <v/>
      </c>
      <c r="M125" s="27" t="str">
        <f aca="false">IF($B125="","",IFERROR(INDEX(Properties!$D$5:$D$104,MATCH($B125,Properties!$A$5:$A$104,0)),"?"))</f>
        <v/>
      </c>
      <c r="N125" s="28" t="str">
        <f aca="false">IF($B125="","",IFERROR(IF($D125="Completed",INDEX(Properties!$I$5:$I$104,MATCH($B125,Properties!$A$5:$A$104,0))*(1+IF($G125="Y",Settings!$B$8,0))+IF($H125="Y",Settings!$B$7,0)+N($I125),IF($D125="Deep clean",INDEX(Settings!$E$22:$E$26,MATCH(MIN(INDEX(Properties!$E$5:$E$104,MATCH($B125,Properties!$A$5:$A$104,0)),4),Settings!$A$22:$A$26,0))+N($I125),IF($D125="Late cancel",INDEX(Properties!$I$5:$I$104,MATCH($B125,Properties!$A$5:$A$104,0))*Settings!$B$10,0))),0))</f>
        <v/>
      </c>
      <c r="O125" s="28" t="str">
        <f aca="false">IF($B125="","",IFERROR(IF($D125="Completed",INDEX(Properties!$L$5:$L$104,MATCH($B125,Properties!$A$5:$A$104,0))+IF($G125="Y",INDEX(Properties!$I$5:$I$104,MATCH($B125,Properties!$A$5:$A$104,0))*Settings!$B$8*Settings!$B$9,0)+IF($H125="Y",Settings!$B$7*Settings!$B$9,0)+N($I125)*Settings!$B$9,IF($D125="Deep clean",INDEX(Settings!$E$22:$E$26,MATCH(MIN(INDEX(Properties!$E$5:$E$104,MATCH($B125,Properties!$A$5:$A$104,0)),4),Settings!$A$22:$A$26,0))*Settings!$B$19+N($I125)*Settings!$B$9,IF($D125="Late cancel",INDEX(Properties!$L$5:$L$104,MATCH($B125,Properties!$A$5:$A$104,0))*Settings!$B$11,0))),0))</f>
        <v/>
      </c>
      <c r="P125" s="28" t="str">
        <f aca="false">IF($B125="","",$N125-$O125)</f>
        <v/>
      </c>
      <c r="Q125" s="29" t="str">
        <f aca="false">IF($A125="","",DATE(YEAR($A125),MONTH($A125),1))</f>
        <v/>
      </c>
      <c r="R125" s="30" t="str">
        <f aca="false">IF($A125="","",$A125+MOD(6-WEEKDAY($A125),7))</f>
        <v/>
      </c>
      <c r="S125" s="31" t="str">
        <f aca="false">IF($B125="","",IF(AND($M125='Invoice Builder'!$C$5,$Q125='Invoice Builder'!$C$6,N($N125)&gt;0),COUNTIFS($M$5:$M125,'Invoice Builder'!$C$5,$Q$5:$Q125,'Invoice Builder'!$C$6,$N$5:$N125,"&gt;0"),""))</f>
        <v/>
      </c>
      <c r="T125" s="27" t="str">
        <f aca="false">IF($A125="","",IF($A125&gt;=DATE(YEAR($A125),4,6),YEAR($A125)&amp;"/"&amp;RIGHT(YEAR($A125)+1,2),YEAR($A125)-1&amp;"/"&amp;RIGHT(YEAR($A125),2)))</f>
        <v/>
      </c>
    </row>
    <row r="126" customFormat="false" ht="15" hidden="false" customHeight="false" outlineLevel="0" collapsed="false">
      <c r="A126" s="22"/>
      <c r="B126" s="23"/>
      <c r="C126" s="23"/>
      <c r="D126" s="23"/>
      <c r="E126" s="24"/>
      <c r="F126" s="24"/>
      <c r="G126" s="23"/>
      <c r="H126" s="23"/>
      <c r="I126" s="25"/>
      <c r="J126" s="23"/>
      <c r="K126" s="23"/>
      <c r="L126" s="26" t="str">
        <f aca="false">IF(OR($E126="",$F126=""),"",MOD($F126-$E126,1)*24)</f>
        <v/>
      </c>
      <c r="M126" s="27" t="str">
        <f aca="false">IF($B126="","",IFERROR(INDEX(Properties!$D$5:$D$104,MATCH($B126,Properties!$A$5:$A$104,0)),"?"))</f>
        <v/>
      </c>
      <c r="N126" s="28" t="str">
        <f aca="false">IF($B126="","",IFERROR(IF($D126="Completed",INDEX(Properties!$I$5:$I$104,MATCH($B126,Properties!$A$5:$A$104,0))*(1+IF($G126="Y",Settings!$B$8,0))+IF($H126="Y",Settings!$B$7,0)+N($I126),IF($D126="Deep clean",INDEX(Settings!$E$22:$E$26,MATCH(MIN(INDEX(Properties!$E$5:$E$104,MATCH($B126,Properties!$A$5:$A$104,0)),4),Settings!$A$22:$A$26,0))+N($I126),IF($D126="Late cancel",INDEX(Properties!$I$5:$I$104,MATCH($B126,Properties!$A$5:$A$104,0))*Settings!$B$10,0))),0))</f>
        <v/>
      </c>
      <c r="O126" s="28" t="str">
        <f aca="false">IF($B126="","",IFERROR(IF($D126="Completed",INDEX(Properties!$L$5:$L$104,MATCH($B126,Properties!$A$5:$A$104,0))+IF($G126="Y",INDEX(Properties!$I$5:$I$104,MATCH($B126,Properties!$A$5:$A$104,0))*Settings!$B$8*Settings!$B$9,0)+IF($H126="Y",Settings!$B$7*Settings!$B$9,0)+N($I126)*Settings!$B$9,IF($D126="Deep clean",INDEX(Settings!$E$22:$E$26,MATCH(MIN(INDEX(Properties!$E$5:$E$104,MATCH($B126,Properties!$A$5:$A$104,0)),4),Settings!$A$22:$A$26,0))*Settings!$B$19+N($I126)*Settings!$B$9,IF($D126="Late cancel",INDEX(Properties!$L$5:$L$104,MATCH($B126,Properties!$A$5:$A$104,0))*Settings!$B$11,0))),0))</f>
        <v/>
      </c>
      <c r="P126" s="28" t="str">
        <f aca="false">IF($B126="","",$N126-$O126)</f>
        <v/>
      </c>
      <c r="Q126" s="29" t="str">
        <f aca="false">IF($A126="","",DATE(YEAR($A126),MONTH($A126),1))</f>
        <v/>
      </c>
      <c r="R126" s="30" t="str">
        <f aca="false">IF($A126="","",$A126+MOD(6-WEEKDAY($A126),7))</f>
        <v/>
      </c>
      <c r="S126" s="31" t="str">
        <f aca="false">IF($B126="","",IF(AND($M126='Invoice Builder'!$C$5,$Q126='Invoice Builder'!$C$6,N($N126)&gt;0),COUNTIFS($M$5:$M126,'Invoice Builder'!$C$5,$Q$5:$Q126,'Invoice Builder'!$C$6,$N$5:$N126,"&gt;0"),""))</f>
        <v/>
      </c>
      <c r="T126" s="27" t="str">
        <f aca="false">IF($A126="","",IF($A126&gt;=DATE(YEAR($A126),4,6),YEAR($A126)&amp;"/"&amp;RIGHT(YEAR($A126)+1,2),YEAR($A126)-1&amp;"/"&amp;RIGHT(YEAR($A126),2)))</f>
        <v/>
      </c>
    </row>
    <row r="127" customFormat="false" ht="15" hidden="false" customHeight="false" outlineLevel="0" collapsed="false">
      <c r="A127" s="22"/>
      <c r="B127" s="23"/>
      <c r="C127" s="23"/>
      <c r="D127" s="23"/>
      <c r="E127" s="24"/>
      <c r="F127" s="24"/>
      <c r="G127" s="23"/>
      <c r="H127" s="23"/>
      <c r="I127" s="25"/>
      <c r="J127" s="23"/>
      <c r="K127" s="23"/>
      <c r="L127" s="26" t="str">
        <f aca="false">IF(OR($E127="",$F127=""),"",MOD($F127-$E127,1)*24)</f>
        <v/>
      </c>
      <c r="M127" s="27" t="str">
        <f aca="false">IF($B127="","",IFERROR(INDEX(Properties!$D$5:$D$104,MATCH($B127,Properties!$A$5:$A$104,0)),"?"))</f>
        <v/>
      </c>
      <c r="N127" s="28" t="str">
        <f aca="false">IF($B127="","",IFERROR(IF($D127="Completed",INDEX(Properties!$I$5:$I$104,MATCH($B127,Properties!$A$5:$A$104,0))*(1+IF($G127="Y",Settings!$B$8,0))+IF($H127="Y",Settings!$B$7,0)+N($I127),IF($D127="Deep clean",INDEX(Settings!$E$22:$E$26,MATCH(MIN(INDEX(Properties!$E$5:$E$104,MATCH($B127,Properties!$A$5:$A$104,0)),4),Settings!$A$22:$A$26,0))+N($I127),IF($D127="Late cancel",INDEX(Properties!$I$5:$I$104,MATCH($B127,Properties!$A$5:$A$104,0))*Settings!$B$10,0))),0))</f>
        <v/>
      </c>
      <c r="O127" s="28" t="str">
        <f aca="false">IF($B127="","",IFERROR(IF($D127="Completed",INDEX(Properties!$L$5:$L$104,MATCH($B127,Properties!$A$5:$A$104,0))+IF($G127="Y",INDEX(Properties!$I$5:$I$104,MATCH($B127,Properties!$A$5:$A$104,0))*Settings!$B$8*Settings!$B$9,0)+IF($H127="Y",Settings!$B$7*Settings!$B$9,0)+N($I127)*Settings!$B$9,IF($D127="Deep clean",INDEX(Settings!$E$22:$E$26,MATCH(MIN(INDEX(Properties!$E$5:$E$104,MATCH($B127,Properties!$A$5:$A$104,0)),4),Settings!$A$22:$A$26,0))*Settings!$B$19+N($I127)*Settings!$B$9,IF($D127="Late cancel",INDEX(Properties!$L$5:$L$104,MATCH($B127,Properties!$A$5:$A$104,0))*Settings!$B$11,0))),0))</f>
        <v/>
      </c>
      <c r="P127" s="28" t="str">
        <f aca="false">IF($B127="","",$N127-$O127)</f>
        <v/>
      </c>
      <c r="Q127" s="29" t="str">
        <f aca="false">IF($A127="","",DATE(YEAR($A127),MONTH($A127),1))</f>
        <v/>
      </c>
      <c r="R127" s="30" t="str">
        <f aca="false">IF($A127="","",$A127+MOD(6-WEEKDAY($A127),7))</f>
        <v/>
      </c>
      <c r="S127" s="31" t="str">
        <f aca="false">IF($B127="","",IF(AND($M127='Invoice Builder'!$C$5,$Q127='Invoice Builder'!$C$6,N($N127)&gt;0),COUNTIFS($M$5:$M127,'Invoice Builder'!$C$5,$Q$5:$Q127,'Invoice Builder'!$C$6,$N$5:$N127,"&gt;0"),""))</f>
        <v/>
      </c>
      <c r="T127" s="27" t="str">
        <f aca="false">IF($A127="","",IF($A127&gt;=DATE(YEAR($A127),4,6),YEAR($A127)&amp;"/"&amp;RIGHT(YEAR($A127)+1,2),YEAR($A127)-1&amp;"/"&amp;RIGHT(YEAR($A127),2)))</f>
        <v/>
      </c>
    </row>
    <row r="128" customFormat="false" ht="15" hidden="false" customHeight="false" outlineLevel="0" collapsed="false">
      <c r="A128" s="22"/>
      <c r="B128" s="23"/>
      <c r="C128" s="23"/>
      <c r="D128" s="23"/>
      <c r="E128" s="24"/>
      <c r="F128" s="24"/>
      <c r="G128" s="23"/>
      <c r="H128" s="23"/>
      <c r="I128" s="25"/>
      <c r="J128" s="23"/>
      <c r="K128" s="23"/>
      <c r="L128" s="26" t="str">
        <f aca="false">IF(OR($E128="",$F128=""),"",MOD($F128-$E128,1)*24)</f>
        <v/>
      </c>
      <c r="M128" s="27" t="str">
        <f aca="false">IF($B128="","",IFERROR(INDEX(Properties!$D$5:$D$104,MATCH($B128,Properties!$A$5:$A$104,0)),"?"))</f>
        <v/>
      </c>
      <c r="N128" s="28" t="str">
        <f aca="false">IF($B128="","",IFERROR(IF($D128="Completed",INDEX(Properties!$I$5:$I$104,MATCH($B128,Properties!$A$5:$A$104,0))*(1+IF($G128="Y",Settings!$B$8,0))+IF($H128="Y",Settings!$B$7,0)+N($I128),IF($D128="Deep clean",INDEX(Settings!$E$22:$E$26,MATCH(MIN(INDEX(Properties!$E$5:$E$104,MATCH($B128,Properties!$A$5:$A$104,0)),4),Settings!$A$22:$A$26,0))+N($I128),IF($D128="Late cancel",INDEX(Properties!$I$5:$I$104,MATCH($B128,Properties!$A$5:$A$104,0))*Settings!$B$10,0))),0))</f>
        <v/>
      </c>
      <c r="O128" s="28" t="str">
        <f aca="false">IF($B128="","",IFERROR(IF($D128="Completed",INDEX(Properties!$L$5:$L$104,MATCH($B128,Properties!$A$5:$A$104,0))+IF($G128="Y",INDEX(Properties!$I$5:$I$104,MATCH($B128,Properties!$A$5:$A$104,0))*Settings!$B$8*Settings!$B$9,0)+IF($H128="Y",Settings!$B$7*Settings!$B$9,0)+N($I128)*Settings!$B$9,IF($D128="Deep clean",INDEX(Settings!$E$22:$E$26,MATCH(MIN(INDEX(Properties!$E$5:$E$104,MATCH($B128,Properties!$A$5:$A$104,0)),4),Settings!$A$22:$A$26,0))*Settings!$B$19+N($I128)*Settings!$B$9,IF($D128="Late cancel",INDEX(Properties!$L$5:$L$104,MATCH($B128,Properties!$A$5:$A$104,0))*Settings!$B$11,0))),0))</f>
        <v/>
      </c>
      <c r="P128" s="28" t="str">
        <f aca="false">IF($B128="","",$N128-$O128)</f>
        <v/>
      </c>
      <c r="Q128" s="29" t="str">
        <f aca="false">IF($A128="","",DATE(YEAR($A128),MONTH($A128),1))</f>
        <v/>
      </c>
      <c r="R128" s="30" t="str">
        <f aca="false">IF($A128="","",$A128+MOD(6-WEEKDAY($A128),7))</f>
        <v/>
      </c>
      <c r="S128" s="31" t="str">
        <f aca="false">IF($B128="","",IF(AND($M128='Invoice Builder'!$C$5,$Q128='Invoice Builder'!$C$6,N($N128)&gt;0),COUNTIFS($M$5:$M128,'Invoice Builder'!$C$5,$Q$5:$Q128,'Invoice Builder'!$C$6,$N$5:$N128,"&gt;0"),""))</f>
        <v/>
      </c>
      <c r="T128" s="27" t="str">
        <f aca="false">IF($A128="","",IF($A128&gt;=DATE(YEAR($A128),4,6),YEAR($A128)&amp;"/"&amp;RIGHT(YEAR($A128)+1,2),YEAR($A128)-1&amp;"/"&amp;RIGHT(YEAR($A128),2)))</f>
        <v/>
      </c>
    </row>
    <row r="129" customFormat="false" ht="15" hidden="false" customHeight="false" outlineLevel="0" collapsed="false">
      <c r="A129" s="22"/>
      <c r="B129" s="23"/>
      <c r="C129" s="23"/>
      <c r="D129" s="23"/>
      <c r="E129" s="24"/>
      <c r="F129" s="24"/>
      <c r="G129" s="23"/>
      <c r="H129" s="23"/>
      <c r="I129" s="25"/>
      <c r="J129" s="23"/>
      <c r="K129" s="23"/>
      <c r="L129" s="26" t="str">
        <f aca="false">IF(OR($E129="",$F129=""),"",MOD($F129-$E129,1)*24)</f>
        <v/>
      </c>
      <c r="M129" s="27" t="str">
        <f aca="false">IF($B129="","",IFERROR(INDEX(Properties!$D$5:$D$104,MATCH($B129,Properties!$A$5:$A$104,0)),"?"))</f>
        <v/>
      </c>
      <c r="N129" s="28" t="str">
        <f aca="false">IF($B129="","",IFERROR(IF($D129="Completed",INDEX(Properties!$I$5:$I$104,MATCH($B129,Properties!$A$5:$A$104,0))*(1+IF($G129="Y",Settings!$B$8,0))+IF($H129="Y",Settings!$B$7,0)+N($I129),IF($D129="Deep clean",INDEX(Settings!$E$22:$E$26,MATCH(MIN(INDEX(Properties!$E$5:$E$104,MATCH($B129,Properties!$A$5:$A$104,0)),4),Settings!$A$22:$A$26,0))+N($I129),IF($D129="Late cancel",INDEX(Properties!$I$5:$I$104,MATCH($B129,Properties!$A$5:$A$104,0))*Settings!$B$10,0))),0))</f>
        <v/>
      </c>
      <c r="O129" s="28" t="str">
        <f aca="false">IF($B129="","",IFERROR(IF($D129="Completed",INDEX(Properties!$L$5:$L$104,MATCH($B129,Properties!$A$5:$A$104,0))+IF($G129="Y",INDEX(Properties!$I$5:$I$104,MATCH($B129,Properties!$A$5:$A$104,0))*Settings!$B$8*Settings!$B$9,0)+IF($H129="Y",Settings!$B$7*Settings!$B$9,0)+N($I129)*Settings!$B$9,IF($D129="Deep clean",INDEX(Settings!$E$22:$E$26,MATCH(MIN(INDEX(Properties!$E$5:$E$104,MATCH($B129,Properties!$A$5:$A$104,0)),4),Settings!$A$22:$A$26,0))*Settings!$B$19+N($I129)*Settings!$B$9,IF($D129="Late cancel",INDEX(Properties!$L$5:$L$104,MATCH($B129,Properties!$A$5:$A$104,0))*Settings!$B$11,0))),0))</f>
        <v/>
      </c>
      <c r="P129" s="28" t="str">
        <f aca="false">IF($B129="","",$N129-$O129)</f>
        <v/>
      </c>
      <c r="Q129" s="29" t="str">
        <f aca="false">IF($A129="","",DATE(YEAR($A129),MONTH($A129),1))</f>
        <v/>
      </c>
      <c r="R129" s="30" t="str">
        <f aca="false">IF($A129="","",$A129+MOD(6-WEEKDAY($A129),7))</f>
        <v/>
      </c>
      <c r="S129" s="31" t="str">
        <f aca="false">IF($B129="","",IF(AND($M129='Invoice Builder'!$C$5,$Q129='Invoice Builder'!$C$6,N($N129)&gt;0),COUNTIFS($M$5:$M129,'Invoice Builder'!$C$5,$Q$5:$Q129,'Invoice Builder'!$C$6,$N$5:$N129,"&gt;0"),""))</f>
        <v/>
      </c>
      <c r="T129" s="27" t="str">
        <f aca="false">IF($A129="","",IF($A129&gt;=DATE(YEAR($A129),4,6),YEAR($A129)&amp;"/"&amp;RIGHT(YEAR($A129)+1,2),YEAR($A129)-1&amp;"/"&amp;RIGHT(YEAR($A129),2)))</f>
        <v/>
      </c>
    </row>
    <row r="130" customFormat="false" ht="15" hidden="false" customHeight="false" outlineLevel="0" collapsed="false">
      <c r="A130" s="22"/>
      <c r="B130" s="23"/>
      <c r="C130" s="23"/>
      <c r="D130" s="23"/>
      <c r="E130" s="24"/>
      <c r="F130" s="24"/>
      <c r="G130" s="23"/>
      <c r="H130" s="23"/>
      <c r="I130" s="25"/>
      <c r="J130" s="23"/>
      <c r="K130" s="23"/>
      <c r="L130" s="26" t="str">
        <f aca="false">IF(OR($E130="",$F130=""),"",MOD($F130-$E130,1)*24)</f>
        <v/>
      </c>
      <c r="M130" s="27" t="str">
        <f aca="false">IF($B130="","",IFERROR(INDEX(Properties!$D$5:$D$104,MATCH($B130,Properties!$A$5:$A$104,0)),"?"))</f>
        <v/>
      </c>
      <c r="N130" s="28" t="str">
        <f aca="false">IF($B130="","",IFERROR(IF($D130="Completed",INDEX(Properties!$I$5:$I$104,MATCH($B130,Properties!$A$5:$A$104,0))*(1+IF($G130="Y",Settings!$B$8,0))+IF($H130="Y",Settings!$B$7,0)+N($I130),IF($D130="Deep clean",INDEX(Settings!$E$22:$E$26,MATCH(MIN(INDEX(Properties!$E$5:$E$104,MATCH($B130,Properties!$A$5:$A$104,0)),4),Settings!$A$22:$A$26,0))+N($I130),IF($D130="Late cancel",INDEX(Properties!$I$5:$I$104,MATCH($B130,Properties!$A$5:$A$104,0))*Settings!$B$10,0))),0))</f>
        <v/>
      </c>
      <c r="O130" s="28" t="str">
        <f aca="false">IF($B130="","",IFERROR(IF($D130="Completed",INDEX(Properties!$L$5:$L$104,MATCH($B130,Properties!$A$5:$A$104,0))+IF($G130="Y",INDEX(Properties!$I$5:$I$104,MATCH($B130,Properties!$A$5:$A$104,0))*Settings!$B$8*Settings!$B$9,0)+IF($H130="Y",Settings!$B$7*Settings!$B$9,0)+N($I130)*Settings!$B$9,IF($D130="Deep clean",INDEX(Settings!$E$22:$E$26,MATCH(MIN(INDEX(Properties!$E$5:$E$104,MATCH($B130,Properties!$A$5:$A$104,0)),4),Settings!$A$22:$A$26,0))*Settings!$B$19+N($I130)*Settings!$B$9,IF($D130="Late cancel",INDEX(Properties!$L$5:$L$104,MATCH($B130,Properties!$A$5:$A$104,0))*Settings!$B$11,0))),0))</f>
        <v/>
      </c>
      <c r="P130" s="28" t="str">
        <f aca="false">IF($B130="","",$N130-$O130)</f>
        <v/>
      </c>
      <c r="Q130" s="29" t="str">
        <f aca="false">IF($A130="","",DATE(YEAR($A130),MONTH($A130),1))</f>
        <v/>
      </c>
      <c r="R130" s="30" t="str">
        <f aca="false">IF($A130="","",$A130+MOD(6-WEEKDAY($A130),7))</f>
        <v/>
      </c>
      <c r="S130" s="31" t="str">
        <f aca="false">IF($B130="","",IF(AND($M130='Invoice Builder'!$C$5,$Q130='Invoice Builder'!$C$6,N($N130)&gt;0),COUNTIFS($M$5:$M130,'Invoice Builder'!$C$5,$Q$5:$Q130,'Invoice Builder'!$C$6,$N$5:$N130,"&gt;0"),""))</f>
        <v/>
      </c>
      <c r="T130" s="27" t="str">
        <f aca="false">IF($A130="","",IF($A130&gt;=DATE(YEAR($A130),4,6),YEAR($A130)&amp;"/"&amp;RIGHT(YEAR($A130)+1,2),YEAR($A130)-1&amp;"/"&amp;RIGHT(YEAR($A130),2)))</f>
        <v/>
      </c>
    </row>
    <row r="131" customFormat="false" ht="15" hidden="false" customHeight="false" outlineLevel="0" collapsed="false">
      <c r="A131" s="22"/>
      <c r="B131" s="23"/>
      <c r="C131" s="23"/>
      <c r="D131" s="23"/>
      <c r="E131" s="24"/>
      <c r="F131" s="24"/>
      <c r="G131" s="23"/>
      <c r="H131" s="23"/>
      <c r="I131" s="25"/>
      <c r="J131" s="23"/>
      <c r="K131" s="23"/>
      <c r="L131" s="26" t="str">
        <f aca="false">IF(OR($E131="",$F131=""),"",MOD($F131-$E131,1)*24)</f>
        <v/>
      </c>
      <c r="M131" s="27" t="str">
        <f aca="false">IF($B131="","",IFERROR(INDEX(Properties!$D$5:$D$104,MATCH($B131,Properties!$A$5:$A$104,0)),"?"))</f>
        <v/>
      </c>
      <c r="N131" s="28" t="str">
        <f aca="false">IF($B131="","",IFERROR(IF($D131="Completed",INDEX(Properties!$I$5:$I$104,MATCH($B131,Properties!$A$5:$A$104,0))*(1+IF($G131="Y",Settings!$B$8,0))+IF($H131="Y",Settings!$B$7,0)+N($I131),IF($D131="Deep clean",INDEX(Settings!$E$22:$E$26,MATCH(MIN(INDEX(Properties!$E$5:$E$104,MATCH($B131,Properties!$A$5:$A$104,0)),4),Settings!$A$22:$A$26,0))+N($I131),IF($D131="Late cancel",INDEX(Properties!$I$5:$I$104,MATCH($B131,Properties!$A$5:$A$104,0))*Settings!$B$10,0))),0))</f>
        <v/>
      </c>
      <c r="O131" s="28" t="str">
        <f aca="false">IF($B131="","",IFERROR(IF($D131="Completed",INDEX(Properties!$L$5:$L$104,MATCH($B131,Properties!$A$5:$A$104,0))+IF($G131="Y",INDEX(Properties!$I$5:$I$104,MATCH($B131,Properties!$A$5:$A$104,0))*Settings!$B$8*Settings!$B$9,0)+IF($H131="Y",Settings!$B$7*Settings!$B$9,0)+N($I131)*Settings!$B$9,IF($D131="Deep clean",INDEX(Settings!$E$22:$E$26,MATCH(MIN(INDEX(Properties!$E$5:$E$104,MATCH($B131,Properties!$A$5:$A$104,0)),4),Settings!$A$22:$A$26,0))*Settings!$B$19+N($I131)*Settings!$B$9,IF($D131="Late cancel",INDEX(Properties!$L$5:$L$104,MATCH($B131,Properties!$A$5:$A$104,0))*Settings!$B$11,0))),0))</f>
        <v/>
      </c>
      <c r="P131" s="28" t="str">
        <f aca="false">IF($B131="","",$N131-$O131)</f>
        <v/>
      </c>
      <c r="Q131" s="29" t="str">
        <f aca="false">IF($A131="","",DATE(YEAR($A131),MONTH($A131),1))</f>
        <v/>
      </c>
      <c r="R131" s="30" t="str">
        <f aca="false">IF($A131="","",$A131+MOD(6-WEEKDAY($A131),7))</f>
        <v/>
      </c>
      <c r="S131" s="31" t="str">
        <f aca="false">IF($B131="","",IF(AND($M131='Invoice Builder'!$C$5,$Q131='Invoice Builder'!$C$6,N($N131)&gt;0),COUNTIFS($M$5:$M131,'Invoice Builder'!$C$5,$Q$5:$Q131,'Invoice Builder'!$C$6,$N$5:$N131,"&gt;0"),""))</f>
        <v/>
      </c>
      <c r="T131" s="27" t="str">
        <f aca="false">IF($A131="","",IF($A131&gt;=DATE(YEAR($A131),4,6),YEAR($A131)&amp;"/"&amp;RIGHT(YEAR($A131)+1,2),YEAR($A131)-1&amp;"/"&amp;RIGHT(YEAR($A131),2)))</f>
        <v/>
      </c>
    </row>
    <row r="132" customFormat="false" ht="15" hidden="false" customHeight="false" outlineLevel="0" collapsed="false">
      <c r="A132" s="22"/>
      <c r="B132" s="23"/>
      <c r="C132" s="23"/>
      <c r="D132" s="23"/>
      <c r="E132" s="24"/>
      <c r="F132" s="24"/>
      <c r="G132" s="23"/>
      <c r="H132" s="23"/>
      <c r="I132" s="25"/>
      <c r="J132" s="23"/>
      <c r="K132" s="23"/>
      <c r="L132" s="26" t="str">
        <f aca="false">IF(OR($E132="",$F132=""),"",MOD($F132-$E132,1)*24)</f>
        <v/>
      </c>
      <c r="M132" s="27" t="str">
        <f aca="false">IF($B132="","",IFERROR(INDEX(Properties!$D$5:$D$104,MATCH($B132,Properties!$A$5:$A$104,0)),"?"))</f>
        <v/>
      </c>
      <c r="N132" s="28" t="str">
        <f aca="false">IF($B132="","",IFERROR(IF($D132="Completed",INDEX(Properties!$I$5:$I$104,MATCH($B132,Properties!$A$5:$A$104,0))*(1+IF($G132="Y",Settings!$B$8,0))+IF($H132="Y",Settings!$B$7,0)+N($I132),IF($D132="Deep clean",INDEX(Settings!$E$22:$E$26,MATCH(MIN(INDEX(Properties!$E$5:$E$104,MATCH($B132,Properties!$A$5:$A$104,0)),4),Settings!$A$22:$A$26,0))+N($I132),IF($D132="Late cancel",INDEX(Properties!$I$5:$I$104,MATCH($B132,Properties!$A$5:$A$104,0))*Settings!$B$10,0))),0))</f>
        <v/>
      </c>
      <c r="O132" s="28" t="str">
        <f aca="false">IF($B132="","",IFERROR(IF($D132="Completed",INDEX(Properties!$L$5:$L$104,MATCH($B132,Properties!$A$5:$A$104,0))+IF($G132="Y",INDEX(Properties!$I$5:$I$104,MATCH($B132,Properties!$A$5:$A$104,0))*Settings!$B$8*Settings!$B$9,0)+IF($H132="Y",Settings!$B$7*Settings!$B$9,0)+N($I132)*Settings!$B$9,IF($D132="Deep clean",INDEX(Settings!$E$22:$E$26,MATCH(MIN(INDEX(Properties!$E$5:$E$104,MATCH($B132,Properties!$A$5:$A$104,0)),4),Settings!$A$22:$A$26,0))*Settings!$B$19+N($I132)*Settings!$B$9,IF($D132="Late cancel",INDEX(Properties!$L$5:$L$104,MATCH($B132,Properties!$A$5:$A$104,0))*Settings!$B$11,0))),0))</f>
        <v/>
      </c>
      <c r="P132" s="28" t="str">
        <f aca="false">IF($B132="","",$N132-$O132)</f>
        <v/>
      </c>
      <c r="Q132" s="29" t="str">
        <f aca="false">IF($A132="","",DATE(YEAR($A132),MONTH($A132),1))</f>
        <v/>
      </c>
      <c r="R132" s="30" t="str">
        <f aca="false">IF($A132="","",$A132+MOD(6-WEEKDAY($A132),7))</f>
        <v/>
      </c>
      <c r="S132" s="31" t="str">
        <f aca="false">IF($B132="","",IF(AND($M132='Invoice Builder'!$C$5,$Q132='Invoice Builder'!$C$6,N($N132)&gt;0),COUNTIFS($M$5:$M132,'Invoice Builder'!$C$5,$Q$5:$Q132,'Invoice Builder'!$C$6,$N$5:$N132,"&gt;0"),""))</f>
        <v/>
      </c>
      <c r="T132" s="27" t="str">
        <f aca="false">IF($A132="","",IF($A132&gt;=DATE(YEAR($A132),4,6),YEAR($A132)&amp;"/"&amp;RIGHT(YEAR($A132)+1,2),YEAR($A132)-1&amp;"/"&amp;RIGHT(YEAR($A132),2)))</f>
        <v/>
      </c>
    </row>
    <row r="133" customFormat="false" ht="15" hidden="false" customHeight="false" outlineLevel="0" collapsed="false">
      <c r="A133" s="22"/>
      <c r="B133" s="23"/>
      <c r="C133" s="23"/>
      <c r="D133" s="23"/>
      <c r="E133" s="24"/>
      <c r="F133" s="24"/>
      <c r="G133" s="23"/>
      <c r="H133" s="23"/>
      <c r="I133" s="25"/>
      <c r="J133" s="23"/>
      <c r="K133" s="23"/>
      <c r="L133" s="26" t="str">
        <f aca="false">IF(OR($E133="",$F133=""),"",MOD($F133-$E133,1)*24)</f>
        <v/>
      </c>
      <c r="M133" s="27" t="str">
        <f aca="false">IF($B133="","",IFERROR(INDEX(Properties!$D$5:$D$104,MATCH($B133,Properties!$A$5:$A$104,0)),"?"))</f>
        <v/>
      </c>
      <c r="N133" s="28" t="str">
        <f aca="false">IF($B133="","",IFERROR(IF($D133="Completed",INDEX(Properties!$I$5:$I$104,MATCH($B133,Properties!$A$5:$A$104,0))*(1+IF($G133="Y",Settings!$B$8,0))+IF($H133="Y",Settings!$B$7,0)+N($I133),IF($D133="Deep clean",INDEX(Settings!$E$22:$E$26,MATCH(MIN(INDEX(Properties!$E$5:$E$104,MATCH($B133,Properties!$A$5:$A$104,0)),4),Settings!$A$22:$A$26,0))+N($I133),IF($D133="Late cancel",INDEX(Properties!$I$5:$I$104,MATCH($B133,Properties!$A$5:$A$104,0))*Settings!$B$10,0))),0))</f>
        <v/>
      </c>
      <c r="O133" s="28" t="str">
        <f aca="false">IF($B133="","",IFERROR(IF($D133="Completed",INDEX(Properties!$L$5:$L$104,MATCH($B133,Properties!$A$5:$A$104,0))+IF($G133="Y",INDEX(Properties!$I$5:$I$104,MATCH($B133,Properties!$A$5:$A$104,0))*Settings!$B$8*Settings!$B$9,0)+IF($H133="Y",Settings!$B$7*Settings!$B$9,0)+N($I133)*Settings!$B$9,IF($D133="Deep clean",INDEX(Settings!$E$22:$E$26,MATCH(MIN(INDEX(Properties!$E$5:$E$104,MATCH($B133,Properties!$A$5:$A$104,0)),4),Settings!$A$22:$A$26,0))*Settings!$B$19+N($I133)*Settings!$B$9,IF($D133="Late cancel",INDEX(Properties!$L$5:$L$104,MATCH($B133,Properties!$A$5:$A$104,0))*Settings!$B$11,0))),0))</f>
        <v/>
      </c>
      <c r="P133" s="28" t="str">
        <f aca="false">IF($B133="","",$N133-$O133)</f>
        <v/>
      </c>
      <c r="Q133" s="29" t="str">
        <f aca="false">IF($A133="","",DATE(YEAR($A133),MONTH($A133),1))</f>
        <v/>
      </c>
      <c r="R133" s="30" t="str">
        <f aca="false">IF($A133="","",$A133+MOD(6-WEEKDAY($A133),7))</f>
        <v/>
      </c>
      <c r="S133" s="31" t="str">
        <f aca="false">IF($B133="","",IF(AND($M133='Invoice Builder'!$C$5,$Q133='Invoice Builder'!$C$6,N($N133)&gt;0),COUNTIFS($M$5:$M133,'Invoice Builder'!$C$5,$Q$5:$Q133,'Invoice Builder'!$C$6,$N$5:$N133,"&gt;0"),""))</f>
        <v/>
      </c>
      <c r="T133" s="27" t="str">
        <f aca="false">IF($A133="","",IF($A133&gt;=DATE(YEAR($A133),4,6),YEAR($A133)&amp;"/"&amp;RIGHT(YEAR($A133)+1,2),YEAR($A133)-1&amp;"/"&amp;RIGHT(YEAR($A133),2)))</f>
        <v/>
      </c>
    </row>
    <row r="134" customFormat="false" ht="15" hidden="false" customHeight="false" outlineLevel="0" collapsed="false">
      <c r="A134" s="22"/>
      <c r="B134" s="23"/>
      <c r="C134" s="23"/>
      <c r="D134" s="23"/>
      <c r="E134" s="24"/>
      <c r="F134" s="24"/>
      <c r="G134" s="23"/>
      <c r="H134" s="23"/>
      <c r="I134" s="25"/>
      <c r="J134" s="23"/>
      <c r="K134" s="23"/>
      <c r="L134" s="26" t="str">
        <f aca="false">IF(OR($E134="",$F134=""),"",MOD($F134-$E134,1)*24)</f>
        <v/>
      </c>
      <c r="M134" s="27" t="str">
        <f aca="false">IF($B134="","",IFERROR(INDEX(Properties!$D$5:$D$104,MATCH($B134,Properties!$A$5:$A$104,0)),"?"))</f>
        <v/>
      </c>
      <c r="N134" s="28" t="str">
        <f aca="false">IF($B134="","",IFERROR(IF($D134="Completed",INDEX(Properties!$I$5:$I$104,MATCH($B134,Properties!$A$5:$A$104,0))*(1+IF($G134="Y",Settings!$B$8,0))+IF($H134="Y",Settings!$B$7,0)+N($I134),IF($D134="Deep clean",INDEX(Settings!$E$22:$E$26,MATCH(MIN(INDEX(Properties!$E$5:$E$104,MATCH($B134,Properties!$A$5:$A$104,0)),4),Settings!$A$22:$A$26,0))+N($I134),IF($D134="Late cancel",INDEX(Properties!$I$5:$I$104,MATCH($B134,Properties!$A$5:$A$104,0))*Settings!$B$10,0))),0))</f>
        <v/>
      </c>
      <c r="O134" s="28" t="str">
        <f aca="false">IF($B134="","",IFERROR(IF($D134="Completed",INDEX(Properties!$L$5:$L$104,MATCH($B134,Properties!$A$5:$A$104,0))+IF($G134="Y",INDEX(Properties!$I$5:$I$104,MATCH($B134,Properties!$A$5:$A$104,0))*Settings!$B$8*Settings!$B$9,0)+IF($H134="Y",Settings!$B$7*Settings!$B$9,0)+N($I134)*Settings!$B$9,IF($D134="Deep clean",INDEX(Settings!$E$22:$E$26,MATCH(MIN(INDEX(Properties!$E$5:$E$104,MATCH($B134,Properties!$A$5:$A$104,0)),4),Settings!$A$22:$A$26,0))*Settings!$B$19+N($I134)*Settings!$B$9,IF($D134="Late cancel",INDEX(Properties!$L$5:$L$104,MATCH($B134,Properties!$A$5:$A$104,0))*Settings!$B$11,0))),0))</f>
        <v/>
      </c>
      <c r="P134" s="28" t="str">
        <f aca="false">IF($B134="","",$N134-$O134)</f>
        <v/>
      </c>
      <c r="Q134" s="29" t="str">
        <f aca="false">IF($A134="","",DATE(YEAR($A134),MONTH($A134),1))</f>
        <v/>
      </c>
      <c r="R134" s="30" t="str">
        <f aca="false">IF($A134="","",$A134+MOD(6-WEEKDAY($A134),7))</f>
        <v/>
      </c>
      <c r="S134" s="31" t="str">
        <f aca="false">IF($B134="","",IF(AND($M134='Invoice Builder'!$C$5,$Q134='Invoice Builder'!$C$6,N($N134)&gt;0),COUNTIFS($M$5:$M134,'Invoice Builder'!$C$5,$Q$5:$Q134,'Invoice Builder'!$C$6,$N$5:$N134,"&gt;0"),""))</f>
        <v/>
      </c>
      <c r="T134" s="27" t="str">
        <f aca="false">IF($A134="","",IF($A134&gt;=DATE(YEAR($A134),4,6),YEAR($A134)&amp;"/"&amp;RIGHT(YEAR($A134)+1,2),YEAR($A134)-1&amp;"/"&amp;RIGHT(YEAR($A134),2)))</f>
        <v/>
      </c>
    </row>
    <row r="135" customFormat="false" ht="15" hidden="false" customHeight="false" outlineLevel="0" collapsed="false">
      <c r="A135" s="22"/>
      <c r="B135" s="23"/>
      <c r="C135" s="23"/>
      <c r="D135" s="23"/>
      <c r="E135" s="24"/>
      <c r="F135" s="24"/>
      <c r="G135" s="23"/>
      <c r="H135" s="23"/>
      <c r="I135" s="25"/>
      <c r="J135" s="23"/>
      <c r="K135" s="23"/>
      <c r="L135" s="26" t="str">
        <f aca="false">IF(OR($E135="",$F135=""),"",MOD($F135-$E135,1)*24)</f>
        <v/>
      </c>
      <c r="M135" s="27" t="str">
        <f aca="false">IF($B135="","",IFERROR(INDEX(Properties!$D$5:$D$104,MATCH($B135,Properties!$A$5:$A$104,0)),"?"))</f>
        <v/>
      </c>
      <c r="N135" s="28" t="str">
        <f aca="false">IF($B135="","",IFERROR(IF($D135="Completed",INDEX(Properties!$I$5:$I$104,MATCH($B135,Properties!$A$5:$A$104,0))*(1+IF($G135="Y",Settings!$B$8,0))+IF($H135="Y",Settings!$B$7,0)+N($I135),IF($D135="Deep clean",INDEX(Settings!$E$22:$E$26,MATCH(MIN(INDEX(Properties!$E$5:$E$104,MATCH($B135,Properties!$A$5:$A$104,0)),4),Settings!$A$22:$A$26,0))+N($I135),IF($D135="Late cancel",INDEX(Properties!$I$5:$I$104,MATCH($B135,Properties!$A$5:$A$104,0))*Settings!$B$10,0))),0))</f>
        <v/>
      </c>
      <c r="O135" s="28" t="str">
        <f aca="false">IF($B135="","",IFERROR(IF($D135="Completed",INDEX(Properties!$L$5:$L$104,MATCH($B135,Properties!$A$5:$A$104,0))+IF($G135="Y",INDEX(Properties!$I$5:$I$104,MATCH($B135,Properties!$A$5:$A$104,0))*Settings!$B$8*Settings!$B$9,0)+IF($H135="Y",Settings!$B$7*Settings!$B$9,0)+N($I135)*Settings!$B$9,IF($D135="Deep clean",INDEX(Settings!$E$22:$E$26,MATCH(MIN(INDEX(Properties!$E$5:$E$104,MATCH($B135,Properties!$A$5:$A$104,0)),4),Settings!$A$22:$A$26,0))*Settings!$B$19+N($I135)*Settings!$B$9,IF($D135="Late cancel",INDEX(Properties!$L$5:$L$104,MATCH($B135,Properties!$A$5:$A$104,0))*Settings!$B$11,0))),0))</f>
        <v/>
      </c>
      <c r="P135" s="28" t="str">
        <f aca="false">IF($B135="","",$N135-$O135)</f>
        <v/>
      </c>
      <c r="Q135" s="29" t="str">
        <f aca="false">IF($A135="","",DATE(YEAR($A135),MONTH($A135),1))</f>
        <v/>
      </c>
      <c r="R135" s="30" t="str">
        <f aca="false">IF($A135="","",$A135+MOD(6-WEEKDAY($A135),7))</f>
        <v/>
      </c>
      <c r="S135" s="31" t="str">
        <f aca="false">IF($B135="","",IF(AND($M135='Invoice Builder'!$C$5,$Q135='Invoice Builder'!$C$6,N($N135)&gt;0),COUNTIFS($M$5:$M135,'Invoice Builder'!$C$5,$Q$5:$Q135,'Invoice Builder'!$C$6,$N$5:$N135,"&gt;0"),""))</f>
        <v/>
      </c>
      <c r="T135" s="27" t="str">
        <f aca="false">IF($A135="","",IF($A135&gt;=DATE(YEAR($A135),4,6),YEAR($A135)&amp;"/"&amp;RIGHT(YEAR($A135)+1,2),YEAR($A135)-1&amp;"/"&amp;RIGHT(YEAR($A135),2)))</f>
        <v/>
      </c>
    </row>
    <row r="136" customFormat="false" ht="15" hidden="false" customHeight="false" outlineLevel="0" collapsed="false">
      <c r="A136" s="22"/>
      <c r="B136" s="23"/>
      <c r="C136" s="23"/>
      <c r="D136" s="23"/>
      <c r="E136" s="24"/>
      <c r="F136" s="24"/>
      <c r="G136" s="23"/>
      <c r="H136" s="23"/>
      <c r="I136" s="25"/>
      <c r="J136" s="23"/>
      <c r="K136" s="23"/>
      <c r="L136" s="26" t="str">
        <f aca="false">IF(OR($E136="",$F136=""),"",MOD($F136-$E136,1)*24)</f>
        <v/>
      </c>
      <c r="M136" s="27" t="str">
        <f aca="false">IF($B136="","",IFERROR(INDEX(Properties!$D$5:$D$104,MATCH($B136,Properties!$A$5:$A$104,0)),"?"))</f>
        <v/>
      </c>
      <c r="N136" s="28" t="str">
        <f aca="false">IF($B136="","",IFERROR(IF($D136="Completed",INDEX(Properties!$I$5:$I$104,MATCH($B136,Properties!$A$5:$A$104,0))*(1+IF($G136="Y",Settings!$B$8,0))+IF($H136="Y",Settings!$B$7,0)+N($I136),IF($D136="Deep clean",INDEX(Settings!$E$22:$E$26,MATCH(MIN(INDEX(Properties!$E$5:$E$104,MATCH($B136,Properties!$A$5:$A$104,0)),4),Settings!$A$22:$A$26,0))+N($I136),IF($D136="Late cancel",INDEX(Properties!$I$5:$I$104,MATCH($B136,Properties!$A$5:$A$104,0))*Settings!$B$10,0))),0))</f>
        <v/>
      </c>
      <c r="O136" s="28" t="str">
        <f aca="false">IF($B136="","",IFERROR(IF($D136="Completed",INDEX(Properties!$L$5:$L$104,MATCH($B136,Properties!$A$5:$A$104,0))+IF($G136="Y",INDEX(Properties!$I$5:$I$104,MATCH($B136,Properties!$A$5:$A$104,0))*Settings!$B$8*Settings!$B$9,0)+IF($H136="Y",Settings!$B$7*Settings!$B$9,0)+N($I136)*Settings!$B$9,IF($D136="Deep clean",INDEX(Settings!$E$22:$E$26,MATCH(MIN(INDEX(Properties!$E$5:$E$104,MATCH($B136,Properties!$A$5:$A$104,0)),4),Settings!$A$22:$A$26,0))*Settings!$B$19+N($I136)*Settings!$B$9,IF($D136="Late cancel",INDEX(Properties!$L$5:$L$104,MATCH($B136,Properties!$A$5:$A$104,0))*Settings!$B$11,0))),0))</f>
        <v/>
      </c>
      <c r="P136" s="28" t="str">
        <f aca="false">IF($B136="","",$N136-$O136)</f>
        <v/>
      </c>
      <c r="Q136" s="29" t="str">
        <f aca="false">IF($A136="","",DATE(YEAR($A136),MONTH($A136),1))</f>
        <v/>
      </c>
      <c r="R136" s="30" t="str">
        <f aca="false">IF($A136="","",$A136+MOD(6-WEEKDAY($A136),7))</f>
        <v/>
      </c>
      <c r="S136" s="31" t="str">
        <f aca="false">IF($B136="","",IF(AND($M136='Invoice Builder'!$C$5,$Q136='Invoice Builder'!$C$6,N($N136)&gt;0),COUNTIFS($M$5:$M136,'Invoice Builder'!$C$5,$Q$5:$Q136,'Invoice Builder'!$C$6,$N$5:$N136,"&gt;0"),""))</f>
        <v/>
      </c>
      <c r="T136" s="27" t="str">
        <f aca="false">IF($A136="","",IF($A136&gt;=DATE(YEAR($A136),4,6),YEAR($A136)&amp;"/"&amp;RIGHT(YEAR($A136)+1,2),YEAR($A136)-1&amp;"/"&amp;RIGHT(YEAR($A136),2)))</f>
        <v/>
      </c>
    </row>
    <row r="137" customFormat="false" ht="15" hidden="false" customHeight="false" outlineLevel="0" collapsed="false">
      <c r="A137" s="22"/>
      <c r="B137" s="23"/>
      <c r="C137" s="23"/>
      <c r="D137" s="23"/>
      <c r="E137" s="24"/>
      <c r="F137" s="24"/>
      <c r="G137" s="23"/>
      <c r="H137" s="23"/>
      <c r="I137" s="25"/>
      <c r="J137" s="23"/>
      <c r="K137" s="23"/>
      <c r="L137" s="26" t="str">
        <f aca="false">IF(OR($E137="",$F137=""),"",MOD($F137-$E137,1)*24)</f>
        <v/>
      </c>
      <c r="M137" s="27" t="str">
        <f aca="false">IF($B137="","",IFERROR(INDEX(Properties!$D$5:$D$104,MATCH($B137,Properties!$A$5:$A$104,0)),"?"))</f>
        <v/>
      </c>
      <c r="N137" s="28" t="str">
        <f aca="false">IF($B137="","",IFERROR(IF($D137="Completed",INDEX(Properties!$I$5:$I$104,MATCH($B137,Properties!$A$5:$A$104,0))*(1+IF($G137="Y",Settings!$B$8,0))+IF($H137="Y",Settings!$B$7,0)+N($I137),IF($D137="Deep clean",INDEX(Settings!$E$22:$E$26,MATCH(MIN(INDEX(Properties!$E$5:$E$104,MATCH($B137,Properties!$A$5:$A$104,0)),4),Settings!$A$22:$A$26,0))+N($I137),IF($D137="Late cancel",INDEX(Properties!$I$5:$I$104,MATCH($B137,Properties!$A$5:$A$104,0))*Settings!$B$10,0))),0))</f>
        <v/>
      </c>
      <c r="O137" s="28" t="str">
        <f aca="false">IF($B137="","",IFERROR(IF($D137="Completed",INDEX(Properties!$L$5:$L$104,MATCH($B137,Properties!$A$5:$A$104,0))+IF($G137="Y",INDEX(Properties!$I$5:$I$104,MATCH($B137,Properties!$A$5:$A$104,0))*Settings!$B$8*Settings!$B$9,0)+IF($H137="Y",Settings!$B$7*Settings!$B$9,0)+N($I137)*Settings!$B$9,IF($D137="Deep clean",INDEX(Settings!$E$22:$E$26,MATCH(MIN(INDEX(Properties!$E$5:$E$104,MATCH($B137,Properties!$A$5:$A$104,0)),4),Settings!$A$22:$A$26,0))*Settings!$B$19+N($I137)*Settings!$B$9,IF($D137="Late cancel",INDEX(Properties!$L$5:$L$104,MATCH($B137,Properties!$A$5:$A$104,0))*Settings!$B$11,0))),0))</f>
        <v/>
      </c>
      <c r="P137" s="28" t="str">
        <f aca="false">IF($B137="","",$N137-$O137)</f>
        <v/>
      </c>
      <c r="Q137" s="29" t="str">
        <f aca="false">IF($A137="","",DATE(YEAR($A137),MONTH($A137),1))</f>
        <v/>
      </c>
      <c r="R137" s="30" t="str">
        <f aca="false">IF($A137="","",$A137+MOD(6-WEEKDAY($A137),7))</f>
        <v/>
      </c>
      <c r="S137" s="31" t="str">
        <f aca="false">IF($B137="","",IF(AND($M137='Invoice Builder'!$C$5,$Q137='Invoice Builder'!$C$6,N($N137)&gt;0),COUNTIFS($M$5:$M137,'Invoice Builder'!$C$5,$Q$5:$Q137,'Invoice Builder'!$C$6,$N$5:$N137,"&gt;0"),""))</f>
        <v/>
      </c>
      <c r="T137" s="27" t="str">
        <f aca="false">IF($A137="","",IF($A137&gt;=DATE(YEAR($A137),4,6),YEAR($A137)&amp;"/"&amp;RIGHT(YEAR($A137)+1,2),YEAR($A137)-1&amp;"/"&amp;RIGHT(YEAR($A137),2)))</f>
        <v/>
      </c>
    </row>
    <row r="138" customFormat="false" ht="15" hidden="false" customHeight="false" outlineLevel="0" collapsed="false">
      <c r="A138" s="22"/>
      <c r="B138" s="23"/>
      <c r="C138" s="23"/>
      <c r="D138" s="23"/>
      <c r="E138" s="24"/>
      <c r="F138" s="24"/>
      <c r="G138" s="23"/>
      <c r="H138" s="23"/>
      <c r="I138" s="25"/>
      <c r="J138" s="23"/>
      <c r="K138" s="23"/>
      <c r="L138" s="26" t="str">
        <f aca="false">IF(OR($E138="",$F138=""),"",MOD($F138-$E138,1)*24)</f>
        <v/>
      </c>
      <c r="M138" s="27" t="str">
        <f aca="false">IF($B138="","",IFERROR(INDEX(Properties!$D$5:$D$104,MATCH($B138,Properties!$A$5:$A$104,0)),"?"))</f>
        <v/>
      </c>
      <c r="N138" s="28" t="str">
        <f aca="false">IF($B138="","",IFERROR(IF($D138="Completed",INDEX(Properties!$I$5:$I$104,MATCH($B138,Properties!$A$5:$A$104,0))*(1+IF($G138="Y",Settings!$B$8,0))+IF($H138="Y",Settings!$B$7,0)+N($I138),IF($D138="Deep clean",INDEX(Settings!$E$22:$E$26,MATCH(MIN(INDEX(Properties!$E$5:$E$104,MATCH($B138,Properties!$A$5:$A$104,0)),4),Settings!$A$22:$A$26,0))+N($I138),IF($D138="Late cancel",INDEX(Properties!$I$5:$I$104,MATCH($B138,Properties!$A$5:$A$104,0))*Settings!$B$10,0))),0))</f>
        <v/>
      </c>
      <c r="O138" s="28" t="str">
        <f aca="false">IF($B138="","",IFERROR(IF($D138="Completed",INDEX(Properties!$L$5:$L$104,MATCH($B138,Properties!$A$5:$A$104,0))+IF($G138="Y",INDEX(Properties!$I$5:$I$104,MATCH($B138,Properties!$A$5:$A$104,0))*Settings!$B$8*Settings!$B$9,0)+IF($H138="Y",Settings!$B$7*Settings!$B$9,0)+N($I138)*Settings!$B$9,IF($D138="Deep clean",INDEX(Settings!$E$22:$E$26,MATCH(MIN(INDEX(Properties!$E$5:$E$104,MATCH($B138,Properties!$A$5:$A$104,0)),4),Settings!$A$22:$A$26,0))*Settings!$B$19+N($I138)*Settings!$B$9,IF($D138="Late cancel",INDEX(Properties!$L$5:$L$104,MATCH($B138,Properties!$A$5:$A$104,0))*Settings!$B$11,0))),0))</f>
        <v/>
      </c>
      <c r="P138" s="28" t="str">
        <f aca="false">IF($B138="","",$N138-$O138)</f>
        <v/>
      </c>
      <c r="Q138" s="29" t="str">
        <f aca="false">IF($A138="","",DATE(YEAR($A138),MONTH($A138),1))</f>
        <v/>
      </c>
      <c r="R138" s="30" t="str">
        <f aca="false">IF($A138="","",$A138+MOD(6-WEEKDAY($A138),7))</f>
        <v/>
      </c>
      <c r="S138" s="31" t="str">
        <f aca="false">IF($B138="","",IF(AND($M138='Invoice Builder'!$C$5,$Q138='Invoice Builder'!$C$6,N($N138)&gt;0),COUNTIFS($M$5:$M138,'Invoice Builder'!$C$5,$Q$5:$Q138,'Invoice Builder'!$C$6,$N$5:$N138,"&gt;0"),""))</f>
        <v/>
      </c>
      <c r="T138" s="27" t="str">
        <f aca="false">IF($A138="","",IF($A138&gt;=DATE(YEAR($A138),4,6),YEAR($A138)&amp;"/"&amp;RIGHT(YEAR($A138)+1,2),YEAR($A138)-1&amp;"/"&amp;RIGHT(YEAR($A138),2)))</f>
        <v/>
      </c>
    </row>
    <row r="139" customFormat="false" ht="15" hidden="false" customHeight="false" outlineLevel="0" collapsed="false">
      <c r="A139" s="22"/>
      <c r="B139" s="23"/>
      <c r="C139" s="23"/>
      <c r="D139" s="23"/>
      <c r="E139" s="24"/>
      <c r="F139" s="24"/>
      <c r="G139" s="23"/>
      <c r="H139" s="23"/>
      <c r="I139" s="25"/>
      <c r="J139" s="23"/>
      <c r="K139" s="23"/>
      <c r="L139" s="26" t="str">
        <f aca="false">IF(OR($E139="",$F139=""),"",MOD($F139-$E139,1)*24)</f>
        <v/>
      </c>
      <c r="M139" s="27" t="str">
        <f aca="false">IF($B139="","",IFERROR(INDEX(Properties!$D$5:$D$104,MATCH($B139,Properties!$A$5:$A$104,0)),"?"))</f>
        <v/>
      </c>
      <c r="N139" s="28" t="str">
        <f aca="false">IF($B139="","",IFERROR(IF($D139="Completed",INDEX(Properties!$I$5:$I$104,MATCH($B139,Properties!$A$5:$A$104,0))*(1+IF($G139="Y",Settings!$B$8,0))+IF($H139="Y",Settings!$B$7,0)+N($I139),IF($D139="Deep clean",INDEX(Settings!$E$22:$E$26,MATCH(MIN(INDEX(Properties!$E$5:$E$104,MATCH($B139,Properties!$A$5:$A$104,0)),4),Settings!$A$22:$A$26,0))+N($I139),IF($D139="Late cancel",INDEX(Properties!$I$5:$I$104,MATCH($B139,Properties!$A$5:$A$104,0))*Settings!$B$10,0))),0))</f>
        <v/>
      </c>
      <c r="O139" s="28" t="str">
        <f aca="false">IF($B139="","",IFERROR(IF($D139="Completed",INDEX(Properties!$L$5:$L$104,MATCH($B139,Properties!$A$5:$A$104,0))+IF($G139="Y",INDEX(Properties!$I$5:$I$104,MATCH($B139,Properties!$A$5:$A$104,0))*Settings!$B$8*Settings!$B$9,0)+IF($H139="Y",Settings!$B$7*Settings!$B$9,0)+N($I139)*Settings!$B$9,IF($D139="Deep clean",INDEX(Settings!$E$22:$E$26,MATCH(MIN(INDEX(Properties!$E$5:$E$104,MATCH($B139,Properties!$A$5:$A$104,0)),4),Settings!$A$22:$A$26,0))*Settings!$B$19+N($I139)*Settings!$B$9,IF($D139="Late cancel",INDEX(Properties!$L$5:$L$104,MATCH($B139,Properties!$A$5:$A$104,0))*Settings!$B$11,0))),0))</f>
        <v/>
      </c>
      <c r="P139" s="28" t="str">
        <f aca="false">IF($B139="","",$N139-$O139)</f>
        <v/>
      </c>
      <c r="Q139" s="29" t="str">
        <f aca="false">IF($A139="","",DATE(YEAR($A139),MONTH($A139),1))</f>
        <v/>
      </c>
      <c r="R139" s="30" t="str">
        <f aca="false">IF($A139="","",$A139+MOD(6-WEEKDAY($A139),7))</f>
        <v/>
      </c>
      <c r="S139" s="31" t="str">
        <f aca="false">IF($B139="","",IF(AND($M139='Invoice Builder'!$C$5,$Q139='Invoice Builder'!$C$6,N($N139)&gt;0),COUNTIFS($M$5:$M139,'Invoice Builder'!$C$5,$Q$5:$Q139,'Invoice Builder'!$C$6,$N$5:$N139,"&gt;0"),""))</f>
        <v/>
      </c>
      <c r="T139" s="27" t="str">
        <f aca="false">IF($A139="","",IF($A139&gt;=DATE(YEAR($A139),4,6),YEAR($A139)&amp;"/"&amp;RIGHT(YEAR($A139)+1,2),YEAR($A139)-1&amp;"/"&amp;RIGHT(YEAR($A139),2)))</f>
        <v/>
      </c>
    </row>
    <row r="140" customFormat="false" ht="15" hidden="false" customHeight="false" outlineLevel="0" collapsed="false">
      <c r="A140" s="22"/>
      <c r="B140" s="23"/>
      <c r="C140" s="23"/>
      <c r="D140" s="23"/>
      <c r="E140" s="24"/>
      <c r="F140" s="24"/>
      <c r="G140" s="23"/>
      <c r="H140" s="23"/>
      <c r="I140" s="25"/>
      <c r="J140" s="23"/>
      <c r="K140" s="23"/>
      <c r="L140" s="26" t="str">
        <f aca="false">IF(OR($E140="",$F140=""),"",MOD($F140-$E140,1)*24)</f>
        <v/>
      </c>
      <c r="M140" s="27" t="str">
        <f aca="false">IF($B140="","",IFERROR(INDEX(Properties!$D$5:$D$104,MATCH($B140,Properties!$A$5:$A$104,0)),"?"))</f>
        <v/>
      </c>
      <c r="N140" s="28" t="str">
        <f aca="false">IF($B140="","",IFERROR(IF($D140="Completed",INDEX(Properties!$I$5:$I$104,MATCH($B140,Properties!$A$5:$A$104,0))*(1+IF($G140="Y",Settings!$B$8,0))+IF($H140="Y",Settings!$B$7,0)+N($I140),IF($D140="Deep clean",INDEX(Settings!$E$22:$E$26,MATCH(MIN(INDEX(Properties!$E$5:$E$104,MATCH($B140,Properties!$A$5:$A$104,0)),4),Settings!$A$22:$A$26,0))+N($I140),IF($D140="Late cancel",INDEX(Properties!$I$5:$I$104,MATCH($B140,Properties!$A$5:$A$104,0))*Settings!$B$10,0))),0))</f>
        <v/>
      </c>
      <c r="O140" s="28" t="str">
        <f aca="false">IF($B140="","",IFERROR(IF($D140="Completed",INDEX(Properties!$L$5:$L$104,MATCH($B140,Properties!$A$5:$A$104,0))+IF($G140="Y",INDEX(Properties!$I$5:$I$104,MATCH($B140,Properties!$A$5:$A$104,0))*Settings!$B$8*Settings!$B$9,0)+IF($H140="Y",Settings!$B$7*Settings!$B$9,0)+N($I140)*Settings!$B$9,IF($D140="Deep clean",INDEX(Settings!$E$22:$E$26,MATCH(MIN(INDEX(Properties!$E$5:$E$104,MATCH($B140,Properties!$A$5:$A$104,0)),4),Settings!$A$22:$A$26,0))*Settings!$B$19+N($I140)*Settings!$B$9,IF($D140="Late cancel",INDEX(Properties!$L$5:$L$104,MATCH($B140,Properties!$A$5:$A$104,0))*Settings!$B$11,0))),0))</f>
        <v/>
      </c>
      <c r="P140" s="28" t="str">
        <f aca="false">IF($B140="","",$N140-$O140)</f>
        <v/>
      </c>
      <c r="Q140" s="29" t="str">
        <f aca="false">IF($A140="","",DATE(YEAR($A140),MONTH($A140),1))</f>
        <v/>
      </c>
      <c r="R140" s="30" t="str">
        <f aca="false">IF($A140="","",$A140+MOD(6-WEEKDAY($A140),7))</f>
        <v/>
      </c>
      <c r="S140" s="31" t="str">
        <f aca="false">IF($B140="","",IF(AND($M140='Invoice Builder'!$C$5,$Q140='Invoice Builder'!$C$6,N($N140)&gt;0),COUNTIFS($M$5:$M140,'Invoice Builder'!$C$5,$Q$5:$Q140,'Invoice Builder'!$C$6,$N$5:$N140,"&gt;0"),""))</f>
        <v/>
      </c>
      <c r="T140" s="27" t="str">
        <f aca="false">IF($A140="","",IF($A140&gt;=DATE(YEAR($A140),4,6),YEAR($A140)&amp;"/"&amp;RIGHT(YEAR($A140)+1,2),YEAR($A140)-1&amp;"/"&amp;RIGHT(YEAR($A140),2)))</f>
        <v/>
      </c>
    </row>
    <row r="141" customFormat="false" ht="15" hidden="false" customHeight="false" outlineLevel="0" collapsed="false">
      <c r="A141" s="22"/>
      <c r="B141" s="23"/>
      <c r="C141" s="23"/>
      <c r="D141" s="23"/>
      <c r="E141" s="24"/>
      <c r="F141" s="24"/>
      <c r="G141" s="23"/>
      <c r="H141" s="23"/>
      <c r="I141" s="25"/>
      <c r="J141" s="23"/>
      <c r="K141" s="23"/>
      <c r="L141" s="26" t="str">
        <f aca="false">IF(OR($E141="",$F141=""),"",MOD($F141-$E141,1)*24)</f>
        <v/>
      </c>
      <c r="M141" s="27" t="str">
        <f aca="false">IF($B141="","",IFERROR(INDEX(Properties!$D$5:$D$104,MATCH($B141,Properties!$A$5:$A$104,0)),"?"))</f>
        <v/>
      </c>
      <c r="N141" s="28" t="str">
        <f aca="false">IF($B141="","",IFERROR(IF($D141="Completed",INDEX(Properties!$I$5:$I$104,MATCH($B141,Properties!$A$5:$A$104,0))*(1+IF($G141="Y",Settings!$B$8,0))+IF($H141="Y",Settings!$B$7,0)+N($I141),IF($D141="Deep clean",INDEX(Settings!$E$22:$E$26,MATCH(MIN(INDEX(Properties!$E$5:$E$104,MATCH($B141,Properties!$A$5:$A$104,0)),4),Settings!$A$22:$A$26,0))+N($I141),IF($D141="Late cancel",INDEX(Properties!$I$5:$I$104,MATCH($B141,Properties!$A$5:$A$104,0))*Settings!$B$10,0))),0))</f>
        <v/>
      </c>
      <c r="O141" s="28" t="str">
        <f aca="false">IF($B141="","",IFERROR(IF($D141="Completed",INDEX(Properties!$L$5:$L$104,MATCH($B141,Properties!$A$5:$A$104,0))+IF($G141="Y",INDEX(Properties!$I$5:$I$104,MATCH($B141,Properties!$A$5:$A$104,0))*Settings!$B$8*Settings!$B$9,0)+IF($H141="Y",Settings!$B$7*Settings!$B$9,0)+N($I141)*Settings!$B$9,IF($D141="Deep clean",INDEX(Settings!$E$22:$E$26,MATCH(MIN(INDEX(Properties!$E$5:$E$104,MATCH($B141,Properties!$A$5:$A$104,0)),4),Settings!$A$22:$A$26,0))*Settings!$B$19+N($I141)*Settings!$B$9,IF($D141="Late cancel",INDEX(Properties!$L$5:$L$104,MATCH($B141,Properties!$A$5:$A$104,0))*Settings!$B$11,0))),0))</f>
        <v/>
      </c>
      <c r="P141" s="28" t="str">
        <f aca="false">IF($B141="","",$N141-$O141)</f>
        <v/>
      </c>
      <c r="Q141" s="29" t="str">
        <f aca="false">IF($A141="","",DATE(YEAR($A141),MONTH($A141),1))</f>
        <v/>
      </c>
      <c r="R141" s="30" t="str">
        <f aca="false">IF($A141="","",$A141+MOD(6-WEEKDAY($A141),7))</f>
        <v/>
      </c>
      <c r="S141" s="31" t="str">
        <f aca="false">IF($B141="","",IF(AND($M141='Invoice Builder'!$C$5,$Q141='Invoice Builder'!$C$6,N($N141)&gt;0),COUNTIFS($M$5:$M141,'Invoice Builder'!$C$5,$Q$5:$Q141,'Invoice Builder'!$C$6,$N$5:$N141,"&gt;0"),""))</f>
        <v/>
      </c>
      <c r="T141" s="27" t="str">
        <f aca="false">IF($A141="","",IF($A141&gt;=DATE(YEAR($A141),4,6),YEAR($A141)&amp;"/"&amp;RIGHT(YEAR($A141)+1,2),YEAR($A141)-1&amp;"/"&amp;RIGHT(YEAR($A141),2)))</f>
        <v/>
      </c>
    </row>
    <row r="142" customFormat="false" ht="15" hidden="false" customHeight="false" outlineLevel="0" collapsed="false">
      <c r="A142" s="22"/>
      <c r="B142" s="23"/>
      <c r="C142" s="23"/>
      <c r="D142" s="23"/>
      <c r="E142" s="24"/>
      <c r="F142" s="24"/>
      <c r="G142" s="23"/>
      <c r="H142" s="23"/>
      <c r="I142" s="25"/>
      <c r="J142" s="23"/>
      <c r="K142" s="23"/>
      <c r="L142" s="26" t="str">
        <f aca="false">IF(OR($E142="",$F142=""),"",MOD($F142-$E142,1)*24)</f>
        <v/>
      </c>
      <c r="M142" s="27" t="str">
        <f aca="false">IF($B142="","",IFERROR(INDEX(Properties!$D$5:$D$104,MATCH($B142,Properties!$A$5:$A$104,0)),"?"))</f>
        <v/>
      </c>
      <c r="N142" s="28" t="str">
        <f aca="false">IF($B142="","",IFERROR(IF($D142="Completed",INDEX(Properties!$I$5:$I$104,MATCH($B142,Properties!$A$5:$A$104,0))*(1+IF($G142="Y",Settings!$B$8,0))+IF($H142="Y",Settings!$B$7,0)+N($I142),IF($D142="Deep clean",INDEX(Settings!$E$22:$E$26,MATCH(MIN(INDEX(Properties!$E$5:$E$104,MATCH($B142,Properties!$A$5:$A$104,0)),4),Settings!$A$22:$A$26,0))+N($I142),IF($D142="Late cancel",INDEX(Properties!$I$5:$I$104,MATCH($B142,Properties!$A$5:$A$104,0))*Settings!$B$10,0))),0))</f>
        <v/>
      </c>
      <c r="O142" s="28" t="str">
        <f aca="false">IF($B142="","",IFERROR(IF($D142="Completed",INDEX(Properties!$L$5:$L$104,MATCH($B142,Properties!$A$5:$A$104,0))+IF($G142="Y",INDEX(Properties!$I$5:$I$104,MATCH($B142,Properties!$A$5:$A$104,0))*Settings!$B$8*Settings!$B$9,0)+IF($H142="Y",Settings!$B$7*Settings!$B$9,0)+N($I142)*Settings!$B$9,IF($D142="Deep clean",INDEX(Settings!$E$22:$E$26,MATCH(MIN(INDEX(Properties!$E$5:$E$104,MATCH($B142,Properties!$A$5:$A$104,0)),4),Settings!$A$22:$A$26,0))*Settings!$B$19+N($I142)*Settings!$B$9,IF($D142="Late cancel",INDEX(Properties!$L$5:$L$104,MATCH($B142,Properties!$A$5:$A$104,0))*Settings!$B$11,0))),0))</f>
        <v/>
      </c>
      <c r="P142" s="28" t="str">
        <f aca="false">IF($B142="","",$N142-$O142)</f>
        <v/>
      </c>
      <c r="Q142" s="29" t="str">
        <f aca="false">IF($A142="","",DATE(YEAR($A142),MONTH($A142),1))</f>
        <v/>
      </c>
      <c r="R142" s="30" t="str">
        <f aca="false">IF($A142="","",$A142+MOD(6-WEEKDAY($A142),7))</f>
        <v/>
      </c>
      <c r="S142" s="31" t="str">
        <f aca="false">IF($B142="","",IF(AND($M142='Invoice Builder'!$C$5,$Q142='Invoice Builder'!$C$6,N($N142)&gt;0),COUNTIFS($M$5:$M142,'Invoice Builder'!$C$5,$Q$5:$Q142,'Invoice Builder'!$C$6,$N$5:$N142,"&gt;0"),""))</f>
        <v/>
      </c>
      <c r="T142" s="27" t="str">
        <f aca="false">IF($A142="","",IF($A142&gt;=DATE(YEAR($A142),4,6),YEAR($A142)&amp;"/"&amp;RIGHT(YEAR($A142)+1,2),YEAR($A142)-1&amp;"/"&amp;RIGHT(YEAR($A142),2)))</f>
        <v/>
      </c>
    </row>
    <row r="143" customFormat="false" ht="15" hidden="false" customHeight="false" outlineLevel="0" collapsed="false">
      <c r="A143" s="22"/>
      <c r="B143" s="23"/>
      <c r="C143" s="23"/>
      <c r="D143" s="23"/>
      <c r="E143" s="24"/>
      <c r="F143" s="24"/>
      <c r="G143" s="23"/>
      <c r="H143" s="23"/>
      <c r="I143" s="25"/>
      <c r="J143" s="23"/>
      <c r="K143" s="23"/>
      <c r="L143" s="26" t="str">
        <f aca="false">IF(OR($E143="",$F143=""),"",MOD($F143-$E143,1)*24)</f>
        <v/>
      </c>
      <c r="M143" s="27" t="str">
        <f aca="false">IF($B143="","",IFERROR(INDEX(Properties!$D$5:$D$104,MATCH($B143,Properties!$A$5:$A$104,0)),"?"))</f>
        <v/>
      </c>
      <c r="N143" s="28" t="str">
        <f aca="false">IF($B143="","",IFERROR(IF($D143="Completed",INDEX(Properties!$I$5:$I$104,MATCH($B143,Properties!$A$5:$A$104,0))*(1+IF($G143="Y",Settings!$B$8,0))+IF($H143="Y",Settings!$B$7,0)+N($I143),IF($D143="Deep clean",INDEX(Settings!$E$22:$E$26,MATCH(MIN(INDEX(Properties!$E$5:$E$104,MATCH($B143,Properties!$A$5:$A$104,0)),4),Settings!$A$22:$A$26,0))+N($I143),IF($D143="Late cancel",INDEX(Properties!$I$5:$I$104,MATCH($B143,Properties!$A$5:$A$104,0))*Settings!$B$10,0))),0))</f>
        <v/>
      </c>
      <c r="O143" s="28" t="str">
        <f aca="false">IF($B143="","",IFERROR(IF($D143="Completed",INDEX(Properties!$L$5:$L$104,MATCH($B143,Properties!$A$5:$A$104,0))+IF($G143="Y",INDEX(Properties!$I$5:$I$104,MATCH($B143,Properties!$A$5:$A$104,0))*Settings!$B$8*Settings!$B$9,0)+IF($H143="Y",Settings!$B$7*Settings!$B$9,0)+N($I143)*Settings!$B$9,IF($D143="Deep clean",INDEX(Settings!$E$22:$E$26,MATCH(MIN(INDEX(Properties!$E$5:$E$104,MATCH($B143,Properties!$A$5:$A$104,0)),4),Settings!$A$22:$A$26,0))*Settings!$B$19+N($I143)*Settings!$B$9,IF($D143="Late cancel",INDEX(Properties!$L$5:$L$104,MATCH($B143,Properties!$A$5:$A$104,0))*Settings!$B$11,0))),0))</f>
        <v/>
      </c>
      <c r="P143" s="28" t="str">
        <f aca="false">IF($B143="","",$N143-$O143)</f>
        <v/>
      </c>
      <c r="Q143" s="29" t="str">
        <f aca="false">IF($A143="","",DATE(YEAR($A143),MONTH($A143),1))</f>
        <v/>
      </c>
      <c r="R143" s="30" t="str">
        <f aca="false">IF($A143="","",$A143+MOD(6-WEEKDAY($A143),7))</f>
        <v/>
      </c>
      <c r="S143" s="31" t="str">
        <f aca="false">IF($B143="","",IF(AND($M143='Invoice Builder'!$C$5,$Q143='Invoice Builder'!$C$6,N($N143)&gt;0),COUNTIFS($M$5:$M143,'Invoice Builder'!$C$5,$Q$5:$Q143,'Invoice Builder'!$C$6,$N$5:$N143,"&gt;0"),""))</f>
        <v/>
      </c>
      <c r="T143" s="27" t="str">
        <f aca="false">IF($A143="","",IF($A143&gt;=DATE(YEAR($A143),4,6),YEAR($A143)&amp;"/"&amp;RIGHT(YEAR($A143)+1,2),YEAR($A143)-1&amp;"/"&amp;RIGHT(YEAR($A143),2)))</f>
        <v/>
      </c>
    </row>
    <row r="144" customFormat="false" ht="15" hidden="false" customHeight="false" outlineLevel="0" collapsed="false">
      <c r="A144" s="22"/>
      <c r="B144" s="23"/>
      <c r="C144" s="23"/>
      <c r="D144" s="23"/>
      <c r="E144" s="24"/>
      <c r="F144" s="24"/>
      <c r="G144" s="23"/>
      <c r="H144" s="23"/>
      <c r="I144" s="25"/>
      <c r="J144" s="23"/>
      <c r="K144" s="23"/>
      <c r="L144" s="26" t="str">
        <f aca="false">IF(OR($E144="",$F144=""),"",MOD($F144-$E144,1)*24)</f>
        <v/>
      </c>
      <c r="M144" s="27" t="str">
        <f aca="false">IF($B144="","",IFERROR(INDEX(Properties!$D$5:$D$104,MATCH($B144,Properties!$A$5:$A$104,0)),"?"))</f>
        <v/>
      </c>
      <c r="N144" s="28" t="str">
        <f aca="false">IF($B144="","",IFERROR(IF($D144="Completed",INDEX(Properties!$I$5:$I$104,MATCH($B144,Properties!$A$5:$A$104,0))*(1+IF($G144="Y",Settings!$B$8,0))+IF($H144="Y",Settings!$B$7,0)+N($I144),IF($D144="Deep clean",INDEX(Settings!$E$22:$E$26,MATCH(MIN(INDEX(Properties!$E$5:$E$104,MATCH($B144,Properties!$A$5:$A$104,0)),4),Settings!$A$22:$A$26,0))+N($I144),IF($D144="Late cancel",INDEX(Properties!$I$5:$I$104,MATCH($B144,Properties!$A$5:$A$104,0))*Settings!$B$10,0))),0))</f>
        <v/>
      </c>
      <c r="O144" s="28" t="str">
        <f aca="false">IF($B144="","",IFERROR(IF($D144="Completed",INDEX(Properties!$L$5:$L$104,MATCH($B144,Properties!$A$5:$A$104,0))+IF($G144="Y",INDEX(Properties!$I$5:$I$104,MATCH($B144,Properties!$A$5:$A$104,0))*Settings!$B$8*Settings!$B$9,0)+IF($H144="Y",Settings!$B$7*Settings!$B$9,0)+N($I144)*Settings!$B$9,IF($D144="Deep clean",INDEX(Settings!$E$22:$E$26,MATCH(MIN(INDEX(Properties!$E$5:$E$104,MATCH($B144,Properties!$A$5:$A$104,0)),4),Settings!$A$22:$A$26,0))*Settings!$B$19+N($I144)*Settings!$B$9,IF($D144="Late cancel",INDEX(Properties!$L$5:$L$104,MATCH($B144,Properties!$A$5:$A$104,0))*Settings!$B$11,0))),0))</f>
        <v/>
      </c>
      <c r="P144" s="28" t="str">
        <f aca="false">IF($B144="","",$N144-$O144)</f>
        <v/>
      </c>
      <c r="Q144" s="29" t="str">
        <f aca="false">IF($A144="","",DATE(YEAR($A144),MONTH($A144),1))</f>
        <v/>
      </c>
      <c r="R144" s="30" t="str">
        <f aca="false">IF($A144="","",$A144+MOD(6-WEEKDAY($A144),7))</f>
        <v/>
      </c>
      <c r="S144" s="31" t="str">
        <f aca="false">IF($B144="","",IF(AND($M144='Invoice Builder'!$C$5,$Q144='Invoice Builder'!$C$6,N($N144)&gt;0),COUNTIFS($M$5:$M144,'Invoice Builder'!$C$5,$Q$5:$Q144,'Invoice Builder'!$C$6,$N$5:$N144,"&gt;0"),""))</f>
        <v/>
      </c>
      <c r="T144" s="27" t="str">
        <f aca="false">IF($A144="","",IF($A144&gt;=DATE(YEAR($A144),4,6),YEAR($A144)&amp;"/"&amp;RIGHT(YEAR($A144)+1,2),YEAR($A144)-1&amp;"/"&amp;RIGHT(YEAR($A144),2)))</f>
        <v/>
      </c>
    </row>
    <row r="145" customFormat="false" ht="15" hidden="false" customHeight="false" outlineLevel="0" collapsed="false">
      <c r="A145" s="22"/>
      <c r="B145" s="23"/>
      <c r="C145" s="23"/>
      <c r="D145" s="23"/>
      <c r="E145" s="24"/>
      <c r="F145" s="24"/>
      <c r="G145" s="23"/>
      <c r="H145" s="23"/>
      <c r="I145" s="25"/>
      <c r="J145" s="23"/>
      <c r="K145" s="23"/>
      <c r="L145" s="26" t="str">
        <f aca="false">IF(OR($E145="",$F145=""),"",MOD($F145-$E145,1)*24)</f>
        <v/>
      </c>
      <c r="M145" s="27" t="str">
        <f aca="false">IF($B145="","",IFERROR(INDEX(Properties!$D$5:$D$104,MATCH($B145,Properties!$A$5:$A$104,0)),"?"))</f>
        <v/>
      </c>
      <c r="N145" s="28" t="str">
        <f aca="false">IF($B145="","",IFERROR(IF($D145="Completed",INDEX(Properties!$I$5:$I$104,MATCH($B145,Properties!$A$5:$A$104,0))*(1+IF($G145="Y",Settings!$B$8,0))+IF($H145="Y",Settings!$B$7,0)+N($I145),IF($D145="Deep clean",INDEX(Settings!$E$22:$E$26,MATCH(MIN(INDEX(Properties!$E$5:$E$104,MATCH($B145,Properties!$A$5:$A$104,0)),4),Settings!$A$22:$A$26,0))+N($I145),IF($D145="Late cancel",INDEX(Properties!$I$5:$I$104,MATCH($B145,Properties!$A$5:$A$104,0))*Settings!$B$10,0))),0))</f>
        <v/>
      </c>
      <c r="O145" s="28" t="str">
        <f aca="false">IF($B145="","",IFERROR(IF($D145="Completed",INDEX(Properties!$L$5:$L$104,MATCH($B145,Properties!$A$5:$A$104,0))+IF($G145="Y",INDEX(Properties!$I$5:$I$104,MATCH($B145,Properties!$A$5:$A$104,0))*Settings!$B$8*Settings!$B$9,0)+IF($H145="Y",Settings!$B$7*Settings!$B$9,0)+N($I145)*Settings!$B$9,IF($D145="Deep clean",INDEX(Settings!$E$22:$E$26,MATCH(MIN(INDEX(Properties!$E$5:$E$104,MATCH($B145,Properties!$A$5:$A$104,0)),4),Settings!$A$22:$A$26,0))*Settings!$B$19+N($I145)*Settings!$B$9,IF($D145="Late cancel",INDEX(Properties!$L$5:$L$104,MATCH($B145,Properties!$A$5:$A$104,0))*Settings!$B$11,0))),0))</f>
        <v/>
      </c>
      <c r="P145" s="28" t="str">
        <f aca="false">IF($B145="","",$N145-$O145)</f>
        <v/>
      </c>
      <c r="Q145" s="29" t="str">
        <f aca="false">IF($A145="","",DATE(YEAR($A145),MONTH($A145),1))</f>
        <v/>
      </c>
      <c r="R145" s="30" t="str">
        <f aca="false">IF($A145="","",$A145+MOD(6-WEEKDAY($A145),7))</f>
        <v/>
      </c>
      <c r="S145" s="31" t="str">
        <f aca="false">IF($B145="","",IF(AND($M145='Invoice Builder'!$C$5,$Q145='Invoice Builder'!$C$6,N($N145)&gt;0),COUNTIFS($M$5:$M145,'Invoice Builder'!$C$5,$Q$5:$Q145,'Invoice Builder'!$C$6,$N$5:$N145,"&gt;0"),""))</f>
        <v/>
      </c>
      <c r="T145" s="27" t="str">
        <f aca="false">IF($A145="","",IF($A145&gt;=DATE(YEAR($A145),4,6),YEAR($A145)&amp;"/"&amp;RIGHT(YEAR($A145)+1,2),YEAR($A145)-1&amp;"/"&amp;RIGHT(YEAR($A145),2)))</f>
        <v/>
      </c>
    </row>
    <row r="146" customFormat="false" ht="15" hidden="false" customHeight="false" outlineLevel="0" collapsed="false">
      <c r="A146" s="22"/>
      <c r="B146" s="23"/>
      <c r="C146" s="23"/>
      <c r="D146" s="23"/>
      <c r="E146" s="24"/>
      <c r="F146" s="24"/>
      <c r="G146" s="23"/>
      <c r="H146" s="23"/>
      <c r="I146" s="25"/>
      <c r="J146" s="23"/>
      <c r="K146" s="23"/>
      <c r="L146" s="26" t="str">
        <f aca="false">IF(OR($E146="",$F146=""),"",MOD($F146-$E146,1)*24)</f>
        <v/>
      </c>
      <c r="M146" s="27" t="str">
        <f aca="false">IF($B146="","",IFERROR(INDEX(Properties!$D$5:$D$104,MATCH($B146,Properties!$A$5:$A$104,0)),"?"))</f>
        <v/>
      </c>
      <c r="N146" s="28" t="str">
        <f aca="false">IF($B146="","",IFERROR(IF($D146="Completed",INDEX(Properties!$I$5:$I$104,MATCH($B146,Properties!$A$5:$A$104,0))*(1+IF($G146="Y",Settings!$B$8,0))+IF($H146="Y",Settings!$B$7,0)+N($I146),IF($D146="Deep clean",INDEX(Settings!$E$22:$E$26,MATCH(MIN(INDEX(Properties!$E$5:$E$104,MATCH($B146,Properties!$A$5:$A$104,0)),4),Settings!$A$22:$A$26,0))+N($I146),IF($D146="Late cancel",INDEX(Properties!$I$5:$I$104,MATCH($B146,Properties!$A$5:$A$104,0))*Settings!$B$10,0))),0))</f>
        <v/>
      </c>
      <c r="O146" s="28" t="str">
        <f aca="false">IF($B146="","",IFERROR(IF($D146="Completed",INDEX(Properties!$L$5:$L$104,MATCH($B146,Properties!$A$5:$A$104,0))+IF($G146="Y",INDEX(Properties!$I$5:$I$104,MATCH($B146,Properties!$A$5:$A$104,0))*Settings!$B$8*Settings!$B$9,0)+IF($H146="Y",Settings!$B$7*Settings!$B$9,0)+N($I146)*Settings!$B$9,IF($D146="Deep clean",INDEX(Settings!$E$22:$E$26,MATCH(MIN(INDEX(Properties!$E$5:$E$104,MATCH($B146,Properties!$A$5:$A$104,0)),4),Settings!$A$22:$A$26,0))*Settings!$B$19+N($I146)*Settings!$B$9,IF($D146="Late cancel",INDEX(Properties!$L$5:$L$104,MATCH($B146,Properties!$A$5:$A$104,0))*Settings!$B$11,0))),0))</f>
        <v/>
      </c>
      <c r="P146" s="28" t="str">
        <f aca="false">IF($B146="","",$N146-$O146)</f>
        <v/>
      </c>
      <c r="Q146" s="29" t="str">
        <f aca="false">IF($A146="","",DATE(YEAR($A146),MONTH($A146),1))</f>
        <v/>
      </c>
      <c r="R146" s="30" t="str">
        <f aca="false">IF($A146="","",$A146+MOD(6-WEEKDAY($A146),7))</f>
        <v/>
      </c>
      <c r="S146" s="31" t="str">
        <f aca="false">IF($B146="","",IF(AND($M146='Invoice Builder'!$C$5,$Q146='Invoice Builder'!$C$6,N($N146)&gt;0),COUNTIFS($M$5:$M146,'Invoice Builder'!$C$5,$Q$5:$Q146,'Invoice Builder'!$C$6,$N$5:$N146,"&gt;0"),""))</f>
        <v/>
      </c>
      <c r="T146" s="27" t="str">
        <f aca="false">IF($A146="","",IF($A146&gt;=DATE(YEAR($A146),4,6),YEAR($A146)&amp;"/"&amp;RIGHT(YEAR($A146)+1,2),YEAR($A146)-1&amp;"/"&amp;RIGHT(YEAR($A146),2)))</f>
        <v/>
      </c>
    </row>
    <row r="147" customFormat="false" ht="15" hidden="false" customHeight="false" outlineLevel="0" collapsed="false">
      <c r="A147" s="22"/>
      <c r="B147" s="23"/>
      <c r="C147" s="23"/>
      <c r="D147" s="23"/>
      <c r="E147" s="24"/>
      <c r="F147" s="24"/>
      <c r="G147" s="23"/>
      <c r="H147" s="23"/>
      <c r="I147" s="25"/>
      <c r="J147" s="23"/>
      <c r="K147" s="23"/>
      <c r="L147" s="26" t="str">
        <f aca="false">IF(OR($E147="",$F147=""),"",MOD($F147-$E147,1)*24)</f>
        <v/>
      </c>
      <c r="M147" s="27" t="str">
        <f aca="false">IF($B147="","",IFERROR(INDEX(Properties!$D$5:$D$104,MATCH($B147,Properties!$A$5:$A$104,0)),"?"))</f>
        <v/>
      </c>
      <c r="N147" s="28" t="str">
        <f aca="false">IF($B147="","",IFERROR(IF($D147="Completed",INDEX(Properties!$I$5:$I$104,MATCH($B147,Properties!$A$5:$A$104,0))*(1+IF($G147="Y",Settings!$B$8,0))+IF($H147="Y",Settings!$B$7,0)+N($I147),IF($D147="Deep clean",INDEX(Settings!$E$22:$E$26,MATCH(MIN(INDEX(Properties!$E$5:$E$104,MATCH($B147,Properties!$A$5:$A$104,0)),4),Settings!$A$22:$A$26,0))+N($I147),IF($D147="Late cancel",INDEX(Properties!$I$5:$I$104,MATCH($B147,Properties!$A$5:$A$104,0))*Settings!$B$10,0))),0))</f>
        <v/>
      </c>
      <c r="O147" s="28" t="str">
        <f aca="false">IF($B147="","",IFERROR(IF($D147="Completed",INDEX(Properties!$L$5:$L$104,MATCH($B147,Properties!$A$5:$A$104,0))+IF($G147="Y",INDEX(Properties!$I$5:$I$104,MATCH($B147,Properties!$A$5:$A$104,0))*Settings!$B$8*Settings!$B$9,0)+IF($H147="Y",Settings!$B$7*Settings!$B$9,0)+N($I147)*Settings!$B$9,IF($D147="Deep clean",INDEX(Settings!$E$22:$E$26,MATCH(MIN(INDEX(Properties!$E$5:$E$104,MATCH($B147,Properties!$A$5:$A$104,0)),4),Settings!$A$22:$A$26,0))*Settings!$B$19+N($I147)*Settings!$B$9,IF($D147="Late cancel",INDEX(Properties!$L$5:$L$104,MATCH($B147,Properties!$A$5:$A$104,0))*Settings!$B$11,0))),0))</f>
        <v/>
      </c>
      <c r="P147" s="28" t="str">
        <f aca="false">IF($B147="","",$N147-$O147)</f>
        <v/>
      </c>
      <c r="Q147" s="29" t="str">
        <f aca="false">IF($A147="","",DATE(YEAR($A147),MONTH($A147),1))</f>
        <v/>
      </c>
      <c r="R147" s="30" t="str">
        <f aca="false">IF($A147="","",$A147+MOD(6-WEEKDAY($A147),7))</f>
        <v/>
      </c>
      <c r="S147" s="31" t="str">
        <f aca="false">IF($B147="","",IF(AND($M147='Invoice Builder'!$C$5,$Q147='Invoice Builder'!$C$6,N($N147)&gt;0),COUNTIFS($M$5:$M147,'Invoice Builder'!$C$5,$Q$5:$Q147,'Invoice Builder'!$C$6,$N$5:$N147,"&gt;0"),""))</f>
        <v/>
      </c>
      <c r="T147" s="27" t="str">
        <f aca="false">IF($A147="","",IF($A147&gt;=DATE(YEAR($A147),4,6),YEAR($A147)&amp;"/"&amp;RIGHT(YEAR($A147)+1,2),YEAR($A147)-1&amp;"/"&amp;RIGHT(YEAR($A147),2)))</f>
        <v/>
      </c>
    </row>
    <row r="148" customFormat="false" ht="15" hidden="false" customHeight="false" outlineLevel="0" collapsed="false">
      <c r="A148" s="22"/>
      <c r="B148" s="23"/>
      <c r="C148" s="23"/>
      <c r="D148" s="23"/>
      <c r="E148" s="24"/>
      <c r="F148" s="24"/>
      <c r="G148" s="23"/>
      <c r="H148" s="23"/>
      <c r="I148" s="25"/>
      <c r="J148" s="23"/>
      <c r="K148" s="23"/>
      <c r="L148" s="26" t="str">
        <f aca="false">IF(OR($E148="",$F148=""),"",MOD($F148-$E148,1)*24)</f>
        <v/>
      </c>
      <c r="M148" s="27" t="str">
        <f aca="false">IF($B148="","",IFERROR(INDEX(Properties!$D$5:$D$104,MATCH($B148,Properties!$A$5:$A$104,0)),"?"))</f>
        <v/>
      </c>
      <c r="N148" s="28" t="str">
        <f aca="false">IF($B148="","",IFERROR(IF($D148="Completed",INDEX(Properties!$I$5:$I$104,MATCH($B148,Properties!$A$5:$A$104,0))*(1+IF($G148="Y",Settings!$B$8,0))+IF($H148="Y",Settings!$B$7,0)+N($I148),IF($D148="Deep clean",INDEX(Settings!$E$22:$E$26,MATCH(MIN(INDEX(Properties!$E$5:$E$104,MATCH($B148,Properties!$A$5:$A$104,0)),4),Settings!$A$22:$A$26,0))+N($I148),IF($D148="Late cancel",INDEX(Properties!$I$5:$I$104,MATCH($B148,Properties!$A$5:$A$104,0))*Settings!$B$10,0))),0))</f>
        <v/>
      </c>
      <c r="O148" s="28" t="str">
        <f aca="false">IF($B148="","",IFERROR(IF($D148="Completed",INDEX(Properties!$L$5:$L$104,MATCH($B148,Properties!$A$5:$A$104,0))+IF($G148="Y",INDEX(Properties!$I$5:$I$104,MATCH($B148,Properties!$A$5:$A$104,0))*Settings!$B$8*Settings!$B$9,0)+IF($H148="Y",Settings!$B$7*Settings!$B$9,0)+N($I148)*Settings!$B$9,IF($D148="Deep clean",INDEX(Settings!$E$22:$E$26,MATCH(MIN(INDEX(Properties!$E$5:$E$104,MATCH($B148,Properties!$A$5:$A$104,0)),4),Settings!$A$22:$A$26,0))*Settings!$B$19+N($I148)*Settings!$B$9,IF($D148="Late cancel",INDEX(Properties!$L$5:$L$104,MATCH($B148,Properties!$A$5:$A$104,0))*Settings!$B$11,0))),0))</f>
        <v/>
      </c>
      <c r="P148" s="28" t="str">
        <f aca="false">IF($B148="","",$N148-$O148)</f>
        <v/>
      </c>
      <c r="Q148" s="29" t="str">
        <f aca="false">IF($A148="","",DATE(YEAR($A148),MONTH($A148),1))</f>
        <v/>
      </c>
      <c r="R148" s="30" t="str">
        <f aca="false">IF($A148="","",$A148+MOD(6-WEEKDAY($A148),7))</f>
        <v/>
      </c>
      <c r="S148" s="31" t="str">
        <f aca="false">IF($B148="","",IF(AND($M148='Invoice Builder'!$C$5,$Q148='Invoice Builder'!$C$6,N($N148)&gt;0),COUNTIFS($M$5:$M148,'Invoice Builder'!$C$5,$Q$5:$Q148,'Invoice Builder'!$C$6,$N$5:$N148,"&gt;0"),""))</f>
        <v/>
      </c>
      <c r="T148" s="27" t="str">
        <f aca="false">IF($A148="","",IF($A148&gt;=DATE(YEAR($A148),4,6),YEAR($A148)&amp;"/"&amp;RIGHT(YEAR($A148)+1,2),YEAR($A148)-1&amp;"/"&amp;RIGHT(YEAR($A148),2)))</f>
        <v/>
      </c>
    </row>
    <row r="149" customFormat="false" ht="15" hidden="false" customHeight="false" outlineLevel="0" collapsed="false">
      <c r="A149" s="22"/>
      <c r="B149" s="23"/>
      <c r="C149" s="23"/>
      <c r="D149" s="23"/>
      <c r="E149" s="24"/>
      <c r="F149" s="24"/>
      <c r="G149" s="23"/>
      <c r="H149" s="23"/>
      <c r="I149" s="25"/>
      <c r="J149" s="23"/>
      <c r="K149" s="23"/>
      <c r="L149" s="26" t="str">
        <f aca="false">IF(OR($E149="",$F149=""),"",MOD($F149-$E149,1)*24)</f>
        <v/>
      </c>
      <c r="M149" s="27" t="str">
        <f aca="false">IF($B149="","",IFERROR(INDEX(Properties!$D$5:$D$104,MATCH($B149,Properties!$A$5:$A$104,0)),"?"))</f>
        <v/>
      </c>
      <c r="N149" s="28" t="str">
        <f aca="false">IF($B149="","",IFERROR(IF($D149="Completed",INDEX(Properties!$I$5:$I$104,MATCH($B149,Properties!$A$5:$A$104,0))*(1+IF($G149="Y",Settings!$B$8,0))+IF($H149="Y",Settings!$B$7,0)+N($I149),IF($D149="Deep clean",INDEX(Settings!$E$22:$E$26,MATCH(MIN(INDEX(Properties!$E$5:$E$104,MATCH($B149,Properties!$A$5:$A$104,0)),4),Settings!$A$22:$A$26,0))+N($I149),IF($D149="Late cancel",INDEX(Properties!$I$5:$I$104,MATCH($B149,Properties!$A$5:$A$104,0))*Settings!$B$10,0))),0))</f>
        <v/>
      </c>
      <c r="O149" s="28" t="str">
        <f aca="false">IF($B149="","",IFERROR(IF($D149="Completed",INDEX(Properties!$L$5:$L$104,MATCH($B149,Properties!$A$5:$A$104,0))+IF($G149="Y",INDEX(Properties!$I$5:$I$104,MATCH($B149,Properties!$A$5:$A$104,0))*Settings!$B$8*Settings!$B$9,0)+IF($H149="Y",Settings!$B$7*Settings!$B$9,0)+N($I149)*Settings!$B$9,IF($D149="Deep clean",INDEX(Settings!$E$22:$E$26,MATCH(MIN(INDEX(Properties!$E$5:$E$104,MATCH($B149,Properties!$A$5:$A$104,0)),4),Settings!$A$22:$A$26,0))*Settings!$B$19+N($I149)*Settings!$B$9,IF($D149="Late cancel",INDEX(Properties!$L$5:$L$104,MATCH($B149,Properties!$A$5:$A$104,0))*Settings!$B$11,0))),0))</f>
        <v/>
      </c>
      <c r="P149" s="28" t="str">
        <f aca="false">IF($B149="","",$N149-$O149)</f>
        <v/>
      </c>
      <c r="Q149" s="29" t="str">
        <f aca="false">IF($A149="","",DATE(YEAR($A149),MONTH($A149),1))</f>
        <v/>
      </c>
      <c r="R149" s="30" t="str">
        <f aca="false">IF($A149="","",$A149+MOD(6-WEEKDAY($A149),7))</f>
        <v/>
      </c>
      <c r="S149" s="31" t="str">
        <f aca="false">IF($B149="","",IF(AND($M149='Invoice Builder'!$C$5,$Q149='Invoice Builder'!$C$6,N($N149)&gt;0),COUNTIFS($M$5:$M149,'Invoice Builder'!$C$5,$Q$5:$Q149,'Invoice Builder'!$C$6,$N$5:$N149,"&gt;0"),""))</f>
        <v/>
      </c>
      <c r="T149" s="27" t="str">
        <f aca="false">IF($A149="","",IF($A149&gt;=DATE(YEAR($A149),4,6),YEAR($A149)&amp;"/"&amp;RIGHT(YEAR($A149)+1,2),YEAR($A149)-1&amp;"/"&amp;RIGHT(YEAR($A149),2)))</f>
        <v/>
      </c>
    </row>
    <row r="150" customFormat="false" ht="15" hidden="false" customHeight="false" outlineLevel="0" collapsed="false">
      <c r="A150" s="22"/>
      <c r="B150" s="23"/>
      <c r="C150" s="23"/>
      <c r="D150" s="23"/>
      <c r="E150" s="24"/>
      <c r="F150" s="24"/>
      <c r="G150" s="23"/>
      <c r="H150" s="23"/>
      <c r="I150" s="25"/>
      <c r="J150" s="23"/>
      <c r="K150" s="23"/>
      <c r="L150" s="26" t="str">
        <f aca="false">IF(OR($E150="",$F150=""),"",MOD($F150-$E150,1)*24)</f>
        <v/>
      </c>
      <c r="M150" s="27" t="str">
        <f aca="false">IF($B150="","",IFERROR(INDEX(Properties!$D$5:$D$104,MATCH($B150,Properties!$A$5:$A$104,0)),"?"))</f>
        <v/>
      </c>
      <c r="N150" s="28" t="str">
        <f aca="false">IF($B150="","",IFERROR(IF($D150="Completed",INDEX(Properties!$I$5:$I$104,MATCH($B150,Properties!$A$5:$A$104,0))*(1+IF($G150="Y",Settings!$B$8,0))+IF($H150="Y",Settings!$B$7,0)+N($I150),IF($D150="Deep clean",INDEX(Settings!$E$22:$E$26,MATCH(MIN(INDEX(Properties!$E$5:$E$104,MATCH($B150,Properties!$A$5:$A$104,0)),4),Settings!$A$22:$A$26,0))+N($I150),IF($D150="Late cancel",INDEX(Properties!$I$5:$I$104,MATCH($B150,Properties!$A$5:$A$104,0))*Settings!$B$10,0))),0))</f>
        <v/>
      </c>
      <c r="O150" s="28" t="str">
        <f aca="false">IF($B150="","",IFERROR(IF($D150="Completed",INDEX(Properties!$L$5:$L$104,MATCH($B150,Properties!$A$5:$A$104,0))+IF($G150="Y",INDEX(Properties!$I$5:$I$104,MATCH($B150,Properties!$A$5:$A$104,0))*Settings!$B$8*Settings!$B$9,0)+IF($H150="Y",Settings!$B$7*Settings!$B$9,0)+N($I150)*Settings!$B$9,IF($D150="Deep clean",INDEX(Settings!$E$22:$E$26,MATCH(MIN(INDEX(Properties!$E$5:$E$104,MATCH($B150,Properties!$A$5:$A$104,0)),4),Settings!$A$22:$A$26,0))*Settings!$B$19+N($I150)*Settings!$B$9,IF($D150="Late cancel",INDEX(Properties!$L$5:$L$104,MATCH($B150,Properties!$A$5:$A$104,0))*Settings!$B$11,0))),0))</f>
        <v/>
      </c>
      <c r="P150" s="28" t="str">
        <f aca="false">IF($B150="","",$N150-$O150)</f>
        <v/>
      </c>
      <c r="Q150" s="29" t="str">
        <f aca="false">IF($A150="","",DATE(YEAR($A150),MONTH($A150),1))</f>
        <v/>
      </c>
      <c r="R150" s="30" t="str">
        <f aca="false">IF($A150="","",$A150+MOD(6-WEEKDAY($A150),7))</f>
        <v/>
      </c>
      <c r="S150" s="31" t="str">
        <f aca="false">IF($B150="","",IF(AND($M150='Invoice Builder'!$C$5,$Q150='Invoice Builder'!$C$6,N($N150)&gt;0),COUNTIFS($M$5:$M150,'Invoice Builder'!$C$5,$Q$5:$Q150,'Invoice Builder'!$C$6,$N$5:$N150,"&gt;0"),""))</f>
        <v/>
      </c>
      <c r="T150" s="27" t="str">
        <f aca="false">IF($A150="","",IF($A150&gt;=DATE(YEAR($A150),4,6),YEAR($A150)&amp;"/"&amp;RIGHT(YEAR($A150)+1,2),YEAR($A150)-1&amp;"/"&amp;RIGHT(YEAR($A150),2)))</f>
        <v/>
      </c>
    </row>
    <row r="151" customFormat="false" ht="15" hidden="false" customHeight="false" outlineLevel="0" collapsed="false">
      <c r="A151" s="22"/>
      <c r="B151" s="23"/>
      <c r="C151" s="23"/>
      <c r="D151" s="23"/>
      <c r="E151" s="24"/>
      <c r="F151" s="24"/>
      <c r="G151" s="23"/>
      <c r="H151" s="23"/>
      <c r="I151" s="25"/>
      <c r="J151" s="23"/>
      <c r="K151" s="23"/>
      <c r="L151" s="26" t="str">
        <f aca="false">IF(OR($E151="",$F151=""),"",MOD($F151-$E151,1)*24)</f>
        <v/>
      </c>
      <c r="M151" s="27" t="str">
        <f aca="false">IF($B151="","",IFERROR(INDEX(Properties!$D$5:$D$104,MATCH($B151,Properties!$A$5:$A$104,0)),"?"))</f>
        <v/>
      </c>
      <c r="N151" s="28" t="str">
        <f aca="false">IF($B151="","",IFERROR(IF($D151="Completed",INDEX(Properties!$I$5:$I$104,MATCH($B151,Properties!$A$5:$A$104,0))*(1+IF($G151="Y",Settings!$B$8,0))+IF($H151="Y",Settings!$B$7,0)+N($I151),IF($D151="Deep clean",INDEX(Settings!$E$22:$E$26,MATCH(MIN(INDEX(Properties!$E$5:$E$104,MATCH($B151,Properties!$A$5:$A$104,0)),4),Settings!$A$22:$A$26,0))+N($I151),IF($D151="Late cancel",INDEX(Properties!$I$5:$I$104,MATCH($B151,Properties!$A$5:$A$104,0))*Settings!$B$10,0))),0))</f>
        <v/>
      </c>
      <c r="O151" s="28" t="str">
        <f aca="false">IF($B151="","",IFERROR(IF($D151="Completed",INDEX(Properties!$L$5:$L$104,MATCH($B151,Properties!$A$5:$A$104,0))+IF($G151="Y",INDEX(Properties!$I$5:$I$104,MATCH($B151,Properties!$A$5:$A$104,0))*Settings!$B$8*Settings!$B$9,0)+IF($H151="Y",Settings!$B$7*Settings!$B$9,0)+N($I151)*Settings!$B$9,IF($D151="Deep clean",INDEX(Settings!$E$22:$E$26,MATCH(MIN(INDEX(Properties!$E$5:$E$104,MATCH($B151,Properties!$A$5:$A$104,0)),4),Settings!$A$22:$A$26,0))*Settings!$B$19+N($I151)*Settings!$B$9,IF($D151="Late cancel",INDEX(Properties!$L$5:$L$104,MATCH($B151,Properties!$A$5:$A$104,0))*Settings!$B$11,0))),0))</f>
        <v/>
      </c>
      <c r="P151" s="28" t="str">
        <f aca="false">IF($B151="","",$N151-$O151)</f>
        <v/>
      </c>
      <c r="Q151" s="29" t="str">
        <f aca="false">IF($A151="","",DATE(YEAR($A151),MONTH($A151),1))</f>
        <v/>
      </c>
      <c r="R151" s="30" t="str">
        <f aca="false">IF($A151="","",$A151+MOD(6-WEEKDAY($A151),7))</f>
        <v/>
      </c>
      <c r="S151" s="31" t="str">
        <f aca="false">IF($B151="","",IF(AND($M151='Invoice Builder'!$C$5,$Q151='Invoice Builder'!$C$6,N($N151)&gt;0),COUNTIFS($M$5:$M151,'Invoice Builder'!$C$5,$Q$5:$Q151,'Invoice Builder'!$C$6,$N$5:$N151,"&gt;0"),""))</f>
        <v/>
      </c>
      <c r="T151" s="27" t="str">
        <f aca="false">IF($A151="","",IF($A151&gt;=DATE(YEAR($A151),4,6),YEAR($A151)&amp;"/"&amp;RIGHT(YEAR($A151)+1,2),YEAR($A151)-1&amp;"/"&amp;RIGHT(YEAR($A151),2)))</f>
        <v/>
      </c>
    </row>
    <row r="152" customFormat="false" ht="15" hidden="false" customHeight="false" outlineLevel="0" collapsed="false">
      <c r="A152" s="22"/>
      <c r="B152" s="23"/>
      <c r="C152" s="23"/>
      <c r="D152" s="23"/>
      <c r="E152" s="24"/>
      <c r="F152" s="24"/>
      <c r="G152" s="23"/>
      <c r="H152" s="23"/>
      <c r="I152" s="25"/>
      <c r="J152" s="23"/>
      <c r="K152" s="23"/>
      <c r="L152" s="26" t="str">
        <f aca="false">IF(OR($E152="",$F152=""),"",MOD($F152-$E152,1)*24)</f>
        <v/>
      </c>
      <c r="M152" s="27" t="str">
        <f aca="false">IF($B152="","",IFERROR(INDEX(Properties!$D$5:$D$104,MATCH($B152,Properties!$A$5:$A$104,0)),"?"))</f>
        <v/>
      </c>
      <c r="N152" s="28" t="str">
        <f aca="false">IF($B152="","",IFERROR(IF($D152="Completed",INDEX(Properties!$I$5:$I$104,MATCH($B152,Properties!$A$5:$A$104,0))*(1+IF($G152="Y",Settings!$B$8,0))+IF($H152="Y",Settings!$B$7,0)+N($I152),IF($D152="Deep clean",INDEX(Settings!$E$22:$E$26,MATCH(MIN(INDEX(Properties!$E$5:$E$104,MATCH($B152,Properties!$A$5:$A$104,0)),4),Settings!$A$22:$A$26,0))+N($I152),IF($D152="Late cancel",INDEX(Properties!$I$5:$I$104,MATCH($B152,Properties!$A$5:$A$104,0))*Settings!$B$10,0))),0))</f>
        <v/>
      </c>
      <c r="O152" s="28" t="str">
        <f aca="false">IF($B152="","",IFERROR(IF($D152="Completed",INDEX(Properties!$L$5:$L$104,MATCH($B152,Properties!$A$5:$A$104,0))+IF($G152="Y",INDEX(Properties!$I$5:$I$104,MATCH($B152,Properties!$A$5:$A$104,0))*Settings!$B$8*Settings!$B$9,0)+IF($H152="Y",Settings!$B$7*Settings!$B$9,0)+N($I152)*Settings!$B$9,IF($D152="Deep clean",INDEX(Settings!$E$22:$E$26,MATCH(MIN(INDEX(Properties!$E$5:$E$104,MATCH($B152,Properties!$A$5:$A$104,0)),4),Settings!$A$22:$A$26,0))*Settings!$B$19+N($I152)*Settings!$B$9,IF($D152="Late cancel",INDEX(Properties!$L$5:$L$104,MATCH($B152,Properties!$A$5:$A$104,0))*Settings!$B$11,0))),0))</f>
        <v/>
      </c>
      <c r="P152" s="28" t="str">
        <f aca="false">IF($B152="","",$N152-$O152)</f>
        <v/>
      </c>
      <c r="Q152" s="29" t="str">
        <f aca="false">IF($A152="","",DATE(YEAR($A152),MONTH($A152),1))</f>
        <v/>
      </c>
      <c r="R152" s="30" t="str">
        <f aca="false">IF($A152="","",$A152+MOD(6-WEEKDAY($A152),7))</f>
        <v/>
      </c>
      <c r="S152" s="31" t="str">
        <f aca="false">IF($B152="","",IF(AND($M152='Invoice Builder'!$C$5,$Q152='Invoice Builder'!$C$6,N($N152)&gt;0),COUNTIFS($M$5:$M152,'Invoice Builder'!$C$5,$Q$5:$Q152,'Invoice Builder'!$C$6,$N$5:$N152,"&gt;0"),""))</f>
        <v/>
      </c>
      <c r="T152" s="27" t="str">
        <f aca="false">IF($A152="","",IF($A152&gt;=DATE(YEAR($A152),4,6),YEAR($A152)&amp;"/"&amp;RIGHT(YEAR($A152)+1,2),YEAR($A152)-1&amp;"/"&amp;RIGHT(YEAR($A152),2)))</f>
        <v/>
      </c>
    </row>
    <row r="153" customFormat="false" ht="15" hidden="false" customHeight="false" outlineLevel="0" collapsed="false">
      <c r="A153" s="22"/>
      <c r="B153" s="23"/>
      <c r="C153" s="23"/>
      <c r="D153" s="23"/>
      <c r="E153" s="24"/>
      <c r="F153" s="24"/>
      <c r="G153" s="23"/>
      <c r="H153" s="23"/>
      <c r="I153" s="25"/>
      <c r="J153" s="23"/>
      <c r="K153" s="23"/>
      <c r="L153" s="26" t="str">
        <f aca="false">IF(OR($E153="",$F153=""),"",MOD($F153-$E153,1)*24)</f>
        <v/>
      </c>
      <c r="M153" s="27" t="str">
        <f aca="false">IF($B153="","",IFERROR(INDEX(Properties!$D$5:$D$104,MATCH($B153,Properties!$A$5:$A$104,0)),"?"))</f>
        <v/>
      </c>
      <c r="N153" s="28" t="str">
        <f aca="false">IF($B153="","",IFERROR(IF($D153="Completed",INDEX(Properties!$I$5:$I$104,MATCH($B153,Properties!$A$5:$A$104,0))*(1+IF($G153="Y",Settings!$B$8,0))+IF($H153="Y",Settings!$B$7,0)+N($I153),IF($D153="Deep clean",INDEX(Settings!$E$22:$E$26,MATCH(MIN(INDEX(Properties!$E$5:$E$104,MATCH($B153,Properties!$A$5:$A$104,0)),4),Settings!$A$22:$A$26,0))+N($I153),IF($D153="Late cancel",INDEX(Properties!$I$5:$I$104,MATCH($B153,Properties!$A$5:$A$104,0))*Settings!$B$10,0))),0))</f>
        <v/>
      </c>
      <c r="O153" s="28" t="str">
        <f aca="false">IF($B153="","",IFERROR(IF($D153="Completed",INDEX(Properties!$L$5:$L$104,MATCH($B153,Properties!$A$5:$A$104,0))+IF($G153="Y",INDEX(Properties!$I$5:$I$104,MATCH($B153,Properties!$A$5:$A$104,0))*Settings!$B$8*Settings!$B$9,0)+IF($H153="Y",Settings!$B$7*Settings!$B$9,0)+N($I153)*Settings!$B$9,IF($D153="Deep clean",INDEX(Settings!$E$22:$E$26,MATCH(MIN(INDEX(Properties!$E$5:$E$104,MATCH($B153,Properties!$A$5:$A$104,0)),4),Settings!$A$22:$A$26,0))*Settings!$B$19+N($I153)*Settings!$B$9,IF($D153="Late cancel",INDEX(Properties!$L$5:$L$104,MATCH($B153,Properties!$A$5:$A$104,0))*Settings!$B$11,0))),0))</f>
        <v/>
      </c>
      <c r="P153" s="28" t="str">
        <f aca="false">IF($B153="","",$N153-$O153)</f>
        <v/>
      </c>
      <c r="Q153" s="29" t="str">
        <f aca="false">IF($A153="","",DATE(YEAR($A153),MONTH($A153),1))</f>
        <v/>
      </c>
      <c r="R153" s="30" t="str">
        <f aca="false">IF($A153="","",$A153+MOD(6-WEEKDAY($A153),7))</f>
        <v/>
      </c>
      <c r="S153" s="31" t="str">
        <f aca="false">IF($B153="","",IF(AND($M153='Invoice Builder'!$C$5,$Q153='Invoice Builder'!$C$6,N($N153)&gt;0),COUNTIFS($M$5:$M153,'Invoice Builder'!$C$5,$Q$5:$Q153,'Invoice Builder'!$C$6,$N$5:$N153,"&gt;0"),""))</f>
        <v/>
      </c>
      <c r="T153" s="27" t="str">
        <f aca="false">IF($A153="","",IF($A153&gt;=DATE(YEAR($A153),4,6),YEAR($A153)&amp;"/"&amp;RIGHT(YEAR($A153)+1,2),YEAR($A153)-1&amp;"/"&amp;RIGHT(YEAR($A153),2)))</f>
        <v/>
      </c>
    </row>
    <row r="154" customFormat="false" ht="15" hidden="false" customHeight="false" outlineLevel="0" collapsed="false">
      <c r="A154" s="22"/>
      <c r="B154" s="23"/>
      <c r="C154" s="23"/>
      <c r="D154" s="23"/>
      <c r="E154" s="24"/>
      <c r="F154" s="24"/>
      <c r="G154" s="23"/>
      <c r="H154" s="23"/>
      <c r="I154" s="25"/>
      <c r="J154" s="23"/>
      <c r="K154" s="23"/>
      <c r="L154" s="26" t="str">
        <f aca="false">IF(OR($E154="",$F154=""),"",MOD($F154-$E154,1)*24)</f>
        <v/>
      </c>
      <c r="M154" s="27" t="str">
        <f aca="false">IF($B154="","",IFERROR(INDEX(Properties!$D$5:$D$104,MATCH($B154,Properties!$A$5:$A$104,0)),"?"))</f>
        <v/>
      </c>
      <c r="N154" s="28" t="str">
        <f aca="false">IF($B154="","",IFERROR(IF($D154="Completed",INDEX(Properties!$I$5:$I$104,MATCH($B154,Properties!$A$5:$A$104,0))*(1+IF($G154="Y",Settings!$B$8,0))+IF($H154="Y",Settings!$B$7,0)+N($I154),IF($D154="Deep clean",INDEX(Settings!$E$22:$E$26,MATCH(MIN(INDEX(Properties!$E$5:$E$104,MATCH($B154,Properties!$A$5:$A$104,0)),4),Settings!$A$22:$A$26,0))+N($I154),IF($D154="Late cancel",INDEX(Properties!$I$5:$I$104,MATCH($B154,Properties!$A$5:$A$104,0))*Settings!$B$10,0))),0))</f>
        <v/>
      </c>
      <c r="O154" s="28" t="str">
        <f aca="false">IF($B154="","",IFERROR(IF($D154="Completed",INDEX(Properties!$L$5:$L$104,MATCH($B154,Properties!$A$5:$A$104,0))+IF($G154="Y",INDEX(Properties!$I$5:$I$104,MATCH($B154,Properties!$A$5:$A$104,0))*Settings!$B$8*Settings!$B$9,0)+IF($H154="Y",Settings!$B$7*Settings!$B$9,0)+N($I154)*Settings!$B$9,IF($D154="Deep clean",INDEX(Settings!$E$22:$E$26,MATCH(MIN(INDEX(Properties!$E$5:$E$104,MATCH($B154,Properties!$A$5:$A$104,0)),4),Settings!$A$22:$A$26,0))*Settings!$B$19+N($I154)*Settings!$B$9,IF($D154="Late cancel",INDEX(Properties!$L$5:$L$104,MATCH($B154,Properties!$A$5:$A$104,0))*Settings!$B$11,0))),0))</f>
        <v/>
      </c>
      <c r="P154" s="28" t="str">
        <f aca="false">IF($B154="","",$N154-$O154)</f>
        <v/>
      </c>
      <c r="Q154" s="29" t="str">
        <f aca="false">IF($A154="","",DATE(YEAR($A154),MONTH($A154),1))</f>
        <v/>
      </c>
      <c r="R154" s="30" t="str">
        <f aca="false">IF($A154="","",$A154+MOD(6-WEEKDAY($A154),7))</f>
        <v/>
      </c>
      <c r="S154" s="31" t="str">
        <f aca="false">IF($B154="","",IF(AND($M154='Invoice Builder'!$C$5,$Q154='Invoice Builder'!$C$6,N($N154)&gt;0),COUNTIFS($M$5:$M154,'Invoice Builder'!$C$5,$Q$5:$Q154,'Invoice Builder'!$C$6,$N$5:$N154,"&gt;0"),""))</f>
        <v/>
      </c>
      <c r="T154" s="27" t="str">
        <f aca="false">IF($A154="","",IF($A154&gt;=DATE(YEAR($A154),4,6),YEAR($A154)&amp;"/"&amp;RIGHT(YEAR($A154)+1,2),YEAR($A154)-1&amp;"/"&amp;RIGHT(YEAR($A154),2)))</f>
        <v/>
      </c>
    </row>
    <row r="155" customFormat="false" ht="15" hidden="false" customHeight="false" outlineLevel="0" collapsed="false">
      <c r="A155" s="22"/>
      <c r="B155" s="23"/>
      <c r="C155" s="23"/>
      <c r="D155" s="23"/>
      <c r="E155" s="24"/>
      <c r="F155" s="24"/>
      <c r="G155" s="23"/>
      <c r="H155" s="23"/>
      <c r="I155" s="25"/>
      <c r="J155" s="23"/>
      <c r="K155" s="23"/>
      <c r="L155" s="26" t="str">
        <f aca="false">IF(OR($E155="",$F155=""),"",MOD($F155-$E155,1)*24)</f>
        <v/>
      </c>
      <c r="M155" s="27" t="str">
        <f aca="false">IF($B155="","",IFERROR(INDEX(Properties!$D$5:$D$104,MATCH($B155,Properties!$A$5:$A$104,0)),"?"))</f>
        <v/>
      </c>
      <c r="N155" s="28" t="str">
        <f aca="false">IF($B155="","",IFERROR(IF($D155="Completed",INDEX(Properties!$I$5:$I$104,MATCH($B155,Properties!$A$5:$A$104,0))*(1+IF($G155="Y",Settings!$B$8,0))+IF($H155="Y",Settings!$B$7,0)+N($I155),IF($D155="Deep clean",INDEX(Settings!$E$22:$E$26,MATCH(MIN(INDEX(Properties!$E$5:$E$104,MATCH($B155,Properties!$A$5:$A$104,0)),4),Settings!$A$22:$A$26,0))+N($I155),IF($D155="Late cancel",INDEX(Properties!$I$5:$I$104,MATCH($B155,Properties!$A$5:$A$104,0))*Settings!$B$10,0))),0))</f>
        <v/>
      </c>
      <c r="O155" s="28" t="str">
        <f aca="false">IF($B155="","",IFERROR(IF($D155="Completed",INDEX(Properties!$L$5:$L$104,MATCH($B155,Properties!$A$5:$A$104,0))+IF($G155="Y",INDEX(Properties!$I$5:$I$104,MATCH($B155,Properties!$A$5:$A$104,0))*Settings!$B$8*Settings!$B$9,0)+IF($H155="Y",Settings!$B$7*Settings!$B$9,0)+N($I155)*Settings!$B$9,IF($D155="Deep clean",INDEX(Settings!$E$22:$E$26,MATCH(MIN(INDEX(Properties!$E$5:$E$104,MATCH($B155,Properties!$A$5:$A$104,0)),4),Settings!$A$22:$A$26,0))*Settings!$B$19+N($I155)*Settings!$B$9,IF($D155="Late cancel",INDEX(Properties!$L$5:$L$104,MATCH($B155,Properties!$A$5:$A$104,0))*Settings!$B$11,0))),0))</f>
        <v/>
      </c>
      <c r="P155" s="28" t="str">
        <f aca="false">IF($B155="","",$N155-$O155)</f>
        <v/>
      </c>
      <c r="Q155" s="29" t="str">
        <f aca="false">IF($A155="","",DATE(YEAR($A155),MONTH($A155),1))</f>
        <v/>
      </c>
      <c r="R155" s="30" t="str">
        <f aca="false">IF($A155="","",$A155+MOD(6-WEEKDAY($A155),7))</f>
        <v/>
      </c>
      <c r="S155" s="31" t="str">
        <f aca="false">IF($B155="","",IF(AND($M155='Invoice Builder'!$C$5,$Q155='Invoice Builder'!$C$6,N($N155)&gt;0),COUNTIFS($M$5:$M155,'Invoice Builder'!$C$5,$Q$5:$Q155,'Invoice Builder'!$C$6,$N$5:$N155,"&gt;0"),""))</f>
        <v/>
      </c>
      <c r="T155" s="27" t="str">
        <f aca="false">IF($A155="","",IF($A155&gt;=DATE(YEAR($A155),4,6),YEAR($A155)&amp;"/"&amp;RIGHT(YEAR($A155)+1,2),YEAR($A155)-1&amp;"/"&amp;RIGHT(YEAR($A155),2)))</f>
        <v/>
      </c>
    </row>
    <row r="156" customFormat="false" ht="15" hidden="false" customHeight="false" outlineLevel="0" collapsed="false">
      <c r="A156" s="22"/>
      <c r="B156" s="23"/>
      <c r="C156" s="23"/>
      <c r="D156" s="23"/>
      <c r="E156" s="24"/>
      <c r="F156" s="24"/>
      <c r="G156" s="23"/>
      <c r="H156" s="23"/>
      <c r="I156" s="25"/>
      <c r="J156" s="23"/>
      <c r="K156" s="23"/>
      <c r="L156" s="26" t="str">
        <f aca="false">IF(OR($E156="",$F156=""),"",MOD($F156-$E156,1)*24)</f>
        <v/>
      </c>
      <c r="M156" s="27" t="str">
        <f aca="false">IF($B156="","",IFERROR(INDEX(Properties!$D$5:$D$104,MATCH($B156,Properties!$A$5:$A$104,0)),"?"))</f>
        <v/>
      </c>
      <c r="N156" s="28" t="str">
        <f aca="false">IF($B156="","",IFERROR(IF($D156="Completed",INDEX(Properties!$I$5:$I$104,MATCH($B156,Properties!$A$5:$A$104,0))*(1+IF($G156="Y",Settings!$B$8,0))+IF($H156="Y",Settings!$B$7,0)+N($I156),IF($D156="Deep clean",INDEX(Settings!$E$22:$E$26,MATCH(MIN(INDEX(Properties!$E$5:$E$104,MATCH($B156,Properties!$A$5:$A$104,0)),4),Settings!$A$22:$A$26,0))+N($I156),IF($D156="Late cancel",INDEX(Properties!$I$5:$I$104,MATCH($B156,Properties!$A$5:$A$104,0))*Settings!$B$10,0))),0))</f>
        <v/>
      </c>
      <c r="O156" s="28" t="str">
        <f aca="false">IF($B156="","",IFERROR(IF($D156="Completed",INDEX(Properties!$L$5:$L$104,MATCH($B156,Properties!$A$5:$A$104,0))+IF($G156="Y",INDEX(Properties!$I$5:$I$104,MATCH($B156,Properties!$A$5:$A$104,0))*Settings!$B$8*Settings!$B$9,0)+IF($H156="Y",Settings!$B$7*Settings!$B$9,0)+N($I156)*Settings!$B$9,IF($D156="Deep clean",INDEX(Settings!$E$22:$E$26,MATCH(MIN(INDEX(Properties!$E$5:$E$104,MATCH($B156,Properties!$A$5:$A$104,0)),4),Settings!$A$22:$A$26,0))*Settings!$B$19+N($I156)*Settings!$B$9,IF($D156="Late cancel",INDEX(Properties!$L$5:$L$104,MATCH($B156,Properties!$A$5:$A$104,0))*Settings!$B$11,0))),0))</f>
        <v/>
      </c>
      <c r="P156" s="28" t="str">
        <f aca="false">IF($B156="","",$N156-$O156)</f>
        <v/>
      </c>
      <c r="Q156" s="29" t="str">
        <f aca="false">IF($A156="","",DATE(YEAR($A156),MONTH($A156),1))</f>
        <v/>
      </c>
      <c r="R156" s="30" t="str">
        <f aca="false">IF($A156="","",$A156+MOD(6-WEEKDAY($A156),7))</f>
        <v/>
      </c>
      <c r="S156" s="31" t="str">
        <f aca="false">IF($B156="","",IF(AND($M156='Invoice Builder'!$C$5,$Q156='Invoice Builder'!$C$6,N($N156)&gt;0),COUNTIFS($M$5:$M156,'Invoice Builder'!$C$5,$Q$5:$Q156,'Invoice Builder'!$C$6,$N$5:$N156,"&gt;0"),""))</f>
        <v/>
      </c>
      <c r="T156" s="27" t="str">
        <f aca="false">IF($A156="","",IF($A156&gt;=DATE(YEAR($A156),4,6),YEAR($A156)&amp;"/"&amp;RIGHT(YEAR($A156)+1,2),YEAR($A156)-1&amp;"/"&amp;RIGHT(YEAR($A156),2)))</f>
        <v/>
      </c>
    </row>
    <row r="157" customFormat="false" ht="15" hidden="false" customHeight="false" outlineLevel="0" collapsed="false">
      <c r="A157" s="22"/>
      <c r="B157" s="23"/>
      <c r="C157" s="23"/>
      <c r="D157" s="23"/>
      <c r="E157" s="24"/>
      <c r="F157" s="24"/>
      <c r="G157" s="23"/>
      <c r="H157" s="23"/>
      <c r="I157" s="25"/>
      <c r="J157" s="23"/>
      <c r="K157" s="23"/>
      <c r="L157" s="26" t="str">
        <f aca="false">IF(OR($E157="",$F157=""),"",MOD($F157-$E157,1)*24)</f>
        <v/>
      </c>
      <c r="M157" s="27" t="str">
        <f aca="false">IF($B157="","",IFERROR(INDEX(Properties!$D$5:$D$104,MATCH($B157,Properties!$A$5:$A$104,0)),"?"))</f>
        <v/>
      </c>
      <c r="N157" s="28" t="str">
        <f aca="false">IF($B157="","",IFERROR(IF($D157="Completed",INDEX(Properties!$I$5:$I$104,MATCH($B157,Properties!$A$5:$A$104,0))*(1+IF($G157="Y",Settings!$B$8,0))+IF($H157="Y",Settings!$B$7,0)+N($I157),IF($D157="Deep clean",INDEX(Settings!$E$22:$E$26,MATCH(MIN(INDEX(Properties!$E$5:$E$104,MATCH($B157,Properties!$A$5:$A$104,0)),4),Settings!$A$22:$A$26,0))+N($I157),IF($D157="Late cancel",INDEX(Properties!$I$5:$I$104,MATCH($B157,Properties!$A$5:$A$104,0))*Settings!$B$10,0))),0))</f>
        <v/>
      </c>
      <c r="O157" s="28" t="str">
        <f aca="false">IF($B157="","",IFERROR(IF($D157="Completed",INDEX(Properties!$L$5:$L$104,MATCH($B157,Properties!$A$5:$A$104,0))+IF($G157="Y",INDEX(Properties!$I$5:$I$104,MATCH($B157,Properties!$A$5:$A$104,0))*Settings!$B$8*Settings!$B$9,0)+IF($H157="Y",Settings!$B$7*Settings!$B$9,0)+N($I157)*Settings!$B$9,IF($D157="Deep clean",INDEX(Settings!$E$22:$E$26,MATCH(MIN(INDEX(Properties!$E$5:$E$104,MATCH($B157,Properties!$A$5:$A$104,0)),4),Settings!$A$22:$A$26,0))*Settings!$B$19+N($I157)*Settings!$B$9,IF($D157="Late cancel",INDEX(Properties!$L$5:$L$104,MATCH($B157,Properties!$A$5:$A$104,0))*Settings!$B$11,0))),0))</f>
        <v/>
      </c>
      <c r="P157" s="28" t="str">
        <f aca="false">IF($B157="","",$N157-$O157)</f>
        <v/>
      </c>
      <c r="Q157" s="29" t="str">
        <f aca="false">IF($A157="","",DATE(YEAR($A157),MONTH($A157),1))</f>
        <v/>
      </c>
      <c r="R157" s="30" t="str">
        <f aca="false">IF($A157="","",$A157+MOD(6-WEEKDAY($A157),7))</f>
        <v/>
      </c>
      <c r="S157" s="31" t="str">
        <f aca="false">IF($B157="","",IF(AND($M157='Invoice Builder'!$C$5,$Q157='Invoice Builder'!$C$6,N($N157)&gt;0),COUNTIFS($M$5:$M157,'Invoice Builder'!$C$5,$Q$5:$Q157,'Invoice Builder'!$C$6,$N$5:$N157,"&gt;0"),""))</f>
        <v/>
      </c>
      <c r="T157" s="27" t="str">
        <f aca="false">IF($A157="","",IF($A157&gt;=DATE(YEAR($A157),4,6),YEAR($A157)&amp;"/"&amp;RIGHT(YEAR($A157)+1,2),YEAR($A157)-1&amp;"/"&amp;RIGHT(YEAR($A157),2)))</f>
        <v/>
      </c>
    </row>
    <row r="158" customFormat="false" ht="15" hidden="false" customHeight="false" outlineLevel="0" collapsed="false">
      <c r="A158" s="22"/>
      <c r="B158" s="23"/>
      <c r="C158" s="23"/>
      <c r="D158" s="23"/>
      <c r="E158" s="24"/>
      <c r="F158" s="24"/>
      <c r="G158" s="23"/>
      <c r="H158" s="23"/>
      <c r="I158" s="25"/>
      <c r="J158" s="23"/>
      <c r="K158" s="23"/>
      <c r="L158" s="26" t="str">
        <f aca="false">IF(OR($E158="",$F158=""),"",MOD($F158-$E158,1)*24)</f>
        <v/>
      </c>
      <c r="M158" s="27" t="str">
        <f aca="false">IF($B158="","",IFERROR(INDEX(Properties!$D$5:$D$104,MATCH($B158,Properties!$A$5:$A$104,0)),"?"))</f>
        <v/>
      </c>
      <c r="N158" s="28" t="str">
        <f aca="false">IF($B158="","",IFERROR(IF($D158="Completed",INDEX(Properties!$I$5:$I$104,MATCH($B158,Properties!$A$5:$A$104,0))*(1+IF($G158="Y",Settings!$B$8,0))+IF($H158="Y",Settings!$B$7,0)+N($I158),IF($D158="Deep clean",INDEX(Settings!$E$22:$E$26,MATCH(MIN(INDEX(Properties!$E$5:$E$104,MATCH($B158,Properties!$A$5:$A$104,0)),4),Settings!$A$22:$A$26,0))+N($I158),IF($D158="Late cancel",INDEX(Properties!$I$5:$I$104,MATCH($B158,Properties!$A$5:$A$104,0))*Settings!$B$10,0))),0))</f>
        <v/>
      </c>
      <c r="O158" s="28" t="str">
        <f aca="false">IF($B158="","",IFERROR(IF($D158="Completed",INDEX(Properties!$L$5:$L$104,MATCH($B158,Properties!$A$5:$A$104,0))+IF($G158="Y",INDEX(Properties!$I$5:$I$104,MATCH($B158,Properties!$A$5:$A$104,0))*Settings!$B$8*Settings!$B$9,0)+IF($H158="Y",Settings!$B$7*Settings!$B$9,0)+N($I158)*Settings!$B$9,IF($D158="Deep clean",INDEX(Settings!$E$22:$E$26,MATCH(MIN(INDEX(Properties!$E$5:$E$104,MATCH($B158,Properties!$A$5:$A$104,0)),4),Settings!$A$22:$A$26,0))*Settings!$B$19+N($I158)*Settings!$B$9,IF($D158="Late cancel",INDEX(Properties!$L$5:$L$104,MATCH($B158,Properties!$A$5:$A$104,0))*Settings!$B$11,0))),0))</f>
        <v/>
      </c>
      <c r="P158" s="28" t="str">
        <f aca="false">IF($B158="","",$N158-$O158)</f>
        <v/>
      </c>
      <c r="Q158" s="29" t="str">
        <f aca="false">IF($A158="","",DATE(YEAR($A158),MONTH($A158),1))</f>
        <v/>
      </c>
      <c r="R158" s="30" t="str">
        <f aca="false">IF($A158="","",$A158+MOD(6-WEEKDAY($A158),7))</f>
        <v/>
      </c>
      <c r="S158" s="31" t="str">
        <f aca="false">IF($B158="","",IF(AND($M158='Invoice Builder'!$C$5,$Q158='Invoice Builder'!$C$6,N($N158)&gt;0),COUNTIFS($M$5:$M158,'Invoice Builder'!$C$5,$Q$5:$Q158,'Invoice Builder'!$C$6,$N$5:$N158,"&gt;0"),""))</f>
        <v/>
      </c>
      <c r="T158" s="27" t="str">
        <f aca="false">IF($A158="","",IF($A158&gt;=DATE(YEAR($A158),4,6),YEAR($A158)&amp;"/"&amp;RIGHT(YEAR($A158)+1,2),YEAR($A158)-1&amp;"/"&amp;RIGHT(YEAR($A158),2)))</f>
        <v/>
      </c>
    </row>
    <row r="159" customFormat="false" ht="15" hidden="false" customHeight="false" outlineLevel="0" collapsed="false">
      <c r="A159" s="22"/>
      <c r="B159" s="23"/>
      <c r="C159" s="23"/>
      <c r="D159" s="23"/>
      <c r="E159" s="24"/>
      <c r="F159" s="24"/>
      <c r="G159" s="23"/>
      <c r="H159" s="23"/>
      <c r="I159" s="25"/>
      <c r="J159" s="23"/>
      <c r="K159" s="23"/>
      <c r="L159" s="26" t="str">
        <f aca="false">IF(OR($E159="",$F159=""),"",MOD($F159-$E159,1)*24)</f>
        <v/>
      </c>
      <c r="M159" s="27" t="str">
        <f aca="false">IF($B159="","",IFERROR(INDEX(Properties!$D$5:$D$104,MATCH($B159,Properties!$A$5:$A$104,0)),"?"))</f>
        <v/>
      </c>
      <c r="N159" s="28" t="str">
        <f aca="false">IF($B159="","",IFERROR(IF($D159="Completed",INDEX(Properties!$I$5:$I$104,MATCH($B159,Properties!$A$5:$A$104,0))*(1+IF($G159="Y",Settings!$B$8,0))+IF($H159="Y",Settings!$B$7,0)+N($I159),IF($D159="Deep clean",INDEX(Settings!$E$22:$E$26,MATCH(MIN(INDEX(Properties!$E$5:$E$104,MATCH($B159,Properties!$A$5:$A$104,0)),4),Settings!$A$22:$A$26,0))+N($I159),IF($D159="Late cancel",INDEX(Properties!$I$5:$I$104,MATCH($B159,Properties!$A$5:$A$104,0))*Settings!$B$10,0))),0))</f>
        <v/>
      </c>
      <c r="O159" s="28" t="str">
        <f aca="false">IF($B159="","",IFERROR(IF($D159="Completed",INDEX(Properties!$L$5:$L$104,MATCH($B159,Properties!$A$5:$A$104,0))+IF($G159="Y",INDEX(Properties!$I$5:$I$104,MATCH($B159,Properties!$A$5:$A$104,0))*Settings!$B$8*Settings!$B$9,0)+IF($H159="Y",Settings!$B$7*Settings!$B$9,0)+N($I159)*Settings!$B$9,IF($D159="Deep clean",INDEX(Settings!$E$22:$E$26,MATCH(MIN(INDEX(Properties!$E$5:$E$104,MATCH($B159,Properties!$A$5:$A$104,0)),4),Settings!$A$22:$A$26,0))*Settings!$B$19+N($I159)*Settings!$B$9,IF($D159="Late cancel",INDEX(Properties!$L$5:$L$104,MATCH($B159,Properties!$A$5:$A$104,0))*Settings!$B$11,0))),0))</f>
        <v/>
      </c>
      <c r="P159" s="28" t="str">
        <f aca="false">IF($B159="","",$N159-$O159)</f>
        <v/>
      </c>
      <c r="Q159" s="29" t="str">
        <f aca="false">IF($A159="","",DATE(YEAR($A159),MONTH($A159),1))</f>
        <v/>
      </c>
      <c r="R159" s="30" t="str">
        <f aca="false">IF($A159="","",$A159+MOD(6-WEEKDAY($A159),7))</f>
        <v/>
      </c>
      <c r="S159" s="31" t="str">
        <f aca="false">IF($B159="","",IF(AND($M159='Invoice Builder'!$C$5,$Q159='Invoice Builder'!$C$6,N($N159)&gt;0),COUNTIFS($M$5:$M159,'Invoice Builder'!$C$5,$Q$5:$Q159,'Invoice Builder'!$C$6,$N$5:$N159,"&gt;0"),""))</f>
        <v/>
      </c>
      <c r="T159" s="27" t="str">
        <f aca="false">IF($A159="","",IF($A159&gt;=DATE(YEAR($A159),4,6),YEAR($A159)&amp;"/"&amp;RIGHT(YEAR($A159)+1,2),YEAR($A159)-1&amp;"/"&amp;RIGHT(YEAR($A159),2)))</f>
        <v/>
      </c>
    </row>
    <row r="160" customFormat="false" ht="15" hidden="false" customHeight="false" outlineLevel="0" collapsed="false">
      <c r="A160" s="22"/>
      <c r="B160" s="23"/>
      <c r="C160" s="23"/>
      <c r="D160" s="23"/>
      <c r="E160" s="24"/>
      <c r="F160" s="24"/>
      <c r="G160" s="23"/>
      <c r="H160" s="23"/>
      <c r="I160" s="25"/>
      <c r="J160" s="23"/>
      <c r="K160" s="23"/>
      <c r="L160" s="26" t="str">
        <f aca="false">IF(OR($E160="",$F160=""),"",MOD($F160-$E160,1)*24)</f>
        <v/>
      </c>
      <c r="M160" s="27" t="str">
        <f aca="false">IF($B160="","",IFERROR(INDEX(Properties!$D$5:$D$104,MATCH($B160,Properties!$A$5:$A$104,0)),"?"))</f>
        <v/>
      </c>
      <c r="N160" s="28" t="str">
        <f aca="false">IF($B160="","",IFERROR(IF($D160="Completed",INDEX(Properties!$I$5:$I$104,MATCH($B160,Properties!$A$5:$A$104,0))*(1+IF($G160="Y",Settings!$B$8,0))+IF($H160="Y",Settings!$B$7,0)+N($I160),IF($D160="Deep clean",INDEX(Settings!$E$22:$E$26,MATCH(MIN(INDEX(Properties!$E$5:$E$104,MATCH($B160,Properties!$A$5:$A$104,0)),4),Settings!$A$22:$A$26,0))+N($I160),IF($D160="Late cancel",INDEX(Properties!$I$5:$I$104,MATCH($B160,Properties!$A$5:$A$104,0))*Settings!$B$10,0))),0))</f>
        <v/>
      </c>
      <c r="O160" s="28" t="str">
        <f aca="false">IF($B160="","",IFERROR(IF($D160="Completed",INDEX(Properties!$L$5:$L$104,MATCH($B160,Properties!$A$5:$A$104,0))+IF($G160="Y",INDEX(Properties!$I$5:$I$104,MATCH($B160,Properties!$A$5:$A$104,0))*Settings!$B$8*Settings!$B$9,0)+IF($H160="Y",Settings!$B$7*Settings!$B$9,0)+N($I160)*Settings!$B$9,IF($D160="Deep clean",INDEX(Settings!$E$22:$E$26,MATCH(MIN(INDEX(Properties!$E$5:$E$104,MATCH($B160,Properties!$A$5:$A$104,0)),4),Settings!$A$22:$A$26,0))*Settings!$B$19+N($I160)*Settings!$B$9,IF($D160="Late cancel",INDEX(Properties!$L$5:$L$104,MATCH($B160,Properties!$A$5:$A$104,0))*Settings!$B$11,0))),0))</f>
        <v/>
      </c>
      <c r="P160" s="28" t="str">
        <f aca="false">IF($B160="","",$N160-$O160)</f>
        <v/>
      </c>
      <c r="Q160" s="29" t="str">
        <f aca="false">IF($A160="","",DATE(YEAR($A160),MONTH($A160),1))</f>
        <v/>
      </c>
      <c r="R160" s="30" t="str">
        <f aca="false">IF($A160="","",$A160+MOD(6-WEEKDAY($A160),7))</f>
        <v/>
      </c>
      <c r="S160" s="31" t="str">
        <f aca="false">IF($B160="","",IF(AND($M160='Invoice Builder'!$C$5,$Q160='Invoice Builder'!$C$6,N($N160)&gt;0),COUNTIFS($M$5:$M160,'Invoice Builder'!$C$5,$Q$5:$Q160,'Invoice Builder'!$C$6,$N$5:$N160,"&gt;0"),""))</f>
        <v/>
      </c>
      <c r="T160" s="27" t="str">
        <f aca="false">IF($A160="","",IF($A160&gt;=DATE(YEAR($A160),4,6),YEAR($A160)&amp;"/"&amp;RIGHT(YEAR($A160)+1,2),YEAR($A160)-1&amp;"/"&amp;RIGHT(YEAR($A160),2)))</f>
        <v/>
      </c>
    </row>
    <row r="161" customFormat="false" ht="15" hidden="false" customHeight="false" outlineLevel="0" collapsed="false">
      <c r="A161" s="22"/>
      <c r="B161" s="23"/>
      <c r="C161" s="23"/>
      <c r="D161" s="23"/>
      <c r="E161" s="24"/>
      <c r="F161" s="24"/>
      <c r="G161" s="23"/>
      <c r="H161" s="23"/>
      <c r="I161" s="25"/>
      <c r="J161" s="23"/>
      <c r="K161" s="23"/>
      <c r="L161" s="26" t="str">
        <f aca="false">IF(OR($E161="",$F161=""),"",MOD($F161-$E161,1)*24)</f>
        <v/>
      </c>
      <c r="M161" s="27" t="str">
        <f aca="false">IF($B161="","",IFERROR(INDEX(Properties!$D$5:$D$104,MATCH($B161,Properties!$A$5:$A$104,0)),"?"))</f>
        <v/>
      </c>
      <c r="N161" s="28" t="str">
        <f aca="false">IF($B161="","",IFERROR(IF($D161="Completed",INDEX(Properties!$I$5:$I$104,MATCH($B161,Properties!$A$5:$A$104,0))*(1+IF($G161="Y",Settings!$B$8,0))+IF($H161="Y",Settings!$B$7,0)+N($I161),IF($D161="Deep clean",INDEX(Settings!$E$22:$E$26,MATCH(MIN(INDEX(Properties!$E$5:$E$104,MATCH($B161,Properties!$A$5:$A$104,0)),4),Settings!$A$22:$A$26,0))+N($I161),IF($D161="Late cancel",INDEX(Properties!$I$5:$I$104,MATCH($B161,Properties!$A$5:$A$104,0))*Settings!$B$10,0))),0))</f>
        <v/>
      </c>
      <c r="O161" s="28" t="str">
        <f aca="false">IF($B161="","",IFERROR(IF($D161="Completed",INDEX(Properties!$L$5:$L$104,MATCH($B161,Properties!$A$5:$A$104,0))+IF($G161="Y",INDEX(Properties!$I$5:$I$104,MATCH($B161,Properties!$A$5:$A$104,0))*Settings!$B$8*Settings!$B$9,0)+IF($H161="Y",Settings!$B$7*Settings!$B$9,0)+N($I161)*Settings!$B$9,IF($D161="Deep clean",INDEX(Settings!$E$22:$E$26,MATCH(MIN(INDEX(Properties!$E$5:$E$104,MATCH($B161,Properties!$A$5:$A$104,0)),4),Settings!$A$22:$A$26,0))*Settings!$B$19+N($I161)*Settings!$B$9,IF($D161="Late cancel",INDEX(Properties!$L$5:$L$104,MATCH($B161,Properties!$A$5:$A$104,0))*Settings!$B$11,0))),0))</f>
        <v/>
      </c>
      <c r="P161" s="28" t="str">
        <f aca="false">IF($B161="","",$N161-$O161)</f>
        <v/>
      </c>
      <c r="Q161" s="29" t="str">
        <f aca="false">IF($A161="","",DATE(YEAR($A161),MONTH($A161),1))</f>
        <v/>
      </c>
      <c r="R161" s="30" t="str">
        <f aca="false">IF($A161="","",$A161+MOD(6-WEEKDAY($A161),7))</f>
        <v/>
      </c>
      <c r="S161" s="31" t="str">
        <f aca="false">IF($B161="","",IF(AND($M161='Invoice Builder'!$C$5,$Q161='Invoice Builder'!$C$6,N($N161)&gt;0),COUNTIFS($M$5:$M161,'Invoice Builder'!$C$5,$Q$5:$Q161,'Invoice Builder'!$C$6,$N$5:$N161,"&gt;0"),""))</f>
        <v/>
      </c>
      <c r="T161" s="27" t="str">
        <f aca="false">IF($A161="","",IF($A161&gt;=DATE(YEAR($A161),4,6),YEAR($A161)&amp;"/"&amp;RIGHT(YEAR($A161)+1,2),YEAR($A161)-1&amp;"/"&amp;RIGHT(YEAR($A161),2)))</f>
        <v/>
      </c>
    </row>
    <row r="162" customFormat="false" ht="15" hidden="false" customHeight="false" outlineLevel="0" collapsed="false">
      <c r="A162" s="22"/>
      <c r="B162" s="23"/>
      <c r="C162" s="23"/>
      <c r="D162" s="23"/>
      <c r="E162" s="24"/>
      <c r="F162" s="24"/>
      <c r="G162" s="23"/>
      <c r="H162" s="23"/>
      <c r="I162" s="25"/>
      <c r="J162" s="23"/>
      <c r="K162" s="23"/>
      <c r="L162" s="26" t="str">
        <f aca="false">IF(OR($E162="",$F162=""),"",MOD($F162-$E162,1)*24)</f>
        <v/>
      </c>
      <c r="M162" s="27" t="str">
        <f aca="false">IF($B162="","",IFERROR(INDEX(Properties!$D$5:$D$104,MATCH($B162,Properties!$A$5:$A$104,0)),"?"))</f>
        <v/>
      </c>
      <c r="N162" s="28" t="str">
        <f aca="false">IF($B162="","",IFERROR(IF($D162="Completed",INDEX(Properties!$I$5:$I$104,MATCH($B162,Properties!$A$5:$A$104,0))*(1+IF($G162="Y",Settings!$B$8,0))+IF($H162="Y",Settings!$B$7,0)+N($I162),IF($D162="Deep clean",INDEX(Settings!$E$22:$E$26,MATCH(MIN(INDEX(Properties!$E$5:$E$104,MATCH($B162,Properties!$A$5:$A$104,0)),4),Settings!$A$22:$A$26,0))+N($I162),IF($D162="Late cancel",INDEX(Properties!$I$5:$I$104,MATCH($B162,Properties!$A$5:$A$104,0))*Settings!$B$10,0))),0))</f>
        <v/>
      </c>
      <c r="O162" s="28" t="str">
        <f aca="false">IF($B162="","",IFERROR(IF($D162="Completed",INDEX(Properties!$L$5:$L$104,MATCH($B162,Properties!$A$5:$A$104,0))+IF($G162="Y",INDEX(Properties!$I$5:$I$104,MATCH($B162,Properties!$A$5:$A$104,0))*Settings!$B$8*Settings!$B$9,0)+IF($H162="Y",Settings!$B$7*Settings!$B$9,0)+N($I162)*Settings!$B$9,IF($D162="Deep clean",INDEX(Settings!$E$22:$E$26,MATCH(MIN(INDEX(Properties!$E$5:$E$104,MATCH($B162,Properties!$A$5:$A$104,0)),4),Settings!$A$22:$A$26,0))*Settings!$B$19+N($I162)*Settings!$B$9,IF($D162="Late cancel",INDEX(Properties!$L$5:$L$104,MATCH($B162,Properties!$A$5:$A$104,0))*Settings!$B$11,0))),0))</f>
        <v/>
      </c>
      <c r="P162" s="28" t="str">
        <f aca="false">IF($B162="","",$N162-$O162)</f>
        <v/>
      </c>
      <c r="Q162" s="29" t="str">
        <f aca="false">IF($A162="","",DATE(YEAR($A162),MONTH($A162),1))</f>
        <v/>
      </c>
      <c r="R162" s="30" t="str">
        <f aca="false">IF($A162="","",$A162+MOD(6-WEEKDAY($A162),7))</f>
        <v/>
      </c>
      <c r="S162" s="31" t="str">
        <f aca="false">IF($B162="","",IF(AND($M162='Invoice Builder'!$C$5,$Q162='Invoice Builder'!$C$6,N($N162)&gt;0),COUNTIFS($M$5:$M162,'Invoice Builder'!$C$5,$Q$5:$Q162,'Invoice Builder'!$C$6,$N$5:$N162,"&gt;0"),""))</f>
        <v/>
      </c>
      <c r="T162" s="27" t="str">
        <f aca="false">IF($A162="","",IF($A162&gt;=DATE(YEAR($A162),4,6),YEAR($A162)&amp;"/"&amp;RIGHT(YEAR($A162)+1,2),YEAR($A162)-1&amp;"/"&amp;RIGHT(YEAR($A162),2)))</f>
        <v/>
      </c>
    </row>
    <row r="163" customFormat="false" ht="15" hidden="false" customHeight="false" outlineLevel="0" collapsed="false">
      <c r="A163" s="22"/>
      <c r="B163" s="23"/>
      <c r="C163" s="23"/>
      <c r="D163" s="23"/>
      <c r="E163" s="24"/>
      <c r="F163" s="24"/>
      <c r="G163" s="23"/>
      <c r="H163" s="23"/>
      <c r="I163" s="25"/>
      <c r="J163" s="23"/>
      <c r="K163" s="23"/>
      <c r="L163" s="26" t="str">
        <f aca="false">IF(OR($E163="",$F163=""),"",MOD($F163-$E163,1)*24)</f>
        <v/>
      </c>
      <c r="M163" s="27" t="str">
        <f aca="false">IF($B163="","",IFERROR(INDEX(Properties!$D$5:$D$104,MATCH($B163,Properties!$A$5:$A$104,0)),"?"))</f>
        <v/>
      </c>
      <c r="N163" s="28" t="str">
        <f aca="false">IF($B163="","",IFERROR(IF($D163="Completed",INDEX(Properties!$I$5:$I$104,MATCH($B163,Properties!$A$5:$A$104,0))*(1+IF($G163="Y",Settings!$B$8,0))+IF($H163="Y",Settings!$B$7,0)+N($I163),IF($D163="Deep clean",INDEX(Settings!$E$22:$E$26,MATCH(MIN(INDEX(Properties!$E$5:$E$104,MATCH($B163,Properties!$A$5:$A$104,0)),4),Settings!$A$22:$A$26,0))+N($I163),IF($D163="Late cancel",INDEX(Properties!$I$5:$I$104,MATCH($B163,Properties!$A$5:$A$104,0))*Settings!$B$10,0))),0))</f>
        <v/>
      </c>
      <c r="O163" s="28" t="str">
        <f aca="false">IF($B163="","",IFERROR(IF($D163="Completed",INDEX(Properties!$L$5:$L$104,MATCH($B163,Properties!$A$5:$A$104,0))+IF($G163="Y",INDEX(Properties!$I$5:$I$104,MATCH($B163,Properties!$A$5:$A$104,0))*Settings!$B$8*Settings!$B$9,0)+IF($H163="Y",Settings!$B$7*Settings!$B$9,0)+N($I163)*Settings!$B$9,IF($D163="Deep clean",INDEX(Settings!$E$22:$E$26,MATCH(MIN(INDEX(Properties!$E$5:$E$104,MATCH($B163,Properties!$A$5:$A$104,0)),4),Settings!$A$22:$A$26,0))*Settings!$B$19+N($I163)*Settings!$B$9,IF($D163="Late cancel",INDEX(Properties!$L$5:$L$104,MATCH($B163,Properties!$A$5:$A$104,0))*Settings!$B$11,0))),0))</f>
        <v/>
      </c>
      <c r="P163" s="28" t="str">
        <f aca="false">IF($B163="","",$N163-$O163)</f>
        <v/>
      </c>
      <c r="Q163" s="29" t="str">
        <f aca="false">IF($A163="","",DATE(YEAR($A163),MONTH($A163),1))</f>
        <v/>
      </c>
      <c r="R163" s="30" t="str">
        <f aca="false">IF($A163="","",$A163+MOD(6-WEEKDAY($A163),7))</f>
        <v/>
      </c>
      <c r="S163" s="31" t="str">
        <f aca="false">IF($B163="","",IF(AND($M163='Invoice Builder'!$C$5,$Q163='Invoice Builder'!$C$6,N($N163)&gt;0),COUNTIFS($M$5:$M163,'Invoice Builder'!$C$5,$Q$5:$Q163,'Invoice Builder'!$C$6,$N$5:$N163,"&gt;0"),""))</f>
        <v/>
      </c>
      <c r="T163" s="27" t="str">
        <f aca="false">IF($A163="","",IF($A163&gt;=DATE(YEAR($A163),4,6),YEAR($A163)&amp;"/"&amp;RIGHT(YEAR($A163)+1,2),YEAR($A163)-1&amp;"/"&amp;RIGHT(YEAR($A163),2)))</f>
        <v/>
      </c>
    </row>
    <row r="164" customFormat="false" ht="15" hidden="false" customHeight="false" outlineLevel="0" collapsed="false">
      <c r="A164" s="22"/>
      <c r="B164" s="23"/>
      <c r="C164" s="23"/>
      <c r="D164" s="23"/>
      <c r="E164" s="24"/>
      <c r="F164" s="24"/>
      <c r="G164" s="23"/>
      <c r="H164" s="23"/>
      <c r="I164" s="25"/>
      <c r="J164" s="23"/>
      <c r="K164" s="23"/>
      <c r="L164" s="26" t="str">
        <f aca="false">IF(OR($E164="",$F164=""),"",MOD($F164-$E164,1)*24)</f>
        <v/>
      </c>
      <c r="M164" s="27" t="str">
        <f aca="false">IF($B164="","",IFERROR(INDEX(Properties!$D$5:$D$104,MATCH($B164,Properties!$A$5:$A$104,0)),"?"))</f>
        <v/>
      </c>
      <c r="N164" s="28" t="str">
        <f aca="false">IF($B164="","",IFERROR(IF($D164="Completed",INDEX(Properties!$I$5:$I$104,MATCH($B164,Properties!$A$5:$A$104,0))*(1+IF($G164="Y",Settings!$B$8,0))+IF($H164="Y",Settings!$B$7,0)+N($I164),IF($D164="Deep clean",INDEX(Settings!$E$22:$E$26,MATCH(MIN(INDEX(Properties!$E$5:$E$104,MATCH($B164,Properties!$A$5:$A$104,0)),4),Settings!$A$22:$A$26,0))+N($I164),IF($D164="Late cancel",INDEX(Properties!$I$5:$I$104,MATCH($B164,Properties!$A$5:$A$104,0))*Settings!$B$10,0))),0))</f>
        <v/>
      </c>
      <c r="O164" s="28" t="str">
        <f aca="false">IF($B164="","",IFERROR(IF($D164="Completed",INDEX(Properties!$L$5:$L$104,MATCH($B164,Properties!$A$5:$A$104,0))+IF($G164="Y",INDEX(Properties!$I$5:$I$104,MATCH($B164,Properties!$A$5:$A$104,0))*Settings!$B$8*Settings!$B$9,0)+IF($H164="Y",Settings!$B$7*Settings!$B$9,0)+N($I164)*Settings!$B$9,IF($D164="Deep clean",INDEX(Settings!$E$22:$E$26,MATCH(MIN(INDEX(Properties!$E$5:$E$104,MATCH($B164,Properties!$A$5:$A$104,0)),4),Settings!$A$22:$A$26,0))*Settings!$B$19+N($I164)*Settings!$B$9,IF($D164="Late cancel",INDEX(Properties!$L$5:$L$104,MATCH($B164,Properties!$A$5:$A$104,0))*Settings!$B$11,0))),0))</f>
        <v/>
      </c>
      <c r="P164" s="28" t="str">
        <f aca="false">IF($B164="","",$N164-$O164)</f>
        <v/>
      </c>
      <c r="Q164" s="29" t="str">
        <f aca="false">IF($A164="","",DATE(YEAR($A164),MONTH($A164),1))</f>
        <v/>
      </c>
      <c r="R164" s="30" t="str">
        <f aca="false">IF($A164="","",$A164+MOD(6-WEEKDAY($A164),7))</f>
        <v/>
      </c>
      <c r="S164" s="31" t="str">
        <f aca="false">IF($B164="","",IF(AND($M164='Invoice Builder'!$C$5,$Q164='Invoice Builder'!$C$6,N($N164)&gt;0),COUNTIFS($M$5:$M164,'Invoice Builder'!$C$5,$Q$5:$Q164,'Invoice Builder'!$C$6,$N$5:$N164,"&gt;0"),""))</f>
        <v/>
      </c>
      <c r="T164" s="27" t="str">
        <f aca="false">IF($A164="","",IF($A164&gt;=DATE(YEAR($A164),4,6),YEAR($A164)&amp;"/"&amp;RIGHT(YEAR($A164)+1,2),YEAR($A164)-1&amp;"/"&amp;RIGHT(YEAR($A164),2)))</f>
        <v/>
      </c>
    </row>
    <row r="165" customFormat="false" ht="15" hidden="false" customHeight="false" outlineLevel="0" collapsed="false">
      <c r="A165" s="22"/>
      <c r="B165" s="23"/>
      <c r="C165" s="23"/>
      <c r="D165" s="23"/>
      <c r="E165" s="24"/>
      <c r="F165" s="24"/>
      <c r="G165" s="23"/>
      <c r="H165" s="23"/>
      <c r="I165" s="25"/>
      <c r="J165" s="23"/>
      <c r="K165" s="23"/>
      <c r="L165" s="26" t="str">
        <f aca="false">IF(OR($E165="",$F165=""),"",MOD($F165-$E165,1)*24)</f>
        <v/>
      </c>
      <c r="M165" s="27" t="str">
        <f aca="false">IF($B165="","",IFERROR(INDEX(Properties!$D$5:$D$104,MATCH($B165,Properties!$A$5:$A$104,0)),"?"))</f>
        <v/>
      </c>
      <c r="N165" s="28" t="str">
        <f aca="false">IF($B165="","",IFERROR(IF($D165="Completed",INDEX(Properties!$I$5:$I$104,MATCH($B165,Properties!$A$5:$A$104,0))*(1+IF($G165="Y",Settings!$B$8,0))+IF($H165="Y",Settings!$B$7,0)+N($I165),IF($D165="Deep clean",INDEX(Settings!$E$22:$E$26,MATCH(MIN(INDEX(Properties!$E$5:$E$104,MATCH($B165,Properties!$A$5:$A$104,0)),4),Settings!$A$22:$A$26,0))+N($I165),IF($D165="Late cancel",INDEX(Properties!$I$5:$I$104,MATCH($B165,Properties!$A$5:$A$104,0))*Settings!$B$10,0))),0))</f>
        <v/>
      </c>
      <c r="O165" s="28" t="str">
        <f aca="false">IF($B165="","",IFERROR(IF($D165="Completed",INDEX(Properties!$L$5:$L$104,MATCH($B165,Properties!$A$5:$A$104,0))+IF($G165="Y",INDEX(Properties!$I$5:$I$104,MATCH($B165,Properties!$A$5:$A$104,0))*Settings!$B$8*Settings!$B$9,0)+IF($H165="Y",Settings!$B$7*Settings!$B$9,0)+N($I165)*Settings!$B$9,IF($D165="Deep clean",INDEX(Settings!$E$22:$E$26,MATCH(MIN(INDEX(Properties!$E$5:$E$104,MATCH($B165,Properties!$A$5:$A$104,0)),4),Settings!$A$22:$A$26,0))*Settings!$B$19+N($I165)*Settings!$B$9,IF($D165="Late cancel",INDEX(Properties!$L$5:$L$104,MATCH($B165,Properties!$A$5:$A$104,0))*Settings!$B$11,0))),0))</f>
        <v/>
      </c>
      <c r="P165" s="28" t="str">
        <f aca="false">IF($B165="","",$N165-$O165)</f>
        <v/>
      </c>
      <c r="Q165" s="29" t="str">
        <f aca="false">IF($A165="","",DATE(YEAR($A165),MONTH($A165),1))</f>
        <v/>
      </c>
      <c r="R165" s="30" t="str">
        <f aca="false">IF($A165="","",$A165+MOD(6-WEEKDAY($A165),7))</f>
        <v/>
      </c>
      <c r="S165" s="31" t="str">
        <f aca="false">IF($B165="","",IF(AND($M165='Invoice Builder'!$C$5,$Q165='Invoice Builder'!$C$6,N($N165)&gt;0),COUNTIFS($M$5:$M165,'Invoice Builder'!$C$5,$Q$5:$Q165,'Invoice Builder'!$C$6,$N$5:$N165,"&gt;0"),""))</f>
        <v/>
      </c>
      <c r="T165" s="27" t="str">
        <f aca="false">IF($A165="","",IF($A165&gt;=DATE(YEAR($A165),4,6),YEAR($A165)&amp;"/"&amp;RIGHT(YEAR($A165)+1,2),YEAR($A165)-1&amp;"/"&amp;RIGHT(YEAR($A165),2)))</f>
        <v/>
      </c>
    </row>
    <row r="166" customFormat="false" ht="15" hidden="false" customHeight="false" outlineLevel="0" collapsed="false">
      <c r="A166" s="22"/>
      <c r="B166" s="23"/>
      <c r="C166" s="23"/>
      <c r="D166" s="23"/>
      <c r="E166" s="24"/>
      <c r="F166" s="24"/>
      <c r="G166" s="23"/>
      <c r="H166" s="23"/>
      <c r="I166" s="25"/>
      <c r="J166" s="23"/>
      <c r="K166" s="23"/>
      <c r="L166" s="26" t="str">
        <f aca="false">IF(OR($E166="",$F166=""),"",MOD($F166-$E166,1)*24)</f>
        <v/>
      </c>
      <c r="M166" s="27" t="str">
        <f aca="false">IF($B166="","",IFERROR(INDEX(Properties!$D$5:$D$104,MATCH($B166,Properties!$A$5:$A$104,0)),"?"))</f>
        <v/>
      </c>
      <c r="N166" s="28" t="str">
        <f aca="false">IF($B166="","",IFERROR(IF($D166="Completed",INDEX(Properties!$I$5:$I$104,MATCH($B166,Properties!$A$5:$A$104,0))*(1+IF($G166="Y",Settings!$B$8,0))+IF($H166="Y",Settings!$B$7,0)+N($I166),IF($D166="Deep clean",INDEX(Settings!$E$22:$E$26,MATCH(MIN(INDEX(Properties!$E$5:$E$104,MATCH($B166,Properties!$A$5:$A$104,0)),4),Settings!$A$22:$A$26,0))+N($I166),IF($D166="Late cancel",INDEX(Properties!$I$5:$I$104,MATCH($B166,Properties!$A$5:$A$104,0))*Settings!$B$10,0))),0))</f>
        <v/>
      </c>
      <c r="O166" s="28" t="str">
        <f aca="false">IF($B166="","",IFERROR(IF($D166="Completed",INDEX(Properties!$L$5:$L$104,MATCH($B166,Properties!$A$5:$A$104,0))+IF($G166="Y",INDEX(Properties!$I$5:$I$104,MATCH($B166,Properties!$A$5:$A$104,0))*Settings!$B$8*Settings!$B$9,0)+IF($H166="Y",Settings!$B$7*Settings!$B$9,0)+N($I166)*Settings!$B$9,IF($D166="Deep clean",INDEX(Settings!$E$22:$E$26,MATCH(MIN(INDEX(Properties!$E$5:$E$104,MATCH($B166,Properties!$A$5:$A$104,0)),4),Settings!$A$22:$A$26,0))*Settings!$B$19+N($I166)*Settings!$B$9,IF($D166="Late cancel",INDEX(Properties!$L$5:$L$104,MATCH($B166,Properties!$A$5:$A$104,0))*Settings!$B$11,0))),0))</f>
        <v/>
      </c>
      <c r="P166" s="28" t="str">
        <f aca="false">IF($B166="","",$N166-$O166)</f>
        <v/>
      </c>
      <c r="Q166" s="29" t="str">
        <f aca="false">IF($A166="","",DATE(YEAR($A166),MONTH($A166),1))</f>
        <v/>
      </c>
      <c r="R166" s="30" t="str">
        <f aca="false">IF($A166="","",$A166+MOD(6-WEEKDAY($A166),7))</f>
        <v/>
      </c>
      <c r="S166" s="31" t="str">
        <f aca="false">IF($B166="","",IF(AND($M166='Invoice Builder'!$C$5,$Q166='Invoice Builder'!$C$6,N($N166)&gt;0),COUNTIFS($M$5:$M166,'Invoice Builder'!$C$5,$Q$5:$Q166,'Invoice Builder'!$C$6,$N$5:$N166,"&gt;0"),""))</f>
        <v/>
      </c>
      <c r="T166" s="27" t="str">
        <f aca="false">IF($A166="","",IF($A166&gt;=DATE(YEAR($A166),4,6),YEAR($A166)&amp;"/"&amp;RIGHT(YEAR($A166)+1,2),YEAR($A166)-1&amp;"/"&amp;RIGHT(YEAR($A166),2)))</f>
        <v/>
      </c>
    </row>
    <row r="167" customFormat="false" ht="15" hidden="false" customHeight="false" outlineLevel="0" collapsed="false">
      <c r="A167" s="22"/>
      <c r="B167" s="23"/>
      <c r="C167" s="23"/>
      <c r="D167" s="23"/>
      <c r="E167" s="24"/>
      <c r="F167" s="24"/>
      <c r="G167" s="23"/>
      <c r="H167" s="23"/>
      <c r="I167" s="25"/>
      <c r="J167" s="23"/>
      <c r="K167" s="23"/>
      <c r="L167" s="26" t="str">
        <f aca="false">IF(OR($E167="",$F167=""),"",MOD($F167-$E167,1)*24)</f>
        <v/>
      </c>
      <c r="M167" s="27" t="str">
        <f aca="false">IF($B167="","",IFERROR(INDEX(Properties!$D$5:$D$104,MATCH($B167,Properties!$A$5:$A$104,0)),"?"))</f>
        <v/>
      </c>
      <c r="N167" s="28" t="str">
        <f aca="false">IF($B167="","",IFERROR(IF($D167="Completed",INDEX(Properties!$I$5:$I$104,MATCH($B167,Properties!$A$5:$A$104,0))*(1+IF($G167="Y",Settings!$B$8,0))+IF($H167="Y",Settings!$B$7,0)+N($I167),IF($D167="Deep clean",INDEX(Settings!$E$22:$E$26,MATCH(MIN(INDEX(Properties!$E$5:$E$104,MATCH($B167,Properties!$A$5:$A$104,0)),4),Settings!$A$22:$A$26,0))+N($I167),IF($D167="Late cancel",INDEX(Properties!$I$5:$I$104,MATCH($B167,Properties!$A$5:$A$104,0))*Settings!$B$10,0))),0))</f>
        <v/>
      </c>
      <c r="O167" s="28" t="str">
        <f aca="false">IF($B167="","",IFERROR(IF($D167="Completed",INDEX(Properties!$L$5:$L$104,MATCH($B167,Properties!$A$5:$A$104,0))+IF($G167="Y",INDEX(Properties!$I$5:$I$104,MATCH($B167,Properties!$A$5:$A$104,0))*Settings!$B$8*Settings!$B$9,0)+IF($H167="Y",Settings!$B$7*Settings!$B$9,0)+N($I167)*Settings!$B$9,IF($D167="Deep clean",INDEX(Settings!$E$22:$E$26,MATCH(MIN(INDEX(Properties!$E$5:$E$104,MATCH($B167,Properties!$A$5:$A$104,0)),4),Settings!$A$22:$A$26,0))*Settings!$B$19+N($I167)*Settings!$B$9,IF($D167="Late cancel",INDEX(Properties!$L$5:$L$104,MATCH($B167,Properties!$A$5:$A$104,0))*Settings!$B$11,0))),0))</f>
        <v/>
      </c>
      <c r="P167" s="28" t="str">
        <f aca="false">IF($B167="","",$N167-$O167)</f>
        <v/>
      </c>
      <c r="Q167" s="29" t="str">
        <f aca="false">IF($A167="","",DATE(YEAR($A167),MONTH($A167),1))</f>
        <v/>
      </c>
      <c r="R167" s="30" t="str">
        <f aca="false">IF($A167="","",$A167+MOD(6-WEEKDAY($A167),7))</f>
        <v/>
      </c>
      <c r="S167" s="31" t="str">
        <f aca="false">IF($B167="","",IF(AND($M167='Invoice Builder'!$C$5,$Q167='Invoice Builder'!$C$6,N($N167)&gt;0),COUNTIFS($M$5:$M167,'Invoice Builder'!$C$5,$Q$5:$Q167,'Invoice Builder'!$C$6,$N$5:$N167,"&gt;0"),""))</f>
        <v/>
      </c>
      <c r="T167" s="27" t="str">
        <f aca="false">IF($A167="","",IF($A167&gt;=DATE(YEAR($A167),4,6),YEAR($A167)&amp;"/"&amp;RIGHT(YEAR($A167)+1,2),YEAR($A167)-1&amp;"/"&amp;RIGHT(YEAR($A167),2)))</f>
        <v/>
      </c>
    </row>
    <row r="168" customFormat="false" ht="15" hidden="false" customHeight="false" outlineLevel="0" collapsed="false">
      <c r="A168" s="22"/>
      <c r="B168" s="23"/>
      <c r="C168" s="23"/>
      <c r="D168" s="23"/>
      <c r="E168" s="24"/>
      <c r="F168" s="24"/>
      <c r="G168" s="23"/>
      <c r="H168" s="23"/>
      <c r="I168" s="25"/>
      <c r="J168" s="23"/>
      <c r="K168" s="23"/>
      <c r="L168" s="26" t="str">
        <f aca="false">IF(OR($E168="",$F168=""),"",MOD($F168-$E168,1)*24)</f>
        <v/>
      </c>
      <c r="M168" s="27" t="str">
        <f aca="false">IF($B168="","",IFERROR(INDEX(Properties!$D$5:$D$104,MATCH($B168,Properties!$A$5:$A$104,0)),"?"))</f>
        <v/>
      </c>
      <c r="N168" s="28" t="str">
        <f aca="false">IF($B168="","",IFERROR(IF($D168="Completed",INDEX(Properties!$I$5:$I$104,MATCH($B168,Properties!$A$5:$A$104,0))*(1+IF($G168="Y",Settings!$B$8,0))+IF($H168="Y",Settings!$B$7,0)+N($I168),IF($D168="Deep clean",INDEX(Settings!$E$22:$E$26,MATCH(MIN(INDEX(Properties!$E$5:$E$104,MATCH($B168,Properties!$A$5:$A$104,0)),4),Settings!$A$22:$A$26,0))+N($I168),IF($D168="Late cancel",INDEX(Properties!$I$5:$I$104,MATCH($B168,Properties!$A$5:$A$104,0))*Settings!$B$10,0))),0))</f>
        <v/>
      </c>
      <c r="O168" s="28" t="str">
        <f aca="false">IF($B168="","",IFERROR(IF($D168="Completed",INDEX(Properties!$L$5:$L$104,MATCH($B168,Properties!$A$5:$A$104,0))+IF($G168="Y",INDEX(Properties!$I$5:$I$104,MATCH($B168,Properties!$A$5:$A$104,0))*Settings!$B$8*Settings!$B$9,0)+IF($H168="Y",Settings!$B$7*Settings!$B$9,0)+N($I168)*Settings!$B$9,IF($D168="Deep clean",INDEX(Settings!$E$22:$E$26,MATCH(MIN(INDEX(Properties!$E$5:$E$104,MATCH($B168,Properties!$A$5:$A$104,0)),4),Settings!$A$22:$A$26,0))*Settings!$B$19+N($I168)*Settings!$B$9,IF($D168="Late cancel",INDEX(Properties!$L$5:$L$104,MATCH($B168,Properties!$A$5:$A$104,0))*Settings!$B$11,0))),0))</f>
        <v/>
      </c>
      <c r="P168" s="28" t="str">
        <f aca="false">IF($B168="","",$N168-$O168)</f>
        <v/>
      </c>
      <c r="Q168" s="29" t="str">
        <f aca="false">IF($A168="","",DATE(YEAR($A168),MONTH($A168),1))</f>
        <v/>
      </c>
      <c r="R168" s="30" t="str">
        <f aca="false">IF($A168="","",$A168+MOD(6-WEEKDAY($A168),7))</f>
        <v/>
      </c>
      <c r="S168" s="31" t="str">
        <f aca="false">IF($B168="","",IF(AND($M168='Invoice Builder'!$C$5,$Q168='Invoice Builder'!$C$6,N($N168)&gt;0),COUNTIFS($M$5:$M168,'Invoice Builder'!$C$5,$Q$5:$Q168,'Invoice Builder'!$C$6,$N$5:$N168,"&gt;0"),""))</f>
        <v/>
      </c>
      <c r="T168" s="27" t="str">
        <f aca="false">IF($A168="","",IF($A168&gt;=DATE(YEAR($A168),4,6),YEAR($A168)&amp;"/"&amp;RIGHT(YEAR($A168)+1,2),YEAR($A168)-1&amp;"/"&amp;RIGHT(YEAR($A168),2)))</f>
        <v/>
      </c>
    </row>
    <row r="169" customFormat="false" ht="15" hidden="false" customHeight="false" outlineLevel="0" collapsed="false">
      <c r="A169" s="22"/>
      <c r="B169" s="23"/>
      <c r="C169" s="23"/>
      <c r="D169" s="23"/>
      <c r="E169" s="24"/>
      <c r="F169" s="24"/>
      <c r="G169" s="23"/>
      <c r="H169" s="23"/>
      <c r="I169" s="25"/>
      <c r="J169" s="23"/>
      <c r="K169" s="23"/>
      <c r="L169" s="26" t="str">
        <f aca="false">IF(OR($E169="",$F169=""),"",MOD($F169-$E169,1)*24)</f>
        <v/>
      </c>
      <c r="M169" s="27" t="str">
        <f aca="false">IF($B169="","",IFERROR(INDEX(Properties!$D$5:$D$104,MATCH($B169,Properties!$A$5:$A$104,0)),"?"))</f>
        <v/>
      </c>
      <c r="N169" s="28" t="str">
        <f aca="false">IF($B169="","",IFERROR(IF($D169="Completed",INDEX(Properties!$I$5:$I$104,MATCH($B169,Properties!$A$5:$A$104,0))*(1+IF($G169="Y",Settings!$B$8,0))+IF($H169="Y",Settings!$B$7,0)+N($I169),IF($D169="Deep clean",INDEX(Settings!$E$22:$E$26,MATCH(MIN(INDEX(Properties!$E$5:$E$104,MATCH($B169,Properties!$A$5:$A$104,0)),4),Settings!$A$22:$A$26,0))+N($I169),IF($D169="Late cancel",INDEX(Properties!$I$5:$I$104,MATCH($B169,Properties!$A$5:$A$104,0))*Settings!$B$10,0))),0))</f>
        <v/>
      </c>
      <c r="O169" s="28" t="str">
        <f aca="false">IF($B169="","",IFERROR(IF($D169="Completed",INDEX(Properties!$L$5:$L$104,MATCH($B169,Properties!$A$5:$A$104,0))+IF($G169="Y",INDEX(Properties!$I$5:$I$104,MATCH($B169,Properties!$A$5:$A$104,0))*Settings!$B$8*Settings!$B$9,0)+IF($H169="Y",Settings!$B$7*Settings!$B$9,0)+N($I169)*Settings!$B$9,IF($D169="Deep clean",INDEX(Settings!$E$22:$E$26,MATCH(MIN(INDEX(Properties!$E$5:$E$104,MATCH($B169,Properties!$A$5:$A$104,0)),4),Settings!$A$22:$A$26,0))*Settings!$B$19+N($I169)*Settings!$B$9,IF($D169="Late cancel",INDEX(Properties!$L$5:$L$104,MATCH($B169,Properties!$A$5:$A$104,0))*Settings!$B$11,0))),0))</f>
        <v/>
      </c>
      <c r="P169" s="28" t="str">
        <f aca="false">IF($B169="","",$N169-$O169)</f>
        <v/>
      </c>
      <c r="Q169" s="29" t="str">
        <f aca="false">IF($A169="","",DATE(YEAR($A169),MONTH($A169),1))</f>
        <v/>
      </c>
      <c r="R169" s="30" t="str">
        <f aca="false">IF($A169="","",$A169+MOD(6-WEEKDAY($A169),7))</f>
        <v/>
      </c>
      <c r="S169" s="31" t="str">
        <f aca="false">IF($B169="","",IF(AND($M169='Invoice Builder'!$C$5,$Q169='Invoice Builder'!$C$6,N($N169)&gt;0),COUNTIFS($M$5:$M169,'Invoice Builder'!$C$5,$Q$5:$Q169,'Invoice Builder'!$C$6,$N$5:$N169,"&gt;0"),""))</f>
        <v/>
      </c>
      <c r="T169" s="27" t="str">
        <f aca="false">IF($A169="","",IF($A169&gt;=DATE(YEAR($A169),4,6),YEAR($A169)&amp;"/"&amp;RIGHT(YEAR($A169)+1,2),YEAR($A169)-1&amp;"/"&amp;RIGHT(YEAR($A169),2)))</f>
        <v/>
      </c>
    </row>
    <row r="170" customFormat="false" ht="15" hidden="false" customHeight="false" outlineLevel="0" collapsed="false">
      <c r="A170" s="22"/>
      <c r="B170" s="23"/>
      <c r="C170" s="23"/>
      <c r="D170" s="23"/>
      <c r="E170" s="24"/>
      <c r="F170" s="24"/>
      <c r="G170" s="23"/>
      <c r="H170" s="23"/>
      <c r="I170" s="25"/>
      <c r="J170" s="23"/>
      <c r="K170" s="23"/>
      <c r="L170" s="26" t="str">
        <f aca="false">IF(OR($E170="",$F170=""),"",MOD($F170-$E170,1)*24)</f>
        <v/>
      </c>
      <c r="M170" s="27" t="str">
        <f aca="false">IF($B170="","",IFERROR(INDEX(Properties!$D$5:$D$104,MATCH($B170,Properties!$A$5:$A$104,0)),"?"))</f>
        <v/>
      </c>
      <c r="N170" s="28" t="str">
        <f aca="false">IF($B170="","",IFERROR(IF($D170="Completed",INDEX(Properties!$I$5:$I$104,MATCH($B170,Properties!$A$5:$A$104,0))*(1+IF($G170="Y",Settings!$B$8,0))+IF($H170="Y",Settings!$B$7,0)+N($I170),IF($D170="Deep clean",INDEX(Settings!$E$22:$E$26,MATCH(MIN(INDEX(Properties!$E$5:$E$104,MATCH($B170,Properties!$A$5:$A$104,0)),4),Settings!$A$22:$A$26,0))+N($I170),IF($D170="Late cancel",INDEX(Properties!$I$5:$I$104,MATCH($B170,Properties!$A$5:$A$104,0))*Settings!$B$10,0))),0))</f>
        <v/>
      </c>
      <c r="O170" s="28" t="str">
        <f aca="false">IF($B170="","",IFERROR(IF($D170="Completed",INDEX(Properties!$L$5:$L$104,MATCH($B170,Properties!$A$5:$A$104,0))+IF($G170="Y",INDEX(Properties!$I$5:$I$104,MATCH($B170,Properties!$A$5:$A$104,0))*Settings!$B$8*Settings!$B$9,0)+IF($H170="Y",Settings!$B$7*Settings!$B$9,0)+N($I170)*Settings!$B$9,IF($D170="Deep clean",INDEX(Settings!$E$22:$E$26,MATCH(MIN(INDEX(Properties!$E$5:$E$104,MATCH($B170,Properties!$A$5:$A$104,0)),4),Settings!$A$22:$A$26,0))*Settings!$B$19+N($I170)*Settings!$B$9,IF($D170="Late cancel",INDEX(Properties!$L$5:$L$104,MATCH($B170,Properties!$A$5:$A$104,0))*Settings!$B$11,0))),0))</f>
        <v/>
      </c>
      <c r="P170" s="28" t="str">
        <f aca="false">IF($B170="","",$N170-$O170)</f>
        <v/>
      </c>
      <c r="Q170" s="29" t="str">
        <f aca="false">IF($A170="","",DATE(YEAR($A170),MONTH($A170),1))</f>
        <v/>
      </c>
      <c r="R170" s="30" t="str">
        <f aca="false">IF($A170="","",$A170+MOD(6-WEEKDAY($A170),7))</f>
        <v/>
      </c>
      <c r="S170" s="31" t="str">
        <f aca="false">IF($B170="","",IF(AND($M170='Invoice Builder'!$C$5,$Q170='Invoice Builder'!$C$6,N($N170)&gt;0),COUNTIFS($M$5:$M170,'Invoice Builder'!$C$5,$Q$5:$Q170,'Invoice Builder'!$C$6,$N$5:$N170,"&gt;0"),""))</f>
        <v/>
      </c>
      <c r="T170" s="27" t="str">
        <f aca="false">IF($A170="","",IF($A170&gt;=DATE(YEAR($A170),4,6),YEAR($A170)&amp;"/"&amp;RIGHT(YEAR($A170)+1,2),YEAR($A170)-1&amp;"/"&amp;RIGHT(YEAR($A170),2)))</f>
        <v/>
      </c>
    </row>
    <row r="171" customFormat="false" ht="15" hidden="false" customHeight="false" outlineLevel="0" collapsed="false">
      <c r="A171" s="22"/>
      <c r="B171" s="23"/>
      <c r="C171" s="23"/>
      <c r="D171" s="23"/>
      <c r="E171" s="24"/>
      <c r="F171" s="24"/>
      <c r="G171" s="23"/>
      <c r="H171" s="23"/>
      <c r="I171" s="25"/>
      <c r="J171" s="23"/>
      <c r="K171" s="23"/>
      <c r="L171" s="26" t="str">
        <f aca="false">IF(OR($E171="",$F171=""),"",MOD($F171-$E171,1)*24)</f>
        <v/>
      </c>
      <c r="M171" s="27" t="str">
        <f aca="false">IF($B171="","",IFERROR(INDEX(Properties!$D$5:$D$104,MATCH($B171,Properties!$A$5:$A$104,0)),"?"))</f>
        <v/>
      </c>
      <c r="N171" s="28" t="str">
        <f aca="false">IF($B171="","",IFERROR(IF($D171="Completed",INDEX(Properties!$I$5:$I$104,MATCH($B171,Properties!$A$5:$A$104,0))*(1+IF($G171="Y",Settings!$B$8,0))+IF($H171="Y",Settings!$B$7,0)+N($I171),IF($D171="Deep clean",INDEX(Settings!$E$22:$E$26,MATCH(MIN(INDEX(Properties!$E$5:$E$104,MATCH($B171,Properties!$A$5:$A$104,0)),4),Settings!$A$22:$A$26,0))+N($I171),IF($D171="Late cancel",INDEX(Properties!$I$5:$I$104,MATCH($B171,Properties!$A$5:$A$104,0))*Settings!$B$10,0))),0))</f>
        <v/>
      </c>
      <c r="O171" s="28" t="str">
        <f aca="false">IF($B171="","",IFERROR(IF($D171="Completed",INDEX(Properties!$L$5:$L$104,MATCH($B171,Properties!$A$5:$A$104,0))+IF($G171="Y",INDEX(Properties!$I$5:$I$104,MATCH($B171,Properties!$A$5:$A$104,0))*Settings!$B$8*Settings!$B$9,0)+IF($H171="Y",Settings!$B$7*Settings!$B$9,0)+N($I171)*Settings!$B$9,IF($D171="Deep clean",INDEX(Settings!$E$22:$E$26,MATCH(MIN(INDEX(Properties!$E$5:$E$104,MATCH($B171,Properties!$A$5:$A$104,0)),4),Settings!$A$22:$A$26,0))*Settings!$B$19+N($I171)*Settings!$B$9,IF($D171="Late cancel",INDEX(Properties!$L$5:$L$104,MATCH($B171,Properties!$A$5:$A$104,0))*Settings!$B$11,0))),0))</f>
        <v/>
      </c>
      <c r="P171" s="28" t="str">
        <f aca="false">IF($B171="","",$N171-$O171)</f>
        <v/>
      </c>
      <c r="Q171" s="29" t="str">
        <f aca="false">IF($A171="","",DATE(YEAR($A171),MONTH($A171),1))</f>
        <v/>
      </c>
      <c r="R171" s="30" t="str">
        <f aca="false">IF($A171="","",$A171+MOD(6-WEEKDAY($A171),7))</f>
        <v/>
      </c>
      <c r="S171" s="31" t="str">
        <f aca="false">IF($B171="","",IF(AND($M171='Invoice Builder'!$C$5,$Q171='Invoice Builder'!$C$6,N($N171)&gt;0),COUNTIFS($M$5:$M171,'Invoice Builder'!$C$5,$Q$5:$Q171,'Invoice Builder'!$C$6,$N$5:$N171,"&gt;0"),""))</f>
        <v/>
      </c>
      <c r="T171" s="27" t="str">
        <f aca="false">IF($A171="","",IF($A171&gt;=DATE(YEAR($A171),4,6),YEAR($A171)&amp;"/"&amp;RIGHT(YEAR($A171)+1,2),YEAR($A171)-1&amp;"/"&amp;RIGHT(YEAR($A171),2)))</f>
        <v/>
      </c>
    </row>
    <row r="172" customFormat="false" ht="15" hidden="false" customHeight="false" outlineLevel="0" collapsed="false">
      <c r="A172" s="22"/>
      <c r="B172" s="23"/>
      <c r="C172" s="23"/>
      <c r="D172" s="23"/>
      <c r="E172" s="24"/>
      <c r="F172" s="24"/>
      <c r="G172" s="23"/>
      <c r="H172" s="23"/>
      <c r="I172" s="25"/>
      <c r="J172" s="23"/>
      <c r="K172" s="23"/>
      <c r="L172" s="26" t="str">
        <f aca="false">IF(OR($E172="",$F172=""),"",MOD($F172-$E172,1)*24)</f>
        <v/>
      </c>
      <c r="M172" s="27" t="str">
        <f aca="false">IF($B172="","",IFERROR(INDEX(Properties!$D$5:$D$104,MATCH($B172,Properties!$A$5:$A$104,0)),"?"))</f>
        <v/>
      </c>
      <c r="N172" s="28" t="str">
        <f aca="false">IF($B172="","",IFERROR(IF($D172="Completed",INDEX(Properties!$I$5:$I$104,MATCH($B172,Properties!$A$5:$A$104,0))*(1+IF($G172="Y",Settings!$B$8,0))+IF($H172="Y",Settings!$B$7,0)+N($I172),IF($D172="Deep clean",INDEX(Settings!$E$22:$E$26,MATCH(MIN(INDEX(Properties!$E$5:$E$104,MATCH($B172,Properties!$A$5:$A$104,0)),4),Settings!$A$22:$A$26,0))+N($I172),IF($D172="Late cancel",INDEX(Properties!$I$5:$I$104,MATCH($B172,Properties!$A$5:$A$104,0))*Settings!$B$10,0))),0))</f>
        <v/>
      </c>
      <c r="O172" s="28" t="str">
        <f aca="false">IF($B172="","",IFERROR(IF($D172="Completed",INDEX(Properties!$L$5:$L$104,MATCH($B172,Properties!$A$5:$A$104,0))+IF($G172="Y",INDEX(Properties!$I$5:$I$104,MATCH($B172,Properties!$A$5:$A$104,0))*Settings!$B$8*Settings!$B$9,0)+IF($H172="Y",Settings!$B$7*Settings!$B$9,0)+N($I172)*Settings!$B$9,IF($D172="Deep clean",INDEX(Settings!$E$22:$E$26,MATCH(MIN(INDEX(Properties!$E$5:$E$104,MATCH($B172,Properties!$A$5:$A$104,0)),4),Settings!$A$22:$A$26,0))*Settings!$B$19+N($I172)*Settings!$B$9,IF($D172="Late cancel",INDEX(Properties!$L$5:$L$104,MATCH($B172,Properties!$A$5:$A$104,0))*Settings!$B$11,0))),0))</f>
        <v/>
      </c>
      <c r="P172" s="28" t="str">
        <f aca="false">IF($B172="","",$N172-$O172)</f>
        <v/>
      </c>
      <c r="Q172" s="29" t="str">
        <f aca="false">IF($A172="","",DATE(YEAR($A172),MONTH($A172),1))</f>
        <v/>
      </c>
      <c r="R172" s="30" t="str">
        <f aca="false">IF($A172="","",$A172+MOD(6-WEEKDAY($A172),7))</f>
        <v/>
      </c>
      <c r="S172" s="31" t="str">
        <f aca="false">IF($B172="","",IF(AND($M172='Invoice Builder'!$C$5,$Q172='Invoice Builder'!$C$6,N($N172)&gt;0),COUNTIFS($M$5:$M172,'Invoice Builder'!$C$5,$Q$5:$Q172,'Invoice Builder'!$C$6,$N$5:$N172,"&gt;0"),""))</f>
        <v/>
      </c>
      <c r="T172" s="27" t="str">
        <f aca="false">IF($A172="","",IF($A172&gt;=DATE(YEAR($A172),4,6),YEAR($A172)&amp;"/"&amp;RIGHT(YEAR($A172)+1,2),YEAR($A172)-1&amp;"/"&amp;RIGHT(YEAR($A172),2)))</f>
        <v/>
      </c>
    </row>
    <row r="173" customFormat="false" ht="15" hidden="false" customHeight="false" outlineLevel="0" collapsed="false">
      <c r="A173" s="22"/>
      <c r="B173" s="23"/>
      <c r="C173" s="23"/>
      <c r="D173" s="23"/>
      <c r="E173" s="24"/>
      <c r="F173" s="24"/>
      <c r="G173" s="23"/>
      <c r="H173" s="23"/>
      <c r="I173" s="25"/>
      <c r="J173" s="23"/>
      <c r="K173" s="23"/>
      <c r="L173" s="26" t="str">
        <f aca="false">IF(OR($E173="",$F173=""),"",MOD($F173-$E173,1)*24)</f>
        <v/>
      </c>
      <c r="M173" s="27" t="str">
        <f aca="false">IF($B173="","",IFERROR(INDEX(Properties!$D$5:$D$104,MATCH($B173,Properties!$A$5:$A$104,0)),"?"))</f>
        <v/>
      </c>
      <c r="N173" s="28" t="str">
        <f aca="false">IF($B173="","",IFERROR(IF($D173="Completed",INDEX(Properties!$I$5:$I$104,MATCH($B173,Properties!$A$5:$A$104,0))*(1+IF($G173="Y",Settings!$B$8,0))+IF($H173="Y",Settings!$B$7,0)+N($I173),IF($D173="Deep clean",INDEX(Settings!$E$22:$E$26,MATCH(MIN(INDEX(Properties!$E$5:$E$104,MATCH($B173,Properties!$A$5:$A$104,0)),4),Settings!$A$22:$A$26,0))+N($I173),IF($D173="Late cancel",INDEX(Properties!$I$5:$I$104,MATCH($B173,Properties!$A$5:$A$104,0))*Settings!$B$10,0))),0))</f>
        <v/>
      </c>
      <c r="O173" s="28" t="str">
        <f aca="false">IF($B173="","",IFERROR(IF($D173="Completed",INDEX(Properties!$L$5:$L$104,MATCH($B173,Properties!$A$5:$A$104,0))+IF($G173="Y",INDEX(Properties!$I$5:$I$104,MATCH($B173,Properties!$A$5:$A$104,0))*Settings!$B$8*Settings!$B$9,0)+IF($H173="Y",Settings!$B$7*Settings!$B$9,0)+N($I173)*Settings!$B$9,IF($D173="Deep clean",INDEX(Settings!$E$22:$E$26,MATCH(MIN(INDEX(Properties!$E$5:$E$104,MATCH($B173,Properties!$A$5:$A$104,0)),4),Settings!$A$22:$A$26,0))*Settings!$B$19+N($I173)*Settings!$B$9,IF($D173="Late cancel",INDEX(Properties!$L$5:$L$104,MATCH($B173,Properties!$A$5:$A$104,0))*Settings!$B$11,0))),0))</f>
        <v/>
      </c>
      <c r="P173" s="28" t="str">
        <f aca="false">IF($B173="","",$N173-$O173)</f>
        <v/>
      </c>
      <c r="Q173" s="29" t="str">
        <f aca="false">IF($A173="","",DATE(YEAR($A173),MONTH($A173),1))</f>
        <v/>
      </c>
      <c r="R173" s="30" t="str">
        <f aca="false">IF($A173="","",$A173+MOD(6-WEEKDAY($A173),7))</f>
        <v/>
      </c>
      <c r="S173" s="31" t="str">
        <f aca="false">IF($B173="","",IF(AND($M173='Invoice Builder'!$C$5,$Q173='Invoice Builder'!$C$6,N($N173)&gt;0),COUNTIFS($M$5:$M173,'Invoice Builder'!$C$5,$Q$5:$Q173,'Invoice Builder'!$C$6,$N$5:$N173,"&gt;0"),""))</f>
        <v/>
      </c>
      <c r="T173" s="27" t="str">
        <f aca="false">IF($A173="","",IF($A173&gt;=DATE(YEAR($A173),4,6),YEAR($A173)&amp;"/"&amp;RIGHT(YEAR($A173)+1,2),YEAR($A173)-1&amp;"/"&amp;RIGHT(YEAR($A173),2)))</f>
        <v/>
      </c>
    </row>
    <row r="174" customFormat="false" ht="15" hidden="false" customHeight="false" outlineLevel="0" collapsed="false">
      <c r="A174" s="22"/>
      <c r="B174" s="23"/>
      <c r="C174" s="23"/>
      <c r="D174" s="23"/>
      <c r="E174" s="24"/>
      <c r="F174" s="24"/>
      <c r="G174" s="23"/>
      <c r="H174" s="23"/>
      <c r="I174" s="25"/>
      <c r="J174" s="23"/>
      <c r="K174" s="23"/>
      <c r="L174" s="26" t="str">
        <f aca="false">IF(OR($E174="",$F174=""),"",MOD($F174-$E174,1)*24)</f>
        <v/>
      </c>
      <c r="M174" s="27" t="str">
        <f aca="false">IF($B174="","",IFERROR(INDEX(Properties!$D$5:$D$104,MATCH($B174,Properties!$A$5:$A$104,0)),"?"))</f>
        <v/>
      </c>
      <c r="N174" s="28" t="str">
        <f aca="false">IF($B174="","",IFERROR(IF($D174="Completed",INDEX(Properties!$I$5:$I$104,MATCH($B174,Properties!$A$5:$A$104,0))*(1+IF($G174="Y",Settings!$B$8,0))+IF($H174="Y",Settings!$B$7,0)+N($I174),IF($D174="Deep clean",INDEX(Settings!$E$22:$E$26,MATCH(MIN(INDEX(Properties!$E$5:$E$104,MATCH($B174,Properties!$A$5:$A$104,0)),4),Settings!$A$22:$A$26,0))+N($I174),IF($D174="Late cancel",INDEX(Properties!$I$5:$I$104,MATCH($B174,Properties!$A$5:$A$104,0))*Settings!$B$10,0))),0))</f>
        <v/>
      </c>
      <c r="O174" s="28" t="str">
        <f aca="false">IF($B174="","",IFERROR(IF($D174="Completed",INDEX(Properties!$L$5:$L$104,MATCH($B174,Properties!$A$5:$A$104,0))+IF($G174="Y",INDEX(Properties!$I$5:$I$104,MATCH($B174,Properties!$A$5:$A$104,0))*Settings!$B$8*Settings!$B$9,0)+IF($H174="Y",Settings!$B$7*Settings!$B$9,0)+N($I174)*Settings!$B$9,IF($D174="Deep clean",INDEX(Settings!$E$22:$E$26,MATCH(MIN(INDEX(Properties!$E$5:$E$104,MATCH($B174,Properties!$A$5:$A$104,0)),4),Settings!$A$22:$A$26,0))*Settings!$B$19+N($I174)*Settings!$B$9,IF($D174="Late cancel",INDEX(Properties!$L$5:$L$104,MATCH($B174,Properties!$A$5:$A$104,0))*Settings!$B$11,0))),0))</f>
        <v/>
      </c>
      <c r="P174" s="28" t="str">
        <f aca="false">IF($B174="","",$N174-$O174)</f>
        <v/>
      </c>
      <c r="Q174" s="29" t="str">
        <f aca="false">IF($A174="","",DATE(YEAR($A174),MONTH($A174),1))</f>
        <v/>
      </c>
      <c r="R174" s="30" t="str">
        <f aca="false">IF($A174="","",$A174+MOD(6-WEEKDAY($A174),7))</f>
        <v/>
      </c>
      <c r="S174" s="31" t="str">
        <f aca="false">IF($B174="","",IF(AND($M174='Invoice Builder'!$C$5,$Q174='Invoice Builder'!$C$6,N($N174)&gt;0),COUNTIFS($M$5:$M174,'Invoice Builder'!$C$5,$Q$5:$Q174,'Invoice Builder'!$C$6,$N$5:$N174,"&gt;0"),""))</f>
        <v/>
      </c>
      <c r="T174" s="27" t="str">
        <f aca="false">IF($A174="","",IF($A174&gt;=DATE(YEAR($A174),4,6),YEAR($A174)&amp;"/"&amp;RIGHT(YEAR($A174)+1,2),YEAR($A174)-1&amp;"/"&amp;RIGHT(YEAR($A174),2)))</f>
        <v/>
      </c>
    </row>
    <row r="175" customFormat="false" ht="15" hidden="false" customHeight="false" outlineLevel="0" collapsed="false">
      <c r="A175" s="22"/>
      <c r="B175" s="23"/>
      <c r="C175" s="23"/>
      <c r="D175" s="23"/>
      <c r="E175" s="24"/>
      <c r="F175" s="24"/>
      <c r="G175" s="23"/>
      <c r="H175" s="23"/>
      <c r="I175" s="25"/>
      <c r="J175" s="23"/>
      <c r="K175" s="23"/>
      <c r="L175" s="26" t="str">
        <f aca="false">IF(OR($E175="",$F175=""),"",MOD($F175-$E175,1)*24)</f>
        <v/>
      </c>
      <c r="M175" s="27" t="str">
        <f aca="false">IF($B175="","",IFERROR(INDEX(Properties!$D$5:$D$104,MATCH($B175,Properties!$A$5:$A$104,0)),"?"))</f>
        <v/>
      </c>
      <c r="N175" s="28" t="str">
        <f aca="false">IF($B175="","",IFERROR(IF($D175="Completed",INDEX(Properties!$I$5:$I$104,MATCH($B175,Properties!$A$5:$A$104,0))*(1+IF($G175="Y",Settings!$B$8,0))+IF($H175="Y",Settings!$B$7,0)+N($I175),IF($D175="Deep clean",INDEX(Settings!$E$22:$E$26,MATCH(MIN(INDEX(Properties!$E$5:$E$104,MATCH($B175,Properties!$A$5:$A$104,0)),4),Settings!$A$22:$A$26,0))+N($I175),IF($D175="Late cancel",INDEX(Properties!$I$5:$I$104,MATCH($B175,Properties!$A$5:$A$104,0))*Settings!$B$10,0))),0))</f>
        <v/>
      </c>
      <c r="O175" s="28" t="str">
        <f aca="false">IF($B175="","",IFERROR(IF($D175="Completed",INDEX(Properties!$L$5:$L$104,MATCH($B175,Properties!$A$5:$A$104,0))+IF($G175="Y",INDEX(Properties!$I$5:$I$104,MATCH($B175,Properties!$A$5:$A$104,0))*Settings!$B$8*Settings!$B$9,0)+IF($H175="Y",Settings!$B$7*Settings!$B$9,0)+N($I175)*Settings!$B$9,IF($D175="Deep clean",INDEX(Settings!$E$22:$E$26,MATCH(MIN(INDEX(Properties!$E$5:$E$104,MATCH($B175,Properties!$A$5:$A$104,0)),4),Settings!$A$22:$A$26,0))*Settings!$B$19+N($I175)*Settings!$B$9,IF($D175="Late cancel",INDEX(Properties!$L$5:$L$104,MATCH($B175,Properties!$A$5:$A$104,0))*Settings!$B$11,0))),0))</f>
        <v/>
      </c>
      <c r="P175" s="28" t="str">
        <f aca="false">IF($B175="","",$N175-$O175)</f>
        <v/>
      </c>
      <c r="Q175" s="29" t="str">
        <f aca="false">IF($A175="","",DATE(YEAR($A175),MONTH($A175),1))</f>
        <v/>
      </c>
      <c r="R175" s="30" t="str">
        <f aca="false">IF($A175="","",$A175+MOD(6-WEEKDAY($A175),7))</f>
        <v/>
      </c>
      <c r="S175" s="31" t="str">
        <f aca="false">IF($B175="","",IF(AND($M175='Invoice Builder'!$C$5,$Q175='Invoice Builder'!$C$6,N($N175)&gt;0),COUNTIFS($M$5:$M175,'Invoice Builder'!$C$5,$Q$5:$Q175,'Invoice Builder'!$C$6,$N$5:$N175,"&gt;0"),""))</f>
        <v/>
      </c>
      <c r="T175" s="27" t="str">
        <f aca="false">IF($A175="","",IF($A175&gt;=DATE(YEAR($A175),4,6),YEAR($A175)&amp;"/"&amp;RIGHT(YEAR($A175)+1,2),YEAR($A175)-1&amp;"/"&amp;RIGHT(YEAR($A175),2)))</f>
        <v/>
      </c>
    </row>
    <row r="176" customFormat="false" ht="15" hidden="false" customHeight="false" outlineLevel="0" collapsed="false">
      <c r="A176" s="22"/>
      <c r="B176" s="23"/>
      <c r="C176" s="23"/>
      <c r="D176" s="23"/>
      <c r="E176" s="24"/>
      <c r="F176" s="24"/>
      <c r="G176" s="23"/>
      <c r="H176" s="23"/>
      <c r="I176" s="25"/>
      <c r="J176" s="23"/>
      <c r="K176" s="23"/>
      <c r="L176" s="26" t="str">
        <f aca="false">IF(OR($E176="",$F176=""),"",MOD($F176-$E176,1)*24)</f>
        <v/>
      </c>
      <c r="M176" s="27" t="str">
        <f aca="false">IF($B176="","",IFERROR(INDEX(Properties!$D$5:$D$104,MATCH($B176,Properties!$A$5:$A$104,0)),"?"))</f>
        <v/>
      </c>
      <c r="N176" s="28" t="str">
        <f aca="false">IF($B176="","",IFERROR(IF($D176="Completed",INDEX(Properties!$I$5:$I$104,MATCH($B176,Properties!$A$5:$A$104,0))*(1+IF($G176="Y",Settings!$B$8,0))+IF($H176="Y",Settings!$B$7,0)+N($I176),IF($D176="Deep clean",INDEX(Settings!$E$22:$E$26,MATCH(MIN(INDEX(Properties!$E$5:$E$104,MATCH($B176,Properties!$A$5:$A$104,0)),4),Settings!$A$22:$A$26,0))+N($I176),IF($D176="Late cancel",INDEX(Properties!$I$5:$I$104,MATCH($B176,Properties!$A$5:$A$104,0))*Settings!$B$10,0))),0))</f>
        <v/>
      </c>
      <c r="O176" s="28" t="str">
        <f aca="false">IF($B176="","",IFERROR(IF($D176="Completed",INDEX(Properties!$L$5:$L$104,MATCH($B176,Properties!$A$5:$A$104,0))+IF($G176="Y",INDEX(Properties!$I$5:$I$104,MATCH($B176,Properties!$A$5:$A$104,0))*Settings!$B$8*Settings!$B$9,0)+IF($H176="Y",Settings!$B$7*Settings!$B$9,0)+N($I176)*Settings!$B$9,IF($D176="Deep clean",INDEX(Settings!$E$22:$E$26,MATCH(MIN(INDEX(Properties!$E$5:$E$104,MATCH($B176,Properties!$A$5:$A$104,0)),4),Settings!$A$22:$A$26,0))*Settings!$B$19+N($I176)*Settings!$B$9,IF($D176="Late cancel",INDEX(Properties!$L$5:$L$104,MATCH($B176,Properties!$A$5:$A$104,0))*Settings!$B$11,0))),0))</f>
        <v/>
      </c>
      <c r="P176" s="28" t="str">
        <f aca="false">IF($B176="","",$N176-$O176)</f>
        <v/>
      </c>
      <c r="Q176" s="29" t="str">
        <f aca="false">IF($A176="","",DATE(YEAR($A176),MONTH($A176),1))</f>
        <v/>
      </c>
      <c r="R176" s="30" t="str">
        <f aca="false">IF($A176="","",$A176+MOD(6-WEEKDAY($A176),7))</f>
        <v/>
      </c>
      <c r="S176" s="31" t="str">
        <f aca="false">IF($B176="","",IF(AND($M176='Invoice Builder'!$C$5,$Q176='Invoice Builder'!$C$6,N($N176)&gt;0),COUNTIFS($M$5:$M176,'Invoice Builder'!$C$5,$Q$5:$Q176,'Invoice Builder'!$C$6,$N$5:$N176,"&gt;0"),""))</f>
        <v/>
      </c>
      <c r="T176" s="27" t="str">
        <f aca="false">IF($A176="","",IF($A176&gt;=DATE(YEAR($A176),4,6),YEAR($A176)&amp;"/"&amp;RIGHT(YEAR($A176)+1,2),YEAR($A176)-1&amp;"/"&amp;RIGHT(YEAR($A176),2)))</f>
        <v/>
      </c>
    </row>
    <row r="177" customFormat="false" ht="15" hidden="false" customHeight="false" outlineLevel="0" collapsed="false">
      <c r="A177" s="22"/>
      <c r="B177" s="23"/>
      <c r="C177" s="23"/>
      <c r="D177" s="23"/>
      <c r="E177" s="24"/>
      <c r="F177" s="24"/>
      <c r="G177" s="23"/>
      <c r="H177" s="23"/>
      <c r="I177" s="25"/>
      <c r="J177" s="23"/>
      <c r="K177" s="23"/>
      <c r="L177" s="26" t="str">
        <f aca="false">IF(OR($E177="",$F177=""),"",MOD($F177-$E177,1)*24)</f>
        <v/>
      </c>
      <c r="M177" s="27" t="str">
        <f aca="false">IF($B177="","",IFERROR(INDEX(Properties!$D$5:$D$104,MATCH($B177,Properties!$A$5:$A$104,0)),"?"))</f>
        <v/>
      </c>
      <c r="N177" s="28" t="str">
        <f aca="false">IF($B177="","",IFERROR(IF($D177="Completed",INDEX(Properties!$I$5:$I$104,MATCH($B177,Properties!$A$5:$A$104,0))*(1+IF($G177="Y",Settings!$B$8,0))+IF($H177="Y",Settings!$B$7,0)+N($I177),IF($D177="Deep clean",INDEX(Settings!$E$22:$E$26,MATCH(MIN(INDEX(Properties!$E$5:$E$104,MATCH($B177,Properties!$A$5:$A$104,0)),4),Settings!$A$22:$A$26,0))+N($I177),IF($D177="Late cancel",INDEX(Properties!$I$5:$I$104,MATCH($B177,Properties!$A$5:$A$104,0))*Settings!$B$10,0))),0))</f>
        <v/>
      </c>
      <c r="O177" s="28" t="str">
        <f aca="false">IF($B177="","",IFERROR(IF($D177="Completed",INDEX(Properties!$L$5:$L$104,MATCH($B177,Properties!$A$5:$A$104,0))+IF($G177="Y",INDEX(Properties!$I$5:$I$104,MATCH($B177,Properties!$A$5:$A$104,0))*Settings!$B$8*Settings!$B$9,0)+IF($H177="Y",Settings!$B$7*Settings!$B$9,0)+N($I177)*Settings!$B$9,IF($D177="Deep clean",INDEX(Settings!$E$22:$E$26,MATCH(MIN(INDEX(Properties!$E$5:$E$104,MATCH($B177,Properties!$A$5:$A$104,0)),4),Settings!$A$22:$A$26,0))*Settings!$B$19+N($I177)*Settings!$B$9,IF($D177="Late cancel",INDEX(Properties!$L$5:$L$104,MATCH($B177,Properties!$A$5:$A$104,0))*Settings!$B$11,0))),0))</f>
        <v/>
      </c>
      <c r="P177" s="28" t="str">
        <f aca="false">IF($B177="","",$N177-$O177)</f>
        <v/>
      </c>
      <c r="Q177" s="29" t="str">
        <f aca="false">IF($A177="","",DATE(YEAR($A177),MONTH($A177),1))</f>
        <v/>
      </c>
      <c r="R177" s="30" t="str">
        <f aca="false">IF($A177="","",$A177+MOD(6-WEEKDAY($A177),7))</f>
        <v/>
      </c>
      <c r="S177" s="31" t="str">
        <f aca="false">IF($B177="","",IF(AND($M177='Invoice Builder'!$C$5,$Q177='Invoice Builder'!$C$6,N($N177)&gt;0),COUNTIFS($M$5:$M177,'Invoice Builder'!$C$5,$Q$5:$Q177,'Invoice Builder'!$C$6,$N$5:$N177,"&gt;0"),""))</f>
        <v/>
      </c>
      <c r="T177" s="27" t="str">
        <f aca="false">IF($A177="","",IF($A177&gt;=DATE(YEAR($A177),4,6),YEAR($A177)&amp;"/"&amp;RIGHT(YEAR($A177)+1,2),YEAR($A177)-1&amp;"/"&amp;RIGHT(YEAR($A177),2)))</f>
        <v/>
      </c>
    </row>
    <row r="178" customFormat="false" ht="15" hidden="false" customHeight="false" outlineLevel="0" collapsed="false">
      <c r="A178" s="22"/>
      <c r="B178" s="23"/>
      <c r="C178" s="23"/>
      <c r="D178" s="23"/>
      <c r="E178" s="24"/>
      <c r="F178" s="24"/>
      <c r="G178" s="23"/>
      <c r="H178" s="23"/>
      <c r="I178" s="25"/>
      <c r="J178" s="23"/>
      <c r="K178" s="23"/>
      <c r="L178" s="26" t="str">
        <f aca="false">IF(OR($E178="",$F178=""),"",MOD($F178-$E178,1)*24)</f>
        <v/>
      </c>
      <c r="M178" s="27" t="str">
        <f aca="false">IF($B178="","",IFERROR(INDEX(Properties!$D$5:$D$104,MATCH($B178,Properties!$A$5:$A$104,0)),"?"))</f>
        <v/>
      </c>
      <c r="N178" s="28" t="str">
        <f aca="false">IF($B178="","",IFERROR(IF($D178="Completed",INDEX(Properties!$I$5:$I$104,MATCH($B178,Properties!$A$5:$A$104,0))*(1+IF($G178="Y",Settings!$B$8,0))+IF($H178="Y",Settings!$B$7,0)+N($I178),IF($D178="Deep clean",INDEX(Settings!$E$22:$E$26,MATCH(MIN(INDEX(Properties!$E$5:$E$104,MATCH($B178,Properties!$A$5:$A$104,0)),4),Settings!$A$22:$A$26,0))+N($I178),IF($D178="Late cancel",INDEX(Properties!$I$5:$I$104,MATCH($B178,Properties!$A$5:$A$104,0))*Settings!$B$10,0))),0))</f>
        <v/>
      </c>
      <c r="O178" s="28" t="str">
        <f aca="false">IF($B178="","",IFERROR(IF($D178="Completed",INDEX(Properties!$L$5:$L$104,MATCH($B178,Properties!$A$5:$A$104,0))+IF($G178="Y",INDEX(Properties!$I$5:$I$104,MATCH($B178,Properties!$A$5:$A$104,0))*Settings!$B$8*Settings!$B$9,0)+IF($H178="Y",Settings!$B$7*Settings!$B$9,0)+N($I178)*Settings!$B$9,IF($D178="Deep clean",INDEX(Settings!$E$22:$E$26,MATCH(MIN(INDEX(Properties!$E$5:$E$104,MATCH($B178,Properties!$A$5:$A$104,0)),4),Settings!$A$22:$A$26,0))*Settings!$B$19+N($I178)*Settings!$B$9,IF($D178="Late cancel",INDEX(Properties!$L$5:$L$104,MATCH($B178,Properties!$A$5:$A$104,0))*Settings!$B$11,0))),0))</f>
        <v/>
      </c>
      <c r="P178" s="28" t="str">
        <f aca="false">IF($B178="","",$N178-$O178)</f>
        <v/>
      </c>
      <c r="Q178" s="29" t="str">
        <f aca="false">IF($A178="","",DATE(YEAR($A178),MONTH($A178),1))</f>
        <v/>
      </c>
      <c r="R178" s="30" t="str">
        <f aca="false">IF($A178="","",$A178+MOD(6-WEEKDAY($A178),7))</f>
        <v/>
      </c>
      <c r="S178" s="31" t="str">
        <f aca="false">IF($B178="","",IF(AND($M178='Invoice Builder'!$C$5,$Q178='Invoice Builder'!$C$6,N($N178)&gt;0),COUNTIFS($M$5:$M178,'Invoice Builder'!$C$5,$Q$5:$Q178,'Invoice Builder'!$C$6,$N$5:$N178,"&gt;0"),""))</f>
        <v/>
      </c>
      <c r="T178" s="27" t="str">
        <f aca="false">IF($A178="","",IF($A178&gt;=DATE(YEAR($A178),4,6),YEAR($A178)&amp;"/"&amp;RIGHT(YEAR($A178)+1,2),YEAR($A178)-1&amp;"/"&amp;RIGHT(YEAR($A178),2)))</f>
        <v/>
      </c>
    </row>
    <row r="179" customFormat="false" ht="15" hidden="false" customHeight="false" outlineLevel="0" collapsed="false">
      <c r="A179" s="22"/>
      <c r="B179" s="23"/>
      <c r="C179" s="23"/>
      <c r="D179" s="23"/>
      <c r="E179" s="24"/>
      <c r="F179" s="24"/>
      <c r="G179" s="23"/>
      <c r="H179" s="23"/>
      <c r="I179" s="25"/>
      <c r="J179" s="23"/>
      <c r="K179" s="23"/>
      <c r="L179" s="26" t="str">
        <f aca="false">IF(OR($E179="",$F179=""),"",MOD($F179-$E179,1)*24)</f>
        <v/>
      </c>
      <c r="M179" s="27" t="str">
        <f aca="false">IF($B179="","",IFERROR(INDEX(Properties!$D$5:$D$104,MATCH($B179,Properties!$A$5:$A$104,0)),"?"))</f>
        <v/>
      </c>
      <c r="N179" s="28" t="str">
        <f aca="false">IF($B179="","",IFERROR(IF($D179="Completed",INDEX(Properties!$I$5:$I$104,MATCH($B179,Properties!$A$5:$A$104,0))*(1+IF($G179="Y",Settings!$B$8,0))+IF($H179="Y",Settings!$B$7,0)+N($I179),IF($D179="Deep clean",INDEX(Settings!$E$22:$E$26,MATCH(MIN(INDEX(Properties!$E$5:$E$104,MATCH($B179,Properties!$A$5:$A$104,0)),4),Settings!$A$22:$A$26,0))+N($I179),IF($D179="Late cancel",INDEX(Properties!$I$5:$I$104,MATCH($B179,Properties!$A$5:$A$104,0))*Settings!$B$10,0))),0))</f>
        <v/>
      </c>
      <c r="O179" s="28" t="str">
        <f aca="false">IF($B179="","",IFERROR(IF($D179="Completed",INDEX(Properties!$L$5:$L$104,MATCH($B179,Properties!$A$5:$A$104,0))+IF($G179="Y",INDEX(Properties!$I$5:$I$104,MATCH($B179,Properties!$A$5:$A$104,0))*Settings!$B$8*Settings!$B$9,0)+IF($H179="Y",Settings!$B$7*Settings!$B$9,0)+N($I179)*Settings!$B$9,IF($D179="Deep clean",INDEX(Settings!$E$22:$E$26,MATCH(MIN(INDEX(Properties!$E$5:$E$104,MATCH($B179,Properties!$A$5:$A$104,0)),4),Settings!$A$22:$A$26,0))*Settings!$B$19+N($I179)*Settings!$B$9,IF($D179="Late cancel",INDEX(Properties!$L$5:$L$104,MATCH($B179,Properties!$A$5:$A$104,0))*Settings!$B$11,0))),0))</f>
        <v/>
      </c>
      <c r="P179" s="28" t="str">
        <f aca="false">IF($B179="","",$N179-$O179)</f>
        <v/>
      </c>
      <c r="Q179" s="29" t="str">
        <f aca="false">IF($A179="","",DATE(YEAR($A179),MONTH($A179),1))</f>
        <v/>
      </c>
      <c r="R179" s="30" t="str">
        <f aca="false">IF($A179="","",$A179+MOD(6-WEEKDAY($A179),7))</f>
        <v/>
      </c>
      <c r="S179" s="31" t="str">
        <f aca="false">IF($B179="","",IF(AND($M179='Invoice Builder'!$C$5,$Q179='Invoice Builder'!$C$6,N($N179)&gt;0),COUNTIFS($M$5:$M179,'Invoice Builder'!$C$5,$Q$5:$Q179,'Invoice Builder'!$C$6,$N$5:$N179,"&gt;0"),""))</f>
        <v/>
      </c>
      <c r="T179" s="27" t="str">
        <f aca="false">IF($A179="","",IF($A179&gt;=DATE(YEAR($A179),4,6),YEAR($A179)&amp;"/"&amp;RIGHT(YEAR($A179)+1,2),YEAR($A179)-1&amp;"/"&amp;RIGHT(YEAR($A179),2)))</f>
        <v/>
      </c>
    </row>
    <row r="180" customFormat="false" ht="15" hidden="false" customHeight="false" outlineLevel="0" collapsed="false">
      <c r="A180" s="22"/>
      <c r="B180" s="23"/>
      <c r="C180" s="23"/>
      <c r="D180" s="23"/>
      <c r="E180" s="24"/>
      <c r="F180" s="24"/>
      <c r="G180" s="23"/>
      <c r="H180" s="23"/>
      <c r="I180" s="25"/>
      <c r="J180" s="23"/>
      <c r="K180" s="23"/>
      <c r="L180" s="26" t="str">
        <f aca="false">IF(OR($E180="",$F180=""),"",MOD($F180-$E180,1)*24)</f>
        <v/>
      </c>
      <c r="M180" s="27" t="str">
        <f aca="false">IF($B180="","",IFERROR(INDEX(Properties!$D$5:$D$104,MATCH($B180,Properties!$A$5:$A$104,0)),"?"))</f>
        <v/>
      </c>
      <c r="N180" s="28" t="str">
        <f aca="false">IF($B180="","",IFERROR(IF($D180="Completed",INDEX(Properties!$I$5:$I$104,MATCH($B180,Properties!$A$5:$A$104,0))*(1+IF($G180="Y",Settings!$B$8,0))+IF($H180="Y",Settings!$B$7,0)+N($I180),IF($D180="Deep clean",INDEX(Settings!$E$22:$E$26,MATCH(MIN(INDEX(Properties!$E$5:$E$104,MATCH($B180,Properties!$A$5:$A$104,0)),4),Settings!$A$22:$A$26,0))+N($I180),IF($D180="Late cancel",INDEX(Properties!$I$5:$I$104,MATCH($B180,Properties!$A$5:$A$104,0))*Settings!$B$10,0))),0))</f>
        <v/>
      </c>
      <c r="O180" s="28" t="str">
        <f aca="false">IF($B180="","",IFERROR(IF($D180="Completed",INDEX(Properties!$L$5:$L$104,MATCH($B180,Properties!$A$5:$A$104,0))+IF($G180="Y",INDEX(Properties!$I$5:$I$104,MATCH($B180,Properties!$A$5:$A$104,0))*Settings!$B$8*Settings!$B$9,0)+IF($H180="Y",Settings!$B$7*Settings!$B$9,0)+N($I180)*Settings!$B$9,IF($D180="Deep clean",INDEX(Settings!$E$22:$E$26,MATCH(MIN(INDEX(Properties!$E$5:$E$104,MATCH($B180,Properties!$A$5:$A$104,0)),4),Settings!$A$22:$A$26,0))*Settings!$B$19+N($I180)*Settings!$B$9,IF($D180="Late cancel",INDEX(Properties!$L$5:$L$104,MATCH($B180,Properties!$A$5:$A$104,0))*Settings!$B$11,0))),0))</f>
        <v/>
      </c>
      <c r="P180" s="28" t="str">
        <f aca="false">IF($B180="","",$N180-$O180)</f>
        <v/>
      </c>
      <c r="Q180" s="29" t="str">
        <f aca="false">IF($A180="","",DATE(YEAR($A180),MONTH($A180),1))</f>
        <v/>
      </c>
      <c r="R180" s="30" t="str">
        <f aca="false">IF($A180="","",$A180+MOD(6-WEEKDAY($A180),7))</f>
        <v/>
      </c>
      <c r="S180" s="31" t="str">
        <f aca="false">IF($B180="","",IF(AND($M180='Invoice Builder'!$C$5,$Q180='Invoice Builder'!$C$6,N($N180)&gt;0),COUNTIFS($M$5:$M180,'Invoice Builder'!$C$5,$Q$5:$Q180,'Invoice Builder'!$C$6,$N$5:$N180,"&gt;0"),""))</f>
        <v/>
      </c>
      <c r="T180" s="27" t="str">
        <f aca="false">IF($A180="","",IF($A180&gt;=DATE(YEAR($A180),4,6),YEAR($A180)&amp;"/"&amp;RIGHT(YEAR($A180)+1,2),YEAR($A180)-1&amp;"/"&amp;RIGHT(YEAR($A180),2)))</f>
        <v/>
      </c>
    </row>
    <row r="181" customFormat="false" ht="15" hidden="false" customHeight="false" outlineLevel="0" collapsed="false">
      <c r="A181" s="22"/>
      <c r="B181" s="23"/>
      <c r="C181" s="23"/>
      <c r="D181" s="23"/>
      <c r="E181" s="24"/>
      <c r="F181" s="24"/>
      <c r="G181" s="23"/>
      <c r="H181" s="23"/>
      <c r="I181" s="25"/>
      <c r="J181" s="23"/>
      <c r="K181" s="23"/>
      <c r="L181" s="26" t="str">
        <f aca="false">IF(OR($E181="",$F181=""),"",MOD($F181-$E181,1)*24)</f>
        <v/>
      </c>
      <c r="M181" s="27" t="str">
        <f aca="false">IF($B181="","",IFERROR(INDEX(Properties!$D$5:$D$104,MATCH($B181,Properties!$A$5:$A$104,0)),"?"))</f>
        <v/>
      </c>
      <c r="N181" s="28" t="str">
        <f aca="false">IF($B181="","",IFERROR(IF($D181="Completed",INDEX(Properties!$I$5:$I$104,MATCH($B181,Properties!$A$5:$A$104,0))*(1+IF($G181="Y",Settings!$B$8,0))+IF($H181="Y",Settings!$B$7,0)+N($I181),IF($D181="Deep clean",INDEX(Settings!$E$22:$E$26,MATCH(MIN(INDEX(Properties!$E$5:$E$104,MATCH($B181,Properties!$A$5:$A$104,0)),4),Settings!$A$22:$A$26,0))+N($I181),IF($D181="Late cancel",INDEX(Properties!$I$5:$I$104,MATCH($B181,Properties!$A$5:$A$104,0))*Settings!$B$10,0))),0))</f>
        <v/>
      </c>
      <c r="O181" s="28" t="str">
        <f aca="false">IF($B181="","",IFERROR(IF($D181="Completed",INDEX(Properties!$L$5:$L$104,MATCH($B181,Properties!$A$5:$A$104,0))+IF($G181="Y",INDEX(Properties!$I$5:$I$104,MATCH($B181,Properties!$A$5:$A$104,0))*Settings!$B$8*Settings!$B$9,0)+IF($H181="Y",Settings!$B$7*Settings!$B$9,0)+N($I181)*Settings!$B$9,IF($D181="Deep clean",INDEX(Settings!$E$22:$E$26,MATCH(MIN(INDEX(Properties!$E$5:$E$104,MATCH($B181,Properties!$A$5:$A$104,0)),4),Settings!$A$22:$A$26,0))*Settings!$B$19+N($I181)*Settings!$B$9,IF($D181="Late cancel",INDEX(Properties!$L$5:$L$104,MATCH($B181,Properties!$A$5:$A$104,0))*Settings!$B$11,0))),0))</f>
        <v/>
      </c>
      <c r="P181" s="28" t="str">
        <f aca="false">IF($B181="","",$N181-$O181)</f>
        <v/>
      </c>
      <c r="Q181" s="29" t="str">
        <f aca="false">IF($A181="","",DATE(YEAR($A181),MONTH($A181),1))</f>
        <v/>
      </c>
      <c r="R181" s="30" t="str">
        <f aca="false">IF($A181="","",$A181+MOD(6-WEEKDAY($A181),7))</f>
        <v/>
      </c>
      <c r="S181" s="31" t="str">
        <f aca="false">IF($B181="","",IF(AND($M181='Invoice Builder'!$C$5,$Q181='Invoice Builder'!$C$6,N($N181)&gt;0),COUNTIFS($M$5:$M181,'Invoice Builder'!$C$5,$Q$5:$Q181,'Invoice Builder'!$C$6,$N$5:$N181,"&gt;0"),""))</f>
        <v/>
      </c>
      <c r="T181" s="27" t="str">
        <f aca="false">IF($A181="","",IF($A181&gt;=DATE(YEAR($A181),4,6),YEAR($A181)&amp;"/"&amp;RIGHT(YEAR($A181)+1,2),YEAR($A181)-1&amp;"/"&amp;RIGHT(YEAR($A181),2)))</f>
        <v/>
      </c>
    </row>
    <row r="182" customFormat="false" ht="15" hidden="false" customHeight="false" outlineLevel="0" collapsed="false">
      <c r="A182" s="22"/>
      <c r="B182" s="23"/>
      <c r="C182" s="23"/>
      <c r="D182" s="23"/>
      <c r="E182" s="24"/>
      <c r="F182" s="24"/>
      <c r="G182" s="23"/>
      <c r="H182" s="23"/>
      <c r="I182" s="25"/>
      <c r="J182" s="23"/>
      <c r="K182" s="23"/>
      <c r="L182" s="26" t="str">
        <f aca="false">IF(OR($E182="",$F182=""),"",MOD($F182-$E182,1)*24)</f>
        <v/>
      </c>
      <c r="M182" s="27" t="str">
        <f aca="false">IF($B182="","",IFERROR(INDEX(Properties!$D$5:$D$104,MATCH($B182,Properties!$A$5:$A$104,0)),"?"))</f>
        <v/>
      </c>
      <c r="N182" s="28" t="str">
        <f aca="false">IF($B182="","",IFERROR(IF($D182="Completed",INDEX(Properties!$I$5:$I$104,MATCH($B182,Properties!$A$5:$A$104,0))*(1+IF($G182="Y",Settings!$B$8,0))+IF($H182="Y",Settings!$B$7,0)+N($I182),IF($D182="Deep clean",INDEX(Settings!$E$22:$E$26,MATCH(MIN(INDEX(Properties!$E$5:$E$104,MATCH($B182,Properties!$A$5:$A$104,0)),4),Settings!$A$22:$A$26,0))+N($I182),IF($D182="Late cancel",INDEX(Properties!$I$5:$I$104,MATCH($B182,Properties!$A$5:$A$104,0))*Settings!$B$10,0))),0))</f>
        <v/>
      </c>
      <c r="O182" s="28" t="str">
        <f aca="false">IF($B182="","",IFERROR(IF($D182="Completed",INDEX(Properties!$L$5:$L$104,MATCH($B182,Properties!$A$5:$A$104,0))+IF($G182="Y",INDEX(Properties!$I$5:$I$104,MATCH($B182,Properties!$A$5:$A$104,0))*Settings!$B$8*Settings!$B$9,0)+IF($H182="Y",Settings!$B$7*Settings!$B$9,0)+N($I182)*Settings!$B$9,IF($D182="Deep clean",INDEX(Settings!$E$22:$E$26,MATCH(MIN(INDEX(Properties!$E$5:$E$104,MATCH($B182,Properties!$A$5:$A$104,0)),4),Settings!$A$22:$A$26,0))*Settings!$B$19+N($I182)*Settings!$B$9,IF($D182="Late cancel",INDEX(Properties!$L$5:$L$104,MATCH($B182,Properties!$A$5:$A$104,0))*Settings!$B$11,0))),0))</f>
        <v/>
      </c>
      <c r="P182" s="28" t="str">
        <f aca="false">IF($B182="","",$N182-$O182)</f>
        <v/>
      </c>
      <c r="Q182" s="29" t="str">
        <f aca="false">IF($A182="","",DATE(YEAR($A182),MONTH($A182),1))</f>
        <v/>
      </c>
      <c r="R182" s="30" t="str">
        <f aca="false">IF($A182="","",$A182+MOD(6-WEEKDAY($A182),7))</f>
        <v/>
      </c>
      <c r="S182" s="31" t="str">
        <f aca="false">IF($B182="","",IF(AND($M182='Invoice Builder'!$C$5,$Q182='Invoice Builder'!$C$6,N($N182)&gt;0),COUNTIFS($M$5:$M182,'Invoice Builder'!$C$5,$Q$5:$Q182,'Invoice Builder'!$C$6,$N$5:$N182,"&gt;0"),""))</f>
        <v/>
      </c>
      <c r="T182" s="27" t="str">
        <f aca="false">IF($A182="","",IF($A182&gt;=DATE(YEAR($A182),4,6),YEAR($A182)&amp;"/"&amp;RIGHT(YEAR($A182)+1,2),YEAR($A182)-1&amp;"/"&amp;RIGHT(YEAR($A182),2)))</f>
        <v/>
      </c>
    </row>
    <row r="183" customFormat="false" ht="15" hidden="false" customHeight="false" outlineLevel="0" collapsed="false">
      <c r="A183" s="22"/>
      <c r="B183" s="23"/>
      <c r="C183" s="23"/>
      <c r="D183" s="23"/>
      <c r="E183" s="24"/>
      <c r="F183" s="24"/>
      <c r="G183" s="23"/>
      <c r="H183" s="23"/>
      <c r="I183" s="25"/>
      <c r="J183" s="23"/>
      <c r="K183" s="23"/>
      <c r="L183" s="26" t="str">
        <f aca="false">IF(OR($E183="",$F183=""),"",MOD($F183-$E183,1)*24)</f>
        <v/>
      </c>
      <c r="M183" s="27" t="str">
        <f aca="false">IF($B183="","",IFERROR(INDEX(Properties!$D$5:$D$104,MATCH($B183,Properties!$A$5:$A$104,0)),"?"))</f>
        <v/>
      </c>
      <c r="N183" s="28" t="str">
        <f aca="false">IF($B183="","",IFERROR(IF($D183="Completed",INDEX(Properties!$I$5:$I$104,MATCH($B183,Properties!$A$5:$A$104,0))*(1+IF($G183="Y",Settings!$B$8,0))+IF($H183="Y",Settings!$B$7,0)+N($I183),IF($D183="Deep clean",INDEX(Settings!$E$22:$E$26,MATCH(MIN(INDEX(Properties!$E$5:$E$104,MATCH($B183,Properties!$A$5:$A$104,0)),4),Settings!$A$22:$A$26,0))+N($I183),IF($D183="Late cancel",INDEX(Properties!$I$5:$I$104,MATCH($B183,Properties!$A$5:$A$104,0))*Settings!$B$10,0))),0))</f>
        <v/>
      </c>
      <c r="O183" s="28" t="str">
        <f aca="false">IF($B183="","",IFERROR(IF($D183="Completed",INDEX(Properties!$L$5:$L$104,MATCH($B183,Properties!$A$5:$A$104,0))+IF($G183="Y",INDEX(Properties!$I$5:$I$104,MATCH($B183,Properties!$A$5:$A$104,0))*Settings!$B$8*Settings!$B$9,0)+IF($H183="Y",Settings!$B$7*Settings!$B$9,0)+N($I183)*Settings!$B$9,IF($D183="Deep clean",INDEX(Settings!$E$22:$E$26,MATCH(MIN(INDEX(Properties!$E$5:$E$104,MATCH($B183,Properties!$A$5:$A$104,0)),4),Settings!$A$22:$A$26,0))*Settings!$B$19+N($I183)*Settings!$B$9,IF($D183="Late cancel",INDEX(Properties!$L$5:$L$104,MATCH($B183,Properties!$A$5:$A$104,0))*Settings!$B$11,0))),0))</f>
        <v/>
      </c>
      <c r="P183" s="28" t="str">
        <f aca="false">IF($B183="","",$N183-$O183)</f>
        <v/>
      </c>
      <c r="Q183" s="29" t="str">
        <f aca="false">IF($A183="","",DATE(YEAR($A183),MONTH($A183),1))</f>
        <v/>
      </c>
      <c r="R183" s="30" t="str">
        <f aca="false">IF($A183="","",$A183+MOD(6-WEEKDAY($A183),7))</f>
        <v/>
      </c>
      <c r="S183" s="31" t="str">
        <f aca="false">IF($B183="","",IF(AND($M183='Invoice Builder'!$C$5,$Q183='Invoice Builder'!$C$6,N($N183)&gt;0),COUNTIFS($M$5:$M183,'Invoice Builder'!$C$5,$Q$5:$Q183,'Invoice Builder'!$C$6,$N$5:$N183,"&gt;0"),""))</f>
        <v/>
      </c>
      <c r="T183" s="27" t="str">
        <f aca="false">IF($A183="","",IF($A183&gt;=DATE(YEAR($A183),4,6),YEAR($A183)&amp;"/"&amp;RIGHT(YEAR($A183)+1,2),YEAR($A183)-1&amp;"/"&amp;RIGHT(YEAR($A183),2)))</f>
        <v/>
      </c>
    </row>
    <row r="184" customFormat="false" ht="15" hidden="false" customHeight="false" outlineLevel="0" collapsed="false">
      <c r="A184" s="22"/>
      <c r="B184" s="23"/>
      <c r="C184" s="23"/>
      <c r="D184" s="23"/>
      <c r="E184" s="24"/>
      <c r="F184" s="24"/>
      <c r="G184" s="23"/>
      <c r="H184" s="23"/>
      <c r="I184" s="25"/>
      <c r="J184" s="23"/>
      <c r="K184" s="23"/>
      <c r="L184" s="26" t="str">
        <f aca="false">IF(OR($E184="",$F184=""),"",MOD($F184-$E184,1)*24)</f>
        <v/>
      </c>
      <c r="M184" s="27" t="str">
        <f aca="false">IF($B184="","",IFERROR(INDEX(Properties!$D$5:$D$104,MATCH($B184,Properties!$A$5:$A$104,0)),"?"))</f>
        <v/>
      </c>
      <c r="N184" s="28" t="str">
        <f aca="false">IF($B184="","",IFERROR(IF($D184="Completed",INDEX(Properties!$I$5:$I$104,MATCH($B184,Properties!$A$5:$A$104,0))*(1+IF($G184="Y",Settings!$B$8,0))+IF($H184="Y",Settings!$B$7,0)+N($I184),IF($D184="Deep clean",INDEX(Settings!$E$22:$E$26,MATCH(MIN(INDEX(Properties!$E$5:$E$104,MATCH($B184,Properties!$A$5:$A$104,0)),4),Settings!$A$22:$A$26,0))+N($I184),IF($D184="Late cancel",INDEX(Properties!$I$5:$I$104,MATCH($B184,Properties!$A$5:$A$104,0))*Settings!$B$10,0))),0))</f>
        <v/>
      </c>
      <c r="O184" s="28" t="str">
        <f aca="false">IF($B184="","",IFERROR(IF($D184="Completed",INDEX(Properties!$L$5:$L$104,MATCH($B184,Properties!$A$5:$A$104,0))+IF($G184="Y",INDEX(Properties!$I$5:$I$104,MATCH($B184,Properties!$A$5:$A$104,0))*Settings!$B$8*Settings!$B$9,0)+IF($H184="Y",Settings!$B$7*Settings!$B$9,0)+N($I184)*Settings!$B$9,IF($D184="Deep clean",INDEX(Settings!$E$22:$E$26,MATCH(MIN(INDEX(Properties!$E$5:$E$104,MATCH($B184,Properties!$A$5:$A$104,0)),4),Settings!$A$22:$A$26,0))*Settings!$B$19+N($I184)*Settings!$B$9,IF($D184="Late cancel",INDEX(Properties!$L$5:$L$104,MATCH($B184,Properties!$A$5:$A$104,0))*Settings!$B$11,0))),0))</f>
        <v/>
      </c>
      <c r="P184" s="28" t="str">
        <f aca="false">IF($B184="","",$N184-$O184)</f>
        <v/>
      </c>
      <c r="Q184" s="29" t="str">
        <f aca="false">IF($A184="","",DATE(YEAR($A184),MONTH($A184),1))</f>
        <v/>
      </c>
      <c r="R184" s="30" t="str">
        <f aca="false">IF($A184="","",$A184+MOD(6-WEEKDAY($A184),7))</f>
        <v/>
      </c>
      <c r="S184" s="31" t="str">
        <f aca="false">IF($B184="","",IF(AND($M184='Invoice Builder'!$C$5,$Q184='Invoice Builder'!$C$6,N($N184)&gt;0),COUNTIFS($M$5:$M184,'Invoice Builder'!$C$5,$Q$5:$Q184,'Invoice Builder'!$C$6,$N$5:$N184,"&gt;0"),""))</f>
        <v/>
      </c>
      <c r="T184" s="27" t="str">
        <f aca="false">IF($A184="","",IF($A184&gt;=DATE(YEAR($A184),4,6),YEAR($A184)&amp;"/"&amp;RIGHT(YEAR($A184)+1,2),YEAR($A184)-1&amp;"/"&amp;RIGHT(YEAR($A184),2)))</f>
        <v/>
      </c>
    </row>
    <row r="185" customFormat="false" ht="15" hidden="false" customHeight="false" outlineLevel="0" collapsed="false">
      <c r="A185" s="22"/>
      <c r="B185" s="23"/>
      <c r="C185" s="23"/>
      <c r="D185" s="23"/>
      <c r="E185" s="24"/>
      <c r="F185" s="24"/>
      <c r="G185" s="23"/>
      <c r="H185" s="23"/>
      <c r="I185" s="25"/>
      <c r="J185" s="23"/>
      <c r="K185" s="23"/>
      <c r="L185" s="26" t="str">
        <f aca="false">IF(OR($E185="",$F185=""),"",MOD($F185-$E185,1)*24)</f>
        <v/>
      </c>
      <c r="M185" s="27" t="str">
        <f aca="false">IF($B185="","",IFERROR(INDEX(Properties!$D$5:$D$104,MATCH($B185,Properties!$A$5:$A$104,0)),"?"))</f>
        <v/>
      </c>
      <c r="N185" s="28" t="str">
        <f aca="false">IF($B185="","",IFERROR(IF($D185="Completed",INDEX(Properties!$I$5:$I$104,MATCH($B185,Properties!$A$5:$A$104,0))*(1+IF($G185="Y",Settings!$B$8,0))+IF($H185="Y",Settings!$B$7,0)+N($I185),IF($D185="Deep clean",INDEX(Settings!$E$22:$E$26,MATCH(MIN(INDEX(Properties!$E$5:$E$104,MATCH($B185,Properties!$A$5:$A$104,0)),4),Settings!$A$22:$A$26,0))+N($I185),IF($D185="Late cancel",INDEX(Properties!$I$5:$I$104,MATCH($B185,Properties!$A$5:$A$104,0))*Settings!$B$10,0))),0))</f>
        <v/>
      </c>
      <c r="O185" s="28" t="str">
        <f aca="false">IF($B185="","",IFERROR(IF($D185="Completed",INDEX(Properties!$L$5:$L$104,MATCH($B185,Properties!$A$5:$A$104,0))+IF($G185="Y",INDEX(Properties!$I$5:$I$104,MATCH($B185,Properties!$A$5:$A$104,0))*Settings!$B$8*Settings!$B$9,0)+IF($H185="Y",Settings!$B$7*Settings!$B$9,0)+N($I185)*Settings!$B$9,IF($D185="Deep clean",INDEX(Settings!$E$22:$E$26,MATCH(MIN(INDEX(Properties!$E$5:$E$104,MATCH($B185,Properties!$A$5:$A$104,0)),4),Settings!$A$22:$A$26,0))*Settings!$B$19+N($I185)*Settings!$B$9,IF($D185="Late cancel",INDEX(Properties!$L$5:$L$104,MATCH($B185,Properties!$A$5:$A$104,0))*Settings!$B$11,0))),0))</f>
        <v/>
      </c>
      <c r="P185" s="28" t="str">
        <f aca="false">IF($B185="","",$N185-$O185)</f>
        <v/>
      </c>
      <c r="Q185" s="29" t="str">
        <f aca="false">IF($A185="","",DATE(YEAR($A185),MONTH($A185),1))</f>
        <v/>
      </c>
      <c r="R185" s="30" t="str">
        <f aca="false">IF($A185="","",$A185+MOD(6-WEEKDAY($A185),7))</f>
        <v/>
      </c>
      <c r="S185" s="31" t="str">
        <f aca="false">IF($B185="","",IF(AND($M185='Invoice Builder'!$C$5,$Q185='Invoice Builder'!$C$6,N($N185)&gt;0),COUNTIFS($M$5:$M185,'Invoice Builder'!$C$5,$Q$5:$Q185,'Invoice Builder'!$C$6,$N$5:$N185,"&gt;0"),""))</f>
        <v/>
      </c>
      <c r="T185" s="27" t="str">
        <f aca="false">IF($A185="","",IF($A185&gt;=DATE(YEAR($A185),4,6),YEAR($A185)&amp;"/"&amp;RIGHT(YEAR($A185)+1,2),YEAR($A185)-1&amp;"/"&amp;RIGHT(YEAR($A185),2)))</f>
        <v/>
      </c>
    </row>
    <row r="186" customFormat="false" ht="15" hidden="false" customHeight="false" outlineLevel="0" collapsed="false">
      <c r="A186" s="22"/>
      <c r="B186" s="23"/>
      <c r="C186" s="23"/>
      <c r="D186" s="23"/>
      <c r="E186" s="24"/>
      <c r="F186" s="24"/>
      <c r="G186" s="23"/>
      <c r="H186" s="23"/>
      <c r="I186" s="25"/>
      <c r="J186" s="23"/>
      <c r="K186" s="23"/>
      <c r="L186" s="26" t="str">
        <f aca="false">IF(OR($E186="",$F186=""),"",MOD($F186-$E186,1)*24)</f>
        <v/>
      </c>
      <c r="M186" s="27" t="str">
        <f aca="false">IF($B186="","",IFERROR(INDEX(Properties!$D$5:$D$104,MATCH($B186,Properties!$A$5:$A$104,0)),"?"))</f>
        <v/>
      </c>
      <c r="N186" s="28" t="str">
        <f aca="false">IF($B186="","",IFERROR(IF($D186="Completed",INDEX(Properties!$I$5:$I$104,MATCH($B186,Properties!$A$5:$A$104,0))*(1+IF($G186="Y",Settings!$B$8,0))+IF($H186="Y",Settings!$B$7,0)+N($I186),IF($D186="Deep clean",INDEX(Settings!$E$22:$E$26,MATCH(MIN(INDEX(Properties!$E$5:$E$104,MATCH($B186,Properties!$A$5:$A$104,0)),4),Settings!$A$22:$A$26,0))+N($I186),IF($D186="Late cancel",INDEX(Properties!$I$5:$I$104,MATCH($B186,Properties!$A$5:$A$104,0))*Settings!$B$10,0))),0))</f>
        <v/>
      </c>
      <c r="O186" s="28" t="str">
        <f aca="false">IF($B186="","",IFERROR(IF($D186="Completed",INDEX(Properties!$L$5:$L$104,MATCH($B186,Properties!$A$5:$A$104,0))+IF($G186="Y",INDEX(Properties!$I$5:$I$104,MATCH($B186,Properties!$A$5:$A$104,0))*Settings!$B$8*Settings!$B$9,0)+IF($H186="Y",Settings!$B$7*Settings!$B$9,0)+N($I186)*Settings!$B$9,IF($D186="Deep clean",INDEX(Settings!$E$22:$E$26,MATCH(MIN(INDEX(Properties!$E$5:$E$104,MATCH($B186,Properties!$A$5:$A$104,0)),4),Settings!$A$22:$A$26,0))*Settings!$B$19+N($I186)*Settings!$B$9,IF($D186="Late cancel",INDEX(Properties!$L$5:$L$104,MATCH($B186,Properties!$A$5:$A$104,0))*Settings!$B$11,0))),0))</f>
        <v/>
      </c>
      <c r="P186" s="28" t="str">
        <f aca="false">IF($B186="","",$N186-$O186)</f>
        <v/>
      </c>
      <c r="Q186" s="29" t="str">
        <f aca="false">IF($A186="","",DATE(YEAR($A186),MONTH($A186),1))</f>
        <v/>
      </c>
      <c r="R186" s="30" t="str">
        <f aca="false">IF($A186="","",$A186+MOD(6-WEEKDAY($A186),7))</f>
        <v/>
      </c>
      <c r="S186" s="31" t="str">
        <f aca="false">IF($B186="","",IF(AND($M186='Invoice Builder'!$C$5,$Q186='Invoice Builder'!$C$6,N($N186)&gt;0),COUNTIFS($M$5:$M186,'Invoice Builder'!$C$5,$Q$5:$Q186,'Invoice Builder'!$C$6,$N$5:$N186,"&gt;0"),""))</f>
        <v/>
      </c>
      <c r="T186" s="27" t="str">
        <f aca="false">IF($A186="","",IF($A186&gt;=DATE(YEAR($A186),4,6),YEAR($A186)&amp;"/"&amp;RIGHT(YEAR($A186)+1,2),YEAR($A186)-1&amp;"/"&amp;RIGHT(YEAR($A186),2)))</f>
        <v/>
      </c>
    </row>
    <row r="187" customFormat="false" ht="15" hidden="false" customHeight="false" outlineLevel="0" collapsed="false">
      <c r="A187" s="22"/>
      <c r="B187" s="23"/>
      <c r="C187" s="23"/>
      <c r="D187" s="23"/>
      <c r="E187" s="24"/>
      <c r="F187" s="24"/>
      <c r="G187" s="23"/>
      <c r="H187" s="23"/>
      <c r="I187" s="25"/>
      <c r="J187" s="23"/>
      <c r="K187" s="23"/>
      <c r="L187" s="26" t="str">
        <f aca="false">IF(OR($E187="",$F187=""),"",MOD($F187-$E187,1)*24)</f>
        <v/>
      </c>
      <c r="M187" s="27" t="str">
        <f aca="false">IF($B187="","",IFERROR(INDEX(Properties!$D$5:$D$104,MATCH($B187,Properties!$A$5:$A$104,0)),"?"))</f>
        <v/>
      </c>
      <c r="N187" s="28" t="str">
        <f aca="false">IF($B187="","",IFERROR(IF($D187="Completed",INDEX(Properties!$I$5:$I$104,MATCH($B187,Properties!$A$5:$A$104,0))*(1+IF($G187="Y",Settings!$B$8,0))+IF($H187="Y",Settings!$B$7,0)+N($I187),IF($D187="Deep clean",INDEX(Settings!$E$22:$E$26,MATCH(MIN(INDEX(Properties!$E$5:$E$104,MATCH($B187,Properties!$A$5:$A$104,0)),4),Settings!$A$22:$A$26,0))+N($I187),IF($D187="Late cancel",INDEX(Properties!$I$5:$I$104,MATCH($B187,Properties!$A$5:$A$104,0))*Settings!$B$10,0))),0))</f>
        <v/>
      </c>
      <c r="O187" s="28" t="str">
        <f aca="false">IF($B187="","",IFERROR(IF($D187="Completed",INDEX(Properties!$L$5:$L$104,MATCH($B187,Properties!$A$5:$A$104,0))+IF($G187="Y",INDEX(Properties!$I$5:$I$104,MATCH($B187,Properties!$A$5:$A$104,0))*Settings!$B$8*Settings!$B$9,0)+IF($H187="Y",Settings!$B$7*Settings!$B$9,0)+N($I187)*Settings!$B$9,IF($D187="Deep clean",INDEX(Settings!$E$22:$E$26,MATCH(MIN(INDEX(Properties!$E$5:$E$104,MATCH($B187,Properties!$A$5:$A$104,0)),4),Settings!$A$22:$A$26,0))*Settings!$B$19+N($I187)*Settings!$B$9,IF($D187="Late cancel",INDEX(Properties!$L$5:$L$104,MATCH($B187,Properties!$A$5:$A$104,0))*Settings!$B$11,0))),0))</f>
        <v/>
      </c>
      <c r="P187" s="28" t="str">
        <f aca="false">IF($B187="","",$N187-$O187)</f>
        <v/>
      </c>
      <c r="Q187" s="29" t="str">
        <f aca="false">IF($A187="","",DATE(YEAR($A187),MONTH($A187),1))</f>
        <v/>
      </c>
      <c r="R187" s="30" t="str">
        <f aca="false">IF($A187="","",$A187+MOD(6-WEEKDAY($A187),7))</f>
        <v/>
      </c>
      <c r="S187" s="31" t="str">
        <f aca="false">IF($B187="","",IF(AND($M187='Invoice Builder'!$C$5,$Q187='Invoice Builder'!$C$6,N($N187)&gt;0),COUNTIFS($M$5:$M187,'Invoice Builder'!$C$5,$Q$5:$Q187,'Invoice Builder'!$C$6,$N$5:$N187,"&gt;0"),""))</f>
        <v/>
      </c>
      <c r="T187" s="27" t="str">
        <f aca="false">IF($A187="","",IF($A187&gt;=DATE(YEAR($A187),4,6),YEAR($A187)&amp;"/"&amp;RIGHT(YEAR($A187)+1,2),YEAR($A187)-1&amp;"/"&amp;RIGHT(YEAR($A187),2)))</f>
        <v/>
      </c>
    </row>
    <row r="188" customFormat="false" ht="15" hidden="false" customHeight="false" outlineLevel="0" collapsed="false">
      <c r="A188" s="22"/>
      <c r="B188" s="23"/>
      <c r="C188" s="23"/>
      <c r="D188" s="23"/>
      <c r="E188" s="24"/>
      <c r="F188" s="24"/>
      <c r="G188" s="23"/>
      <c r="H188" s="23"/>
      <c r="I188" s="25"/>
      <c r="J188" s="23"/>
      <c r="K188" s="23"/>
      <c r="L188" s="26" t="str">
        <f aca="false">IF(OR($E188="",$F188=""),"",MOD($F188-$E188,1)*24)</f>
        <v/>
      </c>
      <c r="M188" s="27" t="str">
        <f aca="false">IF($B188="","",IFERROR(INDEX(Properties!$D$5:$D$104,MATCH($B188,Properties!$A$5:$A$104,0)),"?"))</f>
        <v/>
      </c>
      <c r="N188" s="28" t="str">
        <f aca="false">IF($B188="","",IFERROR(IF($D188="Completed",INDEX(Properties!$I$5:$I$104,MATCH($B188,Properties!$A$5:$A$104,0))*(1+IF($G188="Y",Settings!$B$8,0))+IF($H188="Y",Settings!$B$7,0)+N($I188),IF($D188="Deep clean",INDEX(Settings!$E$22:$E$26,MATCH(MIN(INDEX(Properties!$E$5:$E$104,MATCH($B188,Properties!$A$5:$A$104,0)),4),Settings!$A$22:$A$26,0))+N($I188),IF($D188="Late cancel",INDEX(Properties!$I$5:$I$104,MATCH($B188,Properties!$A$5:$A$104,0))*Settings!$B$10,0))),0))</f>
        <v/>
      </c>
      <c r="O188" s="28" t="str">
        <f aca="false">IF($B188="","",IFERROR(IF($D188="Completed",INDEX(Properties!$L$5:$L$104,MATCH($B188,Properties!$A$5:$A$104,0))+IF($G188="Y",INDEX(Properties!$I$5:$I$104,MATCH($B188,Properties!$A$5:$A$104,0))*Settings!$B$8*Settings!$B$9,0)+IF($H188="Y",Settings!$B$7*Settings!$B$9,0)+N($I188)*Settings!$B$9,IF($D188="Deep clean",INDEX(Settings!$E$22:$E$26,MATCH(MIN(INDEX(Properties!$E$5:$E$104,MATCH($B188,Properties!$A$5:$A$104,0)),4),Settings!$A$22:$A$26,0))*Settings!$B$19+N($I188)*Settings!$B$9,IF($D188="Late cancel",INDEX(Properties!$L$5:$L$104,MATCH($B188,Properties!$A$5:$A$104,0))*Settings!$B$11,0))),0))</f>
        <v/>
      </c>
      <c r="P188" s="28" t="str">
        <f aca="false">IF($B188="","",$N188-$O188)</f>
        <v/>
      </c>
      <c r="Q188" s="29" t="str">
        <f aca="false">IF($A188="","",DATE(YEAR($A188),MONTH($A188),1))</f>
        <v/>
      </c>
      <c r="R188" s="30" t="str">
        <f aca="false">IF($A188="","",$A188+MOD(6-WEEKDAY($A188),7))</f>
        <v/>
      </c>
      <c r="S188" s="31" t="str">
        <f aca="false">IF($B188="","",IF(AND($M188='Invoice Builder'!$C$5,$Q188='Invoice Builder'!$C$6,N($N188)&gt;0),COUNTIFS($M$5:$M188,'Invoice Builder'!$C$5,$Q$5:$Q188,'Invoice Builder'!$C$6,$N$5:$N188,"&gt;0"),""))</f>
        <v/>
      </c>
      <c r="T188" s="27" t="str">
        <f aca="false">IF($A188="","",IF($A188&gt;=DATE(YEAR($A188),4,6),YEAR($A188)&amp;"/"&amp;RIGHT(YEAR($A188)+1,2),YEAR($A188)-1&amp;"/"&amp;RIGHT(YEAR($A188),2)))</f>
        <v/>
      </c>
    </row>
    <row r="189" customFormat="false" ht="15" hidden="false" customHeight="false" outlineLevel="0" collapsed="false">
      <c r="A189" s="22"/>
      <c r="B189" s="23"/>
      <c r="C189" s="23"/>
      <c r="D189" s="23"/>
      <c r="E189" s="24"/>
      <c r="F189" s="24"/>
      <c r="G189" s="23"/>
      <c r="H189" s="23"/>
      <c r="I189" s="25"/>
      <c r="J189" s="23"/>
      <c r="K189" s="23"/>
      <c r="L189" s="26" t="str">
        <f aca="false">IF(OR($E189="",$F189=""),"",MOD($F189-$E189,1)*24)</f>
        <v/>
      </c>
      <c r="M189" s="27" t="str">
        <f aca="false">IF($B189="","",IFERROR(INDEX(Properties!$D$5:$D$104,MATCH($B189,Properties!$A$5:$A$104,0)),"?"))</f>
        <v/>
      </c>
      <c r="N189" s="28" t="str">
        <f aca="false">IF($B189="","",IFERROR(IF($D189="Completed",INDEX(Properties!$I$5:$I$104,MATCH($B189,Properties!$A$5:$A$104,0))*(1+IF($G189="Y",Settings!$B$8,0))+IF($H189="Y",Settings!$B$7,0)+N($I189),IF($D189="Deep clean",INDEX(Settings!$E$22:$E$26,MATCH(MIN(INDEX(Properties!$E$5:$E$104,MATCH($B189,Properties!$A$5:$A$104,0)),4),Settings!$A$22:$A$26,0))+N($I189),IF($D189="Late cancel",INDEX(Properties!$I$5:$I$104,MATCH($B189,Properties!$A$5:$A$104,0))*Settings!$B$10,0))),0))</f>
        <v/>
      </c>
      <c r="O189" s="28" t="str">
        <f aca="false">IF($B189="","",IFERROR(IF($D189="Completed",INDEX(Properties!$L$5:$L$104,MATCH($B189,Properties!$A$5:$A$104,0))+IF($G189="Y",INDEX(Properties!$I$5:$I$104,MATCH($B189,Properties!$A$5:$A$104,0))*Settings!$B$8*Settings!$B$9,0)+IF($H189="Y",Settings!$B$7*Settings!$B$9,0)+N($I189)*Settings!$B$9,IF($D189="Deep clean",INDEX(Settings!$E$22:$E$26,MATCH(MIN(INDEX(Properties!$E$5:$E$104,MATCH($B189,Properties!$A$5:$A$104,0)),4),Settings!$A$22:$A$26,0))*Settings!$B$19+N($I189)*Settings!$B$9,IF($D189="Late cancel",INDEX(Properties!$L$5:$L$104,MATCH($B189,Properties!$A$5:$A$104,0))*Settings!$B$11,0))),0))</f>
        <v/>
      </c>
      <c r="P189" s="28" t="str">
        <f aca="false">IF($B189="","",$N189-$O189)</f>
        <v/>
      </c>
      <c r="Q189" s="29" t="str">
        <f aca="false">IF($A189="","",DATE(YEAR($A189),MONTH($A189),1))</f>
        <v/>
      </c>
      <c r="R189" s="30" t="str">
        <f aca="false">IF($A189="","",$A189+MOD(6-WEEKDAY($A189),7))</f>
        <v/>
      </c>
      <c r="S189" s="31" t="str">
        <f aca="false">IF($B189="","",IF(AND($M189='Invoice Builder'!$C$5,$Q189='Invoice Builder'!$C$6,N($N189)&gt;0),COUNTIFS($M$5:$M189,'Invoice Builder'!$C$5,$Q$5:$Q189,'Invoice Builder'!$C$6,$N$5:$N189,"&gt;0"),""))</f>
        <v/>
      </c>
      <c r="T189" s="27" t="str">
        <f aca="false">IF($A189="","",IF($A189&gt;=DATE(YEAR($A189),4,6),YEAR($A189)&amp;"/"&amp;RIGHT(YEAR($A189)+1,2),YEAR($A189)-1&amp;"/"&amp;RIGHT(YEAR($A189),2)))</f>
        <v/>
      </c>
    </row>
    <row r="190" customFormat="false" ht="15" hidden="false" customHeight="false" outlineLevel="0" collapsed="false">
      <c r="A190" s="22"/>
      <c r="B190" s="23"/>
      <c r="C190" s="23"/>
      <c r="D190" s="23"/>
      <c r="E190" s="24"/>
      <c r="F190" s="24"/>
      <c r="G190" s="23"/>
      <c r="H190" s="23"/>
      <c r="I190" s="25"/>
      <c r="J190" s="23"/>
      <c r="K190" s="23"/>
      <c r="L190" s="26" t="str">
        <f aca="false">IF(OR($E190="",$F190=""),"",MOD($F190-$E190,1)*24)</f>
        <v/>
      </c>
      <c r="M190" s="27" t="str">
        <f aca="false">IF($B190="","",IFERROR(INDEX(Properties!$D$5:$D$104,MATCH($B190,Properties!$A$5:$A$104,0)),"?"))</f>
        <v/>
      </c>
      <c r="N190" s="28" t="str">
        <f aca="false">IF($B190="","",IFERROR(IF($D190="Completed",INDEX(Properties!$I$5:$I$104,MATCH($B190,Properties!$A$5:$A$104,0))*(1+IF($G190="Y",Settings!$B$8,0))+IF($H190="Y",Settings!$B$7,0)+N($I190),IF($D190="Deep clean",INDEX(Settings!$E$22:$E$26,MATCH(MIN(INDEX(Properties!$E$5:$E$104,MATCH($B190,Properties!$A$5:$A$104,0)),4),Settings!$A$22:$A$26,0))+N($I190),IF($D190="Late cancel",INDEX(Properties!$I$5:$I$104,MATCH($B190,Properties!$A$5:$A$104,0))*Settings!$B$10,0))),0))</f>
        <v/>
      </c>
      <c r="O190" s="28" t="str">
        <f aca="false">IF($B190="","",IFERROR(IF($D190="Completed",INDEX(Properties!$L$5:$L$104,MATCH($B190,Properties!$A$5:$A$104,0))+IF($G190="Y",INDEX(Properties!$I$5:$I$104,MATCH($B190,Properties!$A$5:$A$104,0))*Settings!$B$8*Settings!$B$9,0)+IF($H190="Y",Settings!$B$7*Settings!$B$9,0)+N($I190)*Settings!$B$9,IF($D190="Deep clean",INDEX(Settings!$E$22:$E$26,MATCH(MIN(INDEX(Properties!$E$5:$E$104,MATCH($B190,Properties!$A$5:$A$104,0)),4),Settings!$A$22:$A$26,0))*Settings!$B$19+N($I190)*Settings!$B$9,IF($D190="Late cancel",INDEX(Properties!$L$5:$L$104,MATCH($B190,Properties!$A$5:$A$104,0))*Settings!$B$11,0))),0))</f>
        <v/>
      </c>
      <c r="P190" s="28" t="str">
        <f aca="false">IF($B190="","",$N190-$O190)</f>
        <v/>
      </c>
      <c r="Q190" s="29" t="str">
        <f aca="false">IF($A190="","",DATE(YEAR($A190),MONTH($A190),1))</f>
        <v/>
      </c>
      <c r="R190" s="30" t="str">
        <f aca="false">IF($A190="","",$A190+MOD(6-WEEKDAY($A190),7))</f>
        <v/>
      </c>
      <c r="S190" s="31" t="str">
        <f aca="false">IF($B190="","",IF(AND($M190='Invoice Builder'!$C$5,$Q190='Invoice Builder'!$C$6,N($N190)&gt;0),COUNTIFS($M$5:$M190,'Invoice Builder'!$C$5,$Q$5:$Q190,'Invoice Builder'!$C$6,$N$5:$N190,"&gt;0"),""))</f>
        <v/>
      </c>
      <c r="T190" s="27" t="str">
        <f aca="false">IF($A190="","",IF($A190&gt;=DATE(YEAR($A190),4,6),YEAR($A190)&amp;"/"&amp;RIGHT(YEAR($A190)+1,2),YEAR($A190)-1&amp;"/"&amp;RIGHT(YEAR($A190),2)))</f>
        <v/>
      </c>
    </row>
    <row r="191" customFormat="false" ht="15" hidden="false" customHeight="false" outlineLevel="0" collapsed="false">
      <c r="A191" s="22"/>
      <c r="B191" s="23"/>
      <c r="C191" s="23"/>
      <c r="D191" s="23"/>
      <c r="E191" s="24"/>
      <c r="F191" s="24"/>
      <c r="G191" s="23"/>
      <c r="H191" s="23"/>
      <c r="I191" s="25"/>
      <c r="J191" s="23"/>
      <c r="K191" s="23"/>
      <c r="L191" s="26" t="str">
        <f aca="false">IF(OR($E191="",$F191=""),"",MOD($F191-$E191,1)*24)</f>
        <v/>
      </c>
      <c r="M191" s="27" t="str">
        <f aca="false">IF($B191="","",IFERROR(INDEX(Properties!$D$5:$D$104,MATCH($B191,Properties!$A$5:$A$104,0)),"?"))</f>
        <v/>
      </c>
      <c r="N191" s="28" t="str">
        <f aca="false">IF($B191="","",IFERROR(IF($D191="Completed",INDEX(Properties!$I$5:$I$104,MATCH($B191,Properties!$A$5:$A$104,0))*(1+IF($G191="Y",Settings!$B$8,0))+IF($H191="Y",Settings!$B$7,0)+N($I191),IF($D191="Deep clean",INDEX(Settings!$E$22:$E$26,MATCH(MIN(INDEX(Properties!$E$5:$E$104,MATCH($B191,Properties!$A$5:$A$104,0)),4),Settings!$A$22:$A$26,0))+N($I191),IF($D191="Late cancel",INDEX(Properties!$I$5:$I$104,MATCH($B191,Properties!$A$5:$A$104,0))*Settings!$B$10,0))),0))</f>
        <v/>
      </c>
      <c r="O191" s="28" t="str">
        <f aca="false">IF($B191="","",IFERROR(IF($D191="Completed",INDEX(Properties!$L$5:$L$104,MATCH($B191,Properties!$A$5:$A$104,0))+IF($G191="Y",INDEX(Properties!$I$5:$I$104,MATCH($B191,Properties!$A$5:$A$104,0))*Settings!$B$8*Settings!$B$9,0)+IF($H191="Y",Settings!$B$7*Settings!$B$9,0)+N($I191)*Settings!$B$9,IF($D191="Deep clean",INDEX(Settings!$E$22:$E$26,MATCH(MIN(INDEX(Properties!$E$5:$E$104,MATCH($B191,Properties!$A$5:$A$104,0)),4),Settings!$A$22:$A$26,0))*Settings!$B$19+N($I191)*Settings!$B$9,IF($D191="Late cancel",INDEX(Properties!$L$5:$L$104,MATCH($B191,Properties!$A$5:$A$104,0))*Settings!$B$11,0))),0))</f>
        <v/>
      </c>
      <c r="P191" s="28" t="str">
        <f aca="false">IF($B191="","",$N191-$O191)</f>
        <v/>
      </c>
      <c r="Q191" s="29" t="str">
        <f aca="false">IF($A191="","",DATE(YEAR($A191),MONTH($A191),1))</f>
        <v/>
      </c>
      <c r="R191" s="30" t="str">
        <f aca="false">IF($A191="","",$A191+MOD(6-WEEKDAY($A191),7))</f>
        <v/>
      </c>
      <c r="S191" s="31" t="str">
        <f aca="false">IF($B191="","",IF(AND($M191='Invoice Builder'!$C$5,$Q191='Invoice Builder'!$C$6,N($N191)&gt;0),COUNTIFS($M$5:$M191,'Invoice Builder'!$C$5,$Q$5:$Q191,'Invoice Builder'!$C$6,$N$5:$N191,"&gt;0"),""))</f>
        <v/>
      </c>
      <c r="T191" s="27" t="str">
        <f aca="false">IF($A191="","",IF($A191&gt;=DATE(YEAR($A191),4,6),YEAR($A191)&amp;"/"&amp;RIGHT(YEAR($A191)+1,2),YEAR($A191)-1&amp;"/"&amp;RIGHT(YEAR($A191),2)))</f>
        <v/>
      </c>
    </row>
    <row r="192" customFormat="false" ht="15" hidden="false" customHeight="false" outlineLevel="0" collapsed="false">
      <c r="A192" s="22"/>
      <c r="B192" s="23"/>
      <c r="C192" s="23"/>
      <c r="D192" s="23"/>
      <c r="E192" s="24"/>
      <c r="F192" s="24"/>
      <c r="G192" s="23"/>
      <c r="H192" s="23"/>
      <c r="I192" s="25"/>
      <c r="J192" s="23"/>
      <c r="K192" s="23"/>
      <c r="L192" s="26" t="str">
        <f aca="false">IF(OR($E192="",$F192=""),"",MOD($F192-$E192,1)*24)</f>
        <v/>
      </c>
      <c r="M192" s="27" t="str">
        <f aca="false">IF($B192="","",IFERROR(INDEX(Properties!$D$5:$D$104,MATCH($B192,Properties!$A$5:$A$104,0)),"?"))</f>
        <v/>
      </c>
      <c r="N192" s="28" t="str">
        <f aca="false">IF($B192="","",IFERROR(IF($D192="Completed",INDEX(Properties!$I$5:$I$104,MATCH($B192,Properties!$A$5:$A$104,0))*(1+IF($G192="Y",Settings!$B$8,0))+IF($H192="Y",Settings!$B$7,0)+N($I192),IF($D192="Deep clean",INDEX(Settings!$E$22:$E$26,MATCH(MIN(INDEX(Properties!$E$5:$E$104,MATCH($B192,Properties!$A$5:$A$104,0)),4),Settings!$A$22:$A$26,0))+N($I192),IF($D192="Late cancel",INDEX(Properties!$I$5:$I$104,MATCH($B192,Properties!$A$5:$A$104,0))*Settings!$B$10,0))),0))</f>
        <v/>
      </c>
      <c r="O192" s="28" t="str">
        <f aca="false">IF($B192="","",IFERROR(IF($D192="Completed",INDEX(Properties!$L$5:$L$104,MATCH($B192,Properties!$A$5:$A$104,0))+IF($G192="Y",INDEX(Properties!$I$5:$I$104,MATCH($B192,Properties!$A$5:$A$104,0))*Settings!$B$8*Settings!$B$9,0)+IF($H192="Y",Settings!$B$7*Settings!$B$9,0)+N($I192)*Settings!$B$9,IF($D192="Deep clean",INDEX(Settings!$E$22:$E$26,MATCH(MIN(INDEX(Properties!$E$5:$E$104,MATCH($B192,Properties!$A$5:$A$104,0)),4),Settings!$A$22:$A$26,0))*Settings!$B$19+N($I192)*Settings!$B$9,IF($D192="Late cancel",INDEX(Properties!$L$5:$L$104,MATCH($B192,Properties!$A$5:$A$104,0))*Settings!$B$11,0))),0))</f>
        <v/>
      </c>
      <c r="P192" s="28" t="str">
        <f aca="false">IF($B192="","",$N192-$O192)</f>
        <v/>
      </c>
      <c r="Q192" s="29" t="str">
        <f aca="false">IF($A192="","",DATE(YEAR($A192),MONTH($A192),1))</f>
        <v/>
      </c>
      <c r="R192" s="30" t="str">
        <f aca="false">IF($A192="","",$A192+MOD(6-WEEKDAY($A192),7))</f>
        <v/>
      </c>
      <c r="S192" s="31" t="str">
        <f aca="false">IF($B192="","",IF(AND($M192='Invoice Builder'!$C$5,$Q192='Invoice Builder'!$C$6,N($N192)&gt;0),COUNTIFS($M$5:$M192,'Invoice Builder'!$C$5,$Q$5:$Q192,'Invoice Builder'!$C$6,$N$5:$N192,"&gt;0"),""))</f>
        <v/>
      </c>
      <c r="T192" s="27" t="str">
        <f aca="false">IF($A192="","",IF($A192&gt;=DATE(YEAR($A192),4,6),YEAR($A192)&amp;"/"&amp;RIGHT(YEAR($A192)+1,2),YEAR($A192)-1&amp;"/"&amp;RIGHT(YEAR($A192),2)))</f>
        <v/>
      </c>
    </row>
    <row r="193" customFormat="false" ht="15" hidden="false" customHeight="false" outlineLevel="0" collapsed="false">
      <c r="A193" s="22"/>
      <c r="B193" s="23"/>
      <c r="C193" s="23"/>
      <c r="D193" s="23"/>
      <c r="E193" s="24"/>
      <c r="F193" s="24"/>
      <c r="G193" s="23"/>
      <c r="H193" s="23"/>
      <c r="I193" s="25"/>
      <c r="J193" s="23"/>
      <c r="K193" s="23"/>
      <c r="L193" s="26" t="str">
        <f aca="false">IF(OR($E193="",$F193=""),"",MOD($F193-$E193,1)*24)</f>
        <v/>
      </c>
      <c r="M193" s="27" t="str">
        <f aca="false">IF($B193="","",IFERROR(INDEX(Properties!$D$5:$D$104,MATCH($B193,Properties!$A$5:$A$104,0)),"?"))</f>
        <v/>
      </c>
      <c r="N193" s="28" t="str">
        <f aca="false">IF($B193="","",IFERROR(IF($D193="Completed",INDEX(Properties!$I$5:$I$104,MATCH($B193,Properties!$A$5:$A$104,0))*(1+IF($G193="Y",Settings!$B$8,0))+IF($H193="Y",Settings!$B$7,0)+N($I193),IF($D193="Deep clean",INDEX(Settings!$E$22:$E$26,MATCH(MIN(INDEX(Properties!$E$5:$E$104,MATCH($B193,Properties!$A$5:$A$104,0)),4),Settings!$A$22:$A$26,0))+N($I193),IF($D193="Late cancel",INDEX(Properties!$I$5:$I$104,MATCH($B193,Properties!$A$5:$A$104,0))*Settings!$B$10,0))),0))</f>
        <v/>
      </c>
      <c r="O193" s="28" t="str">
        <f aca="false">IF($B193="","",IFERROR(IF($D193="Completed",INDEX(Properties!$L$5:$L$104,MATCH($B193,Properties!$A$5:$A$104,0))+IF($G193="Y",INDEX(Properties!$I$5:$I$104,MATCH($B193,Properties!$A$5:$A$104,0))*Settings!$B$8*Settings!$B$9,0)+IF($H193="Y",Settings!$B$7*Settings!$B$9,0)+N($I193)*Settings!$B$9,IF($D193="Deep clean",INDEX(Settings!$E$22:$E$26,MATCH(MIN(INDEX(Properties!$E$5:$E$104,MATCH($B193,Properties!$A$5:$A$104,0)),4),Settings!$A$22:$A$26,0))*Settings!$B$19+N($I193)*Settings!$B$9,IF($D193="Late cancel",INDEX(Properties!$L$5:$L$104,MATCH($B193,Properties!$A$5:$A$104,0))*Settings!$B$11,0))),0))</f>
        <v/>
      </c>
      <c r="P193" s="28" t="str">
        <f aca="false">IF($B193="","",$N193-$O193)</f>
        <v/>
      </c>
      <c r="Q193" s="29" t="str">
        <f aca="false">IF($A193="","",DATE(YEAR($A193),MONTH($A193),1))</f>
        <v/>
      </c>
      <c r="R193" s="30" t="str">
        <f aca="false">IF($A193="","",$A193+MOD(6-WEEKDAY($A193),7))</f>
        <v/>
      </c>
      <c r="S193" s="31" t="str">
        <f aca="false">IF($B193="","",IF(AND($M193='Invoice Builder'!$C$5,$Q193='Invoice Builder'!$C$6,N($N193)&gt;0),COUNTIFS($M$5:$M193,'Invoice Builder'!$C$5,$Q$5:$Q193,'Invoice Builder'!$C$6,$N$5:$N193,"&gt;0"),""))</f>
        <v/>
      </c>
      <c r="T193" s="27" t="str">
        <f aca="false">IF($A193="","",IF($A193&gt;=DATE(YEAR($A193),4,6),YEAR($A193)&amp;"/"&amp;RIGHT(YEAR($A193)+1,2),YEAR($A193)-1&amp;"/"&amp;RIGHT(YEAR($A193),2)))</f>
        <v/>
      </c>
    </row>
    <row r="194" customFormat="false" ht="15" hidden="false" customHeight="false" outlineLevel="0" collapsed="false">
      <c r="A194" s="22"/>
      <c r="B194" s="23"/>
      <c r="C194" s="23"/>
      <c r="D194" s="23"/>
      <c r="E194" s="24"/>
      <c r="F194" s="24"/>
      <c r="G194" s="23"/>
      <c r="H194" s="23"/>
      <c r="I194" s="25"/>
      <c r="J194" s="23"/>
      <c r="K194" s="23"/>
      <c r="L194" s="26" t="str">
        <f aca="false">IF(OR($E194="",$F194=""),"",MOD($F194-$E194,1)*24)</f>
        <v/>
      </c>
      <c r="M194" s="27" t="str">
        <f aca="false">IF($B194="","",IFERROR(INDEX(Properties!$D$5:$D$104,MATCH($B194,Properties!$A$5:$A$104,0)),"?"))</f>
        <v/>
      </c>
      <c r="N194" s="28" t="str">
        <f aca="false">IF($B194="","",IFERROR(IF($D194="Completed",INDEX(Properties!$I$5:$I$104,MATCH($B194,Properties!$A$5:$A$104,0))*(1+IF($G194="Y",Settings!$B$8,0))+IF($H194="Y",Settings!$B$7,0)+N($I194),IF($D194="Deep clean",INDEX(Settings!$E$22:$E$26,MATCH(MIN(INDEX(Properties!$E$5:$E$104,MATCH($B194,Properties!$A$5:$A$104,0)),4),Settings!$A$22:$A$26,0))+N($I194),IF($D194="Late cancel",INDEX(Properties!$I$5:$I$104,MATCH($B194,Properties!$A$5:$A$104,0))*Settings!$B$10,0))),0))</f>
        <v/>
      </c>
      <c r="O194" s="28" t="str">
        <f aca="false">IF($B194="","",IFERROR(IF($D194="Completed",INDEX(Properties!$L$5:$L$104,MATCH($B194,Properties!$A$5:$A$104,0))+IF($G194="Y",INDEX(Properties!$I$5:$I$104,MATCH($B194,Properties!$A$5:$A$104,0))*Settings!$B$8*Settings!$B$9,0)+IF($H194="Y",Settings!$B$7*Settings!$B$9,0)+N($I194)*Settings!$B$9,IF($D194="Deep clean",INDEX(Settings!$E$22:$E$26,MATCH(MIN(INDEX(Properties!$E$5:$E$104,MATCH($B194,Properties!$A$5:$A$104,0)),4),Settings!$A$22:$A$26,0))*Settings!$B$19+N($I194)*Settings!$B$9,IF($D194="Late cancel",INDEX(Properties!$L$5:$L$104,MATCH($B194,Properties!$A$5:$A$104,0))*Settings!$B$11,0))),0))</f>
        <v/>
      </c>
      <c r="P194" s="28" t="str">
        <f aca="false">IF($B194="","",$N194-$O194)</f>
        <v/>
      </c>
      <c r="Q194" s="29" t="str">
        <f aca="false">IF($A194="","",DATE(YEAR($A194),MONTH($A194),1))</f>
        <v/>
      </c>
      <c r="R194" s="30" t="str">
        <f aca="false">IF($A194="","",$A194+MOD(6-WEEKDAY($A194),7))</f>
        <v/>
      </c>
      <c r="S194" s="31" t="str">
        <f aca="false">IF($B194="","",IF(AND($M194='Invoice Builder'!$C$5,$Q194='Invoice Builder'!$C$6,N($N194)&gt;0),COUNTIFS($M$5:$M194,'Invoice Builder'!$C$5,$Q$5:$Q194,'Invoice Builder'!$C$6,$N$5:$N194,"&gt;0"),""))</f>
        <v/>
      </c>
      <c r="T194" s="27" t="str">
        <f aca="false">IF($A194="","",IF($A194&gt;=DATE(YEAR($A194),4,6),YEAR($A194)&amp;"/"&amp;RIGHT(YEAR($A194)+1,2),YEAR($A194)-1&amp;"/"&amp;RIGHT(YEAR($A194),2)))</f>
        <v/>
      </c>
    </row>
    <row r="195" customFormat="false" ht="15" hidden="false" customHeight="false" outlineLevel="0" collapsed="false">
      <c r="A195" s="22"/>
      <c r="B195" s="23"/>
      <c r="C195" s="23"/>
      <c r="D195" s="23"/>
      <c r="E195" s="24"/>
      <c r="F195" s="24"/>
      <c r="G195" s="23"/>
      <c r="H195" s="23"/>
      <c r="I195" s="25"/>
      <c r="J195" s="23"/>
      <c r="K195" s="23"/>
      <c r="L195" s="26" t="str">
        <f aca="false">IF(OR($E195="",$F195=""),"",MOD($F195-$E195,1)*24)</f>
        <v/>
      </c>
      <c r="M195" s="27" t="str">
        <f aca="false">IF($B195="","",IFERROR(INDEX(Properties!$D$5:$D$104,MATCH($B195,Properties!$A$5:$A$104,0)),"?"))</f>
        <v/>
      </c>
      <c r="N195" s="28" t="str">
        <f aca="false">IF($B195="","",IFERROR(IF($D195="Completed",INDEX(Properties!$I$5:$I$104,MATCH($B195,Properties!$A$5:$A$104,0))*(1+IF($G195="Y",Settings!$B$8,0))+IF($H195="Y",Settings!$B$7,0)+N($I195),IF($D195="Deep clean",INDEX(Settings!$E$22:$E$26,MATCH(MIN(INDEX(Properties!$E$5:$E$104,MATCH($B195,Properties!$A$5:$A$104,0)),4),Settings!$A$22:$A$26,0))+N($I195),IF($D195="Late cancel",INDEX(Properties!$I$5:$I$104,MATCH($B195,Properties!$A$5:$A$104,0))*Settings!$B$10,0))),0))</f>
        <v/>
      </c>
      <c r="O195" s="28" t="str">
        <f aca="false">IF($B195="","",IFERROR(IF($D195="Completed",INDEX(Properties!$L$5:$L$104,MATCH($B195,Properties!$A$5:$A$104,0))+IF($G195="Y",INDEX(Properties!$I$5:$I$104,MATCH($B195,Properties!$A$5:$A$104,0))*Settings!$B$8*Settings!$B$9,0)+IF($H195="Y",Settings!$B$7*Settings!$B$9,0)+N($I195)*Settings!$B$9,IF($D195="Deep clean",INDEX(Settings!$E$22:$E$26,MATCH(MIN(INDEX(Properties!$E$5:$E$104,MATCH($B195,Properties!$A$5:$A$104,0)),4),Settings!$A$22:$A$26,0))*Settings!$B$19+N($I195)*Settings!$B$9,IF($D195="Late cancel",INDEX(Properties!$L$5:$L$104,MATCH($B195,Properties!$A$5:$A$104,0))*Settings!$B$11,0))),0))</f>
        <v/>
      </c>
      <c r="P195" s="28" t="str">
        <f aca="false">IF($B195="","",$N195-$O195)</f>
        <v/>
      </c>
      <c r="Q195" s="29" t="str">
        <f aca="false">IF($A195="","",DATE(YEAR($A195),MONTH($A195),1))</f>
        <v/>
      </c>
      <c r="R195" s="30" t="str">
        <f aca="false">IF($A195="","",$A195+MOD(6-WEEKDAY($A195),7))</f>
        <v/>
      </c>
      <c r="S195" s="31" t="str">
        <f aca="false">IF($B195="","",IF(AND($M195='Invoice Builder'!$C$5,$Q195='Invoice Builder'!$C$6,N($N195)&gt;0),COUNTIFS($M$5:$M195,'Invoice Builder'!$C$5,$Q$5:$Q195,'Invoice Builder'!$C$6,$N$5:$N195,"&gt;0"),""))</f>
        <v/>
      </c>
      <c r="T195" s="27" t="str">
        <f aca="false">IF($A195="","",IF($A195&gt;=DATE(YEAR($A195),4,6),YEAR($A195)&amp;"/"&amp;RIGHT(YEAR($A195)+1,2),YEAR($A195)-1&amp;"/"&amp;RIGHT(YEAR($A195),2)))</f>
        <v/>
      </c>
    </row>
    <row r="196" customFormat="false" ht="15" hidden="false" customHeight="false" outlineLevel="0" collapsed="false">
      <c r="A196" s="22"/>
      <c r="B196" s="23"/>
      <c r="C196" s="23"/>
      <c r="D196" s="23"/>
      <c r="E196" s="24"/>
      <c r="F196" s="24"/>
      <c r="G196" s="23"/>
      <c r="H196" s="23"/>
      <c r="I196" s="25"/>
      <c r="J196" s="23"/>
      <c r="K196" s="23"/>
      <c r="L196" s="26" t="str">
        <f aca="false">IF(OR($E196="",$F196=""),"",MOD($F196-$E196,1)*24)</f>
        <v/>
      </c>
      <c r="M196" s="27" t="str">
        <f aca="false">IF($B196="","",IFERROR(INDEX(Properties!$D$5:$D$104,MATCH($B196,Properties!$A$5:$A$104,0)),"?"))</f>
        <v/>
      </c>
      <c r="N196" s="28" t="str">
        <f aca="false">IF($B196="","",IFERROR(IF($D196="Completed",INDEX(Properties!$I$5:$I$104,MATCH($B196,Properties!$A$5:$A$104,0))*(1+IF($G196="Y",Settings!$B$8,0))+IF($H196="Y",Settings!$B$7,0)+N($I196),IF($D196="Deep clean",INDEX(Settings!$E$22:$E$26,MATCH(MIN(INDEX(Properties!$E$5:$E$104,MATCH($B196,Properties!$A$5:$A$104,0)),4),Settings!$A$22:$A$26,0))+N($I196),IF($D196="Late cancel",INDEX(Properties!$I$5:$I$104,MATCH($B196,Properties!$A$5:$A$104,0))*Settings!$B$10,0))),0))</f>
        <v/>
      </c>
      <c r="O196" s="28" t="str">
        <f aca="false">IF($B196="","",IFERROR(IF($D196="Completed",INDEX(Properties!$L$5:$L$104,MATCH($B196,Properties!$A$5:$A$104,0))+IF($G196="Y",INDEX(Properties!$I$5:$I$104,MATCH($B196,Properties!$A$5:$A$104,0))*Settings!$B$8*Settings!$B$9,0)+IF($H196="Y",Settings!$B$7*Settings!$B$9,0)+N($I196)*Settings!$B$9,IF($D196="Deep clean",INDEX(Settings!$E$22:$E$26,MATCH(MIN(INDEX(Properties!$E$5:$E$104,MATCH($B196,Properties!$A$5:$A$104,0)),4),Settings!$A$22:$A$26,0))*Settings!$B$19+N($I196)*Settings!$B$9,IF($D196="Late cancel",INDEX(Properties!$L$5:$L$104,MATCH($B196,Properties!$A$5:$A$104,0))*Settings!$B$11,0))),0))</f>
        <v/>
      </c>
      <c r="P196" s="28" t="str">
        <f aca="false">IF($B196="","",$N196-$O196)</f>
        <v/>
      </c>
      <c r="Q196" s="29" t="str">
        <f aca="false">IF($A196="","",DATE(YEAR($A196),MONTH($A196),1))</f>
        <v/>
      </c>
      <c r="R196" s="30" t="str">
        <f aca="false">IF($A196="","",$A196+MOD(6-WEEKDAY($A196),7))</f>
        <v/>
      </c>
      <c r="S196" s="31" t="str">
        <f aca="false">IF($B196="","",IF(AND($M196='Invoice Builder'!$C$5,$Q196='Invoice Builder'!$C$6,N($N196)&gt;0),COUNTIFS($M$5:$M196,'Invoice Builder'!$C$5,$Q$5:$Q196,'Invoice Builder'!$C$6,$N$5:$N196,"&gt;0"),""))</f>
        <v/>
      </c>
      <c r="T196" s="27" t="str">
        <f aca="false">IF($A196="","",IF($A196&gt;=DATE(YEAR($A196),4,6),YEAR($A196)&amp;"/"&amp;RIGHT(YEAR($A196)+1,2),YEAR($A196)-1&amp;"/"&amp;RIGHT(YEAR($A196),2)))</f>
        <v/>
      </c>
    </row>
    <row r="197" customFormat="false" ht="15" hidden="false" customHeight="false" outlineLevel="0" collapsed="false">
      <c r="A197" s="22"/>
      <c r="B197" s="23"/>
      <c r="C197" s="23"/>
      <c r="D197" s="23"/>
      <c r="E197" s="24"/>
      <c r="F197" s="24"/>
      <c r="G197" s="23"/>
      <c r="H197" s="23"/>
      <c r="I197" s="25"/>
      <c r="J197" s="23"/>
      <c r="K197" s="23"/>
      <c r="L197" s="26" t="str">
        <f aca="false">IF(OR($E197="",$F197=""),"",MOD($F197-$E197,1)*24)</f>
        <v/>
      </c>
      <c r="M197" s="27" t="str">
        <f aca="false">IF($B197="","",IFERROR(INDEX(Properties!$D$5:$D$104,MATCH($B197,Properties!$A$5:$A$104,0)),"?"))</f>
        <v/>
      </c>
      <c r="N197" s="28" t="str">
        <f aca="false">IF($B197="","",IFERROR(IF($D197="Completed",INDEX(Properties!$I$5:$I$104,MATCH($B197,Properties!$A$5:$A$104,0))*(1+IF($G197="Y",Settings!$B$8,0))+IF($H197="Y",Settings!$B$7,0)+N($I197),IF($D197="Deep clean",INDEX(Settings!$E$22:$E$26,MATCH(MIN(INDEX(Properties!$E$5:$E$104,MATCH($B197,Properties!$A$5:$A$104,0)),4),Settings!$A$22:$A$26,0))+N($I197),IF($D197="Late cancel",INDEX(Properties!$I$5:$I$104,MATCH($B197,Properties!$A$5:$A$104,0))*Settings!$B$10,0))),0))</f>
        <v/>
      </c>
      <c r="O197" s="28" t="str">
        <f aca="false">IF($B197="","",IFERROR(IF($D197="Completed",INDEX(Properties!$L$5:$L$104,MATCH($B197,Properties!$A$5:$A$104,0))+IF($G197="Y",INDEX(Properties!$I$5:$I$104,MATCH($B197,Properties!$A$5:$A$104,0))*Settings!$B$8*Settings!$B$9,0)+IF($H197="Y",Settings!$B$7*Settings!$B$9,0)+N($I197)*Settings!$B$9,IF($D197="Deep clean",INDEX(Settings!$E$22:$E$26,MATCH(MIN(INDEX(Properties!$E$5:$E$104,MATCH($B197,Properties!$A$5:$A$104,0)),4),Settings!$A$22:$A$26,0))*Settings!$B$19+N($I197)*Settings!$B$9,IF($D197="Late cancel",INDEX(Properties!$L$5:$L$104,MATCH($B197,Properties!$A$5:$A$104,0))*Settings!$B$11,0))),0))</f>
        <v/>
      </c>
      <c r="P197" s="28" t="str">
        <f aca="false">IF($B197="","",$N197-$O197)</f>
        <v/>
      </c>
      <c r="Q197" s="29" t="str">
        <f aca="false">IF($A197="","",DATE(YEAR($A197),MONTH($A197),1))</f>
        <v/>
      </c>
      <c r="R197" s="30" t="str">
        <f aca="false">IF($A197="","",$A197+MOD(6-WEEKDAY($A197),7))</f>
        <v/>
      </c>
      <c r="S197" s="31" t="str">
        <f aca="false">IF($B197="","",IF(AND($M197='Invoice Builder'!$C$5,$Q197='Invoice Builder'!$C$6,N($N197)&gt;0),COUNTIFS($M$5:$M197,'Invoice Builder'!$C$5,$Q$5:$Q197,'Invoice Builder'!$C$6,$N$5:$N197,"&gt;0"),""))</f>
        <v/>
      </c>
      <c r="T197" s="27" t="str">
        <f aca="false">IF($A197="","",IF($A197&gt;=DATE(YEAR($A197),4,6),YEAR($A197)&amp;"/"&amp;RIGHT(YEAR($A197)+1,2),YEAR($A197)-1&amp;"/"&amp;RIGHT(YEAR($A197),2)))</f>
        <v/>
      </c>
    </row>
    <row r="198" customFormat="false" ht="15" hidden="false" customHeight="false" outlineLevel="0" collapsed="false">
      <c r="A198" s="22"/>
      <c r="B198" s="23"/>
      <c r="C198" s="23"/>
      <c r="D198" s="23"/>
      <c r="E198" s="24"/>
      <c r="F198" s="24"/>
      <c r="G198" s="23"/>
      <c r="H198" s="23"/>
      <c r="I198" s="25"/>
      <c r="J198" s="23"/>
      <c r="K198" s="23"/>
      <c r="L198" s="26" t="str">
        <f aca="false">IF(OR($E198="",$F198=""),"",MOD($F198-$E198,1)*24)</f>
        <v/>
      </c>
      <c r="M198" s="27" t="str">
        <f aca="false">IF($B198="","",IFERROR(INDEX(Properties!$D$5:$D$104,MATCH($B198,Properties!$A$5:$A$104,0)),"?"))</f>
        <v/>
      </c>
      <c r="N198" s="28" t="str">
        <f aca="false">IF($B198="","",IFERROR(IF($D198="Completed",INDEX(Properties!$I$5:$I$104,MATCH($B198,Properties!$A$5:$A$104,0))*(1+IF($G198="Y",Settings!$B$8,0))+IF($H198="Y",Settings!$B$7,0)+N($I198),IF($D198="Deep clean",INDEX(Settings!$E$22:$E$26,MATCH(MIN(INDEX(Properties!$E$5:$E$104,MATCH($B198,Properties!$A$5:$A$104,0)),4),Settings!$A$22:$A$26,0))+N($I198),IF($D198="Late cancel",INDEX(Properties!$I$5:$I$104,MATCH($B198,Properties!$A$5:$A$104,0))*Settings!$B$10,0))),0))</f>
        <v/>
      </c>
      <c r="O198" s="28" t="str">
        <f aca="false">IF($B198="","",IFERROR(IF($D198="Completed",INDEX(Properties!$L$5:$L$104,MATCH($B198,Properties!$A$5:$A$104,0))+IF($G198="Y",INDEX(Properties!$I$5:$I$104,MATCH($B198,Properties!$A$5:$A$104,0))*Settings!$B$8*Settings!$B$9,0)+IF($H198="Y",Settings!$B$7*Settings!$B$9,0)+N($I198)*Settings!$B$9,IF($D198="Deep clean",INDEX(Settings!$E$22:$E$26,MATCH(MIN(INDEX(Properties!$E$5:$E$104,MATCH($B198,Properties!$A$5:$A$104,0)),4),Settings!$A$22:$A$26,0))*Settings!$B$19+N($I198)*Settings!$B$9,IF($D198="Late cancel",INDEX(Properties!$L$5:$L$104,MATCH($B198,Properties!$A$5:$A$104,0))*Settings!$B$11,0))),0))</f>
        <v/>
      </c>
      <c r="P198" s="28" t="str">
        <f aca="false">IF($B198="","",$N198-$O198)</f>
        <v/>
      </c>
      <c r="Q198" s="29" t="str">
        <f aca="false">IF($A198="","",DATE(YEAR($A198),MONTH($A198),1))</f>
        <v/>
      </c>
      <c r="R198" s="30" t="str">
        <f aca="false">IF($A198="","",$A198+MOD(6-WEEKDAY($A198),7))</f>
        <v/>
      </c>
      <c r="S198" s="31" t="str">
        <f aca="false">IF($B198="","",IF(AND($M198='Invoice Builder'!$C$5,$Q198='Invoice Builder'!$C$6,N($N198)&gt;0),COUNTIFS($M$5:$M198,'Invoice Builder'!$C$5,$Q$5:$Q198,'Invoice Builder'!$C$6,$N$5:$N198,"&gt;0"),""))</f>
        <v/>
      </c>
      <c r="T198" s="27" t="str">
        <f aca="false">IF($A198="","",IF($A198&gt;=DATE(YEAR($A198),4,6),YEAR($A198)&amp;"/"&amp;RIGHT(YEAR($A198)+1,2),YEAR($A198)-1&amp;"/"&amp;RIGHT(YEAR($A198),2)))</f>
        <v/>
      </c>
    </row>
    <row r="199" customFormat="false" ht="15" hidden="false" customHeight="false" outlineLevel="0" collapsed="false">
      <c r="A199" s="22"/>
      <c r="B199" s="23"/>
      <c r="C199" s="23"/>
      <c r="D199" s="23"/>
      <c r="E199" s="24"/>
      <c r="F199" s="24"/>
      <c r="G199" s="23"/>
      <c r="H199" s="23"/>
      <c r="I199" s="25"/>
      <c r="J199" s="23"/>
      <c r="K199" s="23"/>
      <c r="L199" s="26" t="str">
        <f aca="false">IF(OR($E199="",$F199=""),"",MOD($F199-$E199,1)*24)</f>
        <v/>
      </c>
      <c r="M199" s="27" t="str">
        <f aca="false">IF($B199="","",IFERROR(INDEX(Properties!$D$5:$D$104,MATCH($B199,Properties!$A$5:$A$104,0)),"?"))</f>
        <v/>
      </c>
      <c r="N199" s="28" t="str">
        <f aca="false">IF($B199="","",IFERROR(IF($D199="Completed",INDEX(Properties!$I$5:$I$104,MATCH($B199,Properties!$A$5:$A$104,0))*(1+IF($G199="Y",Settings!$B$8,0))+IF($H199="Y",Settings!$B$7,0)+N($I199),IF($D199="Deep clean",INDEX(Settings!$E$22:$E$26,MATCH(MIN(INDEX(Properties!$E$5:$E$104,MATCH($B199,Properties!$A$5:$A$104,0)),4),Settings!$A$22:$A$26,0))+N($I199),IF($D199="Late cancel",INDEX(Properties!$I$5:$I$104,MATCH($B199,Properties!$A$5:$A$104,0))*Settings!$B$10,0))),0))</f>
        <v/>
      </c>
      <c r="O199" s="28" t="str">
        <f aca="false">IF($B199="","",IFERROR(IF($D199="Completed",INDEX(Properties!$L$5:$L$104,MATCH($B199,Properties!$A$5:$A$104,0))+IF($G199="Y",INDEX(Properties!$I$5:$I$104,MATCH($B199,Properties!$A$5:$A$104,0))*Settings!$B$8*Settings!$B$9,0)+IF($H199="Y",Settings!$B$7*Settings!$B$9,0)+N($I199)*Settings!$B$9,IF($D199="Deep clean",INDEX(Settings!$E$22:$E$26,MATCH(MIN(INDEX(Properties!$E$5:$E$104,MATCH($B199,Properties!$A$5:$A$104,0)),4),Settings!$A$22:$A$26,0))*Settings!$B$19+N($I199)*Settings!$B$9,IF($D199="Late cancel",INDEX(Properties!$L$5:$L$104,MATCH($B199,Properties!$A$5:$A$104,0))*Settings!$B$11,0))),0))</f>
        <v/>
      </c>
      <c r="P199" s="28" t="str">
        <f aca="false">IF($B199="","",$N199-$O199)</f>
        <v/>
      </c>
      <c r="Q199" s="29" t="str">
        <f aca="false">IF($A199="","",DATE(YEAR($A199),MONTH($A199),1))</f>
        <v/>
      </c>
      <c r="R199" s="30" t="str">
        <f aca="false">IF($A199="","",$A199+MOD(6-WEEKDAY($A199),7))</f>
        <v/>
      </c>
      <c r="S199" s="31" t="str">
        <f aca="false">IF($B199="","",IF(AND($M199='Invoice Builder'!$C$5,$Q199='Invoice Builder'!$C$6,N($N199)&gt;0),COUNTIFS($M$5:$M199,'Invoice Builder'!$C$5,$Q$5:$Q199,'Invoice Builder'!$C$6,$N$5:$N199,"&gt;0"),""))</f>
        <v/>
      </c>
      <c r="T199" s="27" t="str">
        <f aca="false">IF($A199="","",IF($A199&gt;=DATE(YEAR($A199),4,6),YEAR($A199)&amp;"/"&amp;RIGHT(YEAR($A199)+1,2),YEAR($A199)-1&amp;"/"&amp;RIGHT(YEAR($A199),2)))</f>
        <v/>
      </c>
    </row>
    <row r="200" customFormat="false" ht="15" hidden="false" customHeight="false" outlineLevel="0" collapsed="false">
      <c r="A200" s="22"/>
      <c r="B200" s="23"/>
      <c r="C200" s="23"/>
      <c r="D200" s="23"/>
      <c r="E200" s="24"/>
      <c r="F200" s="24"/>
      <c r="G200" s="23"/>
      <c r="H200" s="23"/>
      <c r="I200" s="25"/>
      <c r="J200" s="23"/>
      <c r="K200" s="23"/>
      <c r="L200" s="26" t="str">
        <f aca="false">IF(OR($E200="",$F200=""),"",MOD($F200-$E200,1)*24)</f>
        <v/>
      </c>
      <c r="M200" s="27" t="str">
        <f aca="false">IF($B200="","",IFERROR(INDEX(Properties!$D$5:$D$104,MATCH($B200,Properties!$A$5:$A$104,0)),"?"))</f>
        <v/>
      </c>
      <c r="N200" s="28" t="str">
        <f aca="false">IF($B200="","",IFERROR(IF($D200="Completed",INDEX(Properties!$I$5:$I$104,MATCH($B200,Properties!$A$5:$A$104,0))*(1+IF($G200="Y",Settings!$B$8,0))+IF($H200="Y",Settings!$B$7,0)+N($I200),IF($D200="Deep clean",INDEX(Settings!$E$22:$E$26,MATCH(MIN(INDEX(Properties!$E$5:$E$104,MATCH($B200,Properties!$A$5:$A$104,0)),4),Settings!$A$22:$A$26,0))+N($I200),IF($D200="Late cancel",INDEX(Properties!$I$5:$I$104,MATCH($B200,Properties!$A$5:$A$104,0))*Settings!$B$10,0))),0))</f>
        <v/>
      </c>
      <c r="O200" s="28" t="str">
        <f aca="false">IF($B200="","",IFERROR(IF($D200="Completed",INDEX(Properties!$L$5:$L$104,MATCH($B200,Properties!$A$5:$A$104,0))+IF($G200="Y",INDEX(Properties!$I$5:$I$104,MATCH($B200,Properties!$A$5:$A$104,0))*Settings!$B$8*Settings!$B$9,0)+IF($H200="Y",Settings!$B$7*Settings!$B$9,0)+N($I200)*Settings!$B$9,IF($D200="Deep clean",INDEX(Settings!$E$22:$E$26,MATCH(MIN(INDEX(Properties!$E$5:$E$104,MATCH($B200,Properties!$A$5:$A$104,0)),4),Settings!$A$22:$A$26,0))*Settings!$B$19+N($I200)*Settings!$B$9,IF($D200="Late cancel",INDEX(Properties!$L$5:$L$104,MATCH($B200,Properties!$A$5:$A$104,0))*Settings!$B$11,0))),0))</f>
        <v/>
      </c>
      <c r="P200" s="28" t="str">
        <f aca="false">IF($B200="","",$N200-$O200)</f>
        <v/>
      </c>
      <c r="Q200" s="29" t="str">
        <f aca="false">IF($A200="","",DATE(YEAR($A200),MONTH($A200),1))</f>
        <v/>
      </c>
      <c r="R200" s="30" t="str">
        <f aca="false">IF($A200="","",$A200+MOD(6-WEEKDAY($A200),7))</f>
        <v/>
      </c>
      <c r="S200" s="31" t="str">
        <f aca="false">IF($B200="","",IF(AND($M200='Invoice Builder'!$C$5,$Q200='Invoice Builder'!$C$6,N($N200)&gt;0),COUNTIFS($M$5:$M200,'Invoice Builder'!$C$5,$Q$5:$Q200,'Invoice Builder'!$C$6,$N$5:$N200,"&gt;0"),""))</f>
        <v/>
      </c>
      <c r="T200" s="27" t="str">
        <f aca="false">IF($A200="","",IF($A200&gt;=DATE(YEAR($A200),4,6),YEAR($A200)&amp;"/"&amp;RIGHT(YEAR($A200)+1,2),YEAR($A200)-1&amp;"/"&amp;RIGHT(YEAR($A200),2)))</f>
        <v/>
      </c>
    </row>
    <row r="201" customFormat="false" ht="15" hidden="false" customHeight="false" outlineLevel="0" collapsed="false">
      <c r="A201" s="22"/>
      <c r="B201" s="23"/>
      <c r="C201" s="23"/>
      <c r="D201" s="23"/>
      <c r="E201" s="24"/>
      <c r="F201" s="24"/>
      <c r="G201" s="23"/>
      <c r="H201" s="23"/>
      <c r="I201" s="25"/>
      <c r="J201" s="23"/>
      <c r="K201" s="23"/>
      <c r="L201" s="26" t="str">
        <f aca="false">IF(OR($E201="",$F201=""),"",MOD($F201-$E201,1)*24)</f>
        <v/>
      </c>
      <c r="M201" s="27" t="str">
        <f aca="false">IF($B201="","",IFERROR(INDEX(Properties!$D$5:$D$104,MATCH($B201,Properties!$A$5:$A$104,0)),"?"))</f>
        <v/>
      </c>
      <c r="N201" s="28" t="str">
        <f aca="false">IF($B201="","",IFERROR(IF($D201="Completed",INDEX(Properties!$I$5:$I$104,MATCH($B201,Properties!$A$5:$A$104,0))*(1+IF($G201="Y",Settings!$B$8,0))+IF($H201="Y",Settings!$B$7,0)+N($I201),IF($D201="Deep clean",INDEX(Settings!$E$22:$E$26,MATCH(MIN(INDEX(Properties!$E$5:$E$104,MATCH($B201,Properties!$A$5:$A$104,0)),4),Settings!$A$22:$A$26,0))+N($I201),IF($D201="Late cancel",INDEX(Properties!$I$5:$I$104,MATCH($B201,Properties!$A$5:$A$104,0))*Settings!$B$10,0))),0))</f>
        <v/>
      </c>
      <c r="O201" s="28" t="str">
        <f aca="false">IF($B201="","",IFERROR(IF($D201="Completed",INDEX(Properties!$L$5:$L$104,MATCH($B201,Properties!$A$5:$A$104,0))+IF($G201="Y",INDEX(Properties!$I$5:$I$104,MATCH($B201,Properties!$A$5:$A$104,0))*Settings!$B$8*Settings!$B$9,0)+IF($H201="Y",Settings!$B$7*Settings!$B$9,0)+N($I201)*Settings!$B$9,IF($D201="Deep clean",INDEX(Settings!$E$22:$E$26,MATCH(MIN(INDEX(Properties!$E$5:$E$104,MATCH($B201,Properties!$A$5:$A$104,0)),4),Settings!$A$22:$A$26,0))*Settings!$B$19+N($I201)*Settings!$B$9,IF($D201="Late cancel",INDEX(Properties!$L$5:$L$104,MATCH($B201,Properties!$A$5:$A$104,0))*Settings!$B$11,0))),0))</f>
        <v/>
      </c>
      <c r="P201" s="28" t="str">
        <f aca="false">IF($B201="","",$N201-$O201)</f>
        <v/>
      </c>
      <c r="Q201" s="29" t="str">
        <f aca="false">IF($A201="","",DATE(YEAR($A201),MONTH($A201),1))</f>
        <v/>
      </c>
      <c r="R201" s="30" t="str">
        <f aca="false">IF($A201="","",$A201+MOD(6-WEEKDAY($A201),7))</f>
        <v/>
      </c>
      <c r="S201" s="31" t="str">
        <f aca="false">IF($B201="","",IF(AND($M201='Invoice Builder'!$C$5,$Q201='Invoice Builder'!$C$6,N($N201)&gt;0),COUNTIFS($M$5:$M201,'Invoice Builder'!$C$5,$Q$5:$Q201,'Invoice Builder'!$C$6,$N$5:$N201,"&gt;0"),""))</f>
        <v/>
      </c>
      <c r="T201" s="27" t="str">
        <f aca="false">IF($A201="","",IF($A201&gt;=DATE(YEAR($A201),4,6),YEAR($A201)&amp;"/"&amp;RIGHT(YEAR($A201)+1,2),YEAR($A201)-1&amp;"/"&amp;RIGHT(YEAR($A201),2)))</f>
        <v/>
      </c>
    </row>
    <row r="202" customFormat="false" ht="15" hidden="false" customHeight="false" outlineLevel="0" collapsed="false">
      <c r="A202" s="22"/>
      <c r="B202" s="23"/>
      <c r="C202" s="23"/>
      <c r="D202" s="23"/>
      <c r="E202" s="24"/>
      <c r="F202" s="24"/>
      <c r="G202" s="23"/>
      <c r="H202" s="23"/>
      <c r="I202" s="25"/>
      <c r="J202" s="23"/>
      <c r="K202" s="23"/>
      <c r="L202" s="26" t="str">
        <f aca="false">IF(OR($E202="",$F202=""),"",MOD($F202-$E202,1)*24)</f>
        <v/>
      </c>
      <c r="M202" s="27" t="str">
        <f aca="false">IF($B202="","",IFERROR(INDEX(Properties!$D$5:$D$104,MATCH($B202,Properties!$A$5:$A$104,0)),"?"))</f>
        <v/>
      </c>
      <c r="N202" s="28" t="str">
        <f aca="false">IF($B202="","",IFERROR(IF($D202="Completed",INDEX(Properties!$I$5:$I$104,MATCH($B202,Properties!$A$5:$A$104,0))*(1+IF($G202="Y",Settings!$B$8,0))+IF($H202="Y",Settings!$B$7,0)+N($I202),IF($D202="Deep clean",INDEX(Settings!$E$22:$E$26,MATCH(MIN(INDEX(Properties!$E$5:$E$104,MATCH($B202,Properties!$A$5:$A$104,0)),4),Settings!$A$22:$A$26,0))+N($I202),IF($D202="Late cancel",INDEX(Properties!$I$5:$I$104,MATCH($B202,Properties!$A$5:$A$104,0))*Settings!$B$10,0))),0))</f>
        <v/>
      </c>
      <c r="O202" s="28" t="str">
        <f aca="false">IF($B202="","",IFERROR(IF($D202="Completed",INDEX(Properties!$L$5:$L$104,MATCH($B202,Properties!$A$5:$A$104,0))+IF($G202="Y",INDEX(Properties!$I$5:$I$104,MATCH($B202,Properties!$A$5:$A$104,0))*Settings!$B$8*Settings!$B$9,0)+IF($H202="Y",Settings!$B$7*Settings!$B$9,0)+N($I202)*Settings!$B$9,IF($D202="Deep clean",INDEX(Settings!$E$22:$E$26,MATCH(MIN(INDEX(Properties!$E$5:$E$104,MATCH($B202,Properties!$A$5:$A$104,0)),4),Settings!$A$22:$A$26,0))*Settings!$B$19+N($I202)*Settings!$B$9,IF($D202="Late cancel",INDEX(Properties!$L$5:$L$104,MATCH($B202,Properties!$A$5:$A$104,0))*Settings!$B$11,0))),0))</f>
        <v/>
      </c>
      <c r="P202" s="28" t="str">
        <f aca="false">IF($B202="","",$N202-$O202)</f>
        <v/>
      </c>
      <c r="Q202" s="29" t="str">
        <f aca="false">IF($A202="","",DATE(YEAR($A202),MONTH($A202),1))</f>
        <v/>
      </c>
      <c r="R202" s="30" t="str">
        <f aca="false">IF($A202="","",$A202+MOD(6-WEEKDAY($A202),7))</f>
        <v/>
      </c>
      <c r="S202" s="31" t="str">
        <f aca="false">IF($B202="","",IF(AND($M202='Invoice Builder'!$C$5,$Q202='Invoice Builder'!$C$6,N($N202)&gt;0),COUNTIFS($M$5:$M202,'Invoice Builder'!$C$5,$Q$5:$Q202,'Invoice Builder'!$C$6,$N$5:$N202,"&gt;0"),""))</f>
        <v/>
      </c>
      <c r="T202" s="27" t="str">
        <f aca="false">IF($A202="","",IF($A202&gt;=DATE(YEAR($A202),4,6),YEAR($A202)&amp;"/"&amp;RIGHT(YEAR($A202)+1,2),YEAR($A202)-1&amp;"/"&amp;RIGHT(YEAR($A202),2)))</f>
        <v/>
      </c>
    </row>
    <row r="203" customFormat="false" ht="15" hidden="false" customHeight="false" outlineLevel="0" collapsed="false">
      <c r="A203" s="22"/>
      <c r="B203" s="23"/>
      <c r="C203" s="23"/>
      <c r="D203" s="23"/>
      <c r="E203" s="24"/>
      <c r="F203" s="24"/>
      <c r="G203" s="23"/>
      <c r="H203" s="23"/>
      <c r="I203" s="25"/>
      <c r="J203" s="23"/>
      <c r="K203" s="23"/>
      <c r="L203" s="26" t="str">
        <f aca="false">IF(OR($E203="",$F203=""),"",MOD($F203-$E203,1)*24)</f>
        <v/>
      </c>
      <c r="M203" s="27" t="str">
        <f aca="false">IF($B203="","",IFERROR(INDEX(Properties!$D$5:$D$104,MATCH($B203,Properties!$A$5:$A$104,0)),"?"))</f>
        <v/>
      </c>
      <c r="N203" s="28" t="str">
        <f aca="false">IF($B203="","",IFERROR(IF($D203="Completed",INDEX(Properties!$I$5:$I$104,MATCH($B203,Properties!$A$5:$A$104,0))*(1+IF($G203="Y",Settings!$B$8,0))+IF($H203="Y",Settings!$B$7,0)+N($I203),IF($D203="Deep clean",INDEX(Settings!$E$22:$E$26,MATCH(MIN(INDEX(Properties!$E$5:$E$104,MATCH($B203,Properties!$A$5:$A$104,0)),4),Settings!$A$22:$A$26,0))+N($I203),IF($D203="Late cancel",INDEX(Properties!$I$5:$I$104,MATCH($B203,Properties!$A$5:$A$104,0))*Settings!$B$10,0))),0))</f>
        <v/>
      </c>
      <c r="O203" s="28" t="str">
        <f aca="false">IF($B203="","",IFERROR(IF($D203="Completed",INDEX(Properties!$L$5:$L$104,MATCH($B203,Properties!$A$5:$A$104,0))+IF($G203="Y",INDEX(Properties!$I$5:$I$104,MATCH($B203,Properties!$A$5:$A$104,0))*Settings!$B$8*Settings!$B$9,0)+IF($H203="Y",Settings!$B$7*Settings!$B$9,0)+N($I203)*Settings!$B$9,IF($D203="Deep clean",INDEX(Settings!$E$22:$E$26,MATCH(MIN(INDEX(Properties!$E$5:$E$104,MATCH($B203,Properties!$A$5:$A$104,0)),4),Settings!$A$22:$A$26,0))*Settings!$B$19+N($I203)*Settings!$B$9,IF($D203="Late cancel",INDEX(Properties!$L$5:$L$104,MATCH($B203,Properties!$A$5:$A$104,0))*Settings!$B$11,0))),0))</f>
        <v/>
      </c>
      <c r="P203" s="28" t="str">
        <f aca="false">IF($B203="","",$N203-$O203)</f>
        <v/>
      </c>
      <c r="Q203" s="29" t="str">
        <f aca="false">IF($A203="","",DATE(YEAR($A203),MONTH($A203),1))</f>
        <v/>
      </c>
      <c r="R203" s="30" t="str">
        <f aca="false">IF($A203="","",$A203+MOD(6-WEEKDAY($A203),7))</f>
        <v/>
      </c>
      <c r="S203" s="31" t="str">
        <f aca="false">IF($B203="","",IF(AND($M203='Invoice Builder'!$C$5,$Q203='Invoice Builder'!$C$6,N($N203)&gt;0),COUNTIFS($M$5:$M203,'Invoice Builder'!$C$5,$Q$5:$Q203,'Invoice Builder'!$C$6,$N$5:$N203,"&gt;0"),""))</f>
        <v/>
      </c>
      <c r="T203" s="27" t="str">
        <f aca="false">IF($A203="","",IF($A203&gt;=DATE(YEAR($A203),4,6),YEAR($A203)&amp;"/"&amp;RIGHT(YEAR($A203)+1,2),YEAR($A203)-1&amp;"/"&amp;RIGHT(YEAR($A203),2)))</f>
        <v/>
      </c>
    </row>
    <row r="204" customFormat="false" ht="15" hidden="false" customHeight="false" outlineLevel="0" collapsed="false">
      <c r="A204" s="22"/>
      <c r="B204" s="23"/>
      <c r="C204" s="23"/>
      <c r="D204" s="23"/>
      <c r="E204" s="24"/>
      <c r="F204" s="24"/>
      <c r="G204" s="23"/>
      <c r="H204" s="23"/>
      <c r="I204" s="25"/>
      <c r="J204" s="23"/>
      <c r="K204" s="23"/>
      <c r="L204" s="26" t="str">
        <f aca="false">IF(OR($E204="",$F204=""),"",MOD($F204-$E204,1)*24)</f>
        <v/>
      </c>
      <c r="M204" s="27" t="str">
        <f aca="false">IF($B204="","",IFERROR(INDEX(Properties!$D$5:$D$104,MATCH($B204,Properties!$A$5:$A$104,0)),"?"))</f>
        <v/>
      </c>
      <c r="N204" s="28" t="str">
        <f aca="false">IF($B204="","",IFERROR(IF($D204="Completed",INDEX(Properties!$I$5:$I$104,MATCH($B204,Properties!$A$5:$A$104,0))*(1+IF($G204="Y",Settings!$B$8,0))+IF($H204="Y",Settings!$B$7,0)+N($I204),IF($D204="Deep clean",INDEX(Settings!$E$22:$E$26,MATCH(MIN(INDEX(Properties!$E$5:$E$104,MATCH($B204,Properties!$A$5:$A$104,0)),4),Settings!$A$22:$A$26,0))+N($I204),IF($D204="Late cancel",INDEX(Properties!$I$5:$I$104,MATCH($B204,Properties!$A$5:$A$104,0))*Settings!$B$10,0))),0))</f>
        <v/>
      </c>
      <c r="O204" s="28" t="str">
        <f aca="false">IF($B204="","",IFERROR(IF($D204="Completed",INDEX(Properties!$L$5:$L$104,MATCH($B204,Properties!$A$5:$A$104,0))+IF($G204="Y",INDEX(Properties!$I$5:$I$104,MATCH($B204,Properties!$A$5:$A$104,0))*Settings!$B$8*Settings!$B$9,0)+IF($H204="Y",Settings!$B$7*Settings!$B$9,0)+N($I204)*Settings!$B$9,IF($D204="Deep clean",INDEX(Settings!$E$22:$E$26,MATCH(MIN(INDEX(Properties!$E$5:$E$104,MATCH($B204,Properties!$A$5:$A$104,0)),4),Settings!$A$22:$A$26,0))*Settings!$B$19+N($I204)*Settings!$B$9,IF($D204="Late cancel",INDEX(Properties!$L$5:$L$104,MATCH($B204,Properties!$A$5:$A$104,0))*Settings!$B$11,0))),0))</f>
        <v/>
      </c>
      <c r="P204" s="28" t="str">
        <f aca="false">IF($B204="","",$N204-$O204)</f>
        <v/>
      </c>
      <c r="Q204" s="29" t="str">
        <f aca="false">IF($A204="","",DATE(YEAR($A204),MONTH($A204),1))</f>
        <v/>
      </c>
      <c r="R204" s="30" t="str">
        <f aca="false">IF($A204="","",$A204+MOD(6-WEEKDAY($A204),7))</f>
        <v/>
      </c>
      <c r="S204" s="31" t="str">
        <f aca="false">IF($B204="","",IF(AND($M204='Invoice Builder'!$C$5,$Q204='Invoice Builder'!$C$6,N($N204)&gt;0),COUNTIFS($M$5:$M204,'Invoice Builder'!$C$5,$Q$5:$Q204,'Invoice Builder'!$C$6,$N$5:$N204,"&gt;0"),""))</f>
        <v/>
      </c>
      <c r="T204" s="27" t="str">
        <f aca="false">IF($A204="","",IF($A204&gt;=DATE(YEAR($A204),4,6),YEAR($A204)&amp;"/"&amp;RIGHT(YEAR($A204)+1,2),YEAR($A204)-1&amp;"/"&amp;RIGHT(YEAR($A204),2)))</f>
        <v/>
      </c>
    </row>
    <row r="205" customFormat="false" ht="15" hidden="false" customHeight="false" outlineLevel="0" collapsed="false">
      <c r="A205" s="22"/>
      <c r="B205" s="23"/>
      <c r="C205" s="23"/>
      <c r="D205" s="23"/>
      <c r="E205" s="24"/>
      <c r="F205" s="24"/>
      <c r="G205" s="23"/>
      <c r="H205" s="23"/>
      <c r="I205" s="25"/>
      <c r="J205" s="23"/>
      <c r="K205" s="23"/>
      <c r="L205" s="26" t="str">
        <f aca="false">IF(OR($E205="",$F205=""),"",MOD($F205-$E205,1)*24)</f>
        <v/>
      </c>
      <c r="M205" s="27" t="str">
        <f aca="false">IF($B205="","",IFERROR(INDEX(Properties!$D$5:$D$104,MATCH($B205,Properties!$A$5:$A$104,0)),"?"))</f>
        <v/>
      </c>
      <c r="N205" s="28" t="str">
        <f aca="false">IF($B205="","",IFERROR(IF($D205="Completed",INDEX(Properties!$I$5:$I$104,MATCH($B205,Properties!$A$5:$A$104,0))*(1+IF($G205="Y",Settings!$B$8,0))+IF($H205="Y",Settings!$B$7,0)+N($I205),IF($D205="Deep clean",INDEX(Settings!$E$22:$E$26,MATCH(MIN(INDEX(Properties!$E$5:$E$104,MATCH($B205,Properties!$A$5:$A$104,0)),4),Settings!$A$22:$A$26,0))+N($I205),IF($D205="Late cancel",INDEX(Properties!$I$5:$I$104,MATCH($B205,Properties!$A$5:$A$104,0))*Settings!$B$10,0))),0))</f>
        <v/>
      </c>
      <c r="O205" s="28" t="str">
        <f aca="false">IF($B205="","",IFERROR(IF($D205="Completed",INDEX(Properties!$L$5:$L$104,MATCH($B205,Properties!$A$5:$A$104,0))+IF($G205="Y",INDEX(Properties!$I$5:$I$104,MATCH($B205,Properties!$A$5:$A$104,0))*Settings!$B$8*Settings!$B$9,0)+IF($H205="Y",Settings!$B$7*Settings!$B$9,0)+N($I205)*Settings!$B$9,IF($D205="Deep clean",INDEX(Settings!$E$22:$E$26,MATCH(MIN(INDEX(Properties!$E$5:$E$104,MATCH($B205,Properties!$A$5:$A$104,0)),4),Settings!$A$22:$A$26,0))*Settings!$B$19+N($I205)*Settings!$B$9,IF($D205="Late cancel",INDEX(Properties!$L$5:$L$104,MATCH($B205,Properties!$A$5:$A$104,0))*Settings!$B$11,0))),0))</f>
        <v/>
      </c>
      <c r="P205" s="28" t="str">
        <f aca="false">IF($B205="","",$N205-$O205)</f>
        <v/>
      </c>
      <c r="Q205" s="29" t="str">
        <f aca="false">IF($A205="","",DATE(YEAR($A205),MONTH($A205),1))</f>
        <v/>
      </c>
      <c r="R205" s="30" t="str">
        <f aca="false">IF($A205="","",$A205+MOD(6-WEEKDAY($A205),7))</f>
        <v/>
      </c>
      <c r="S205" s="31" t="str">
        <f aca="false">IF($B205="","",IF(AND($M205='Invoice Builder'!$C$5,$Q205='Invoice Builder'!$C$6,N($N205)&gt;0),COUNTIFS($M$5:$M205,'Invoice Builder'!$C$5,$Q$5:$Q205,'Invoice Builder'!$C$6,$N$5:$N205,"&gt;0"),""))</f>
        <v/>
      </c>
      <c r="T205" s="27" t="str">
        <f aca="false">IF($A205="","",IF($A205&gt;=DATE(YEAR($A205),4,6),YEAR($A205)&amp;"/"&amp;RIGHT(YEAR($A205)+1,2),YEAR($A205)-1&amp;"/"&amp;RIGHT(YEAR($A205),2)))</f>
        <v/>
      </c>
    </row>
    <row r="206" customFormat="false" ht="15" hidden="false" customHeight="false" outlineLevel="0" collapsed="false">
      <c r="A206" s="22"/>
      <c r="B206" s="23"/>
      <c r="C206" s="23"/>
      <c r="D206" s="23"/>
      <c r="E206" s="24"/>
      <c r="F206" s="24"/>
      <c r="G206" s="23"/>
      <c r="H206" s="23"/>
      <c r="I206" s="25"/>
      <c r="J206" s="23"/>
      <c r="K206" s="23"/>
      <c r="L206" s="26" t="str">
        <f aca="false">IF(OR($E206="",$F206=""),"",MOD($F206-$E206,1)*24)</f>
        <v/>
      </c>
      <c r="M206" s="27" t="str">
        <f aca="false">IF($B206="","",IFERROR(INDEX(Properties!$D$5:$D$104,MATCH($B206,Properties!$A$5:$A$104,0)),"?"))</f>
        <v/>
      </c>
      <c r="N206" s="28" t="str">
        <f aca="false">IF($B206="","",IFERROR(IF($D206="Completed",INDEX(Properties!$I$5:$I$104,MATCH($B206,Properties!$A$5:$A$104,0))*(1+IF($G206="Y",Settings!$B$8,0))+IF($H206="Y",Settings!$B$7,0)+N($I206),IF($D206="Deep clean",INDEX(Settings!$E$22:$E$26,MATCH(MIN(INDEX(Properties!$E$5:$E$104,MATCH($B206,Properties!$A$5:$A$104,0)),4),Settings!$A$22:$A$26,0))+N($I206),IF($D206="Late cancel",INDEX(Properties!$I$5:$I$104,MATCH($B206,Properties!$A$5:$A$104,0))*Settings!$B$10,0))),0))</f>
        <v/>
      </c>
      <c r="O206" s="28" t="str">
        <f aca="false">IF($B206="","",IFERROR(IF($D206="Completed",INDEX(Properties!$L$5:$L$104,MATCH($B206,Properties!$A$5:$A$104,0))+IF($G206="Y",INDEX(Properties!$I$5:$I$104,MATCH($B206,Properties!$A$5:$A$104,0))*Settings!$B$8*Settings!$B$9,0)+IF($H206="Y",Settings!$B$7*Settings!$B$9,0)+N($I206)*Settings!$B$9,IF($D206="Deep clean",INDEX(Settings!$E$22:$E$26,MATCH(MIN(INDEX(Properties!$E$5:$E$104,MATCH($B206,Properties!$A$5:$A$104,0)),4),Settings!$A$22:$A$26,0))*Settings!$B$19+N($I206)*Settings!$B$9,IF($D206="Late cancel",INDEX(Properties!$L$5:$L$104,MATCH($B206,Properties!$A$5:$A$104,0))*Settings!$B$11,0))),0))</f>
        <v/>
      </c>
      <c r="P206" s="28" t="str">
        <f aca="false">IF($B206="","",$N206-$O206)</f>
        <v/>
      </c>
      <c r="Q206" s="29" t="str">
        <f aca="false">IF($A206="","",DATE(YEAR($A206),MONTH($A206),1))</f>
        <v/>
      </c>
      <c r="R206" s="30" t="str">
        <f aca="false">IF($A206="","",$A206+MOD(6-WEEKDAY($A206),7))</f>
        <v/>
      </c>
      <c r="S206" s="31" t="str">
        <f aca="false">IF($B206="","",IF(AND($M206='Invoice Builder'!$C$5,$Q206='Invoice Builder'!$C$6,N($N206)&gt;0),COUNTIFS($M$5:$M206,'Invoice Builder'!$C$5,$Q$5:$Q206,'Invoice Builder'!$C$6,$N$5:$N206,"&gt;0"),""))</f>
        <v/>
      </c>
      <c r="T206" s="27" t="str">
        <f aca="false">IF($A206="","",IF($A206&gt;=DATE(YEAR($A206),4,6),YEAR($A206)&amp;"/"&amp;RIGHT(YEAR($A206)+1,2),YEAR($A206)-1&amp;"/"&amp;RIGHT(YEAR($A206),2)))</f>
        <v/>
      </c>
    </row>
    <row r="207" customFormat="false" ht="15" hidden="false" customHeight="false" outlineLevel="0" collapsed="false">
      <c r="A207" s="22"/>
      <c r="B207" s="23"/>
      <c r="C207" s="23"/>
      <c r="D207" s="23"/>
      <c r="E207" s="24"/>
      <c r="F207" s="24"/>
      <c r="G207" s="23"/>
      <c r="H207" s="23"/>
      <c r="I207" s="25"/>
      <c r="J207" s="23"/>
      <c r="K207" s="23"/>
      <c r="L207" s="26" t="str">
        <f aca="false">IF(OR($E207="",$F207=""),"",MOD($F207-$E207,1)*24)</f>
        <v/>
      </c>
      <c r="M207" s="27" t="str">
        <f aca="false">IF($B207="","",IFERROR(INDEX(Properties!$D$5:$D$104,MATCH($B207,Properties!$A$5:$A$104,0)),"?"))</f>
        <v/>
      </c>
      <c r="N207" s="28" t="str">
        <f aca="false">IF($B207="","",IFERROR(IF($D207="Completed",INDEX(Properties!$I$5:$I$104,MATCH($B207,Properties!$A$5:$A$104,0))*(1+IF($G207="Y",Settings!$B$8,0))+IF($H207="Y",Settings!$B$7,0)+N($I207),IF($D207="Deep clean",INDEX(Settings!$E$22:$E$26,MATCH(MIN(INDEX(Properties!$E$5:$E$104,MATCH($B207,Properties!$A$5:$A$104,0)),4),Settings!$A$22:$A$26,0))+N($I207),IF($D207="Late cancel",INDEX(Properties!$I$5:$I$104,MATCH($B207,Properties!$A$5:$A$104,0))*Settings!$B$10,0))),0))</f>
        <v/>
      </c>
      <c r="O207" s="28" t="str">
        <f aca="false">IF($B207="","",IFERROR(IF($D207="Completed",INDEX(Properties!$L$5:$L$104,MATCH($B207,Properties!$A$5:$A$104,0))+IF($G207="Y",INDEX(Properties!$I$5:$I$104,MATCH($B207,Properties!$A$5:$A$104,0))*Settings!$B$8*Settings!$B$9,0)+IF($H207="Y",Settings!$B$7*Settings!$B$9,0)+N($I207)*Settings!$B$9,IF($D207="Deep clean",INDEX(Settings!$E$22:$E$26,MATCH(MIN(INDEX(Properties!$E$5:$E$104,MATCH($B207,Properties!$A$5:$A$104,0)),4),Settings!$A$22:$A$26,0))*Settings!$B$19+N($I207)*Settings!$B$9,IF($D207="Late cancel",INDEX(Properties!$L$5:$L$104,MATCH($B207,Properties!$A$5:$A$104,0))*Settings!$B$11,0))),0))</f>
        <v/>
      </c>
      <c r="P207" s="28" t="str">
        <f aca="false">IF($B207="","",$N207-$O207)</f>
        <v/>
      </c>
      <c r="Q207" s="29" t="str">
        <f aca="false">IF($A207="","",DATE(YEAR($A207),MONTH($A207),1))</f>
        <v/>
      </c>
      <c r="R207" s="30" t="str">
        <f aca="false">IF($A207="","",$A207+MOD(6-WEEKDAY($A207),7))</f>
        <v/>
      </c>
      <c r="S207" s="31" t="str">
        <f aca="false">IF($B207="","",IF(AND($M207='Invoice Builder'!$C$5,$Q207='Invoice Builder'!$C$6,N($N207)&gt;0),COUNTIFS($M$5:$M207,'Invoice Builder'!$C$5,$Q$5:$Q207,'Invoice Builder'!$C$6,$N$5:$N207,"&gt;0"),""))</f>
        <v/>
      </c>
      <c r="T207" s="27" t="str">
        <f aca="false">IF($A207="","",IF($A207&gt;=DATE(YEAR($A207),4,6),YEAR($A207)&amp;"/"&amp;RIGHT(YEAR($A207)+1,2),YEAR($A207)-1&amp;"/"&amp;RIGHT(YEAR($A207),2)))</f>
        <v/>
      </c>
    </row>
    <row r="208" customFormat="false" ht="15" hidden="false" customHeight="false" outlineLevel="0" collapsed="false">
      <c r="A208" s="22"/>
      <c r="B208" s="23"/>
      <c r="C208" s="23"/>
      <c r="D208" s="23"/>
      <c r="E208" s="24"/>
      <c r="F208" s="24"/>
      <c r="G208" s="23"/>
      <c r="H208" s="23"/>
      <c r="I208" s="25"/>
      <c r="J208" s="23"/>
      <c r="K208" s="23"/>
      <c r="L208" s="26" t="str">
        <f aca="false">IF(OR($E208="",$F208=""),"",MOD($F208-$E208,1)*24)</f>
        <v/>
      </c>
      <c r="M208" s="27" t="str">
        <f aca="false">IF($B208="","",IFERROR(INDEX(Properties!$D$5:$D$104,MATCH($B208,Properties!$A$5:$A$104,0)),"?"))</f>
        <v/>
      </c>
      <c r="N208" s="28" t="str">
        <f aca="false">IF($B208="","",IFERROR(IF($D208="Completed",INDEX(Properties!$I$5:$I$104,MATCH($B208,Properties!$A$5:$A$104,0))*(1+IF($G208="Y",Settings!$B$8,0))+IF($H208="Y",Settings!$B$7,0)+N($I208),IF($D208="Deep clean",INDEX(Settings!$E$22:$E$26,MATCH(MIN(INDEX(Properties!$E$5:$E$104,MATCH($B208,Properties!$A$5:$A$104,0)),4),Settings!$A$22:$A$26,0))+N($I208),IF($D208="Late cancel",INDEX(Properties!$I$5:$I$104,MATCH($B208,Properties!$A$5:$A$104,0))*Settings!$B$10,0))),0))</f>
        <v/>
      </c>
      <c r="O208" s="28" t="str">
        <f aca="false">IF($B208="","",IFERROR(IF($D208="Completed",INDEX(Properties!$L$5:$L$104,MATCH($B208,Properties!$A$5:$A$104,0))+IF($G208="Y",INDEX(Properties!$I$5:$I$104,MATCH($B208,Properties!$A$5:$A$104,0))*Settings!$B$8*Settings!$B$9,0)+IF($H208="Y",Settings!$B$7*Settings!$B$9,0)+N($I208)*Settings!$B$9,IF($D208="Deep clean",INDEX(Settings!$E$22:$E$26,MATCH(MIN(INDEX(Properties!$E$5:$E$104,MATCH($B208,Properties!$A$5:$A$104,0)),4),Settings!$A$22:$A$26,0))*Settings!$B$19+N($I208)*Settings!$B$9,IF($D208="Late cancel",INDEX(Properties!$L$5:$L$104,MATCH($B208,Properties!$A$5:$A$104,0))*Settings!$B$11,0))),0))</f>
        <v/>
      </c>
      <c r="P208" s="28" t="str">
        <f aca="false">IF($B208="","",$N208-$O208)</f>
        <v/>
      </c>
      <c r="Q208" s="29" t="str">
        <f aca="false">IF($A208="","",DATE(YEAR($A208),MONTH($A208),1))</f>
        <v/>
      </c>
      <c r="R208" s="30" t="str">
        <f aca="false">IF($A208="","",$A208+MOD(6-WEEKDAY($A208),7))</f>
        <v/>
      </c>
      <c r="S208" s="31" t="str">
        <f aca="false">IF($B208="","",IF(AND($M208='Invoice Builder'!$C$5,$Q208='Invoice Builder'!$C$6,N($N208)&gt;0),COUNTIFS($M$5:$M208,'Invoice Builder'!$C$5,$Q$5:$Q208,'Invoice Builder'!$C$6,$N$5:$N208,"&gt;0"),""))</f>
        <v/>
      </c>
      <c r="T208" s="27" t="str">
        <f aca="false">IF($A208="","",IF($A208&gt;=DATE(YEAR($A208),4,6),YEAR($A208)&amp;"/"&amp;RIGHT(YEAR($A208)+1,2),YEAR($A208)-1&amp;"/"&amp;RIGHT(YEAR($A208),2)))</f>
        <v/>
      </c>
    </row>
    <row r="209" customFormat="false" ht="15" hidden="false" customHeight="false" outlineLevel="0" collapsed="false">
      <c r="A209" s="22"/>
      <c r="B209" s="23"/>
      <c r="C209" s="23"/>
      <c r="D209" s="23"/>
      <c r="E209" s="24"/>
      <c r="F209" s="24"/>
      <c r="G209" s="23"/>
      <c r="H209" s="23"/>
      <c r="I209" s="25"/>
      <c r="J209" s="23"/>
      <c r="K209" s="23"/>
      <c r="L209" s="26" t="str">
        <f aca="false">IF(OR($E209="",$F209=""),"",MOD($F209-$E209,1)*24)</f>
        <v/>
      </c>
      <c r="M209" s="27" t="str">
        <f aca="false">IF($B209="","",IFERROR(INDEX(Properties!$D$5:$D$104,MATCH($B209,Properties!$A$5:$A$104,0)),"?"))</f>
        <v/>
      </c>
      <c r="N209" s="28" t="str">
        <f aca="false">IF($B209="","",IFERROR(IF($D209="Completed",INDEX(Properties!$I$5:$I$104,MATCH($B209,Properties!$A$5:$A$104,0))*(1+IF($G209="Y",Settings!$B$8,0))+IF($H209="Y",Settings!$B$7,0)+N($I209),IF($D209="Deep clean",INDEX(Settings!$E$22:$E$26,MATCH(MIN(INDEX(Properties!$E$5:$E$104,MATCH($B209,Properties!$A$5:$A$104,0)),4),Settings!$A$22:$A$26,0))+N($I209),IF($D209="Late cancel",INDEX(Properties!$I$5:$I$104,MATCH($B209,Properties!$A$5:$A$104,0))*Settings!$B$10,0))),0))</f>
        <v/>
      </c>
      <c r="O209" s="28" t="str">
        <f aca="false">IF($B209="","",IFERROR(IF($D209="Completed",INDEX(Properties!$L$5:$L$104,MATCH($B209,Properties!$A$5:$A$104,0))+IF($G209="Y",INDEX(Properties!$I$5:$I$104,MATCH($B209,Properties!$A$5:$A$104,0))*Settings!$B$8*Settings!$B$9,0)+IF($H209="Y",Settings!$B$7*Settings!$B$9,0)+N($I209)*Settings!$B$9,IF($D209="Deep clean",INDEX(Settings!$E$22:$E$26,MATCH(MIN(INDEX(Properties!$E$5:$E$104,MATCH($B209,Properties!$A$5:$A$104,0)),4),Settings!$A$22:$A$26,0))*Settings!$B$19+N($I209)*Settings!$B$9,IF($D209="Late cancel",INDEX(Properties!$L$5:$L$104,MATCH($B209,Properties!$A$5:$A$104,0))*Settings!$B$11,0))),0))</f>
        <v/>
      </c>
      <c r="P209" s="28" t="str">
        <f aca="false">IF($B209="","",$N209-$O209)</f>
        <v/>
      </c>
      <c r="Q209" s="29" t="str">
        <f aca="false">IF($A209="","",DATE(YEAR($A209),MONTH($A209),1))</f>
        <v/>
      </c>
      <c r="R209" s="30" t="str">
        <f aca="false">IF($A209="","",$A209+MOD(6-WEEKDAY($A209),7))</f>
        <v/>
      </c>
      <c r="S209" s="31" t="str">
        <f aca="false">IF($B209="","",IF(AND($M209='Invoice Builder'!$C$5,$Q209='Invoice Builder'!$C$6,N($N209)&gt;0),COUNTIFS($M$5:$M209,'Invoice Builder'!$C$5,$Q$5:$Q209,'Invoice Builder'!$C$6,$N$5:$N209,"&gt;0"),""))</f>
        <v/>
      </c>
      <c r="T209" s="27" t="str">
        <f aca="false">IF($A209="","",IF($A209&gt;=DATE(YEAR($A209),4,6),YEAR($A209)&amp;"/"&amp;RIGHT(YEAR($A209)+1,2),YEAR($A209)-1&amp;"/"&amp;RIGHT(YEAR($A209),2)))</f>
        <v/>
      </c>
    </row>
    <row r="210" customFormat="false" ht="15" hidden="false" customHeight="false" outlineLevel="0" collapsed="false">
      <c r="A210" s="22"/>
      <c r="B210" s="23"/>
      <c r="C210" s="23"/>
      <c r="D210" s="23"/>
      <c r="E210" s="24"/>
      <c r="F210" s="24"/>
      <c r="G210" s="23"/>
      <c r="H210" s="23"/>
      <c r="I210" s="25"/>
      <c r="J210" s="23"/>
      <c r="K210" s="23"/>
      <c r="L210" s="26" t="str">
        <f aca="false">IF(OR($E210="",$F210=""),"",MOD($F210-$E210,1)*24)</f>
        <v/>
      </c>
      <c r="M210" s="27" t="str">
        <f aca="false">IF($B210="","",IFERROR(INDEX(Properties!$D$5:$D$104,MATCH($B210,Properties!$A$5:$A$104,0)),"?"))</f>
        <v/>
      </c>
      <c r="N210" s="28" t="str">
        <f aca="false">IF($B210="","",IFERROR(IF($D210="Completed",INDEX(Properties!$I$5:$I$104,MATCH($B210,Properties!$A$5:$A$104,0))*(1+IF($G210="Y",Settings!$B$8,0))+IF($H210="Y",Settings!$B$7,0)+N($I210),IF($D210="Deep clean",INDEX(Settings!$E$22:$E$26,MATCH(MIN(INDEX(Properties!$E$5:$E$104,MATCH($B210,Properties!$A$5:$A$104,0)),4),Settings!$A$22:$A$26,0))+N($I210),IF($D210="Late cancel",INDEX(Properties!$I$5:$I$104,MATCH($B210,Properties!$A$5:$A$104,0))*Settings!$B$10,0))),0))</f>
        <v/>
      </c>
      <c r="O210" s="28" t="str">
        <f aca="false">IF($B210="","",IFERROR(IF($D210="Completed",INDEX(Properties!$L$5:$L$104,MATCH($B210,Properties!$A$5:$A$104,0))+IF($G210="Y",INDEX(Properties!$I$5:$I$104,MATCH($B210,Properties!$A$5:$A$104,0))*Settings!$B$8*Settings!$B$9,0)+IF($H210="Y",Settings!$B$7*Settings!$B$9,0)+N($I210)*Settings!$B$9,IF($D210="Deep clean",INDEX(Settings!$E$22:$E$26,MATCH(MIN(INDEX(Properties!$E$5:$E$104,MATCH($B210,Properties!$A$5:$A$104,0)),4),Settings!$A$22:$A$26,0))*Settings!$B$19+N($I210)*Settings!$B$9,IF($D210="Late cancel",INDEX(Properties!$L$5:$L$104,MATCH($B210,Properties!$A$5:$A$104,0))*Settings!$B$11,0))),0))</f>
        <v/>
      </c>
      <c r="P210" s="28" t="str">
        <f aca="false">IF($B210="","",$N210-$O210)</f>
        <v/>
      </c>
      <c r="Q210" s="29" t="str">
        <f aca="false">IF($A210="","",DATE(YEAR($A210),MONTH($A210),1))</f>
        <v/>
      </c>
      <c r="R210" s="30" t="str">
        <f aca="false">IF($A210="","",$A210+MOD(6-WEEKDAY($A210),7))</f>
        <v/>
      </c>
      <c r="S210" s="31" t="str">
        <f aca="false">IF($B210="","",IF(AND($M210='Invoice Builder'!$C$5,$Q210='Invoice Builder'!$C$6,N($N210)&gt;0),COUNTIFS($M$5:$M210,'Invoice Builder'!$C$5,$Q$5:$Q210,'Invoice Builder'!$C$6,$N$5:$N210,"&gt;0"),""))</f>
        <v/>
      </c>
      <c r="T210" s="27" t="str">
        <f aca="false">IF($A210="","",IF($A210&gt;=DATE(YEAR($A210),4,6),YEAR($A210)&amp;"/"&amp;RIGHT(YEAR($A210)+1,2),YEAR($A210)-1&amp;"/"&amp;RIGHT(YEAR($A210),2)))</f>
        <v/>
      </c>
    </row>
    <row r="211" customFormat="false" ht="15" hidden="false" customHeight="false" outlineLevel="0" collapsed="false">
      <c r="A211" s="22"/>
      <c r="B211" s="23"/>
      <c r="C211" s="23"/>
      <c r="D211" s="23"/>
      <c r="E211" s="24"/>
      <c r="F211" s="24"/>
      <c r="G211" s="23"/>
      <c r="H211" s="23"/>
      <c r="I211" s="25"/>
      <c r="J211" s="23"/>
      <c r="K211" s="23"/>
      <c r="L211" s="26" t="str">
        <f aca="false">IF(OR($E211="",$F211=""),"",MOD($F211-$E211,1)*24)</f>
        <v/>
      </c>
      <c r="M211" s="27" t="str">
        <f aca="false">IF($B211="","",IFERROR(INDEX(Properties!$D$5:$D$104,MATCH($B211,Properties!$A$5:$A$104,0)),"?"))</f>
        <v/>
      </c>
      <c r="N211" s="28" t="str">
        <f aca="false">IF($B211="","",IFERROR(IF($D211="Completed",INDEX(Properties!$I$5:$I$104,MATCH($B211,Properties!$A$5:$A$104,0))*(1+IF($G211="Y",Settings!$B$8,0))+IF($H211="Y",Settings!$B$7,0)+N($I211),IF($D211="Deep clean",INDEX(Settings!$E$22:$E$26,MATCH(MIN(INDEX(Properties!$E$5:$E$104,MATCH($B211,Properties!$A$5:$A$104,0)),4),Settings!$A$22:$A$26,0))+N($I211),IF($D211="Late cancel",INDEX(Properties!$I$5:$I$104,MATCH($B211,Properties!$A$5:$A$104,0))*Settings!$B$10,0))),0))</f>
        <v/>
      </c>
      <c r="O211" s="28" t="str">
        <f aca="false">IF($B211="","",IFERROR(IF($D211="Completed",INDEX(Properties!$L$5:$L$104,MATCH($B211,Properties!$A$5:$A$104,0))+IF($G211="Y",INDEX(Properties!$I$5:$I$104,MATCH($B211,Properties!$A$5:$A$104,0))*Settings!$B$8*Settings!$B$9,0)+IF($H211="Y",Settings!$B$7*Settings!$B$9,0)+N($I211)*Settings!$B$9,IF($D211="Deep clean",INDEX(Settings!$E$22:$E$26,MATCH(MIN(INDEX(Properties!$E$5:$E$104,MATCH($B211,Properties!$A$5:$A$104,0)),4),Settings!$A$22:$A$26,0))*Settings!$B$19+N($I211)*Settings!$B$9,IF($D211="Late cancel",INDEX(Properties!$L$5:$L$104,MATCH($B211,Properties!$A$5:$A$104,0))*Settings!$B$11,0))),0))</f>
        <v/>
      </c>
      <c r="P211" s="28" t="str">
        <f aca="false">IF($B211="","",$N211-$O211)</f>
        <v/>
      </c>
      <c r="Q211" s="29" t="str">
        <f aca="false">IF($A211="","",DATE(YEAR($A211),MONTH($A211),1))</f>
        <v/>
      </c>
      <c r="R211" s="30" t="str">
        <f aca="false">IF($A211="","",$A211+MOD(6-WEEKDAY($A211),7))</f>
        <v/>
      </c>
      <c r="S211" s="31" t="str">
        <f aca="false">IF($B211="","",IF(AND($M211='Invoice Builder'!$C$5,$Q211='Invoice Builder'!$C$6,N($N211)&gt;0),COUNTIFS($M$5:$M211,'Invoice Builder'!$C$5,$Q$5:$Q211,'Invoice Builder'!$C$6,$N$5:$N211,"&gt;0"),""))</f>
        <v/>
      </c>
      <c r="T211" s="27" t="str">
        <f aca="false">IF($A211="","",IF($A211&gt;=DATE(YEAR($A211),4,6),YEAR($A211)&amp;"/"&amp;RIGHT(YEAR($A211)+1,2),YEAR($A211)-1&amp;"/"&amp;RIGHT(YEAR($A211),2)))</f>
        <v/>
      </c>
    </row>
    <row r="212" customFormat="false" ht="15" hidden="false" customHeight="false" outlineLevel="0" collapsed="false">
      <c r="A212" s="22"/>
      <c r="B212" s="23"/>
      <c r="C212" s="23"/>
      <c r="D212" s="23"/>
      <c r="E212" s="24"/>
      <c r="F212" s="24"/>
      <c r="G212" s="23"/>
      <c r="H212" s="23"/>
      <c r="I212" s="25"/>
      <c r="J212" s="23"/>
      <c r="K212" s="23"/>
      <c r="L212" s="26" t="str">
        <f aca="false">IF(OR($E212="",$F212=""),"",MOD($F212-$E212,1)*24)</f>
        <v/>
      </c>
      <c r="M212" s="27" t="str">
        <f aca="false">IF($B212="","",IFERROR(INDEX(Properties!$D$5:$D$104,MATCH($B212,Properties!$A$5:$A$104,0)),"?"))</f>
        <v/>
      </c>
      <c r="N212" s="28" t="str">
        <f aca="false">IF($B212="","",IFERROR(IF($D212="Completed",INDEX(Properties!$I$5:$I$104,MATCH($B212,Properties!$A$5:$A$104,0))*(1+IF($G212="Y",Settings!$B$8,0))+IF($H212="Y",Settings!$B$7,0)+N($I212),IF($D212="Deep clean",INDEX(Settings!$E$22:$E$26,MATCH(MIN(INDEX(Properties!$E$5:$E$104,MATCH($B212,Properties!$A$5:$A$104,0)),4),Settings!$A$22:$A$26,0))+N($I212),IF($D212="Late cancel",INDEX(Properties!$I$5:$I$104,MATCH($B212,Properties!$A$5:$A$104,0))*Settings!$B$10,0))),0))</f>
        <v/>
      </c>
      <c r="O212" s="28" t="str">
        <f aca="false">IF($B212="","",IFERROR(IF($D212="Completed",INDEX(Properties!$L$5:$L$104,MATCH($B212,Properties!$A$5:$A$104,0))+IF($G212="Y",INDEX(Properties!$I$5:$I$104,MATCH($B212,Properties!$A$5:$A$104,0))*Settings!$B$8*Settings!$B$9,0)+IF($H212="Y",Settings!$B$7*Settings!$B$9,0)+N($I212)*Settings!$B$9,IF($D212="Deep clean",INDEX(Settings!$E$22:$E$26,MATCH(MIN(INDEX(Properties!$E$5:$E$104,MATCH($B212,Properties!$A$5:$A$104,0)),4),Settings!$A$22:$A$26,0))*Settings!$B$19+N($I212)*Settings!$B$9,IF($D212="Late cancel",INDEX(Properties!$L$5:$L$104,MATCH($B212,Properties!$A$5:$A$104,0))*Settings!$B$11,0))),0))</f>
        <v/>
      </c>
      <c r="P212" s="28" t="str">
        <f aca="false">IF($B212="","",$N212-$O212)</f>
        <v/>
      </c>
      <c r="Q212" s="29" t="str">
        <f aca="false">IF($A212="","",DATE(YEAR($A212),MONTH($A212),1))</f>
        <v/>
      </c>
      <c r="R212" s="30" t="str">
        <f aca="false">IF($A212="","",$A212+MOD(6-WEEKDAY($A212),7))</f>
        <v/>
      </c>
      <c r="S212" s="31" t="str">
        <f aca="false">IF($B212="","",IF(AND($M212='Invoice Builder'!$C$5,$Q212='Invoice Builder'!$C$6,N($N212)&gt;0),COUNTIFS($M$5:$M212,'Invoice Builder'!$C$5,$Q$5:$Q212,'Invoice Builder'!$C$6,$N$5:$N212,"&gt;0"),""))</f>
        <v/>
      </c>
      <c r="T212" s="27" t="str">
        <f aca="false">IF($A212="","",IF($A212&gt;=DATE(YEAR($A212),4,6),YEAR($A212)&amp;"/"&amp;RIGHT(YEAR($A212)+1,2),YEAR($A212)-1&amp;"/"&amp;RIGHT(YEAR($A212),2)))</f>
        <v/>
      </c>
    </row>
    <row r="213" customFormat="false" ht="15" hidden="false" customHeight="false" outlineLevel="0" collapsed="false">
      <c r="A213" s="22"/>
      <c r="B213" s="23"/>
      <c r="C213" s="23"/>
      <c r="D213" s="23"/>
      <c r="E213" s="24"/>
      <c r="F213" s="24"/>
      <c r="G213" s="23"/>
      <c r="H213" s="23"/>
      <c r="I213" s="25"/>
      <c r="J213" s="23"/>
      <c r="K213" s="23"/>
      <c r="L213" s="26" t="str">
        <f aca="false">IF(OR($E213="",$F213=""),"",MOD($F213-$E213,1)*24)</f>
        <v/>
      </c>
      <c r="M213" s="27" t="str">
        <f aca="false">IF($B213="","",IFERROR(INDEX(Properties!$D$5:$D$104,MATCH($B213,Properties!$A$5:$A$104,0)),"?"))</f>
        <v/>
      </c>
      <c r="N213" s="28" t="str">
        <f aca="false">IF($B213="","",IFERROR(IF($D213="Completed",INDEX(Properties!$I$5:$I$104,MATCH($B213,Properties!$A$5:$A$104,0))*(1+IF($G213="Y",Settings!$B$8,0))+IF($H213="Y",Settings!$B$7,0)+N($I213),IF($D213="Deep clean",INDEX(Settings!$E$22:$E$26,MATCH(MIN(INDEX(Properties!$E$5:$E$104,MATCH($B213,Properties!$A$5:$A$104,0)),4),Settings!$A$22:$A$26,0))+N($I213),IF($D213="Late cancel",INDEX(Properties!$I$5:$I$104,MATCH($B213,Properties!$A$5:$A$104,0))*Settings!$B$10,0))),0))</f>
        <v/>
      </c>
      <c r="O213" s="28" t="str">
        <f aca="false">IF($B213="","",IFERROR(IF($D213="Completed",INDEX(Properties!$L$5:$L$104,MATCH($B213,Properties!$A$5:$A$104,0))+IF($G213="Y",INDEX(Properties!$I$5:$I$104,MATCH($B213,Properties!$A$5:$A$104,0))*Settings!$B$8*Settings!$B$9,0)+IF($H213="Y",Settings!$B$7*Settings!$B$9,0)+N($I213)*Settings!$B$9,IF($D213="Deep clean",INDEX(Settings!$E$22:$E$26,MATCH(MIN(INDEX(Properties!$E$5:$E$104,MATCH($B213,Properties!$A$5:$A$104,0)),4),Settings!$A$22:$A$26,0))*Settings!$B$19+N($I213)*Settings!$B$9,IF($D213="Late cancel",INDEX(Properties!$L$5:$L$104,MATCH($B213,Properties!$A$5:$A$104,0))*Settings!$B$11,0))),0))</f>
        <v/>
      </c>
      <c r="P213" s="28" t="str">
        <f aca="false">IF($B213="","",$N213-$O213)</f>
        <v/>
      </c>
      <c r="Q213" s="29" t="str">
        <f aca="false">IF($A213="","",DATE(YEAR($A213),MONTH($A213),1))</f>
        <v/>
      </c>
      <c r="R213" s="30" t="str">
        <f aca="false">IF($A213="","",$A213+MOD(6-WEEKDAY($A213),7))</f>
        <v/>
      </c>
      <c r="S213" s="31" t="str">
        <f aca="false">IF($B213="","",IF(AND($M213='Invoice Builder'!$C$5,$Q213='Invoice Builder'!$C$6,N($N213)&gt;0),COUNTIFS($M$5:$M213,'Invoice Builder'!$C$5,$Q$5:$Q213,'Invoice Builder'!$C$6,$N$5:$N213,"&gt;0"),""))</f>
        <v/>
      </c>
      <c r="T213" s="27" t="str">
        <f aca="false">IF($A213="","",IF($A213&gt;=DATE(YEAR($A213),4,6),YEAR($A213)&amp;"/"&amp;RIGHT(YEAR($A213)+1,2),YEAR($A213)-1&amp;"/"&amp;RIGHT(YEAR($A213),2)))</f>
        <v/>
      </c>
    </row>
    <row r="214" customFormat="false" ht="15" hidden="false" customHeight="false" outlineLevel="0" collapsed="false">
      <c r="A214" s="22"/>
      <c r="B214" s="23"/>
      <c r="C214" s="23"/>
      <c r="D214" s="23"/>
      <c r="E214" s="24"/>
      <c r="F214" s="24"/>
      <c r="G214" s="23"/>
      <c r="H214" s="23"/>
      <c r="I214" s="25"/>
      <c r="J214" s="23"/>
      <c r="K214" s="23"/>
      <c r="L214" s="26" t="str">
        <f aca="false">IF(OR($E214="",$F214=""),"",MOD($F214-$E214,1)*24)</f>
        <v/>
      </c>
      <c r="M214" s="27" t="str">
        <f aca="false">IF($B214="","",IFERROR(INDEX(Properties!$D$5:$D$104,MATCH($B214,Properties!$A$5:$A$104,0)),"?"))</f>
        <v/>
      </c>
      <c r="N214" s="28" t="str">
        <f aca="false">IF($B214="","",IFERROR(IF($D214="Completed",INDEX(Properties!$I$5:$I$104,MATCH($B214,Properties!$A$5:$A$104,0))*(1+IF($G214="Y",Settings!$B$8,0))+IF($H214="Y",Settings!$B$7,0)+N($I214),IF($D214="Deep clean",INDEX(Settings!$E$22:$E$26,MATCH(MIN(INDEX(Properties!$E$5:$E$104,MATCH($B214,Properties!$A$5:$A$104,0)),4),Settings!$A$22:$A$26,0))+N($I214),IF($D214="Late cancel",INDEX(Properties!$I$5:$I$104,MATCH($B214,Properties!$A$5:$A$104,0))*Settings!$B$10,0))),0))</f>
        <v/>
      </c>
      <c r="O214" s="28" t="str">
        <f aca="false">IF($B214="","",IFERROR(IF($D214="Completed",INDEX(Properties!$L$5:$L$104,MATCH($B214,Properties!$A$5:$A$104,0))+IF($G214="Y",INDEX(Properties!$I$5:$I$104,MATCH($B214,Properties!$A$5:$A$104,0))*Settings!$B$8*Settings!$B$9,0)+IF($H214="Y",Settings!$B$7*Settings!$B$9,0)+N($I214)*Settings!$B$9,IF($D214="Deep clean",INDEX(Settings!$E$22:$E$26,MATCH(MIN(INDEX(Properties!$E$5:$E$104,MATCH($B214,Properties!$A$5:$A$104,0)),4),Settings!$A$22:$A$26,0))*Settings!$B$19+N($I214)*Settings!$B$9,IF($D214="Late cancel",INDEX(Properties!$L$5:$L$104,MATCH($B214,Properties!$A$5:$A$104,0))*Settings!$B$11,0))),0))</f>
        <v/>
      </c>
      <c r="P214" s="28" t="str">
        <f aca="false">IF($B214="","",$N214-$O214)</f>
        <v/>
      </c>
      <c r="Q214" s="29" t="str">
        <f aca="false">IF($A214="","",DATE(YEAR($A214),MONTH($A214),1))</f>
        <v/>
      </c>
      <c r="R214" s="30" t="str">
        <f aca="false">IF($A214="","",$A214+MOD(6-WEEKDAY($A214),7))</f>
        <v/>
      </c>
      <c r="S214" s="31" t="str">
        <f aca="false">IF($B214="","",IF(AND($M214='Invoice Builder'!$C$5,$Q214='Invoice Builder'!$C$6,N($N214)&gt;0),COUNTIFS($M$5:$M214,'Invoice Builder'!$C$5,$Q$5:$Q214,'Invoice Builder'!$C$6,$N$5:$N214,"&gt;0"),""))</f>
        <v/>
      </c>
      <c r="T214" s="27" t="str">
        <f aca="false">IF($A214="","",IF($A214&gt;=DATE(YEAR($A214),4,6),YEAR($A214)&amp;"/"&amp;RIGHT(YEAR($A214)+1,2),YEAR($A214)-1&amp;"/"&amp;RIGHT(YEAR($A214),2)))</f>
        <v/>
      </c>
    </row>
    <row r="215" customFormat="false" ht="15" hidden="false" customHeight="false" outlineLevel="0" collapsed="false">
      <c r="A215" s="22"/>
      <c r="B215" s="23"/>
      <c r="C215" s="23"/>
      <c r="D215" s="23"/>
      <c r="E215" s="24"/>
      <c r="F215" s="24"/>
      <c r="G215" s="23"/>
      <c r="H215" s="23"/>
      <c r="I215" s="25"/>
      <c r="J215" s="23"/>
      <c r="K215" s="23"/>
      <c r="L215" s="26" t="str">
        <f aca="false">IF(OR($E215="",$F215=""),"",MOD($F215-$E215,1)*24)</f>
        <v/>
      </c>
      <c r="M215" s="27" t="str">
        <f aca="false">IF($B215="","",IFERROR(INDEX(Properties!$D$5:$D$104,MATCH($B215,Properties!$A$5:$A$104,0)),"?"))</f>
        <v/>
      </c>
      <c r="N215" s="28" t="str">
        <f aca="false">IF($B215="","",IFERROR(IF($D215="Completed",INDEX(Properties!$I$5:$I$104,MATCH($B215,Properties!$A$5:$A$104,0))*(1+IF($G215="Y",Settings!$B$8,0))+IF($H215="Y",Settings!$B$7,0)+N($I215),IF($D215="Deep clean",INDEX(Settings!$E$22:$E$26,MATCH(MIN(INDEX(Properties!$E$5:$E$104,MATCH($B215,Properties!$A$5:$A$104,0)),4),Settings!$A$22:$A$26,0))+N($I215),IF($D215="Late cancel",INDEX(Properties!$I$5:$I$104,MATCH($B215,Properties!$A$5:$A$104,0))*Settings!$B$10,0))),0))</f>
        <v/>
      </c>
      <c r="O215" s="28" t="str">
        <f aca="false">IF($B215="","",IFERROR(IF($D215="Completed",INDEX(Properties!$L$5:$L$104,MATCH($B215,Properties!$A$5:$A$104,0))+IF($G215="Y",INDEX(Properties!$I$5:$I$104,MATCH($B215,Properties!$A$5:$A$104,0))*Settings!$B$8*Settings!$B$9,0)+IF($H215="Y",Settings!$B$7*Settings!$B$9,0)+N($I215)*Settings!$B$9,IF($D215="Deep clean",INDEX(Settings!$E$22:$E$26,MATCH(MIN(INDEX(Properties!$E$5:$E$104,MATCH($B215,Properties!$A$5:$A$104,0)),4),Settings!$A$22:$A$26,0))*Settings!$B$19+N($I215)*Settings!$B$9,IF($D215="Late cancel",INDEX(Properties!$L$5:$L$104,MATCH($B215,Properties!$A$5:$A$104,0))*Settings!$B$11,0))),0))</f>
        <v/>
      </c>
      <c r="P215" s="28" t="str">
        <f aca="false">IF($B215="","",$N215-$O215)</f>
        <v/>
      </c>
      <c r="Q215" s="29" t="str">
        <f aca="false">IF($A215="","",DATE(YEAR($A215),MONTH($A215),1))</f>
        <v/>
      </c>
      <c r="R215" s="30" t="str">
        <f aca="false">IF($A215="","",$A215+MOD(6-WEEKDAY($A215),7))</f>
        <v/>
      </c>
      <c r="S215" s="31" t="str">
        <f aca="false">IF($B215="","",IF(AND($M215='Invoice Builder'!$C$5,$Q215='Invoice Builder'!$C$6,N($N215)&gt;0),COUNTIFS($M$5:$M215,'Invoice Builder'!$C$5,$Q$5:$Q215,'Invoice Builder'!$C$6,$N$5:$N215,"&gt;0"),""))</f>
        <v/>
      </c>
      <c r="T215" s="27" t="str">
        <f aca="false">IF($A215="","",IF($A215&gt;=DATE(YEAR($A215),4,6),YEAR($A215)&amp;"/"&amp;RIGHT(YEAR($A215)+1,2),YEAR($A215)-1&amp;"/"&amp;RIGHT(YEAR($A215),2)))</f>
        <v/>
      </c>
    </row>
    <row r="216" customFormat="false" ht="15" hidden="false" customHeight="false" outlineLevel="0" collapsed="false">
      <c r="A216" s="22"/>
      <c r="B216" s="23"/>
      <c r="C216" s="23"/>
      <c r="D216" s="23"/>
      <c r="E216" s="24"/>
      <c r="F216" s="24"/>
      <c r="G216" s="23"/>
      <c r="H216" s="23"/>
      <c r="I216" s="25"/>
      <c r="J216" s="23"/>
      <c r="K216" s="23"/>
      <c r="L216" s="26" t="str">
        <f aca="false">IF(OR($E216="",$F216=""),"",MOD($F216-$E216,1)*24)</f>
        <v/>
      </c>
      <c r="M216" s="27" t="str">
        <f aca="false">IF($B216="","",IFERROR(INDEX(Properties!$D$5:$D$104,MATCH($B216,Properties!$A$5:$A$104,0)),"?"))</f>
        <v/>
      </c>
      <c r="N216" s="28" t="str">
        <f aca="false">IF($B216="","",IFERROR(IF($D216="Completed",INDEX(Properties!$I$5:$I$104,MATCH($B216,Properties!$A$5:$A$104,0))*(1+IF($G216="Y",Settings!$B$8,0))+IF($H216="Y",Settings!$B$7,0)+N($I216),IF($D216="Deep clean",INDEX(Settings!$E$22:$E$26,MATCH(MIN(INDEX(Properties!$E$5:$E$104,MATCH($B216,Properties!$A$5:$A$104,0)),4),Settings!$A$22:$A$26,0))+N($I216),IF($D216="Late cancel",INDEX(Properties!$I$5:$I$104,MATCH($B216,Properties!$A$5:$A$104,0))*Settings!$B$10,0))),0))</f>
        <v/>
      </c>
      <c r="O216" s="28" t="str">
        <f aca="false">IF($B216="","",IFERROR(IF($D216="Completed",INDEX(Properties!$L$5:$L$104,MATCH($B216,Properties!$A$5:$A$104,0))+IF($G216="Y",INDEX(Properties!$I$5:$I$104,MATCH($B216,Properties!$A$5:$A$104,0))*Settings!$B$8*Settings!$B$9,0)+IF($H216="Y",Settings!$B$7*Settings!$B$9,0)+N($I216)*Settings!$B$9,IF($D216="Deep clean",INDEX(Settings!$E$22:$E$26,MATCH(MIN(INDEX(Properties!$E$5:$E$104,MATCH($B216,Properties!$A$5:$A$104,0)),4),Settings!$A$22:$A$26,0))*Settings!$B$19+N($I216)*Settings!$B$9,IF($D216="Late cancel",INDEX(Properties!$L$5:$L$104,MATCH($B216,Properties!$A$5:$A$104,0))*Settings!$B$11,0))),0))</f>
        <v/>
      </c>
      <c r="P216" s="28" t="str">
        <f aca="false">IF($B216="","",$N216-$O216)</f>
        <v/>
      </c>
      <c r="Q216" s="29" t="str">
        <f aca="false">IF($A216="","",DATE(YEAR($A216),MONTH($A216),1))</f>
        <v/>
      </c>
      <c r="R216" s="30" t="str">
        <f aca="false">IF($A216="","",$A216+MOD(6-WEEKDAY($A216),7))</f>
        <v/>
      </c>
      <c r="S216" s="31" t="str">
        <f aca="false">IF($B216="","",IF(AND($M216='Invoice Builder'!$C$5,$Q216='Invoice Builder'!$C$6,N($N216)&gt;0),COUNTIFS($M$5:$M216,'Invoice Builder'!$C$5,$Q$5:$Q216,'Invoice Builder'!$C$6,$N$5:$N216,"&gt;0"),""))</f>
        <v/>
      </c>
      <c r="T216" s="27" t="str">
        <f aca="false">IF($A216="","",IF($A216&gt;=DATE(YEAR($A216),4,6),YEAR($A216)&amp;"/"&amp;RIGHT(YEAR($A216)+1,2),YEAR($A216)-1&amp;"/"&amp;RIGHT(YEAR($A216),2)))</f>
        <v/>
      </c>
    </row>
    <row r="217" customFormat="false" ht="15" hidden="false" customHeight="false" outlineLevel="0" collapsed="false">
      <c r="A217" s="22"/>
      <c r="B217" s="23"/>
      <c r="C217" s="23"/>
      <c r="D217" s="23"/>
      <c r="E217" s="24"/>
      <c r="F217" s="24"/>
      <c r="G217" s="23"/>
      <c r="H217" s="23"/>
      <c r="I217" s="25"/>
      <c r="J217" s="23"/>
      <c r="K217" s="23"/>
      <c r="L217" s="26" t="str">
        <f aca="false">IF(OR($E217="",$F217=""),"",MOD($F217-$E217,1)*24)</f>
        <v/>
      </c>
      <c r="M217" s="27" t="str">
        <f aca="false">IF($B217="","",IFERROR(INDEX(Properties!$D$5:$D$104,MATCH($B217,Properties!$A$5:$A$104,0)),"?"))</f>
        <v/>
      </c>
      <c r="N217" s="28" t="str">
        <f aca="false">IF($B217="","",IFERROR(IF($D217="Completed",INDEX(Properties!$I$5:$I$104,MATCH($B217,Properties!$A$5:$A$104,0))*(1+IF($G217="Y",Settings!$B$8,0))+IF($H217="Y",Settings!$B$7,0)+N($I217),IF($D217="Deep clean",INDEX(Settings!$E$22:$E$26,MATCH(MIN(INDEX(Properties!$E$5:$E$104,MATCH($B217,Properties!$A$5:$A$104,0)),4),Settings!$A$22:$A$26,0))+N($I217),IF($D217="Late cancel",INDEX(Properties!$I$5:$I$104,MATCH($B217,Properties!$A$5:$A$104,0))*Settings!$B$10,0))),0))</f>
        <v/>
      </c>
      <c r="O217" s="28" t="str">
        <f aca="false">IF($B217="","",IFERROR(IF($D217="Completed",INDEX(Properties!$L$5:$L$104,MATCH($B217,Properties!$A$5:$A$104,0))+IF($G217="Y",INDEX(Properties!$I$5:$I$104,MATCH($B217,Properties!$A$5:$A$104,0))*Settings!$B$8*Settings!$B$9,0)+IF($H217="Y",Settings!$B$7*Settings!$B$9,0)+N($I217)*Settings!$B$9,IF($D217="Deep clean",INDEX(Settings!$E$22:$E$26,MATCH(MIN(INDEX(Properties!$E$5:$E$104,MATCH($B217,Properties!$A$5:$A$104,0)),4),Settings!$A$22:$A$26,0))*Settings!$B$19+N($I217)*Settings!$B$9,IF($D217="Late cancel",INDEX(Properties!$L$5:$L$104,MATCH($B217,Properties!$A$5:$A$104,0))*Settings!$B$11,0))),0))</f>
        <v/>
      </c>
      <c r="P217" s="28" t="str">
        <f aca="false">IF($B217="","",$N217-$O217)</f>
        <v/>
      </c>
      <c r="Q217" s="29" t="str">
        <f aca="false">IF($A217="","",DATE(YEAR($A217),MONTH($A217),1))</f>
        <v/>
      </c>
      <c r="R217" s="30" t="str">
        <f aca="false">IF($A217="","",$A217+MOD(6-WEEKDAY($A217),7))</f>
        <v/>
      </c>
      <c r="S217" s="31" t="str">
        <f aca="false">IF($B217="","",IF(AND($M217='Invoice Builder'!$C$5,$Q217='Invoice Builder'!$C$6,N($N217)&gt;0),COUNTIFS($M$5:$M217,'Invoice Builder'!$C$5,$Q$5:$Q217,'Invoice Builder'!$C$6,$N$5:$N217,"&gt;0"),""))</f>
        <v/>
      </c>
      <c r="T217" s="27" t="str">
        <f aca="false">IF($A217="","",IF($A217&gt;=DATE(YEAR($A217),4,6),YEAR($A217)&amp;"/"&amp;RIGHT(YEAR($A217)+1,2),YEAR($A217)-1&amp;"/"&amp;RIGHT(YEAR($A217),2)))</f>
        <v/>
      </c>
    </row>
    <row r="218" customFormat="false" ht="15" hidden="false" customHeight="false" outlineLevel="0" collapsed="false">
      <c r="A218" s="22"/>
      <c r="B218" s="23"/>
      <c r="C218" s="23"/>
      <c r="D218" s="23"/>
      <c r="E218" s="24"/>
      <c r="F218" s="24"/>
      <c r="G218" s="23"/>
      <c r="H218" s="23"/>
      <c r="I218" s="25"/>
      <c r="J218" s="23"/>
      <c r="K218" s="23"/>
      <c r="L218" s="26" t="str">
        <f aca="false">IF(OR($E218="",$F218=""),"",MOD($F218-$E218,1)*24)</f>
        <v/>
      </c>
      <c r="M218" s="27" t="str">
        <f aca="false">IF($B218="","",IFERROR(INDEX(Properties!$D$5:$D$104,MATCH($B218,Properties!$A$5:$A$104,0)),"?"))</f>
        <v/>
      </c>
      <c r="N218" s="28" t="str">
        <f aca="false">IF($B218="","",IFERROR(IF($D218="Completed",INDEX(Properties!$I$5:$I$104,MATCH($B218,Properties!$A$5:$A$104,0))*(1+IF($G218="Y",Settings!$B$8,0))+IF($H218="Y",Settings!$B$7,0)+N($I218),IF($D218="Deep clean",INDEX(Settings!$E$22:$E$26,MATCH(MIN(INDEX(Properties!$E$5:$E$104,MATCH($B218,Properties!$A$5:$A$104,0)),4),Settings!$A$22:$A$26,0))+N($I218),IF($D218="Late cancel",INDEX(Properties!$I$5:$I$104,MATCH($B218,Properties!$A$5:$A$104,0))*Settings!$B$10,0))),0))</f>
        <v/>
      </c>
      <c r="O218" s="28" t="str">
        <f aca="false">IF($B218="","",IFERROR(IF($D218="Completed",INDEX(Properties!$L$5:$L$104,MATCH($B218,Properties!$A$5:$A$104,0))+IF($G218="Y",INDEX(Properties!$I$5:$I$104,MATCH($B218,Properties!$A$5:$A$104,0))*Settings!$B$8*Settings!$B$9,0)+IF($H218="Y",Settings!$B$7*Settings!$B$9,0)+N($I218)*Settings!$B$9,IF($D218="Deep clean",INDEX(Settings!$E$22:$E$26,MATCH(MIN(INDEX(Properties!$E$5:$E$104,MATCH($B218,Properties!$A$5:$A$104,0)),4),Settings!$A$22:$A$26,0))*Settings!$B$19+N($I218)*Settings!$B$9,IF($D218="Late cancel",INDEX(Properties!$L$5:$L$104,MATCH($B218,Properties!$A$5:$A$104,0))*Settings!$B$11,0))),0))</f>
        <v/>
      </c>
      <c r="P218" s="28" t="str">
        <f aca="false">IF($B218="","",$N218-$O218)</f>
        <v/>
      </c>
      <c r="Q218" s="29" t="str">
        <f aca="false">IF($A218="","",DATE(YEAR($A218),MONTH($A218),1))</f>
        <v/>
      </c>
      <c r="R218" s="30" t="str">
        <f aca="false">IF($A218="","",$A218+MOD(6-WEEKDAY($A218),7))</f>
        <v/>
      </c>
      <c r="S218" s="31" t="str">
        <f aca="false">IF($B218="","",IF(AND($M218='Invoice Builder'!$C$5,$Q218='Invoice Builder'!$C$6,N($N218)&gt;0),COUNTIFS($M$5:$M218,'Invoice Builder'!$C$5,$Q$5:$Q218,'Invoice Builder'!$C$6,$N$5:$N218,"&gt;0"),""))</f>
        <v/>
      </c>
      <c r="T218" s="27" t="str">
        <f aca="false">IF($A218="","",IF($A218&gt;=DATE(YEAR($A218),4,6),YEAR($A218)&amp;"/"&amp;RIGHT(YEAR($A218)+1,2),YEAR($A218)-1&amp;"/"&amp;RIGHT(YEAR($A218),2)))</f>
        <v/>
      </c>
    </row>
    <row r="219" customFormat="false" ht="15" hidden="false" customHeight="false" outlineLevel="0" collapsed="false">
      <c r="A219" s="22"/>
      <c r="B219" s="23"/>
      <c r="C219" s="23"/>
      <c r="D219" s="23"/>
      <c r="E219" s="24"/>
      <c r="F219" s="24"/>
      <c r="G219" s="23"/>
      <c r="H219" s="23"/>
      <c r="I219" s="25"/>
      <c r="J219" s="23"/>
      <c r="K219" s="23"/>
      <c r="L219" s="26" t="str">
        <f aca="false">IF(OR($E219="",$F219=""),"",MOD($F219-$E219,1)*24)</f>
        <v/>
      </c>
      <c r="M219" s="27" t="str">
        <f aca="false">IF($B219="","",IFERROR(INDEX(Properties!$D$5:$D$104,MATCH($B219,Properties!$A$5:$A$104,0)),"?"))</f>
        <v/>
      </c>
      <c r="N219" s="28" t="str">
        <f aca="false">IF($B219="","",IFERROR(IF($D219="Completed",INDEX(Properties!$I$5:$I$104,MATCH($B219,Properties!$A$5:$A$104,0))*(1+IF($G219="Y",Settings!$B$8,0))+IF($H219="Y",Settings!$B$7,0)+N($I219),IF($D219="Deep clean",INDEX(Settings!$E$22:$E$26,MATCH(MIN(INDEX(Properties!$E$5:$E$104,MATCH($B219,Properties!$A$5:$A$104,0)),4),Settings!$A$22:$A$26,0))+N($I219),IF($D219="Late cancel",INDEX(Properties!$I$5:$I$104,MATCH($B219,Properties!$A$5:$A$104,0))*Settings!$B$10,0))),0))</f>
        <v/>
      </c>
      <c r="O219" s="28" t="str">
        <f aca="false">IF($B219="","",IFERROR(IF($D219="Completed",INDEX(Properties!$L$5:$L$104,MATCH($B219,Properties!$A$5:$A$104,0))+IF($G219="Y",INDEX(Properties!$I$5:$I$104,MATCH($B219,Properties!$A$5:$A$104,0))*Settings!$B$8*Settings!$B$9,0)+IF($H219="Y",Settings!$B$7*Settings!$B$9,0)+N($I219)*Settings!$B$9,IF($D219="Deep clean",INDEX(Settings!$E$22:$E$26,MATCH(MIN(INDEX(Properties!$E$5:$E$104,MATCH($B219,Properties!$A$5:$A$104,0)),4),Settings!$A$22:$A$26,0))*Settings!$B$19+N($I219)*Settings!$B$9,IF($D219="Late cancel",INDEX(Properties!$L$5:$L$104,MATCH($B219,Properties!$A$5:$A$104,0))*Settings!$B$11,0))),0))</f>
        <v/>
      </c>
      <c r="P219" s="28" t="str">
        <f aca="false">IF($B219="","",$N219-$O219)</f>
        <v/>
      </c>
      <c r="Q219" s="29" t="str">
        <f aca="false">IF($A219="","",DATE(YEAR($A219),MONTH($A219),1))</f>
        <v/>
      </c>
      <c r="R219" s="30" t="str">
        <f aca="false">IF($A219="","",$A219+MOD(6-WEEKDAY($A219),7))</f>
        <v/>
      </c>
      <c r="S219" s="31" t="str">
        <f aca="false">IF($B219="","",IF(AND($M219='Invoice Builder'!$C$5,$Q219='Invoice Builder'!$C$6,N($N219)&gt;0),COUNTIFS($M$5:$M219,'Invoice Builder'!$C$5,$Q$5:$Q219,'Invoice Builder'!$C$6,$N$5:$N219,"&gt;0"),""))</f>
        <v/>
      </c>
      <c r="T219" s="27" t="str">
        <f aca="false">IF($A219="","",IF($A219&gt;=DATE(YEAR($A219),4,6),YEAR($A219)&amp;"/"&amp;RIGHT(YEAR($A219)+1,2),YEAR($A219)-1&amp;"/"&amp;RIGHT(YEAR($A219),2)))</f>
        <v/>
      </c>
    </row>
    <row r="220" customFormat="false" ht="15" hidden="false" customHeight="false" outlineLevel="0" collapsed="false">
      <c r="A220" s="22"/>
      <c r="B220" s="23"/>
      <c r="C220" s="23"/>
      <c r="D220" s="23"/>
      <c r="E220" s="24"/>
      <c r="F220" s="24"/>
      <c r="G220" s="23"/>
      <c r="H220" s="23"/>
      <c r="I220" s="25"/>
      <c r="J220" s="23"/>
      <c r="K220" s="23"/>
      <c r="L220" s="26" t="str">
        <f aca="false">IF(OR($E220="",$F220=""),"",MOD($F220-$E220,1)*24)</f>
        <v/>
      </c>
      <c r="M220" s="27" t="str">
        <f aca="false">IF($B220="","",IFERROR(INDEX(Properties!$D$5:$D$104,MATCH($B220,Properties!$A$5:$A$104,0)),"?"))</f>
        <v/>
      </c>
      <c r="N220" s="28" t="str">
        <f aca="false">IF($B220="","",IFERROR(IF($D220="Completed",INDEX(Properties!$I$5:$I$104,MATCH($B220,Properties!$A$5:$A$104,0))*(1+IF($G220="Y",Settings!$B$8,0))+IF($H220="Y",Settings!$B$7,0)+N($I220),IF($D220="Deep clean",INDEX(Settings!$E$22:$E$26,MATCH(MIN(INDEX(Properties!$E$5:$E$104,MATCH($B220,Properties!$A$5:$A$104,0)),4),Settings!$A$22:$A$26,0))+N($I220),IF($D220="Late cancel",INDEX(Properties!$I$5:$I$104,MATCH($B220,Properties!$A$5:$A$104,0))*Settings!$B$10,0))),0))</f>
        <v/>
      </c>
      <c r="O220" s="28" t="str">
        <f aca="false">IF($B220="","",IFERROR(IF($D220="Completed",INDEX(Properties!$L$5:$L$104,MATCH($B220,Properties!$A$5:$A$104,0))+IF($G220="Y",INDEX(Properties!$I$5:$I$104,MATCH($B220,Properties!$A$5:$A$104,0))*Settings!$B$8*Settings!$B$9,0)+IF($H220="Y",Settings!$B$7*Settings!$B$9,0)+N($I220)*Settings!$B$9,IF($D220="Deep clean",INDEX(Settings!$E$22:$E$26,MATCH(MIN(INDEX(Properties!$E$5:$E$104,MATCH($B220,Properties!$A$5:$A$104,0)),4),Settings!$A$22:$A$26,0))*Settings!$B$19+N($I220)*Settings!$B$9,IF($D220="Late cancel",INDEX(Properties!$L$5:$L$104,MATCH($B220,Properties!$A$5:$A$104,0))*Settings!$B$11,0))),0))</f>
        <v/>
      </c>
      <c r="P220" s="28" t="str">
        <f aca="false">IF($B220="","",$N220-$O220)</f>
        <v/>
      </c>
      <c r="Q220" s="29" t="str">
        <f aca="false">IF($A220="","",DATE(YEAR($A220),MONTH($A220),1))</f>
        <v/>
      </c>
      <c r="R220" s="30" t="str">
        <f aca="false">IF($A220="","",$A220+MOD(6-WEEKDAY($A220),7))</f>
        <v/>
      </c>
      <c r="S220" s="31" t="str">
        <f aca="false">IF($B220="","",IF(AND($M220='Invoice Builder'!$C$5,$Q220='Invoice Builder'!$C$6,N($N220)&gt;0),COUNTIFS($M$5:$M220,'Invoice Builder'!$C$5,$Q$5:$Q220,'Invoice Builder'!$C$6,$N$5:$N220,"&gt;0"),""))</f>
        <v/>
      </c>
      <c r="T220" s="27" t="str">
        <f aca="false">IF($A220="","",IF($A220&gt;=DATE(YEAR($A220),4,6),YEAR($A220)&amp;"/"&amp;RIGHT(YEAR($A220)+1,2),YEAR($A220)-1&amp;"/"&amp;RIGHT(YEAR($A220),2)))</f>
        <v/>
      </c>
    </row>
    <row r="221" customFormat="false" ht="15" hidden="false" customHeight="false" outlineLevel="0" collapsed="false">
      <c r="A221" s="22"/>
      <c r="B221" s="23"/>
      <c r="C221" s="23"/>
      <c r="D221" s="23"/>
      <c r="E221" s="24"/>
      <c r="F221" s="24"/>
      <c r="G221" s="23"/>
      <c r="H221" s="23"/>
      <c r="I221" s="25"/>
      <c r="J221" s="23"/>
      <c r="K221" s="23"/>
      <c r="L221" s="26" t="str">
        <f aca="false">IF(OR($E221="",$F221=""),"",MOD($F221-$E221,1)*24)</f>
        <v/>
      </c>
      <c r="M221" s="27" t="str">
        <f aca="false">IF($B221="","",IFERROR(INDEX(Properties!$D$5:$D$104,MATCH($B221,Properties!$A$5:$A$104,0)),"?"))</f>
        <v/>
      </c>
      <c r="N221" s="28" t="str">
        <f aca="false">IF($B221="","",IFERROR(IF($D221="Completed",INDEX(Properties!$I$5:$I$104,MATCH($B221,Properties!$A$5:$A$104,0))*(1+IF($G221="Y",Settings!$B$8,0))+IF($H221="Y",Settings!$B$7,0)+N($I221),IF($D221="Deep clean",INDEX(Settings!$E$22:$E$26,MATCH(MIN(INDEX(Properties!$E$5:$E$104,MATCH($B221,Properties!$A$5:$A$104,0)),4),Settings!$A$22:$A$26,0))+N($I221),IF($D221="Late cancel",INDEX(Properties!$I$5:$I$104,MATCH($B221,Properties!$A$5:$A$104,0))*Settings!$B$10,0))),0))</f>
        <v/>
      </c>
      <c r="O221" s="28" t="str">
        <f aca="false">IF($B221="","",IFERROR(IF($D221="Completed",INDEX(Properties!$L$5:$L$104,MATCH($B221,Properties!$A$5:$A$104,0))+IF($G221="Y",INDEX(Properties!$I$5:$I$104,MATCH($B221,Properties!$A$5:$A$104,0))*Settings!$B$8*Settings!$B$9,0)+IF($H221="Y",Settings!$B$7*Settings!$B$9,0)+N($I221)*Settings!$B$9,IF($D221="Deep clean",INDEX(Settings!$E$22:$E$26,MATCH(MIN(INDEX(Properties!$E$5:$E$104,MATCH($B221,Properties!$A$5:$A$104,0)),4),Settings!$A$22:$A$26,0))*Settings!$B$19+N($I221)*Settings!$B$9,IF($D221="Late cancel",INDEX(Properties!$L$5:$L$104,MATCH($B221,Properties!$A$5:$A$104,0))*Settings!$B$11,0))),0))</f>
        <v/>
      </c>
      <c r="P221" s="28" t="str">
        <f aca="false">IF($B221="","",$N221-$O221)</f>
        <v/>
      </c>
      <c r="Q221" s="29" t="str">
        <f aca="false">IF($A221="","",DATE(YEAR($A221),MONTH($A221),1))</f>
        <v/>
      </c>
      <c r="R221" s="30" t="str">
        <f aca="false">IF($A221="","",$A221+MOD(6-WEEKDAY($A221),7))</f>
        <v/>
      </c>
      <c r="S221" s="31" t="str">
        <f aca="false">IF($B221="","",IF(AND($M221='Invoice Builder'!$C$5,$Q221='Invoice Builder'!$C$6,N($N221)&gt;0),COUNTIFS($M$5:$M221,'Invoice Builder'!$C$5,$Q$5:$Q221,'Invoice Builder'!$C$6,$N$5:$N221,"&gt;0"),""))</f>
        <v/>
      </c>
      <c r="T221" s="27" t="str">
        <f aca="false">IF($A221="","",IF($A221&gt;=DATE(YEAR($A221),4,6),YEAR($A221)&amp;"/"&amp;RIGHT(YEAR($A221)+1,2),YEAR($A221)-1&amp;"/"&amp;RIGHT(YEAR($A221),2)))</f>
        <v/>
      </c>
    </row>
    <row r="222" customFormat="false" ht="15" hidden="false" customHeight="false" outlineLevel="0" collapsed="false">
      <c r="A222" s="22"/>
      <c r="B222" s="23"/>
      <c r="C222" s="23"/>
      <c r="D222" s="23"/>
      <c r="E222" s="24"/>
      <c r="F222" s="24"/>
      <c r="G222" s="23"/>
      <c r="H222" s="23"/>
      <c r="I222" s="25"/>
      <c r="J222" s="23"/>
      <c r="K222" s="23"/>
      <c r="L222" s="26" t="str">
        <f aca="false">IF(OR($E222="",$F222=""),"",MOD($F222-$E222,1)*24)</f>
        <v/>
      </c>
      <c r="M222" s="27" t="str">
        <f aca="false">IF($B222="","",IFERROR(INDEX(Properties!$D$5:$D$104,MATCH($B222,Properties!$A$5:$A$104,0)),"?"))</f>
        <v/>
      </c>
      <c r="N222" s="28" t="str">
        <f aca="false">IF($B222="","",IFERROR(IF($D222="Completed",INDEX(Properties!$I$5:$I$104,MATCH($B222,Properties!$A$5:$A$104,0))*(1+IF($G222="Y",Settings!$B$8,0))+IF($H222="Y",Settings!$B$7,0)+N($I222),IF($D222="Deep clean",INDEX(Settings!$E$22:$E$26,MATCH(MIN(INDEX(Properties!$E$5:$E$104,MATCH($B222,Properties!$A$5:$A$104,0)),4),Settings!$A$22:$A$26,0))+N($I222),IF($D222="Late cancel",INDEX(Properties!$I$5:$I$104,MATCH($B222,Properties!$A$5:$A$104,0))*Settings!$B$10,0))),0))</f>
        <v/>
      </c>
      <c r="O222" s="28" t="str">
        <f aca="false">IF($B222="","",IFERROR(IF($D222="Completed",INDEX(Properties!$L$5:$L$104,MATCH($B222,Properties!$A$5:$A$104,0))+IF($G222="Y",INDEX(Properties!$I$5:$I$104,MATCH($B222,Properties!$A$5:$A$104,0))*Settings!$B$8*Settings!$B$9,0)+IF($H222="Y",Settings!$B$7*Settings!$B$9,0)+N($I222)*Settings!$B$9,IF($D222="Deep clean",INDEX(Settings!$E$22:$E$26,MATCH(MIN(INDEX(Properties!$E$5:$E$104,MATCH($B222,Properties!$A$5:$A$104,0)),4),Settings!$A$22:$A$26,0))*Settings!$B$19+N($I222)*Settings!$B$9,IF($D222="Late cancel",INDEX(Properties!$L$5:$L$104,MATCH($B222,Properties!$A$5:$A$104,0))*Settings!$B$11,0))),0))</f>
        <v/>
      </c>
      <c r="P222" s="28" t="str">
        <f aca="false">IF($B222="","",$N222-$O222)</f>
        <v/>
      </c>
      <c r="Q222" s="29" t="str">
        <f aca="false">IF($A222="","",DATE(YEAR($A222),MONTH($A222),1))</f>
        <v/>
      </c>
      <c r="R222" s="30" t="str">
        <f aca="false">IF($A222="","",$A222+MOD(6-WEEKDAY($A222),7))</f>
        <v/>
      </c>
      <c r="S222" s="31" t="str">
        <f aca="false">IF($B222="","",IF(AND($M222='Invoice Builder'!$C$5,$Q222='Invoice Builder'!$C$6,N($N222)&gt;0),COUNTIFS($M$5:$M222,'Invoice Builder'!$C$5,$Q$5:$Q222,'Invoice Builder'!$C$6,$N$5:$N222,"&gt;0"),""))</f>
        <v/>
      </c>
      <c r="T222" s="27" t="str">
        <f aca="false">IF($A222="","",IF($A222&gt;=DATE(YEAR($A222),4,6),YEAR($A222)&amp;"/"&amp;RIGHT(YEAR($A222)+1,2),YEAR($A222)-1&amp;"/"&amp;RIGHT(YEAR($A222),2)))</f>
        <v/>
      </c>
    </row>
    <row r="223" customFormat="false" ht="15" hidden="false" customHeight="false" outlineLevel="0" collapsed="false">
      <c r="A223" s="22"/>
      <c r="B223" s="23"/>
      <c r="C223" s="23"/>
      <c r="D223" s="23"/>
      <c r="E223" s="24"/>
      <c r="F223" s="24"/>
      <c r="G223" s="23"/>
      <c r="H223" s="23"/>
      <c r="I223" s="25"/>
      <c r="J223" s="23"/>
      <c r="K223" s="23"/>
      <c r="L223" s="26" t="str">
        <f aca="false">IF(OR($E223="",$F223=""),"",MOD($F223-$E223,1)*24)</f>
        <v/>
      </c>
      <c r="M223" s="27" t="str">
        <f aca="false">IF($B223="","",IFERROR(INDEX(Properties!$D$5:$D$104,MATCH($B223,Properties!$A$5:$A$104,0)),"?"))</f>
        <v/>
      </c>
      <c r="N223" s="28" t="str">
        <f aca="false">IF($B223="","",IFERROR(IF($D223="Completed",INDEX(Properties!$I$5:$I$104,MATCH($B223,Properties!$A$5:$A$104,0))*(1+IF($G223="Y",Settings!$B$8,0))+IF($H223="Y",Settings!$B$7,0)+N($I223),IF($D223="Deep clean",INDEX(Settings!$E$22:$E$26,MATCH(MIN(INDEX(Properties!$E$5:$E$104,MATCH($B223,Properties!$A$5:$A$104,0)),4),Settings!$A$22:$A$26,0))+N($I223),IF($D223="Late cancel",INDEX(Properties!$I$5:$I$104,MATCH($B223,Properties!$A$5:$A$104,0))*Settings!$B$10,0))),0))</f>
        <v/>
      </c>
      <c r="O223" s="28" t="str">
        <f aca="false">IF($B223="","",IFERROR(IF($D223="Completed",INDEX(Properties!$L$5:$L$104,MATCH($B223,Properties!$A$5:$A$104,0))+IF($G223="Y",INDEX(Properties!$I$5:$I$104,MATCH($B223,Properties!$A$5:$A$104,0))*Settings!$B$8*Settings!$B$9,0)+IF($H223="Y",Settings!$B$7*Settings!$B$9,0)+N($I223)*Settings!$B$9,IF($D223="Deep clean",INDEX(Settings!$E$22:$E$26,MATCH(MIN(INDEX(Properties!$E$5:$E$104,MATCH($B223,Properties!$A$5:$A$104,0)),4),Settings!$A$22:$A$26,0))*Settings!$B$19+N($I223)*Settings!$B$9,IF($D223="Late cancel",INDEX(Properties!$L$5:$L$104,MATCH($B223,Properties!$A$5:$A$104,0))*Settings!$B$11,0))),0))</f>
        <v/>
      </c>
      <c r="P223" s="28" t="str">
        <f aca="false">IF($B223="","",$N223-$O223)</f>
        <v/>
      </c>
      <c r="Q223" s="29" t="str">
        <f aca="false">IF($A223="","",DATE(YEAR($A223),MONTH($A223),1))</f>
        <v/>
      </c>
      <c r="R223" s="30" t="str">
        <f aca="false">IF($A223="","",$A223+MOD(6-WEEKDAY($A223),7))</f>
        <v/>
      </c>
      <c r="S223" s="31" t="str">
        <f aca="false">IF($B223="","",IF(AND($M223='Invoice Builder'!$C$5,$Q223='Invoice Builder'!$C$6,N($N223)&gt;0),COUNTIFS($M$5:$M223,'Invoice Builder'!$C$5,$Q$5:$Q223,'Invoice Builder'!$C$6,$N$5:$N223,"&gt;0"),""))</f>
        <v/>
      </c>
      <c r="T223" s="27" t="str">
        <f aca="false">IF($A223="","",IF($A223&gt;=DATE(YEAR($A223),4,6),YEAR($A223)&amp;"/"&amp;RIGHT(YEAR($A223)+1,2),YEAR($A223)-1&amp;"/"&amp;RIGHT(YEAR($A223),2)))</f>
        <v/>
      </c>
    </row>
    <row r="224" customFormat="false" ht="15" hidden="false" customHeight="false" outlineLevel="0" collapsed="false">
      <c r="A224" s="22"/>
      <c r="B224" s="23"/>
      <c r="C224" s="23"/>
      <c r="D224" s="23"/>
      <c r="E224" s="24"/>
      <c r="F224" s="24"/>
      <c r="G224" s="23"/>
      <c r="H224" s="23"/>
      <c r="I224" s="25"/>
      <c r="J224" s="23"/>
      <c r="K224" s="23"/>
      <c r="L224" s="26" t="str">
        <f aca="false">IF(OR($E224="",$F224=""),"",MOD($F224-$E224,1)*24)</f>
        <v/>
      </c>
      <c r="M224" s="27" t="str">
        <f aca="false">IF($B224="","",IFERROR(INDEX(Properties!$D$5:$D$104,MATCH($B224,Properties!$A$5:$A$104,0)),"?"))</f>
        <v/>
      </c>
      <c r="N224" s="28" t="str">
        <f aca="false">IF($B224="","",IFERROR(IF($D224="Completed",INDEX(Properties!$I$5:$I$104,MATCH($B224,Properties!$A$5:$A$104,0))*(1+IF($G224="Y",Settings!$B$8,0))+IF($H224="Y",Settings!$B$7,0)+N($I224),IF($D224="Deep clean",INDEX(Settings!$E$22:$E$26,MATCH(MIN(INDEX(Properties!$E$5:$E$104,MATCH($B224,Properties!$A$5:$A$104,0)),4),Settings!$A$22:$A$26,0))+N($I224),IF($D224="Late cancel",INDEX(Properties!$I$5:$I$104,MATCH($B224,Properties!$A$5:$A$104,0))*Settings!$B$10,0))),0))</f>
        <v/>
      </c>
      <c r="O224" s="28" t="str">
        <f aca="false">IF($B224="","",IFERROR(IF($D224="Completed",INDEX(Properties!$L$5:$L$104,MATCH($B224,Properties!$A$5:$A$104,0))+IF($G224="Y",INDEX(Properties!$I$5:$I$104,MATCH($B224,Properties!$A$5:$A$104,0))*Settings!$B$8*Settings!$B$9,0)+IF($H224="Y",Settings!$B$7*Settings!$B$9,0)+N($I224)*Settings!$B$9,IF($D224="Deep clean",INDEX(Settings!$E$22:$E$26,MATCH(MIN(INDEX(Properties!$E$5:$E$104,MATCH($B224,Properties!$A$5:$A$104,0)),4),Settings!$A$22:$A$26,0))*Settings!$B$19+N($I224)*Settings!$B$9,IF($D224="Late cancel",INDEX(Properties!$L$5:$L$104,MATCH($B224,Properties!$A$5:$A$104,0))*Settings!$B$11,0))),0))</f>
        <v/>
      </c>
      <c r="P224" s="28" t="str">
        <f aca="false">IF($B224="","",$N224-$O224)</f>
        <v/>
      </c>
      <c r="Q224" s="29" t="str">
        <f aca="false">IF($A224="","",DATE(YEAR($A224),MONTH($A224),1))</f>
        <v/>
      </c>
      <c r="R224" s="30" t="str">
        <f aca="false">IF($A224="","",$A224+MOD(6-WEEKDAY($A224),7))</f>
        <v/>
      </c>
      <c r="S224" s="31" t="str">
        <f aca="false">IF($B224="","",IF(AND($M224='Invoice Builder'!$C$5,$Q224='Invoice Builder'!$C$6,N($N224)&gt;0),COUNTIFS($M$5:$M224,'Invoice Builder'!$C$5,$Q$5:$Q224,'Invoice Builder'!$C$6,$N$5:$N224,"&gt;0"),""))</f>
        <v/>
      </c>
      <c r="T224" s="27" t="str">
        <f aca="false">IF($A224="","",IF($A224&gt;=DATE(YEAR($A224),4,6),YEAR($A224)&amp;"/"&amp;RIGHT(YEAR($A224)+1,2),YEAR($A224)-1&amp;"/"&amp;RIGHT(YEAR($A224),2)))</f>
        <v/>
      </c>
    </row>
    <row r="225" customFormat="false" ht="15" hidden="false" customHeight="false" outlineLevel="0" collapsed="false">
      <c r="A225" s="22"/>
      <c r="B225" s="23"/>
      <c r="C225" s="23"/>
      <c r="D225" s="23"/>
      <c r="E225" s="24"/>
      <c r="F225" s="24"/>
      <c r="G225" s="23"/>
      <c r="H225" s="23"/>
      <c r="I225" s="25"/>
      <c r="J225" s="23"/>
      <c r="K225" s="23"/>
      <c r="L225" s="26" t="str">
        <f aca="false">IF(OR($E225="",$F225=""),"",MOD($F225-$E225,1)*24)</f>
        <v/>
      </c>
      <c r="M225" s="27" t="str">
        <f aca="false">IF($B225="","",IFERROR(INDEX(Properties!$D$5:$D$104,MATCH($B225,Properties!$A$5:$A$104,0)),"?"))</f>
        <v/>
      </c>
      <c r="N225" s="28" t="str">
        <f aca="false">IF($B225="","",IFERROR(IF($D225="Completed",INDEX(Properties!$I$5:$I$104,MATCH($B225,Properties!$A$5:$A$104,0))*(1+IF($G225="Y",Settings!$B$8,0))+IF($H225="Y",Settings!$B$7,0)+N($I225),IF($D225="Deep clean",INDEX(Settings!$E$22:$E$26,MATCH(MIN(INDEX(Properties!$E$5:$E$104,MATCH($B225,Properties!$A$5:$A$104,0)),4),Settings!$A$22:$A$26,0))+N($I225),IF($D225="Late cancel",INDEX(Properties!$I$5:$I$104,MATCH($B225,Properties!$A$5:$A$104,0))*Settings!$B$10,0))),0))</f>
        <v/>
      </c>
      <c r="O225" s="28" t="str">
        <f aca="false">IF($B225="","",IFERROR(IF($D225="Completed",INDEX(Properties!$L$5:$L$104,MATCH($B225,Properties!$A$5:$A$104,0))+IF($G225="Y",INDEX(Properties!$I$5:$I$104,MATCH($B225,Properties!$A$5:$A$104,0))*Settings!$B$8*Settings!$B$9,0)+IF($H225="Y",Settings!$B$7*Settings!$B$9,0)+N($I225)*Settings!$B$9,IF($D225="Deep clean",INDEX(Settings!$E$22:$E$26,MATCH(MIN(INDEX(Properties!$E$5:$E$104,MATCH($B225,Properties!$A$5:$A$104,0)),4),Settings!$A$22:$A$26,0))*Settings!$B$19+N($I225)*Settings!$B$9,IF($D225="Late cancel",INDEX(Properties!$L$5:$L$104,MATCH($B225,Properties!$A$5:$A$104,0))*Settings!$B$11,0))),0))</f>
        <v/>
      </c>
      <c r="P225" s="28" t="str">
        <f aca="false">IF($B225="","",$N225-$O225)</f>
        <v/>
      </c>
      <c r="Q225" s="29" t="str">
        <f aca="false">IF($A225="","",DATE(YEAR($A225),MONTH($A225),1))</f>
        <v/>
      </c>
      <c r="R225" s="30" t="str">
        <f aca="false">IF($A225="","",$A225+MOD(6-WEEKDAY($A225),7))</f>
        <v/>
      </c>
      <c r="S225" s="31" t="str">
        <f aca="false">IF($B225="","",IF(AND($M225='Invoice Builder'!$C$5,$Q225='Invoice Builder'!$C$6,N($N225)&gt;0),COUNTIFS($M$5:$M225,'Invoice Builder'!$C$5,$Q$5:$Q225,'Invoice Builder'!$C$6,$N$5:$N225,"&gt;0"),""))</f>
        <v/>
      </c>
      <c r="T225" s="27" t="str">
        <f aca="false">IF($A225="","",IF($A225&gt;=DATE(YEAR($A225),4,6),YEAR($A225)&amp;"/"&amp;RIGHT(YEAR($A225)+1,2),YEAR($A225)-1&amp;"/"&amp;RIGHT(YEAR($A225),2)))</f>
        <v/>
      </c>
    </row>
    <row r="226" customFormat="false" ht="15" hidden="false" customHeight="false" outlineLevel="0" collapsed="false">
      <c r="A226" s="22"/>
      <c r="B226" s="23"/>
      <c r="C226" s="23"/>
      <c r="D226" s="23"/>
      <c r="E226" s="24"/>
      <c r="F226" s="24"/>
      <c r="G226" s="23"/>
      <c r="H226" s="23"/>
      <c r="I226" s="25"/>
      <c r="J226" s="23"/>
      <c r="K226" s="23"/>
      <c r="L226" s="26" t="str">
        <f aca="false">IF(OR($E226="",$F226=""),"",MOD($F226-$E226,1)*24)</f>
        <v/>
      </c>
      <c r="M226" s="27" t="str">
        <f aca="false">IF($B226="","",IFERROR(INDEX(Properties!$D$5:$D$104,MATCH($B226,Properties!$A$5:$A$104,0)),"?"))</f>
        <v/>
      </c>
      <c r="N226" s="28" t="str">
        <f aca="false">IF($B226="","",IFERROR(IF($D226="Completed",INDEX(Properties!$I$5:$I$104,MATCH($B226,Properties!$A$5:$A$104,0))*(1+IF($G226="Y",Settings!$B$8,0))+IF($H226="Y",Settings!$B$7,0)+N($I226),IF($D226="Deep clean",INDEX(Settings!$E$22:$E$26,MATCH(MIN(INDEX(Properties!$E$5:$E$104,MATCH($B226,Properties!$A$5:$A$104,0)),4),Settings!$A$22:$A$26,0))+N($I226),IF($D226="Late cancel",INDEX(Properties!$I$5:$I$104,MATCH($B226,Properties!$A$5:$A$104,0))*Settings!$B$10,0))),0))</f>
        <v/>
      </c>
      <c r="O226" s="28" t="str">
        <f aca="false">IF($B226="","",IFERROR(IF($D226="Completed",INDEX(Properties!$L$5:$L$104,MATCH($B226,Properties!$A$5:$A$104,0))+IF($G226="Y",INDEX(Properties!$I$5:$I$104,MATCH($B226,Properties!$A$5:$A$104,0))*Settings!$B$8*Settings!$B$9,0)+IF($H226="Y",Settings!$B$7*Settings!$B$9,0)+N($I226)*Settings!$B$9,IF($D226="Deep clean",INDEX(Settings!$E$22:$E$26,MATCH(MIN(INDEX(Properties!$E$5:$E$104,MATCH($B226,Properties!$A$5:$A$104,0)),4),Settings!$A$22:$A$26,0))*Settings!$B$19+N($I226)*Settings!$B$9,IF($D226="Late cancel",INDEX(Properties!$L$5:$L$104,MATCH($B226,Properties!$A$5:$A$104,0))*Settings!$B$11,0))),0))</f>
        <v/>
      </c>
      <c r="P226" s="28" t="str">
        <f aca="false">IF($B226="","",$N226-$O226)</f>
        <v/>
      </c>
      <c r="Q226" s="29" t="str">
        <f aca="false">IF($A226="","",DATE(YEAR($A226),MONTH($A226),1))</f>
        <v/>
      </c>
      <c r="R226" s="30" t="str">
        <f aca="false">IF($A226="","",$A226+MOD(6-WEEKDAY($A226),7))</f>
        <v/>
      </c>
      <c r="S226" s="31" t="str">
        <f aca="false">IF($B226="","",IF(AND($M226='Invoice Builder'!$C$5,$Q226='Invoice Builder'!$C$6,N($N226)&gt;0),COUNTIFS($M$5:$M226,'Invoice Builder'!$C$5,$Q$5:$Q226,'Invoice Builder'!$C$6,$N$5:$N226,"&gt;0"),""))</f>
        <v/>
      </c>
      <c r="T226" s="27" t="str">
        <f aca="false">IF($A226="","",IF($A226&gt;=DATE(YEAR($A226),4,6),YEAR($A226)&amp;"/"&amp;RIGHT(YEAR($A226)+1,2),YEAR($A226)-1&amp;"/"&amp;RIGHT(YEAR($A226),2)))</f>
        <v/>
      </c>
    </row>
    <row r="227" customFormat="false" ht="15" hidden="false" customHeight="false" outlineLevel="0" collapsed="false">
      <c r="A227" s="22"/>
      <c r="B227" s="23"/>
      <c r="C227" s="23"/>
      <c r="D227" s="23"/>
      <c r="E227" s="24"/>
      <c r="F227" s="24"/>
      <c r="G227" s="23"/>
      <c r="H227" s="23"/>
      <c r="I227" s="25"/>
      <c r="J227" s="23"/>
      <c r="K227" s="23"/>
      <c r="L227" s="26" t="str">
        <f aca="false">IF(OR($E227="",$F227=""),"",MOD($F227-$E227,1)*24)</f>
        <v/>
      </c>
      <c r="M227" s="27" t="str">
        <f aca="false">IF($B227="","",IFERROR(INDEX(Properties!$D$5:$D$104,MATCH($B227,Properties!$A$5:$A$104,0)),"?"))</f>
        <v/>
      </c>
      <c r="N227" s="28" t="str">
        <f aca="false">IF($B227="","",IFERROR(IF($D227="Completed",INDEX(Properties!$I$5:$I$104,MATCH($B227,Properties!$A$5:$A$104,0))*(1+IF($G227="Y",Settings!$B$8,0))+IF($H227="Y",Settings!$B$7,0)+N($I227),IF($D227="Deep clean",INDEX(Settings!$E$22:$E$26,MATCH(MIN(INDEX(Properties!$E$5:$E$104,MATCH($B227,Properties!$A$5:$A$104,0)),4),Settings!$A$22:$A$26,0))+N($I227),IF($D227="Late cancel",INDEX(Properties!$I$5:$I$104,MATCH($B227,Properties!$A$5:$A$104,0))*Settings!$B$10,0))),0))</f>
        <v/>
      </c>
      <c r="O227" s="28" t="str">
        <f aca="false">IF($B227="","",IFERROR(IF($D227="Completed",INDEX(Properties!$L$5:$L$104,MATCH($B227,Properties!$A$5:$A$104,0))+IF($G227="Y",INDEX(Properties!$I$5:$I$104,MATCH($B227,Properties!$A$5:$A$104,0))*Settings!$B$8*Settings!$B$9,0)+IF($H227="Y",Settings!$B$7*Settings!$B$9,0)+N($I227)*Settings!$B$9,IF($D227="Deep clean",INDEX(Settings!$E$22:$E$26,MATCH(MIN(INDEX(Properties!$E$5:$E$104,MATCH($B227,Properties!$A$5:$A$104,0)),4),Settings!$A$22:$A$26,0))*Settings!$B$19+N($I227)*Settings!$B$9,IF($D227="Late cancel",INDEX(Properties!$L$5:$L$104,MATCH($B227,Properties!$A$5:$A$104,0))*Settings!$B$11,0))),0))</f>
        <v/>
      </c>
      <c r="P227" s="28" t="str">
        <f aca="false">IF($B227="","",$N227-$O227)</f>
        <v/>
      </c>
      <c r="Q227" s="29" t="str">
        <f aca="false">IF($A227="","",DATE(YEAR($A227),MONTH($A227),1))</f>
        <v/>
      </c>
      <c r="R227" s="30" t="str">
        <f aca="false">IF($A227="","",$A227+MOD(6-WEEKDAY($A227),7))</f>
        <v/>
      </c>
      <c r="S227" s="31" t="str">
        <f aca="false">IF($B227="","",IF(AND($M227='Invoice Builder'!$C$5,$Q227='Invoice Builder'!$C$6,N($N227)&gt;0),COUNTIFS($M$5:$M227,'Invoice Builder'!$C$5,$Q$5:$Q227,'Invoice Builder'!$C$6,$N$5:$N227,"&gt;0"),""))</f>
        <v/>
      </c>
      <c r="T227" s="27" t="str">
        <f aca="false">IF($A227="","",IF($A227&gt;=DATE(YEAR($A227),4,6),YEAR($A227)&amp;"/"&amp;RIGHT(YEAR($A227)+1,2),YEAR($A227)-1&amp;"/"&amp;RIGHT(YEAR($A227),2)))</f>
        <v/>
      </c>
    </row>
    <row r="228" customFormat="false" ht="15" hidden="false" customHeight="false" outlineLevel="0" collapsed="false">
      <c r="A228" s="22"/>
      <c r="B228" s="23"/>
      <c r="C228" s="23"/>
      <c r="D228" s="23"/>
      <c r="E228" s="24"/>
      <c r="F228" s="24"/>
      <c r="G228" s="23"/>
      <c r="H228" s="23"/>
      <c r="I228" s="25"/>
      <c r="J228" s="23"/>
      <c r="K228" s="23"/>
      <c r="L228" s="26" t="str">
        <f aca="false">IF(OR($E228="",$F228=""),"",MOD($F228-$E228,1)*24)</f>
        <v/>
      </c>
      <c r="M228" s="27" t="str">
        <f aca="false">IF($B228="","",IFERROR(INDEX(Properties!$D$5:$D$104,MATCH($B228,Properties!$A$5:$A$104,0)),"?"))</f>
        <v/>
      </c>
      <c r="N228" s="28" t="str">
        <f aca="false">IF($B228="","",IFERROR(IF($D228="Completed",INDEX(Properties!$I$5:$I$104,MATCH($B228,Properties!$A$5:$A$104,0))*(1+IF($G228="Y",Settings!$B$8,0))+IF($H228="Y",Settings!$B$7,0)+N($I228),IF($D228="Deep clean",INDEX(Settings!$E$22:$E$26,MATCH(MIN(INDEX(Properties!$E$5:$E$104,MATCH($B228,Properties!$A$5:$A$104,0)),4),Settings!$A$22:$A$26,0))+N($I228),IF($D228="Late cancel",INDEX(Properties!$I$5:$I$104,MATCH($B228,Properties!$A$5:$A$104,0))*Settings!$B$10,0))),0))</f>
        <v/>
      </c>
      <c r="O228" s="28" t="str">
        <f aca="false">IF($B228="","",IFERROR(IF($D228="Completed",INDEX(Properties!$L$5:$L$104,MATCH($B228,Properties!$A$5:$A$104,0))+IF($G228="Y",INDEX(Properties!$I$5:$I$104,MATCH($B228,Properties!$A$5:$A$104,0))*Settings!$B$8*Settings!$B$9,0)+IF($H228="Y",Settings!$B$7*Settings!$B$9,0)+N($I228)*Settings!$B$9,IF($D228="Deep clean",INDEX(Settings!$E$22:$E$26,MATCH(MIN(INDEX(Properties!$E$5:$E$104,MATCH($B228,Properties!$A$5:$A$104,0)),4),Settings!$A$22:$A$26,0))*Settings!$B$19+N($I228)*Settings!$B$9,IF($D228="Late cancel",INDEX(Properties!$L$5:$L$104,MATCH($B228,Properties!$A$5:$A$104,0))*Settings!$B$11,0))),0))</f>
        <v/>
      </c>
      <c r="P228" s="28" t="str">
        <f aca="false">IF($B228="","",$N228-$O228)</f>
        <v/>
      </c>
      <c r="Q228" s="29" t="str">
        <f aca="false">IF($A228="","",DATE(YEAR($A228),MONTH($A228),1))</f>
        <v/>
      </c>
      <c r="R228" s="30" t="str">
        <f aca="false">IF($A228="","",$A228+MOD(6-WEEKDAY($A228),7))</f>
        <v/>
      </c>
      <c r="S228" s="31" t="str">
        <f aca="false">IF($B228="","",IF(AND($M228='Invoice Builder'!$C$5,$Q228='Invoice Builder'!$C$6,N($N228)&gt;0),COUNTIFS($M$5:$M228,'Invoice Builder'!$C$5,$Q$5:$Q228,'Invoice Builder'!$C$6,$N$5:$N228,"&gt;0"),""))</f>
        <v/>
      </c>
      <c r="T228" s="27" t="str">
        <f aca="false">IF($A228="","",IF($A228&gt;=DATE(YEAR($A228),4,6),YEAR($A228)&amp;"/"&amp;RIGHT(YEAR($A228)+1,2),YEAR($A228)-1&amp;"/"&amp;RIGHT(YEAR($A228),2)))</f>
        <v/>
      </c>
    </row>
    <row r="229" customFormat="false" ht="15" hidden="false" customHeight="false" outlineLevel="0" collapsed="false">
      <c r="A229" s="22"/>
      <c r="B229" s="23"/>
      <c r="C229" s="23"/>
      <c r="D229" s="23"/>
      <c r="E229" s="24"/>
      <c r="F229" s="24"/>
      <c r="G229" s="23"/>
      <c r="H229" s="23"/>
      <c r="I229" s="25"/>
      <c r="J229" s="23"/>
      <c r="K229" s="23"/>
      <c r="L229" s="26" t="str">
        <f aca="false">IF(OR($E229="",$F229=""),"",MOD($F229-$E229,1)*24)</f>
        <v/>
      </c>
      <c r="M229" s="27" t="str">
        <f aca="false">IF($B229="","",IFERROR(INDEX(Properties!$D$5:$D$104,MATCH($B229,Properties!$A$5:$A$104,0)),"?"))</f>
        <v/>
      </c>
      <c r="N229" s="28" t="str">
        <f aca="false">IF($B229="","",IFERROR(IF($D229="Completed",INDEX(Properties!$I$5:$I$104,MATCH($B229,Properties!$A$5:$A$104,0))*(1+IF($G229="Y",Settings!$B$8,0))+IF($H229="Y",Settings!$B$7,0)+N($I229),IF($D229="Deep clean",INDEX(Settings!$E$22:$E$26,MATCH(MIN(INDEX(Properties!$E$5:$E$104,MATCH($B229,Properties!$A$5:$A$104,0)),4),Settings!$A$22:$A$26,0))+N($I229),IF($D229="Late cancel",INDEX(Properties!$I$5:$I$104,MATCH($B229,Properties!$A$5:$A$104,0))*Settings!$B$10,0))),0))</f>
        <v/>
      </c>
      <c r="O229" s="28" t="str">
        <f aca="false">IF($B229="","",IFERROR(IF($D229="Completed",INDEX(Properties!$L$5:$L$104,MATCH($B229,Properties!$A$5:$A$104,0))+IF($G229="Y",INDEX(Properties!$I$5:$I$104,MATCH($B229,Properties!$A$5:$A$104,0))*Settings!$B$8*Settings!$B$9,0)+IF($H229="Y",Settings!$B$7*Settings!$B$9,0)+N($I229)*Settings!$B$9,IF($D229="Deep clean",INDEX(Settings!$E$22:$E$26,MATCH(MIN(INDEX(Properties!$E$5:$E$104,MATCH($B229,Properties!$A$5:$A$104,0)),4),Settings!$A$22:$A$26,0))*Settings!$B$19+N($I229)*Settings!$B$9,IF($D229="Late cancel",INDEX(Properties!$L$5:$L$104,MATCH($B229,Properties!$A$5:$A$104,0))*Settings!$B$11,0))),0))</f>
        <v/>
      </c>
      <c r="P229" s="28" t="str">
        <f aca="false">IF($B229="","",$N229-$O229)</f>
        <v/>
      </c>
      <c r="Q229" s="29" t="str">
        <f aca="false">IF($A229="","",DATE(YEAR($A229),MONTH($A229),1))</f>
        <v/>
      </c>
      <c r="R229" s="30" t="str">
        <f aca="false">IF($A229="","",$A229+MOD(6-WEEKDAY($A229),7))</f>
        <v/>
      </c>
      <c r="S229" s="31" t="str">
        <f aca="false">IF($B229="","",IF(AND($M229='Invoice Builder'!$C$5,$Q229='Invoice Builder'!$C$6,N($N229)&gt;0),COUNTIFS($M$5:$M229,'Invoice Builder'!$C$5,$Q$5:$Q229,'Invoice Builder'!$C$6,$N$5:$N229,"&gt;0"),""))</f>
        <v/>
      </c>
      <c r="T229" s="27" t="str">
        <f aca="false">IF($A229="","",IF($A229&gt;=DATE(YEAR($A229),4,6),YEAR($A229)&amp;"/"&amp;RIGHT(YEAR($A229)+1,2),YEAR($A229)-1&amp;"/"&amp;RIGHT(YEAR($A229),2)))</f>
        <v/>
      </c>
    </row>
    <row r="230" customFormat="false" ht="15" hidden="false" customHeight="false" outlineLevel="0" collapsed="false">
      <c r="A230" s="22"/>
      <c r="B230" s="23"/>
      <c r="C230" s="23"/>
      <c r="D230" s="23"/>
      <c r="E230" s="24"/>
      <c r="F230" s="24"/>
      <c r="G230" s="23"/>
      <c r="H230" s="23"/>
      <c r="I230" s="25"/>
      <c r="J230" s="23"/>
      <c r="K230" s="23"/>
      <c r="L230" s="26" t="str">
        <f aca="false">IF(OR($E230="",$F230=""),"",MOD($F230-$E230,1)*24)</f>
        <v/>
      </c>
      <c r="M230" s="27" t="str">
        <f aca="false">IF($B230="","",IFERROR(INDEX(Properties!$D$5:$D$104,MATCH($B230,Properties!$A$5:$A$104,0)),"?"))</f>
        <v/>
      </c>
      <c r="N230" s="28" t="str">
        <f aca="false">IF($B230="","",IFERROR(IF($D230="Completed",INDEX(Properties!$I$5:$I$104,MATCH($B230,Properties!$A$5:$A$104,0))*(1+IF($G230="Y",Settings!$B$8,0))+IF($H230="Y",Settings!$B$7,0)+N($I230),IF($D230="Deep clean",INDEX(Settings!$E$22:$E$26,MATCH(MIN(INDEX(Properties!$E$5:$E$104,MATCH($B230,Properties!$A$5:$A$104,0)),4),Settings!$A$22:$A$26,0))+N($I230),IF($D230="Late cancel",INDEX(Properties!$I$5:$I$104,MATCH($B230,Properties!$A$5:$A$104,0))*Settings!$B$10,0))),0))</f>
        <v/>
      </c>
      <c r="O230" s="28" t="str">
        <f aca="false">IF($B230="","",IFERROR(IF($D230="Completed",INDEX(Properties!$L$5:$L$104,MATCH($B230,Properties!$A$5:$A$104,0))+IF($G230="Y",INDEX(Properties!$I$5:$I$104,MATCH($B230,Properties!$A$5:$A$104,0))*Settings!$B$8*Settings!$B$9,0)+IF($H230="Y",Settings!$B$7*Settings!$B$9,0)+N($I230)*Settings!$B$9,IF($D230="Deep clean",INDEX(Settings!$E$22:$E$26,MATCH(MIN(INDEX(Properties!$E$5:$E$104,MATCH($B230,Properties!$A$5:$A$104,0)),4),Settings!$A$22:$A$26,0))*Settings!$B$19+N($I230)*Settings!$B$9,IF($D230="Late cancel",INDEX(Properties!$L$5:$L$104,MATCH($B230,Properties!$A$5:$A$104,0))*Settings!$B$11,0))),0))</f>
        <v/>
      </c>
      <c r="P230" s="28" t="str">
        <f aca="false">IF($B230="","",$N230-$O230)</f>
        <v/>
      </c>
      <c r="Q230" s="29" t="str">
        <f aca="false">IF($A230="","",DATE(YEAR($A230),MONTH($A230),1))</f>
        <v/>
      </c>
      <c r="R230" s="30" t="str">
        <f aca="false">IF($A230="","",$A230+MOD(6-WEEKDAY($A230),7))</f>
        <v/>
      </c>
      <c r="S230" s="31" t="str">
        <f aca="false">IF($B230="","",IF(AND($M230='Invoice Builder'!$C$5,$Q230='Invoice Builder'!$C$6,N($N230)&gt;0),COUNTIFS($M$5:$M230,'Invoice Builder'!$C$5,$Q$5:$Q230,'Invoice Builder'!$C$6,$N$5:$N230,"&gt;0"),""))</f>
        <v/>
      </c>
      <c r="T230" s="27" t="str">
        <f aca="false">IF($A230="","",IF($A230&gt;=DATE(YEAR($A230),4,6),YEAR($A230)&amp;"/"&amp;RIGHT(YEAR($A230)+1,2),YEAR($A230)-1&amp;"/"&amp;RIGHT(YEAR($A230),2)))</f>
        <v/>
      </c>
    </row>
    <row r="231" customFormat="false" ht="15" hidden="false" customHeight="false" outlineLevel="0" collapsed="false">
      <c r="A231" s="22"/>
      <c r="B231" s="23"/>
      <c r="C231" s="23"/>
      <c r="D231" s="23"/>
      <c r="E231" s="24"/>
      <c r="F231" s="24"/>
      <c r="G231" s="23"/>
      <c r="H231" s="23"/>
      <c r="I231" s="25"/>
      <c r="J231" s="23"/>
      <c r="K231" s="23"/>
      <c r="L231" s="26" t="str">
        <f aca="false">IF(OR($E231="",$F231=""),"",MOD($F231-$E231,1)*24)</f>
        <v/>
      </c>
      <c r="M231" s="27" t="str">
        <f aca="false">IF($B231="","",IFERROR(INDEX(Properties!$D$5:$D$104,MATCH($B231,Properties!$A$5:$A$104,0)),"?"))</f>
        <v/>
      </c>
      <c r="N231" s="28" t="str">
        <f aca="false">IF($B231="","",IFERROR(IF($D231="Completed",INDEX(Properties!$I$5:$I$104,MATCH($B231,Properties!$A$5:$A$104,0))*(1+IF($G231="Y",Settings!$B$8,0))+IF($H231="Y",Settings!$B$7,0)+N($I231),IF($D231="Deep clean",INDEX(Settings!$E$22:$E$26,MATCH(MIN(INDEX(Properties!$E$5:$E$104,MATCH($B231,Properties!$A$5:$A$104,0)),4),Settings!$A$22:$A$26,0))+N($I231),IF($D231="Late cancel",INDEX(Properties!$I$5:$I$104,MATCH($B231,Properties!$A$5:$A$104,0))*Settings!$B$10,0))),0))</f>
        <v/>
      </c>
      <c r="O231" s="28" t="str">
        <f aca="false">IF($B231="","",IFERROR(IF($D231="Completed",INDEX(Properties!$L$5:$L$104,MATCH($B231,Properties!$A$5:$A$104,0))+IF($G231="Y",INDEX(Properties!$I$5:$I$104,MATCH($B231,Properties!$A$5:$A$104,0))*Settings!$B$8*Settings!$B$9,0)+IF($H231="Y",Settings!$B$7*Settings!$B$9,0)+N($I231)*Settings!$B$9,IF($D231="Deep clean",INDEX(Settings!$E$22:$E$26,MATCH(MIN(INDEX(Properties!$E$5:$E$104,MATCH($B231,Properties!$A$5:$A$104,0)),4),Settings!$A$22:$A$26,0))*Settings!$B$19+N($I231)*Settings!$B$9,IF($D231="Late cancel",INDEX(Properties!$L$5:$L$104,MATCH($B231,Properties!$A$5:$A$104,0))*Settings!$B$11,0))),0))</f>
        <v/>
      </c>
      <c r="P231" s="28" t="str">
        <f aca="false">IF($B231="","",$N231-$O231)</f>
        <v/>
      </c>
      <c r="Q231" s="29" t="str">
        <f aca="false">IF($A231="","",DATE(YEAR($A231),MONTH($A231),1))</f>
        <v/>
      </c>
      <c r="R231" s="30" t="str">
        <f aca="false">IF($A231="","",$A231+MOD(6-WEEKDAY($A231),7))</f>
        <v/>
      </c>
      <c r="S231" s="31" t="str">
        <f aca="false">IF($B231="","",IF(AND($M231='Invoice Builder'!$C$5,$Q231='Invoice Builder'!$C$6,N($N231)&gt;0),COUNTIFS($M$5:$M231,'Invoice Builder'!$C$5,$Q$5:$Q231,'Invoice Builder'!$C$6,$N$5:$N231,"&gt;0"),""))</f>
        <v/>
      </c>
      <c r="T231" s="27" t="str">
        <f aca="false">IF($A231="","",IF($A231&gt;=DATE(YEAR($A231),4,6),YEAR($A231)&amp;"/"&amp;RIGHT(YEAR($A231)+1,2),YEAR($A231)-1&amp;"/"&amp;RIGHT(YEAR($A231),2)))</f>
        <v/>
      </c>
    </row>
    <row r="232" customFormat="false" ht="15" hidden="false" customHeight="false" outlineLevel="0" collapsed="false">
      <c r="A232" s="22"/>
      <c r="B232" s="23"/>
      <c r="C232" s="23"/>
      <c r="D232" s="23"/>
      <c r="E232" s="24"/>
      <c r="F232" s="24"/>
      <c r="G232" s="23"/>
      <c r="H232" s="23"/>
      <c r="I232" s="25"/>
      <c r="J232" s="23"/>
      <c r="K232" s="23"/>
      <c r="L232" s="26" t="str">
        <f aca="false">IF(OR($E232="",$F232=""),"",MOD($F232-$E232,1)*24)</f>
        <v/>
      </c>
      <c r="M232" s="27" t="str">
        <f aca="false">IF($B232="","",IFERROR(INDEX(Properties!$D$5:$D$104,MATCH($B232,Properties!$A$5:$A$104,0)),"?"))</f>
        <v/>
      </c>
      <c r="N232" s="28" t="str">
        <f aca="false">IF($B232="","",IFERROR(IF($D232="Completed",INDEX(Properties!$I$5:$I$104,MATCH($B232,Properties!$A$5:$A$104,0))*(1+IF($G232="Y",Settings!$B$8,0))+IF($H232="Y",Settings!$B$7,0)+N($I232),IF($D232="Deep clean",INDEX(Settings!$E$22:$E$26,MATCH(MIN(INDEX(Properties!$E$5:$E$104,MATCH($B232,Properties!$A$5:$A$104,0)),4),Settings!$A$22:$A$26,0))+N($I232),IF($D232="Late cancel",INDEX(Properties!$I$5:$I$104,MATCH($B232,Properties!$A$5:$A$104,0))*Settings!$B$10,0))),0))</f>
        <v/>
      </c>
      <c r="O232" s="28" t="str">
        <f aca="false">IF($B232="","",IFERROR(IF($D232="Completed",INDEX(Properties!$L$5:$L$104,MATCH($B232,Properties!$A$5:$A$104,0))+IF($G232="Y",INDEX(Properties!$I$5:$I$104,MATCH($B232,Properties!$A$5:$A$104,0))*Settings!$B$8*Settings!$B$9,0)+IF($H232="Y",Settings!$B$7*Settings!$B$9,0)+N($I232)*Settings!$B$9,IF($D232="Deep clean",INDEX(Settings!$E$22:$E$26,MATCH(MIN(INDEX(Properties!$E$5:$E$104,MATCH($B232,Properties!$A$5:$A$104,0)),4),Settings!$A$22:$A$26,0))*Settings!$B$19+N($I232)*Settings!$B$9,IF($D232="Late cancel",INDEX(Properties!$L$5:$L$104,MATCH($B232,Properties!$A$5:$A$104,0))*Settings!$B$11,0))),0))</f>
        <v/>
      </c>
      <c r="P232" s="28" t="str">
        <f aca="false">IF($B232="","",$N232-$O232)</f>
        <v/>
      </c>
      <c r="Q232" s="29" t="str">
        <f aca="false">IF($A232="","",DATE(YEAR($A232),MONTH($A232),1))</f>
        <v/>
      </c>
      <c r="R232" s="30" t="str">
        <f aca="false">IF($A232="","",$A232+MOD(6-WEEKDAY($A232),7))</f>
        <v/>
      </c>
      <c r="S232" s="31" t="str">
        <f aca="false">IF($B232="","",IF(AND($M232='Invoice Builder'!$C$5,$Q232='Invoice Builder'!$C$6,N($N232)&gt;0),COUNTIFS($M$5:$M232,'Invoice Builder'!$C$5,$Q$5:$Q232,'Invoice Builder'!$C$6,$N$5:$N232,"&gt;0"),""))</f>
        <v/>
      </c>
      <c r="T232" s="27" t="str">
        <f aca="false">IF($A232="","",IF($A232&gt;=DATE(YEAR($A232),4,6),YEAR($A232)&amp;"/"&amp;RIGHT(YEAR($A232)+1,2),YEAR($A232)-1&amp;"/"&amp;RIGHT(YEAR($A232),2)))</f>
        <v/>
      </c>
    </row>
    <row r="233" customFormat="false" ht="15" hidden="false" customHeight="false" outlineLevel="0" collapsed="false">
      <c r="A233" s="22"/>
      <c r="B233" s="23"/>
      <c r="C233" s="23"/>
      <c r="D233" s="23"/>
      <c r="E233" s="24"/>
      <c r="F233" s="24"/>
      <c r="G233" s="23"/>
      <c r="H233" s="23"/>
      <c r="I233" s="25"/>
      <c r="J233" s="23"/>
      <c r="K233" s="23"/>
      <c r="L233" s="26" t="str">
        <f aca="false">IF(OR($E233="",$F233=""),"",MOD($F233-$E233,1)*24)</f>
        <v/>
      </c>
      <c r="M233" s="27" t="str">
        <f aca="false">IF($B233="","",IFERROR(INDEX(Properties!$D$5:$D$104,MATCH($B233,Properties!$A$5:$A$104,0)),"?"))</f>
        <v/>
      </c>
      <c r="N233" s="28" t="str">
        <f aca="false">IF($B233="","",IFERROR(IF($D233="Completed",INDEX(Properties!$I$5:$I$104,MATCH($B233,Properties!$A$5:$A$104,0))*(1+IF($G233="Y",Settings!$B$8,0))+IF($H233="Y",Settings!$B$7,0)+N($I233),IF($D233="Deep clean",INDEX(Settings!$E$22:$E$26,MATCH(MIN(INDEX(Properties!$E$5:$E$104,MATCH($B233,Properties!$A$5:$A$104,0)),4),Settings!$A$22:$A$26,0))+N($I233),IF($D233="Late cancel",INDEX(Properties!$I$5:$I$104,MATCH($B233,Properties!$A$5:$A$104,0))*Settings!$B$10,0))),0))</f>
        <v/>
      </c>
      <c r="O233" s="28" t="str">
        <f aca="false">IF($B233="","",IFERROR(IF($D233="Completed",INDEX(Properties!$L$5:$L$104,MATCH($B233,Properties!$A$5:$A$104,0))+IF($G233="Y",INDEX(Properties!$I$5:$I$104,MATCH($B233,Properties!$A$5:$A$104,0))*Settings!$B$8*Settings!$B$9,0)+IF($H233="Y",Settings!$B$7*Settings!$B$9,0)+N($I233)*Settings!$B$9,IF($D233="Deep clean",INDEX(Settings!$E$22:$E$26,MATCH(MIN(INDEX(Properties!$E$5:$E$104,MATCH($B233,Properties!$A$5:$A$104,0)),4),Settings!$A$22:$A$26,0))*Settings!$B$19+N($I233)*Settings!$B$9,IF($D233="Late cancel",INDEX(Properties!$L$5:$L$104,MATCH($B233,Properties!$A$5:$A$104,0))*Settings!$B$11,0))),0))</f>
        <v/>
      </c>
      <c r="P233" s="28" t="str">
        <f aca="false">IF($B233="","",$N233-$O233)</f>
        <v/>
      </c>
      <c r="Q233" s="29" t="str">
        <f aca="false">IF($A233="","",DATE(YEAR($A233),MONTH($A233),1))</f>
        <v/>
      </c>
      <c r="R233" s="30" t="str">
        <f aca="false">IF($A233="","",$A233+MOD(6-WEEKDAY($A233),7))</f>
        <v/>
      </c>
      <c r="S233" s="31" t="str">
        <f aca="false">IF($B233="","",IF(AND($M233='Invoice Builder'!$C$5,$Q233='Invoice Builder'!$C$6,N($N233)&gt;0),COUNTIFS($M$5:$M233,'Invoice Builder'!$C$5,$Q$5:$Q233,'Invoice Builder'!$C$6,$N$5:$N233,"&gt;0"),""))</f>
        <v/>
      </c>
      <c r="T233" s="27" t="str">
        <f aca="false">IF($A233="","",IF($A233&gt;=DATE(YEAR($A233),4,6),YEAR($A233)&amp;"/"&amp;RIGHT(YEAR($A233)+1,2),YEAR($A233)-1&amp;"/"&amp;RIGHT(YEAR($A233),2)))</f>
        <v/>
      </c>
    </row>
    <row r="234" customFormat="false" ht="15" hidden="false" customHeight="false" outlineLevel="0" collapsed="false">
      <c r="A234" s="22"/>
      <c r="B234" s="23"/>
      <c r="C234" s="23"/>
      <c r="D234" s="23"/>
      <c r="E234" s="24"/>
      <c r="F234" s="24"/>
      <c r="G234" s="23"/>
      <c r="H234" s="23"/>
      <c r="I234" s="25"/>
      <c r="J234" s="23"/>
      <c r="K234" s="23"/>
      <c r="L234" s="26" t="str">
        <f aca="false">IF(OR($E234="",$F234=""),"",MOD($F234-$E234,1)*24)</f>
        <v/>
      </c>
      <c r="M234" s="27" t="str">
        <f aca="false">IF($B234="","",IFERROR(INDEX(Properties!$D$5:$D$104,MATCH($B234,Properties!$A$5:$A$104,0)),"?"))</f>
        <v/>
      </c>
      <c r="N234" s="28" t="str">
        <f aca="false">IF($B234="","",IFERROR(IF($D234="Completed",INDEX(Properties!$I$5:$I$104,MATCH($B234,Properties!$A$5:$A$104,0))*(1+IF($G234="Y",Settings!$B$8,0))+IF($H234="Y",Settings!$B$7,0)+N($I234),IF($D234="Deep clean",INDEX(Settings!$E$22:$E$26,MATCH(MIN(INDEX(Properties!$E$5:$E$104,MATCH($B234,Properties!$A$5:$A$104,0)),4),Settings!$A$22:$A$26,0))+N($I234),IF($D234="Late cancel",INDEX(Properties!$I$5:$I$104,MATCH($B234,Properties!$A$5:$A$104,0))*Settings!$B$10,0))),0))</f>
        <v/>
      </c>
      <c r="O234" s="28" t="str">
        <f aca="false">IF($B234="","",IFERROR(IF($D234="Completed",INDEX(Properties!$L$5:$L$104,MATCH($B234,Properties!$A$5:$A$104,0))+IF($G234="Y",INDEX(Properties!$I$5:$I$104,MATCH($B234,Properties!$A$5:$A$104,0))*Settings!$B$8*Settings!$B$9,0)+IF($H234="Y",Settings!$B$7*Settings!$B$9,0)+N($I234)*Settings!$B$9,IF($D234="Deep clean",INDEX(Settings!$E$22:$E$26,MATCH(MIN(INDEX(Properties!$E$5:$E$104,MATCH($B234,Properties!$A$5:$A$104,0)),4),Settings!$A$22:$A$26,0))*Settings!$B$19+N($I234)*Settings!$B$9,IF($D234="Late cancel",INDEX(Properties!$L$5:$L$104,MATCH($B234,Properties!$A$5:$A$104,0))*Settings!$B$11,0))),0))</f>
        <v/>
      </c>
      <c r="P234" s="28" t="str">
        <f aca="false">IF($B234="","",$N234-$O234)</f>
        <v/>
      </c>
      <c r="Q234" s="29" t="str">
        <f aca="false">IF($A234="","",DATE(YEAR($A234),MONTH($A234),1))</f>
        <v/>
      </c>
      <c r="R234" s="30" t="str">
        <f aca="false">IF($A234="","",$A234+MOD(6-WEEKDAY($A234),7))</f>
        <v/>
      </c>
      <c r="S234" s="31" t="str">
        <f aca="false">IF($B234="","",IF(AND($M234='Invoice Builder'!$C$5,$Q234='Invoice Builder'!$C$6,N($N234)&gt;0),COUNTIFS($M$5:$M234,'Invoice Builder'!$C$5,$Q$5:$Q234,'Invoice Builder'!$C$6,$N$5:$N234,"&gt;0"),""))</f>
        <v/>
      </c>
      <c r="T234" s="27" t="str">
        <f aca="false">IF($A234="","",IF($A234&gt;=DATE(YEAR($A234),4,6),YEAR($A234)&amp;"/"&amp;RIGHT(YEAR($A234)+1,2),YEAR($A234)-1&amp;"/"&amp;RIGHT(YEAR($A234),2)))</f>
        <v/>
      </c>
    </row>
    <row r="235" customFormat="false" ht="15" hidden="false" customHeight="false" outlineLevel="0" collapsed="false">
      <c r="A235" s="22"/>
      <c r="B235" s="23"/>
      <c r="C235" s="23"/>
      <c r="D235" s="23"/>
      <c r="E235" s="24"/>
      <c r="F235" s="24"/>
      <c r="G235" s="23"/>
      <c r="H235" s="23"/>
      <c r="I235" s="25"/>
      <c r="J235" s="23"/>
      <c r="K235" s="23"/>
      <c r="L235" s="26" t="str">
        <f aca="false">IF(OR($E235="",$F235=""),"",MOD($F235-$E235,1)*24)</f>
        <v/>
      </c>
      <c r="M235" s="27" t="str">
        <f aca="false">IF($B235="","",IFERROR(INDEX(Properties!$D$5:$D$104,MATCH($B235,Properties!$A$5:$A$104,0)),"?"))</f>
        <v/>
      </c>
      <c r="N235" s="28" t="str">
        <f aca="false">IF($B235="","",IFERROR(IF($D235="Completed",INDEX(Properties!$I$5:$I$104,MATCH($B235,Properties!$A$5:$A$104,0))*(1+IF($G235="Y",Settings!$B$8,0))+IF($H235="Y",Settings!$B$7,0)+N($I235),IF($D235="Deep clean",INDEX(Settings!$E$22:$E$26,MATCH(MIN(INDEX(Properties!$E$5:$E$104,MATCH($B235,Properties!$A$5:$A$104,0)),4),Settings!$A$22:$A$26,0))+N($I235),IF($D235="Late cancel",INDEX(Properties!$I$5:$I$104,MATCH($B235,Properties!$A$5:$A$104,0))*Settings!$B$10,0))),0))</f>
        <v/>
      </c>
      <c r="O235" s="28" t="str">
        <f aca="false">IF($B235="","",IFERROR(IF($D235="Completed",INDEX(Properties!$L$5:$L$104,MATCH($B235,Properties!$A$5:$A$104,0))+IF($G235="Y",INDEX(Properties!$I$5:$I$104,MATCH($B235,Properties!$A$5:$A$104,0))*Settings!$B$8*Settings!$B$9,0)+IF($H235="Y",Settings!$B$7*Settings!$B$9,0)+N($I235)*Settings!$B$9,IF($D235="Deep clean",INDEX(Settings!$E$22:$E$26,MATCH(MIN(INDEX(Properties!$E$5:$E$104,MATCH($B235,Properties!$A$5:$A$104,0)),4),Settings!$A$22:$A$26,0))*Settings!$B$19+N($I235)*Settings!$B$9,IF($D235="Late cancel",INDEX(Properties!$L$5:$L$104,MATCH($B235,Properties!$A$5:$A$104,0))*Settings!$B$11,0))),0))</f>
        <v/>
      </c>
      <c r="P235" s="28" t="str">
        <f aca="false">IF($B235="","",$N235-$O235)</f>
        <v/>
      </c>
      <c r="Q235" s="29" t="str">
        <f aca="false">IF($A235="","",DATE(YEAR($A235),MONTH($A235),1))</f>
        <v/>
      </c>
      <c r="R235" s="30" t="str">
        <f aca="false">IF($A235="","",$A235+MOD(6-WEEKDAY($A235),7))</f>
        <v/>
      </c>
      <c r="S235" s="31" t="str">
        <f aca="false">IF($B235="","",IF(AND($M235='Invoice Builder'!$C$5,$Q235='Invoice Builder'!$C$6,N($N235)&gt;0),COUNTIFS($M$5:$M235,'Invoice Builder'!$C$5,$Q$5:$Q235,'Invoice Builder'!$C$6,$N$5:$N235,"&gt;0"),""))</f>
        <v/>
      </c>
      <c r="T235" s="27" t="str">
        <f aca="false">IF($A235="","",IF($A235&gt;=DATE(YEAR($A235),4,6),YEAR($A235)&amp;"/"&amp;RIGHT(YEAR($A235)+1,2),YEAR($A235)-1&amp;"/"&amp;RIGHT(YEAR($A235),2)))</f>
        <v/>
      </c>
    </row>
    <row r="236" customFormat="false" ht="15" hidden="false" customHeight="false" outlineLevel="0" collapsed="false">
      <c r="A236" s="22"/>
      <c r="B236" s="23"/>
      <c r="C236" s="23"/>
      <c r="D236" s="23"/>
      <c r="E236" s="24"/>
      <c r="F236" s="24"/>
      <c r="G236" s="23"/>
      <c r="H236" s="23"/>
      <c r="I236" s="25"/>
      <c r="J236" s="23"/>
      <c r="K236" s="23"/>
      <c r="L236" s="26" t="str">
        <f aca="false">IF(OR($E236="",$F236=""),"",MOD($F236-$E236,1)*24)</f>
        <v/>
      </c>
      <c r="M236" s="27" t="str">
        <f aca="false">IF($B236="","",IFERROR(INDEX(Properties!$D$5:$D$104,MATCH($B236,Properties!$A$5:$A$104,0)),"?"))</f>
        <v/>
      </c>
      <c r="N236" s="28" t="str">
        <f aca="false">IF($B236="","",IFERROR(IF($D236="Completed",INDEX(Properties!$I$5:$I$104,MATCH($B236,Properties!$A$5:$A$104,0))*(1+IF($G236="Y",Settings!$B$8,0))+IF($H236="Y",Settings!$B$7,0)+N($I236),IF($D236="Deep clean",INDEX(Settings!$E$22:$E$26,MATCH(MIN(INDEX(Properties!$E$5:$E$104,MATCH($B236,Properties!$A$5:$A$104,0)),4),Settings!$A$22:$A$26,0))+N($I236),IF($D236="Late cancel",INDEX(Properties!$I$5:$I$104,MATCH($B236,Properties!$A$5:$A$104,0))*Settings!$B$10,0))),0))</f>
        <v/>
      </c>
      <c r="O236" s="28" t="str">
        <f aca="false">IF($B236="","",IFERROR(IF($D236="Completed",INDEX(Properties!$L$5:$L$104,MATCH($B236,Properties!$A$5:$A$104,0))+IF($G236="Y",INDEX(Properties!$I$5:$I$104,MATCH($B236,Properties!$A$5:$A$104,0))*Settings!$B$8*Settings!$B$9,0)+IF($H236="Y",Settings!$B$7*Settings!$B$9,0)+N($I236)*Settings!$B$9,IF($D236="Deep clean",INDEX(Settings!$E$22:$E$26,MATCH(MIN(INDEX(Properties!$E$5:$E$104,MATCH($B236,Properties!$A$5:$A$104,0)),4),Settings!$A$22:$A$26,0))*Settings!$B$19+N($I236)*Settings!$B$9,IF($D236="Late cancel",INDEX(Properties!$L$5:$L$104,MATCH($B236,Properties!$A$5:$A$104,0))*Settings!$B$11,0))),0))</f>
        <v/>
      </c>
      <c r="P236" s="28" t="str">
        <f aca="false">IF($B236="","",$N236-$O236)</f>
        <v/>
      </c>
      <c r="Q236" s="29" t="str">
        <f aca="false">IF($A236="","",DATE(YEAR($A236),MONTH($A236),1))</f>
        <v/>
      </c>
      <c r="R236" s="30" t="str">
        <f aca="false">IF($A236="","",$A236+MOD(6-WEEKDAY($A236),7))</f>
        <v/>
      </c>
      <c r="S236" s="31" t="str">
        <f aca="false">IF($B236="","",IF(AND($M236='Invoice Builder'!$C$5,$Q236='Invoice Builder'!$C$6,N($N236)&gt;0),COUNTIFS($M$5:$M236,'Invoice Builder'!$C$5,$Q$5:$Q236,'Invoice Builder'!$C$6,$N$5:$N236,"&gt;0"),""))</f>
        <v/>
      </c>
      <c r="T236" s="27" t="str">
        <f aca="false">IF($A236="","",IF($A236&gt;=DATE(YEAR($A236),4,6),YEAR($A236)&amp;"/"&amp;RIGHT(YEAR($A236)+1,2),YEAR($A236)-1&amp;"/"&amp;RIGHT(YEAR($A236),2)))</f>
        <v/>
      </c>
    </row>
    <row r="237" customFormat="false" ht="15" hidden="false" customHeight="false" outlineLevel="0" collapsed="false">
      <c r="A237" s="22"/>
      <c r="B237" s="23"/>
      <c r="C237" s="23"/>
      <c r="D237" s="23"/>
      <c r="E237" s="24"/>
      <c r="F237" s="24"/>
      <c r="G237" s="23"/>
      <c r="H237" s="23"/>
      <c r="I237" s="25"/>
      <c r="J237" s="23"/>
      <c r="K237" s="23"/>
      <c r="L237" s="26" t="str">
        <f aca="false">IF(OR($E237="",$F237=""),"",MOD($F237-$E237,1)*24)</f>
        <v/>
      </c>
      <c r="M237" s="27" t="str">
        <f aca="false">IF($B237="","",IFERROR(INDEX(Properties!$D$5:$D$104,MATCH($B237,Properties!$A$5:$A$104,0)),"?"))</f>
        <v/>
      </c>
      <c r="N237" s="28" t="str">
        <f aca="false">IF($B237="","",IFERROR(IF($D237="Completed",INDEX(Properties!$I$5:$I$104,MATCH($B237,Properties!$A$5:$A$104,0))*(1+IF($G237="Y",Settings!$B$8,0))+IF($H237="Y",Settings!$B$7,0)+N($I237),IF($D237="Deep clean",INDEX(Settings!$E$22:$E$26,MATCH(MIN(INDEX(Properties!$E$5:$E$104,MATCH($B237,Properties!$A$5:$A$104,0)),4),Settings!$A$22:$A$26,0))+N($I237),IF($D237="Late cancel",INDEX(Properties!$I$5:$I$104,MATCH($B237,Properties!$A$5:$A$104,0))*Settings!$B$10,0))),0))</f>
        <v/>
      </c>
      <c r="O237" s="28" t="str">
        <f aca="false">IF($B237="","",IFERROR(IF($D237="Completed",INDEX(Properties!$L$5:$L$104,MATCH($B237,Properties!$A$5:$A$104,0))+IF($G237="Y",INDEX(Properties!$I$5:$I$104,MATCH($B237,Properties!$A$5:$A$104,0))*Settings!$B$8*Settings!$B$9,0)+IF($H237="Y",Settings!$B$7*Settings!$B$9,0)+N($I237)*Settings!$B$9,IF($D237="Deep clean",INDEX(Settings!$E$22:$E$26,MATCH(MIN(INDEX(Properties!$E$5:$E$104,MATCH($B237,Properties!$A$5:$A$104,0)),4),Settings!$A$22:$A$26,0))*Settings!$B$19+N($I237)*Settings!$B$9,IF($D237="Late cancel",INDEX(Properties!$L$5:$L$104,MATCH($B237,Properties!$A$5:$A$104,0))*Settings!$B$11,0))),0))</f>
        <v/>
      </c>
      <c r="P237" s="28" t="str">
        <f aca="false">IF($B237="","",$N237-$O237)</f>
        <v/>
      </c>
      <c r="Q237" s="29" t="str">
        <f aca="false">IF($A237="","",DATE(YEAR($A237),MONTH($A237),1))</f>
        <v/>
      </c>
      <c r="R237" s="30" t="str">
        <f aca="false">IF($A237="","",$A237+MOD(6-WEEKDAY($A237),7))</f>
        <v/>
      </c>
      <c r="S237" s="31" t="str">
        <f aca="false">IF($B237="","",IF(AND($M237='Invoice Builder'!$C$5,$Q237='Invoice Builder'!$C$6,N($N237)&gt;0),COUNTIFS($M$5:$M237,'Invoice Builder'!$C$5,$Q$5:$Q237,'Invoice Builder'!$C$6,$N$5:$N237,"&gt;0"),""))</f>
        <v/>
      </c>
      <c r="T237" s="27" t="str">
        <f aca="false">IF($A237="","",IF($A237&gt;=DATE(YEAR($A237),4,6),YEAR($A237)&amp;"/"&amp;RIGHT(YEAR($A237)+1,2),YEAR($A237)-1&amp;"/"&amp;RIGHT(YEAR($A237),2)))</f>
        <v/>
      </c>
    </row>
    <row r="238" customFormat="false" ht="15" hidden="false" customHeight="false" outlineLevel="0" collapsed="false">
      <c r="A238" s="22"/>
      <c r="B238" s="23"/>
      <c r="C238" s="23"/>
      <c r="D238" s="23"/>
      <c r="E238" s="24"/>
      <c r="F238" s="24"/>
      <c r="G238" s="23"/>
      <c r="H238" s="23"/>
      <c r="I238" s="25"/>
      <c r="J238" s="23"/>
      <c r="K238" s="23"/>
      <c r="L238" s="26" t="str">
        <f aca="false">IF(OR($E238="",$F238=""),"",MOD($F238-$E238,1)*24)</f>
        <v/>
      </c>
      <c r="M238" s="27" t="str">
        <f aca="false">IF($B238="","",IFERROR(INDEX(Properties!$D$5:$D$104,MATCH($B238,Properties!$A$5:$A$104,0)),"?"))</f>
        <v/>
      </c>
      <c r="N238" s="28" t="str">
        <f aca="false">IF($B238="","",IFERROR(IF($D238="Completed",INDEX(Properties!$I$5:$I$104,MATCH($B238,Properties!$A$5:$A$104,0))*(1+IF($G238="Y",Settings!$B$8,0))+IF($H238="Y",Settings!$B$7,0)+N($I238),IF($D238="Deep clean",INDEX(Settings!$E$22:$E$26,MATCH(MIN(INDEX(Properties!$E$5:$E$104,MATCH($B238,Properties!$A$5:$A$104,0)),4),Settings!$A$22:$A$26,0))+N($I238),IF($D238="Late cancel",INDEX(Properties!$I$5:$I$104,MATCH($B238,Properties!$A$5:$A$104,0))*Settings!$B$10,0))),0))</f>
        <v/>
      </c>
      <c r="O238" s="28" t="str">
        <f aca="false">IF($B238="","",IFERROR(IF($D238="Completed",INDEX(Properties!$L$5:$L$104,MATCH($B238,Properties!$A$5:$A$104,0))+IF($G238="Y",INDEX(Properties!$I$5:$I$104,MATCH($B238,Properties!$A$5:$A$104,0))*Settings!$B$8*Settings!$B$9,0)+IF($H238="Y",Settings!$B$7*Settings!$B$9,0)+N($I238)*Settings!$B$9,IF($D238="Deep clean",INDEX(Settings!$E$22:$E$26,MATCH(MIN(INDEX(Properties!$E$5:$E$104,MATCH($B238,Properties!$A$5:$A$104,0)),4),Settings!$A$22:$A$26,0))*Settings!$B$19+N($I238)*Settings!$B$9,IF($D238="Late cancel",INDEX(Properties!$L$5:$L$104,MATCH($B238,Properties!$A$5:$A$104,0))*Settings!$B$11,0))),0))</f>
        <v/>
      </c>
      <c r="P238" s="28" t="str">
        <f aca="false">IF($B238="","",$N238-$O238)</f>
        <v/>
      </c>
      <c r="Q238" s="29" t="str">
        <f aca="false">IF($A238="","",DATE(YEAR($A238),MONTH($A238),1))</f>
        <v/>
      </c>
      <c r="R238" s="30" t="str">
        <f aca="false">IF($A238="","",$A238+MOD(6-WEEKDAY($A238),7))</f>
        <v/>
      </c>
      <c r="S238" s="31" t="str">
        <f aca="false">IF($B238="","",IF(AND($M238='Invoice Builder'!$C$5,$Q238='Invoice Builder'!$C$6,N($N238)&gt;0),COUNTIFS($M$5:$M238,'Invoice Builder'!$C$5,$Q$5:$Q238,'Invoice Builder'!$C$6,$N$5:$N238,"&gt;0"),""))</f>
        <v/>
      </c>
      <c r="T238" s="27" t="str">
        <f aca="false">IF($A238="","",IF($A238&gt;=DATE(YEAR($A238),4,6),YEAR($A238)&amp;"/"&amp;RIGHT(YEAR($A238)+1,2),YEAR($A238)-1&amp;"/"&amp;RIGHT(YEAR($A238),2)))</f>
        <v/>
      </c>
    </row>
    <row r="239" customFormat="false" ht="15" hidden="false" customHeight="false" outlineLevel="0" collapsed="false">
      <c r="A239" s="22"/>
      <c r="B239" s="23"/>
      <c r="C239" s="23"/>
      <c r="D239" s="23"/>
      <c r="E239" s="24"/>
      <c r="F239" s="24"/>
      <c r="G239" s="23"/>
      <c r="H239" s="23"/>
      <c r="I239" s="25"/>
      <c r="J239" s="23"/>
      <c r="K239" s="23"/>
      <c r="L239" s="26" t="str">
        <f aca="false">IF(OR($E239="",$F239=""),"",MOD($F239-$E239,1)*24)</f>
        <v/>
      </c>
      <c r="M239" s="27" t="str">
        <f aca="false">IF($B239="","",IFERROR(INDEX(Properties!$D$5:$D$104,MATCH($B239,Properties!$A$5:$A$104,0)),"?"))</f>
        <v/>
      </c>
      <c r="N239" s="28" t="str">
        <f aca="false">IF($B239="","",IFERROR(IF($D239="Completed",INDEX(Properties!$I$5:$I$104,MATCH($B239,Properties!$A$5:$A$104,0))*(1+IF($G239="Y",Settings!$B$8,0))+IF($H239="Y",Settings!$B$7,0)+N($I239),IF($D239="Deep clean",INDEX(Settings!$E$22:$E$26,MATCH(MIN(INDEX(Properties!$E$5:$E$104,MATCH($B239,Properties!$A$5:$A$104,0)),4),Settings!$A$22:$A$26,0))+N($I239),IF($D239="Late cancel",INDEX(Properties!$I$5:$I$104,MATCH($B239,Properties!$A$5:$A$104,0))*Settings!$B$10,0))),0))</f>
        <v/>
      </c>
      <c r="O239" s="28" t="str">
        <f aca="false">IF($B239="","",IFERROR(IF($D239="Completed",INDEX(Properties!$L$5:$L$104,MATCH($B239,Properties!$A$5:$A$104,0))+IF($G239="Y",INDEX(Properties!$I$5:$I$104,MATCH($B239,Properties!$A$5:$A$104,0))*Settings!$B$8*Settings!$B$9,0)+IF($H239="Y",Settings!$B$7*Settings!$B$9,0)+N($I239)*Settings!$B$9,IF($D239="Deep clean",INDEX(Settings!$E$22:$E$26,MATCH(MIN(INDEX(Properties!$E$5:$E$104,MATCH($B239,Properties!$A$5:$A$104,0)),4),Settings!$A$22:$A$26,0))*Settings!$B$19+N($I239)*Settings!$B$9,IF($D239="Late cancel",INDEX(Properties!$L$5:$L$104,MATCH($B239,Properties!$A$5:$A$104,0))*Settings!$B$11,0))),0))</f>
        <v/>
      </c>
      <c r="P239" s="28" t="str">
        <f aca="false">IF($B239="","",$N239-$O239)</f>
        <v/>
      </c>
      <c r="Q239" s="29" t="str">
        <f aca="false">IF($A239="","",DATE(YEAR($A239),MONTH($A239),1))</f>
        <v/>
      </c>
      <c r="R239" s="30" t="str">
        <f aca="false">IF($A239="","",$A239+MOD(6-WEEKDAY($A239),7))</f>
        <v/>
      </c>
      <c r="S239" s="31" t="str">
        <f aca="false">IF($B239="","",IF(AND($M239='Invoice Builder'!$C$5,$Q239='Invoice Builder'!$C$6,N($N239)&gt;0),COUNTIFS($M$5:$M239,'Invoice Builder'!$C$5,$Q$5:$Q239,'Invoice Builder'!$C$6,$N$5:$N239,"&gt;0"),""))</f>
        <v/>
      </c>
      <c r="T239" s="27" t="str">
        <f aca="false">IF($A239="","",IF($A239&gt;=DATE(YEAR($A239),4,6),YEAR($A239)&amp;"/"&amp;RIGHT(YEAR($A239)+1,2),YEAR($A239)-1&amp;"/"&amp;RIGHT(YEAR($A239),2)))</f>
        <v/>
      </c>
    </row>
    <row r="240" customFormat="false" ht="15" hidden="false" customHeight="false" outlineLevel="0" collapsed="false">
      <c r="A240" s="22"/>
      <c r="B240" s="23"/>
      <c r="C240" s="23"/>
      <c r="D240" s="23"/>
      <c r="E240" s="24"/>
      <c r="F240" s="24"/>
      <c r="G240" s="23"/>
      <c r="H240" s="23"/>
      <c r="I240" s="25"/>
      <c r="J240" s="23"/>
      <c r="K240" s="23"/>
      <c r="L240" s="26" t="str">
        <f aca="false">IF(OR($E240="",$F240=""),"",MOD($F240-$E240,1)*24)</f>
        <v/>
      </c>
      <c r="M240" s="27" t="str">
        <f aca="false">IF($B240="","",IFERROR(INDEX(Properties!$D$5:$D$104,MATCH($B240,Properties!$A$5:$A$104,0)),"?"))</f>
        <v/>
      </c>
      <c r="N240" s="28" t="str">
        <f aca="false">IF($B240="","",IFERROR(IF($D240="Completed",INDEX(Properties!$I$5:$I$104,MATCH($B240,Properties!$A$5:$A$104,0))*(1+IF($G240="Y",Settings!$B$8,0))+IF($H240="Y",Settings!$B$7,0)+N($I240),IF($D240="Deep clean",INDEX(Settings!$E$22:$E$26,MATCH(MIN(INDEX(Properties!$E$5:$E$104,MATCH($B240,Properties!$A$5:$A$104,0)),4),Settings!$A$22:$A$26,0))+N($I240),IF($D240="Late cancel",INDEX(Properties!$I$5:$I$104,MATCH($B240,Properties!$A$5:$A$104,0))*Settings!$B$10,0))),0))</f>
        <v/>
      </c>
      <c r="O240" s="28" t="str">
        <f aca="false">IF($B240="","",IFERROR(IF($D240="Completed",INDEX(Properties!$L$5:$L$104,MATCH($B240,Properties!$A$5:$A$104,0))+IF($G240="Y",INDEX(Properties!$I$5:$I$104,MATCH($B240,Properties!$A$5:$A$104,0))*Settings!$B$8*Settings!$B$9,0)+IF($H240="Y",Settings!$B$7*Settings!$B$9,0)+N($I240)*Settings!$B$9,IF($D240="Deep clean",INDEX(Settings!$E$22:$E$26,MATCH(MIN(INDEX(Properties!$E$5:$E$104,MATCH($B240,Properties!$A$5:$A$104,0)),4),Settings!$A$22:$A$26,0))*Settings!$B$19+N($I240)*Settings!$B$9,IF($D240="Late cancel",INDEX(Properties!$L$5:$L$104,MATCH($B240,Properties!$A$5:$A$104,0))*Settings!$B$11,0))),0))</f>
        <v/>
      </c>
      <c r="P240" s="28" t="str">
        <f aca="false">IF($B240="","",$N240-$O240)</f>
        <v/>
      </c>
      <c r="Q240" s="29" t="str">
        <f aca="false">IF($A240="","",DATE(YEAR($A240),MONTH($A240),1))</f>
        <v/>
      </c>
      <c r="R240" s="30" t="str">
        <f aca="false">IF($A240="","",$A240+MOD(6-WEEKDAY($A240),7))</f>
        <v/>
      </c>
      <c r="S240" s="31" t="str">
        <f aca="false">IF($B240="","",IF(AND($M240='Invoice Builder'!$C$5,$Q240='Invoice Builder'!$C$6,N($N240)&gt;0),COUNTIFS($M$5:$M240,'Invoice Builder'!$C$5,$Q$5:$Q240,'Invoice Builder'!$C$6,$N$5:$N240,"&gt;0"),""))</f>
        <v/>
      </c>
      <c r="T240" s="27" t="str">
        <f aca="false">IF($A240="","",IF($A240&gt;=DATE(YEAR($A240),4,6),YEAR($A240)&amp;"/"&amp;RIGHT(YEAR($A240)+1,2),YEAR($A240)-1&amp;"/"&amp;RIGHT(YEAR($A240),2)))</f>
        <v/>
      </c>
    </row>
    <row r="241" customFormat="false" ht="15" hidden="false" customHeight="false" outlineLevel="0" collapsed="false">
      <c r="A241" s="22"/>
      <c r="B241" s="23"/>
      <c r="C241" s="23"/>
      <c r="D241" s="23"/>
      <c r="E241" s="24"/>
      <c r="F241" s="24"/>
      <c r="G241" s="23"/>
      <c r="H241" s="23"/>
      <c r="I241" s="25"/>
      <c r="J241" s="23"/>
      <c r="K241" s="23"/>
      <c r="L241" s="26" t="str">
        <f aca="false">IF(OR($E241="",$F241=""),"",MOD($F241-$E241,1)*24)</f>
        <v/>
      </c>
      <c r="M241" s="27" t="str">
        <f aca="false">IF($B241="","",IFERROR(INDEX(Properties!$D$5:$D$104,MATCH($B241,Properties!$A$5:$A$104,0)),"?"))</f>
        <v/>
      </c>
      <c r="N241" s="28" t="str">
        <f aca="false">IF($B241="","",IFERROR(IF($D241="Completed",INDEX(Properties!$I$5:$I$104,MATCH($B241,Properties!$A$5:$A$104,0))*(1+IF($G241="Y",Settings!$B$8,0))+IF($H241="Y",Settings!$B$7,0)+N($I241),IF($D241="Deep clean",INDEX(Settings!$E$22:$E$26,MATCH(MIN(INDEX(Properties!$E$5:$E$104,MATCH($B241,Properties!$A$5:$A$104,0)),4),Settings!$A$22:$A$26,0))+N($I241),IF($D241="Late cancel",INDEX(Properties!$I$5:$I$104,MATCH($B241,Properties!$A$5:$A$104,0))*Settings!$B$10,0))),0))</f>
        <v/>
      </c>
      <c r="O241" s="28" t="str">
        <f aca="false">IF($B241="","",IFERROR(IF($D241="Completed",INDEX(Properties!$L$5:$L$104,MATCH($B241,Properties!$A$5:$A$104,0))+IF($G241="Y",INDEX(Properties!$I$5:$I$104,MATCH($B241,Properties!$A$5:$A$104,0))*Settings!$B$8*Settings!$B$9,0)+IF($H241="Y",Settings!$B$7*Settings!$B$9,0)+N($I241)*Settings!$B$9,IF($D241="Deep clean",INDEX(Settings!$E$22:$E$26,MATCH(MIN(INDEX(Properties!$E$5:$E$104,MATCH($B241,Properties!$A$5:$A$104,0)),4),Settings!$A$22:$A$26,0))*Settings!$B$19+N($I241)*Settings!$B$9,IF($D241="Late cancel",INDEX(Properties!$L$5:$L$104,MATCH($B241,Properties!$A$5:$A$104,0))*Settings!$B$11,0))),0))</f>
        <v/>
      </c>
      <c r="P241" s="28" t="str">
        <f aca="false">IF($B241="","",$N241-$O241)</f>
        <v/>
      </c>
      <c r="Q241" s="29" t="str">
        <f aca="false">IF($A241="","",DATE(YEAR($A241),MONTH($A241),1))</f>
        <v/>
      </c>
      <c r="R241" s="30" t="str">
        <f aca="false">IF($A241="","",$A241+MOD(6-WEEKDAY($A241),7))</f>
        <v/>
      </c>
      <c r="S241" s="31" t="str">
        <f aca="false">IF($B241="","",IF(AND($M241='Invoice Builder'!$C$5,$Q241='Invoice Builder'!$C$6,N($N241)&gt;0),COUNTIFS($M$5:$M241,'Invoice Builder'!$C$5,$Q$5:$Q241,'Invoice Builder'!$C$6,$N$5:$N241,"&gt;0"),""))</f>
        <v/>
      </c>
      <c r="T241" s="27" t="str">
        <f aca="false">IF($A241="","",IF($A241&gt;=DATE(YEAR($A241),4,6),YEAR($A241)&amp;"/"&amp;RIGHT(YEAR($A241)+1,2),YEAR($A241)-1&amp;"/"&amp;RIGHT(YEAR($A241),2)))</f>
        <v/>
      </c>
    </row>
    <row r="242" customFormat="false" ht="15" hidden="false" customHeight="false" outlineLevel="0" collapsed="false">
      <c r="A242" s="22"/>
      <c r="B242" s="23"/>
      <c r="C242" s="23"/>
      <c r="D242" s="23"/>
      <c r="E242" s="24"/>
      <c r="F242" s="24"/>
      <c r="G242" s="23"/>
      <c r="H242" s="23"/>
      <c r="I242" s="25"/>
      <c r="J242" s="23"/>
      <c r="K242" s="23"/>
      <c r="L242" s="26" t="str">
        <f aca="false">IF(OR($E242="",$F242=""),"",MOD($F242-$E242,1)*24)</f>
        <v/>
      </c>
      <c r="M242" s="27" t="str">
        <f aca="false">IF($B242="","",IFERROR(INDEX(Properties!$D$5:$D$104,MATCH($B242,Properties!$A$5:$A$104,0)),"?"))</f>
        <v/>
      </c>
      <c r="N242" s="28" t="str">
        <f aca="false">IF($B242="","",IFERROR(IF($D242="Completed",INDEX(Properties!$I$5:$I$104,MATCH($B242,Properties!$A$5:$A$104,0))*(1+IF($G242="Y",Settings!$B$8,0))+IF($H242="Y",Settings!$B$7,0)+N($I242),IF($D242="Deep clean",INDEX(Settings!$E$22:$E$26,MATCH(MIN(INDEX(Properties!$E$5:$E$104,MATCH($B242,Properties!$A$5:$A$104,0)),4),Settings!$A$22:$A$26,0))+N($I242),IF($D242="Late cancel",INDEX(Properties!$I$5:$I$104,MATCH($B242,Properties!$A$5:$A$104,0))*Settings!$B$10,0))),0))</f>
        <v/>
      </c>
      <c r="O242" s="28" t="str">
        <f aca="false">IF($B242="","",IFERROR(IF($D242="Completed",INDEX(Properties!$L$5:$L$104,MATCH($B242,Properties!$A$5:$A$104,0))+IF($G242="Y",INDEX(Properties!$I$5:$I$104,MATCH($B242,Properties!$A$5:$A$104,0))*Settings!$B$8*Settings!$B$9,0)+IF($H242="Y",Settings!$B$7*Settings!$B$9,0)+N($I242)*Settings!$B$9,IF($D242="Deep clean",INDEX(Settings!$E$22:$E$26,MATCH(MIN(INDEX(Properties!$E$5:$E$104,MATCH($B242,Properties!$A$5:$A$104,0)),4),Settings!$A$22:$A$26,0))*Settings!$B$19+N($I242)*Settings!$B$9,IF($D242="Late cancel",INDEX(Properties!$L$5:$L$104,MATCH($B242,Properties!$A$5:$A$104,0))*Settings!$B$11,0))),0))</f>
        <v/>
      </c>
      <c r="P242" s="28" t="str">
        <f aca="false">IF($B242="","",$N242-$O242)</f>
        <v/>
      </c>
      <c r="Q242" s="29" t="str">
        <f aca="false">IF($A242="","",DATE(YEAR($A242),MONTH($A242),1))</f>
        <v/>
      </c>
      <c r="R242" s="30" t="str">
        <f aca="false">IF($A242="","",$A242+MOD(6-WEEKDAY($A242),7))</f>
        <v/>
      </c>
      <c r="S242" s="31" t="str">
        <f aca="false">IF($B242="","",IF(AND($M242='Invoice Builder'!$C$5,$Q242='Invoice Builder'!$C$6,N($N242)&gt;0),COUNTIFS($M$5:$M242,'Invoice Builder'!$C$5,$Q$5:$Q242,'Invoice Builder'!$C$6,$N$5:$N242,"&gt;0"),""))</f>
        <v/>
      </c>
      <c r="T242" s="27" t="str">
        <f aca="false">IF($A242="","",IF($A242&gt;=DATE(YEAR($A242),4,6),YEAR($A242)&amp;"/"&amp;RIGHT(YEAR($A242)+1,2),YEAR($A242)-1&amp;"/"&amp;RIGHT(YEAR($A242),2)))</f>
        <v/>
      </c>
    </row>
    <row r="243" customFormat="false" ht="15" hidden="false" customHeight="false" outlineLevel="0" collapsed="false">
      <c r="A243" s="22"/>
      <c r="B243" s="23"/>
      <c r="C243" s="23"/>
      <c r="D243" s="23"/>
      <c r="E243" s="24"/>
      <c r="F243" s="24"/>
      <c r="G243" s="23"/>
      <c r="H243" s="23"/>
      <c r="I243" s="25"/>
      <c r="J243" s="23"/>
      <c r="K243" s="23"/>
      <c r="L243" s="26" t="str">
        <f aca="false">IF(OR($E243="",$F243=""),"",MOD($F243-$E243,1)*24)</f>
        <v/>
      </c>
      <c r="M243" s="27" t="str">
        <f aca="false">IF($B243="","",IFERROR(INDEX(Properties!$D$5:$D$104,MATCH($B243,Properties!$A$5:$A$104,0)),"?"))</f>
        <v/>
      </c>
      <c r="N243" s="28" t="str">
        <f aca="false">IF($B243="","",IFERROR(IF($D243="Completed",INDEX(Properties!$I$5:$I$104,MATCH($B243,Properties!$A$5:$A$104,0))*(1+IF($G243="Y",Settings!$B$8,0))+IF($H243="Y",Settings!$B$7,0)+N($I243),IF($D243="Deep clean",INDEX(Settings!$E$22:$E$26,MATCH(MIN(INDEX(Properties!$E$5:$E$104,MATCH($B243,Properties!$A$5:$A$104,0)),4),Settings!$A$22:$A$26,0))+N($I243),IF($D243="Late cancel",INDEX(Properties!$I$5:$I$104,MATCH($B243,Properties!$A$5:$A$104,0))*Settings!$B$10,0))),0))</f>
        <v/>
      </c>
      <c r="O243" s="28" t="str">
        <f aca="false">IF($B243="","",IFERROR(IF($D243="Completed",INDEX(Properties!$L$5:$L$104,MATCH($B243,Properties!$A$5:$A$104,0))+IF($G243="Y",INDEX(Properties!$I$5:$I$104,MATCH($B243,Properties!$A$5:$A$104,0))*Settings!$B$8*Settings!$B$9,0)+IF($H243="Y",Settings!$B$7*Settings!$B$9,0)+N($I243)*Settings!$B$9,IF($D243="Deep clean",INDEX(Settings!$E$22:$E$26,MATCH(MIN(INDEX(Properties!$E$5:$E$104,MATCH($B243,Properties!$A$5:$A$104,0)),4),Settings!$A$22:$A$26,0))*Settings!$B$19+N($I243)*Settings!$B$9,IF($D243="Late cancel",INDEX(Properties!$L$5:$L$104,MATCH($B243,Properties!$A$5:$A$104,0))*Settings!$B$11,0))),0))</f>
        <v/>
      </c>
      <c r="P243" s="28" t="str">
        <f aca="false">IF($B243="","",$N243-$O243)</f>
        <v/>
      </c>
      <c r="Q243" s="29" t="str">
        <f aca="false">IF($A243="","",DATE(YEAR($A243),MONTH($A243),1))</f>
        <v/>
      </c>
      <c r="R243" s="30" t="str">
        <f aca="false">IF($A243="","",$A243+MOD(6-WEEKDAY($A243),7))</f>
        <v/>
      </c>
      <c r="S243" s="31" t="str">
        <f aca="false">IF($B243="","",IF(AND($M243='Invoice Builder'!$C$5,$Q243='Invoice Builder'!$C$6,N($N243)&gt;0),COUNTIFS($M$5:$M243,'Invoice Builder'!$C$5,$Q$5:$Q243,'Invoice Builder'!$C$6,$N$5:$N243,"&gt;0"),""))</f>
        <v/>
      </c>
      <c r="T243" s="27" t="str">
        <f aca="false">IF($A243="","",IF($A243&gt;=DATE(YEAR($A243),4,6),YEAR($A243)&amp;"/"&amp;RIGHT(YEAR($A243)+1,2),YEAR($A243)-1&amp;"/"&amp;RIGHT(YEAR($A243),2)))</f>
        <v/>
      </c>
    </row>
    <row r="244" customFormat="false" ht="15" hidden="false" customHeight="false" outlineLevel="0" collapsed="false">
      <c r="A244" s="22"/>
      <c r="B244" s="23"/>
      <c r="C244" s="23"/>
      <c r="D244" s="23"/>
      <c r="E244" s="24"/>
      <c r="F244" s="24"/>
      <c r="G244" s="23"/>
      <c r="H244" s="23"/>
      <c r="I244" s="25"/>
      <c r="J244" s="23"/>
      <c r="K244" s="23"/>
      <c r="L244" s="26" t="str">
        <f aca="false">IF(OR($E244="",$F244=""),"",MOD($F244-$E244,1)*24)</f>
        <v/>
      </c>
      <c r="M244" s="27" t="str">
        <f aca="false">IF($B244="","",IFERROR(INDEX(Properties!$D$5:$D$104,MATCH($B244,Properties!$A$5:$A$104,0)),"?"))</f>
        <v/>
      </c>
      <c r="N244" s="28" t="str">
        <f aca="false">IF($B244="","",IFERROR(IF($D244="Completed",INDEX(Properties!$I$5:$I$104,MATCH($B244,Properties!$A$5:$A$104,0))*(1+IF($G244="Y",Settings!$B$8,0))+IF($H244="Y",Settings!$B$7,0)+N($I244),IF($D244="Deep clean",INDEX(Settings!$E$22:$E$26,MATCH(MIN(INDEX(Properties!$E$5:$E$104,MATCH($B244,Properties!$A$5:$A$104,0)),4),Settings!$A$22:$A$26,0))+N($I244),IF($D244="Late cancel",INDEX(Properties!$I$5:$I$104,MATCH($B244,Properties!$A$5:$A$104,0))*Settings!$B$10,0))),0))</f>
        <v/>
      </c>
      <c r="O244" s="28" t="str">
        <f aca="false">IF($B244="","",IFERROR(IF($D244="Completed",INDEX(Properties!$L$5:$L$104,MATCH($B244,Properties!$A$5:$A$104,0))+IF($G244="Y",INDEX(Properties!$I$5:$I$104,MATCH($B244,Properties!$A$5:$A$104,0))*Settings!$B$8*Settings!$B$9,0)+IF($H244="Y",Settings!$B$7*Settings!$B$9,0)+N($I244)*Settings!$B$9,IF($D244="Deep clean",INDEX(Settings!$E$22:$E$26,MATCH(MIN(INDEX(Properties!$E$5:$E$104,MATCH($B244,Properties!$A$5:$A$104,0)),4),Settings!$A$22:$A$26,0))*Settings!$B$19+N($I244)*Settings!$B$9,IF($D244="Late cancel",INDEX(Properties!$L$5:$L$104,MATCH($B244,Properties!$A$5:$A$104,0))*Settings!$B$11,0))),0))</f>
        <v/>
      </c>
      <c r="P244" s="28" t="str">
        <f aca="false">IF($B244="","",$N244-$O244)</f>
        <v/>
      </c>
      <c r="Q244" s="29" t="str">
        <f aca="false">IF($A244="","",DATE(YEAR($A244),MONTH($A244),1))</f>
        <v/>
      </c>
      <c r="R244" s="30" t="str">
        <f aca="false">IF($A244="","",$A244+MOD(6-WEEKDAY($A244),7))</f>
        <v/>
      </c>
      <c r="S244" s="31" t="str">
        <f aca="false">IF($B244="","",IF(AND($M244='Invoice Builder'!$C$5,$Q244='Invoice Builder'!$C$6,N($N244)&gt;0),COUNTIFS($M$5:$M244,'Invoice Builder'!$C$5,$Q$5:$Q244,'Invoice Builder'!$C$6,$N$5:$N244,"&gt;0"),""))</f>
        <v/>
      </c>
      <c r="T244" s="27" t="str">
        <f aca="false">IF($A244="","",IF($A244&gt;=DATE(YEAR($A244),4,6),YEAR($A244)&amp;"/"&amp;RIGHT(YEAR($A244)+1,2),YEAR($A244)-1&amp;"/"&amp;RIGHT(YEAR($A244),2)))</f>
        <v/>
      </c>
    </row>
    <row r="245" customFormat="false" ht="15" hidden="false" customHeight="false" outlineLevel="0" collapsed="false">
      <c r="A245" s="22"/>
      <c r="B245" s="23"/>
      <c r="C245" s="23"/>
      <c r="D245" s="23"/>
      <c r="E245" s="24"/>
      <c r="F245" s="24"/>
      <c r="G245" s="23"/>
      <c r="H245" s="23"/>
      <c r="I245" s="25"/>
      <c r="J245" s="23"/>
      <c r="K245" s="23"/>
      <c r="L245" s="26" t="str">
        <f aca="false">IF(OR($E245="",$F245=""),"",MOD($F245-$E245,1)*24)</f>
        <v/>
      </c>
      <c r="M245" s="27" t="str">
        <f aca="false">IF($B245="","",IFERROR(INDEX(Properties!$D$5:$D$104,MATCH($B245,Properties!$A$5:$A$104,0)),"?"))</f>
        <v/>
      </c>
      <c r="N245" s="28" t="str">
        <f aca="false">IF($B245="","",IFERROR(IF($D245="Completed",INDEX(Properties!$I$5:$I$104,MATCH($B245,Properties!$A$5:$A$104,0))*(1+IF($G245="Y",Settings!$B$8,0))+IF($H245="Y",Settings!$B$7,0)+N($I245),IF($D245="Deep clean",INDEX(Settings!$E$22:$E$26,MATCH(MIN(INDEX(Properties!$E$5:$E$104,MATCH($B245,Properties!$A$5:$A$104,0)),4),Settings!$A$22:$A$26,0))+N($I245),IF($D245="Late cancel",INDEX(Properties!$I$5:$I$104,MATCH($B245,Properties!$A$5:$A$104,0))*Settings!$B$10,0))),0))</f>
        <v/>
      </c>
      <c r="O245" s="28" t="str">
        <f aca="false">IF($B245="","",IFERROR(IF($D245="Completed",INDEX(Properties!$L$5:$L$104,MATCH($B245,Properties!$A$5:$A$104,0))+IF($G245="Y",INDEX(Properties!$I$5:$I$104,MATCH($B245,Properties!$A$5:$A$104,0))*Settings!$B$8*Settings!$B$9,0)+IF($H245="Y",Settings!$B$7*Settings!$B$9,0)+N($I245)*Settings!$B$9,IF($D245="Deep clean",INDEX(Settings!$E$22:$E$26,MATCH(MIN(INDEX(Properties!$E$5:$E$104,MATCH($B245,Properties!$A$5:$A$104,0)),4),Settings!$A$22:$A$26,0))*Settings!$B$19+N($I245)*Settings!$B$9,IF($D245="Late cancel",INDEX(Properties!$L$5:$L$104,MATCH($B245,Properties!$A$5:$A$104,0))*Settings!$B$11,0))),0))</f>
        <v/>
      </c>
      <c r="P245" s="28" t="str">
        <f aca="false">IF($B245="","",$N245-$O245)</f>
        <v/>
      </c>
      <c r="Q245" s="29" t="str">
        <f aca="false">IF($A245="","",DATE(YEAR($A245),MONTH($A245),1))</f>
        <v/>
      </c>
      <c r="R245" s="30" t="str">
        <f aca="false">IF($A245="","",$A245+MOD(6-WEEKDAY($A245),7))</f>
        <v/>
      </c>
      <c r="S245" s="31" t="str">
        <f aca="false">IF($B245="","",IF(AND($M245='Invoice Builder'!$C$5,$Q245='Invoice Builder'!$C$6,N($N245)&gt;0),COUNTIFS($M$5:$M245,'Invoice Builder'!$C$5,$Q$5:$Q245,'Invoice Builder'!$C$6,$N$5:$N245,"&gt;0"),""))</f>
        <v/>
      </c>
      <c r="T245" s="27" t="str">
        <f aca="false">IF($A245="","",IF($A245&gt;=DATE(YEAR($A245),4,6),YEAR($A245)&amp;"/"&amp;RIGHT(YEAR($A245)+1,2),YEAR($A245)-1&amp;"/"&amp;RIGHT(YEAR($A245),2)))</f>
        <v/>
      </c>
    </row>
    <row r="246" customFormat="false" ht="15" hidden="false" customHeight="false" outlineLevel="0" collapsed="false">
      <c r="A246" s="22"/>
      <c r="B246" s="23"/>
      <c r="C246" s="23"/>
      <c r="D246" s="23"/>
      <c r="E246" s="24"/>
      <c r="F246" s="24"/>
      <c r="G246" s="23"/>
      <c r="H246" s="23"/>
      <c r="I246" s="25"/>
      <c r="J246" s="23"/>
      <c r="K246" s="23"/>
      <c r="L246" s="26" t="str">
        <f aca="false">IF(OR($E246="",$F246=""),"",MOD($F246-$E246,1)*24)</f>
        <v/>
      </c>
      <c r="M246" s="27" t="str">
        <f aca="false">IF($B246="","",IFERROR(INDEX(Properties!$D$5:$D$104,MATCH($B246,Properties!$A$5:$A$104,0)),"?"))</f>
        <v/>
      </c>
      <c r="N246" s="28" t="str">
        <f aca="false">IF($B246="","",IFERROR(IF($D246="Completed",INDEX(Properties!$I$5:$I$104,MATCH($B246,Properties!$A$5:$A$104,0))*(1+IF($G246="Y",Settings!$B$8,0))+IF($H246="Y",Settings!$B$7,0)+N($I246),IF($D246="Deep clean",INDEX(Settings!$E$22:$E$26,MATCH(MIN(INDEX(Properties!$E$5:$E$104,MATCH($B246,Properties!$A$5:$A$104,0)),4),Settings!$A$22:$A$26,0))+N($I246),IF($D246="Late cancel",INDEX(Properties!$I$5:$I$104,MATCH($B246,Properties!$A$5:$A$104,0))*Settings!$B$10,0))),0))</f>
        <v/>
      </c>
      <c r="O246" s="28" t="str">
        <f aca="false">IF($B246="","",IFERROR(IF($D246="Completed",INDEX(Properties!$L$5:$L$104,MATCH($B246,Properties!$A$5:$A$104,0))+IF($G246="Y",INDEX(Properties!$I$5:$I$104,MATCH($B246,Properties!$A$5:$A$104,0))*Settings!$B$8*Settings!$B$9,0)+IF($H246="Y",Settings!$B$7*Settings!$B$9,0)+N($I246)*Settings!$B$9,IF($D246="Deep clean",INDEX(Settings!$E$22:$E$26,MATCH(MIN(INDEX(Properties!$E$5:$E$104,MATCH($B246,Properties!$A$5:$A$104,0)),4),Settings!$A$22:$A$26,0))*Settings!$B$19+N($I246)*Settings!$B$9,IF($D246="Late cancel",INDEX(Properties!$L$5:$L$104,MATCH($B246,Properties!$A$5:$A$104,0))*Settings!$B$11,0))),0))</f>
        <v/>
      </c>
      <c r="P246" s="28" t="str">
        <f aca="false">IF($B246="","",$N246-$O246)</f>
        <v/>
      </c>
      <c r="Q246" s="29" t="str">
        <f aca="false">IF($A246="","",DATE(YEAR($A246),MONTH($A246),1))</f>
        <v/>
      </c>
      <c r="R246" s="30" t="str">
        <f aca="false">IF($A246="","",$A246+MOD(6-WEEKDAY($A246),7))</f>
        <v/>
      </c>
      <c r="S246" s="31" t="str">
        <f aca="false">IF($B246="","",IF(AND($M246='Invoice Builder'!$C$5,$Q246='Invoice Builder'!$C$6,N($N246)&gt;0),COUNTIFS($M$5:$M246,'Invoice Builder'!$C$5,$Q$5:$Q246,'Invoice Builder'!$C$6,$N$5:$N246,"&gt;0"),""))</f>
        <v/>
      </c>
      <c r="T246" s="27" t="str">
        <f aca="false">IF($A246="","",IF($A246&gt;=DATE(YEAR($A246),4,6),YEAR($A246)&amp;"/"&amp;RIGHT(YEAR($A246)+1,2),YEAR($A246)-1&amp;"/"&amp;RIGHT(YEAR($A246),2)))</f>
        <v/>
      </c>
    </row>
    <row r="247" customFormat="false" ht="15" hidden="false" customHeight="false" outlineLevel="0" collapsed="false">
      <c r="A247" s="22"/>
      <c r="B247" s="23"/>
      <c r="C247" s="23"/>
      <c r="D247" s="23"/>
      <c r="E247" s="24"/>
      <c r="F247" s="24"/>
      <c r="G247" s="23"/>
      <c r="H247" s="23"/>
      <c r="I247" s="25"/>
      <c r="J247" s="23"/>
      <c r="K247" s="23"/>
      <c r="L247" s="26" t="str">
        <f aca="false">IF(OR($E247="",$F247=""),"",MOD($F247-$E247,1)*24)</f>
        <v/>
      </c>
      <c r="M247" s="27" t="str">
        <f aca="false">IF($B247="","",IFERROR(INDEX(Properties!$D$5:$D$104,MATCH($B247,Properties!$A$5:$A$104,0)),"?"))</f>
        <v/>
      </c>
      <c r="N247" s="28" t="str">
        <f aca="false">IF($B247="","",IFERROR(IF($D247="Completed",INDEX(Properties!$I$5:$I$104,MATCH($B247,Properties!$A$5:$A$104,0))*(1+IF($G247="Y",Settings!$B$8,0))+IF($H247="Y",Settings!$B$7,0)+N($I247),IF($D247="Deep clean",INDEX(Settings!$E$22:$E$26,MATCH(MIN(INDEX(Properties!$E$5:$E$104,MATCH($B247,Properties!$A$5:$A$104,0)),4),Settings!$A$22:$A$26,0))+N($I247),IF($D247="Late cancel",INDEX(Properties!$I$5:$I$104,MATCH($B247,Properties!$A$5:$A$104,0))*Settings!$B$10,0))),0))</f>
        <v/>
      </c>
      <c r="O247" s="28" t="str">
        <f aca="false">IF($B247="","",IFERROR(IF($D247="Completed",INDEX(Properties!$L$5:$L$104,MATCH($B247,Properties!$A$5:$A$104,0))+IF($G247="Y",INDEX(Properties!$I$5:$I$104,MATCH($B247,Properties!$A$5:$A$104,0))*Settings!$B$8*Settings!$B$9,0)+IF($H247="Y",Settings!$B$7*Settings!$B$9,0)+N($I247)*Settings!$B$9,IF($D247="Deep clean",INDEX(Settings!$E$22:$E$26,MATCH(MIN(INDEX(Properties!$E$5:$E$104,MATCH($B247,Properties!$A$5:$A$104,0)),4),Settings!$A$22:$A$26,0))*Settings!$B$19+N($I247)*Settings!$B$9,IF($D247="Late cancel",INDEX(Properties!$L$5:$L$104,MATCH($B247,Properties!$A$5:$A$104,0))*Settings!$B$11,0))),0))</f>
        <v/>
      </c>
      <c r="P247" s="28" t="str">
        <f aca="false">IF($B247="","",$N247-$O247)</f>
        <v/>
      </c>
      <c r="Q247" s="29" t="str">
        <f aca="false">IF($A247="","",DATE(YEAR($A247),MONTH($A247),1))</f>
        <v/>
      </c>
      <c r="R247" s="30" t="str">
        <f aca="false">IF($A247="","",$A247+MOD(6-WEEKDAY($A247),7))</f>
        <v/>
      </c>
      <c r="S247" s="31" t="str">
        <f aca="false">IF($B247="","",IF(AND($M247='Invoice Builder'!$C$5,$Q247='Invoice Builder'!$C$6,N($N247)&gt;0),COUNTIFS($M$5:$M247,'Invoice Builder'!$C$5,$Q$5:$Q247,'Invoice Builder'!$C$6,$N$5:$N247,"&gt;0"),""))</f>
        <v/>
      </c>
      <c r="T247" s="27" t="str">
        <f aca="false">IF($A247="","",IF($A247&gt;=DATE(YEAR($A247),4,6),YEAR($A247)&amp;"/"&amp;RIGHT(YEAR($A247)+1,2),YEAR($A247)-1&amp;"/"&amp;RIGHT(YEAR($A247),2)))</f>
        <v/>
      </c>
    </row>
    <row r="248" customFormat="false" ht="15" hidden="false" customHeight="false" outlineLevel="0" collapsed="false">
      <c r="A248" s="22"/>
      <c r="B248" s="23"/>
      <c r="C248" s="23"/>
      <c r="D248" s="23"/>
      <c r="E248" s="24"/>
      <c r="F248" s="24"/>
      <c r="G248" s="23"/>
      <c r="H248" s="23"/>
      <c r="I248" s="25"/>
      <c r="J248" s="23"/>
      <c r="K248" s="23"/>
      <c r="L248" s="26" t="str">
        <f aca="false">IF(OR($E248="",$F248=""),"",MOD($F248-$E248,1)*24)</f>
        <v/>
      </c>
      <c r="M248" s="27" t="str">
        <f aca="false">IF($B248="","",IFERROR(INDEX(Properties!$D$5:$D$104,MATCH($B248,Properties!$A$5:$A$104,0)),"?"))</f>
        <v/>
      </c>
      <c r="N248" s="28" t="str">
        <f aca="false">IF($B248="","",IFERROR(IF($D248="Completed",INDEX(Properties!$I$5:$I$104,MATCH($B248,Properties!$A$5:$A$104,0))*(1+IF($G248="Y",Settings!$B$8,0))+IF($H248="Y",Settings!$B$7,0)+N($I248),IF($D248="Deep clean",INDEX(Settings!$E$22:$E$26,MATCH(MIN(INDEX(Properties!$E$5:$E$104,MATCH($B248,Properties!$A$5:$A$104,0)),4),Settings!$A$22:$A$26,0))+N($I248),IF($D248="Late cancel",INDEX(Properties!$I$5:$I$104,MATCH($B248,Properties!$A$5:$A$104,0))*Settings!$B$10,0))),0))</f>
        <v/>
      </c>
      <c r="O248" s="28" t="str">
        <f aca="false">IF($B248="","",IFERROR(IF($D248="Completed",INDEX(Properties!$L$5:$L$104,MATCH($B248,Properties!$A$5:$A$104,0))+IF($G248="Y",INDEX(Properties!$I$5:$I$104,MATCH($B248,Properties!$A$5:$A$104,0))*Settings!$B$8*Settings!$B$9,0)+IF($H248="Y",Settings!$B$7*Settings!$B$9,0)+N($I248)*Settings!$B$9,IF($D248="Deep clean",INDEX(Settings!$E$22:$E$26,MATCH(MIN(INDEX(Properties!$E$5:$E$104,MATCH($B248,Properties!$A$5:$A$104,0)),4),Settings!$A$22:$A$26,0))*Settings!$B$19+N($I248)*Settings!$B$9,IF($D248="Late cancel",INDEX(Properties!$L$5:$L$104,MATCH($B248,Properties!$A$5:$A$104,0))*Settings!$B$11,0))),0))</f>
        <v/>
      </c>
      <c r="P248" s="28" t="str">
        <f aca="false">IF($B248="","",$N248-$O248)</f>
        <v/>
      </c>
      <c r="Q248" s="29" t="str">
        <f aca="false">IF($A248="","",DATE(YEAR($A248),MONTH($A248),1))</f>
        <v/>
      </c>
      <c r="R248" s="30" t="str">
        <f aca="false">IF($A248="","",$A248+MOD(6-WEEKDAY($A248),7))</f>
        <v/>
      </c>
      <c r="S248" s="31" t="str">
        <f aca="false">IF($B248="","",IF(AND($M248='Invoice Builder'!$C$5,$Q248='Invoice Builder'!$C$6,N($N248)&gt;0),COUNTIFS($M$5:$M248,'Invoice Builder'!$C$5,$Q$5:$Q248,'Invoice Builder'!$C$6,$N$5:$N248,"&gt;0"),""))</f>
        <v/>
      </c>
      <c r="T248" s="27" t="str">
        <f aca="false">IF($A248="","",IF($A248&gt;=DATE(YEAR($A248),4,6),YEAR($A248)&amp;"/"&amp;RIGHT(YEAR($A248)+1,2),YEAR($A248)-1&amp;"/"&amp;RIGHT(YEAR($A248),2)))</f>
        <v/>
      </c>
    </row>
    <row r="249" customFormat="false" ht="15" hidden="false" customHeight="false" outlineLevel="0" collapsed="false">
      <c r="A249" s="22"/>
      <c r="B249" s="23"/>
      <c r="C249" s="23"/>
      <c r="D249" s="23"/>
      <c r="E249" s="24"/>
      <c r="F249" s="24"/>
      <c r="G249" s="23"/>
      <c r="H249" s="23"/>
      <c r="I249" s="25"/>
      <c r="J249" s="23"/>
      <c r="K249" s="23"/>
      <c r="L249" s="26" t="str">
        <f aca="false">IF(OR($E249="",$F249=""),"",MOD($F249-$E249,1)*24)</f>
        <v/>
      </c>
      <c r="M249" s="27" t="str">
        <f aca="false">IF($B249="","",IFERROR(INDEX(Properties!$D$5:$D$104,MATCH($B249,Properties!$A$5:$A$104,0)),"?"))</f>
        <v/>
      </c>
      <c r="N249" s="28" t="str">
        <f aca="false">IF($B249="","",IFERROR(IF($D249="Completed",INDEX(Properties!$I$5:$I$104,MATCH($B249,Properties!$A$5:$A$104,0))*(1+IF($G249="Y",Settings!$B$8,0))+IF($H249="Y",Settings!$B$7,0)+N($I249),IF($D249="Deep clean",INDEX(Settings!$E$22:$E$26,MATCH(MIN(INDEX(Properties!$E$5:$E$104,MATCH($B249,Properties!$A$5:$A$104,0)),4),Settings!$A$22:$A$26,0))+N($I249),IF($D249="Late cancel",INDEX(Properties!$I$5:$I$104,MATCH($B249,Properties!$A$5:$A$104,0))*Settings!$B$10,0))),0))</f>
        <v/>
      </c>
      <c r="O249" s="28" t="str">
        <f aca="false">IF($B249="","",IFERROR(IF($D249="Completed",INDEX(Properties!$L$5:$L$104,MATCH($B249,Properties!$A$5:$A$104,0))+IF($G249="Y",INDEX(Properties!$I$5:$I$104,MATCH($B249,Properties!$A$5:$A$104,0))*Settings!$B$8*Settings!$B$9,0)+IF($H249="Y",Settings!$B$7*Settings!$B$9,0)+N($I249)*Settings!$B$9,IF($D249="Deep clean",INDEX(Settings!$E$22:$E$26,MATCH(MIN(INDEX(Properties!$E$5:$E$104,MATCH($B249,Properties!$A$5:$A$104,0)),4),Settings!$A$22:$A$26,0))*Settings!$B$19+N($I249)*Settings!$B$9,IF($D249="Late cancel",INDEX(Properties!$L$5:$L$104,MATCH($B249,Properties!$A$5:$A$104,0))*Settings!$B$11,0))),0))</f>
        <v/>
      </c>
      <c r="P249" s="28" t="str">
        <f aca="false">IF($B249="","",$N249-$O249)</f>
        <v/>
      </c>
      <c r="Q249" s="29" t="str">
        <f aca="false">IF($A249="","",DATE(YEAR($A249),MONTH($A249),1))</f>
        <v/>
      </c>
      <c r="R249" s="30" t="str">
        <f aca="false">IF($A249="","",$A249+MOD(6-WEEKDAY($A249),7))</f>
        <v/>
      </c>
      <c r="S249" s="31" t="str">
        <f aca="false">IF($B249="","",IF(AND($M249='Invoice Builder'!$C$5,$Q249='Invoice Builder'!$C$6,N($N249)&gt;0),COUNTIFS($M$5:$M249,'Invoice Builder'!$C$5,$Q$5:$Q249,'Invoice Builder'!$C$6,$N$5:$N249,"&gt;0"),""))</f>
        <v/>
      </c>
      <c r="T249" s="27" t="str">
        <f aca="false">IF($A249="","",IF($A249&gt;=DATE(YEAR($A249),4,6),YEAR($A249)&amp;"/"&amp;RIGHT(YEAR($A249)+1,2),YEAR($A249)-1&amp;"/"&amp;RIGHT(YEAR($A249),2)))</f>
        <v/>
      </c>
    </row>
    <row r="250" customFormat="false" ht="15" hidden="false" customHeight="false" outlineLevel="0" collapsed="false">
      <c r="A250" s="22"/>
      <c r="B250" s="23"/>
      <c r="C250" s="23"/>
      <c r="D250" s="23"/>
      <c r="E250" s="24"/>
      <c r="F250" s="24"/>
      <c r="G250" s="23"/>
      <c r="H250" s="23"/>
      <c r="I250" s="25"/>
      <c r="J250" s="23"/>
      <c r="K250" s="23"/>
      <c r="L250" s="26" t="str">
        <f aca="false">IF(OR($E250="",$F250=""),"",MOD($F250-$E250,1)*24)</f>
        <v/>
      </c>
      <c r="M250" s="27" t="str">
        <f aca="false">IF($B250="","",IFERROR(INDEX(Properties!$D$5:$D$104,MATCH($B250,Properties!$A$5:$A$104,0)),"?"))</f>
        <v/>
      </c>
      <c r="N250" s="28" t="str">
        <f aca="false">IF($B250="","",IFERROR(IF($D250="Completed",INDEX(Properties!$I$5:$I$104,MATCH($B250,Properties!$A$5:$A$104,0))*(1+IF($G250="Y",Settings!$B$8,0))+IF($H250="Y",Settings!$B$7,0)+N($I250),IF($D250="Deep clean",INDEX(Settings!$E$22:$E$26,MATCH(MIN(INDEX(Properties!$E$5:$E$104,MATCH($B250,Properties!$A$5:$A$104,0)),4),Settings!$A$22:$A$26,0))+N($I250),IF($D250="Late cancel",INDEX(Properties!$I$5:$I$104,MATCH($B250,Properties!$A$5:$A$104,0))*Settings!$B$10,0))),0))</f>
        <v/>
      </c>
      <c r="O250" s="28" t="str">
        <f aca="false">IF($B250="","",IFERROR(IF($D250="Completed",INDEX(Properties!$L$5:$L$104,MATCH($B250,Properties!$A$5:$A$104,0))+IF($G250="Y",INDEX(Properties!$I$5:$I$104,MATCH($B250,Properties!$A$5:$A$104,0))*Settings!$B$8*Settings!$B$9,0)+IF($H250="Y",Settings!$B$7*Settings!$B$9,0)+N($I250)*Settings!$B$9,IF($D250="Deep clean",INDEX(Settings!$E$22:$E$26,MATCH(MIN(INDEX(Properties!$E$5:$E$104,MATCH($B250,Properties!$A$5:$A$104,0)),4),Settings!$A$22:$A$26,0))*Settings!$B$19+N($I250)*Settings!$B$9,IF($D250="Late cancel",INDEX(Properties!$L$5:$L$104,MATCH($B250,Properties!$A$5:$A$104,0))*Settings!$B$11,0))),0))</f>
        <v/>
      </c>
      <c r="P250" s="28" t="str">
        <f aca="false">IF($B250="","",$N250-$O250)</f>
        <v/>
      </c>
      <c r="Q250" s="29" t="str">
        <f aca="false">IF($A250="","",DATE(YEAR($A250),MONTH($A250),1))</f>
        <v/>
      </c>
      <c r="R250" s="30" t="str">
        <f aca="false">IF($A250="","",$A250+MOD(6-WEEKDAY($A250),7))</f>
        <v/>
      </c>
      <c r="S250" s="31" t="str">
        <f aca="false">IF($B250="","",IF(AND($M250='Invoice Builder'!$C$5,$Q250='Invoice Builder'!$C$6,N($N250)&gt;0),COUNTIFS($M$5:$M250,'Invoice Builder'!$C$5,$Q$5:$Q250,'Invoice Builder'!$C$6,$N$5:$N250,"&gt;0"),""))</f>
        <v/>
      </c>
      <c r="T250" s="27" t="str">
        <f aca="false">IF($A250="","",IF($A250&gt;=DATE(YEAR($A250),4,6),YEAR($A250)&amp;"/"&amp;RIGHT(YEAR($A250)+1,2),YEAR($A250)-1&amp;"/"&amp;RIGHT(YEAR($A250),2)))</f>
        <v/>
      </c>
    </row>
    <row r="251" customFormat="false" ht="15" hidden="false" customHeight="false" outlineLevel="0" collapsed="false">
      <c r="A251" s="22"/>
      <c r="B251" s="23"/>
      <c r="C251" s="23"/>
      <c r="D251" s="23"/>
      <c r="E251" s="24"/>
      <c r="F251" s="24"/>
      <c r="G251" s="23"/>
      <c r="H251" s="23"/>
      <c r="I251" s="25"/>
      <c r="J251" s="23"/>
      <c r="K251" s="23"/>
      <c r="L251" s="26" t="str">
        <f aca="false">IF(OR($E251="",$F251=""),"",MOD($F251-$E251,1)*24)</f>
        <v/>
      </c>
      <c r="M251" s="27" t="str">
        <f aca="false">IF($B251="","",IFERROR(INDEX(Properties!$D$5:$D$104,MATCH($B251,Properties!$A$5:$A$104,0)),"?"))</f>
        <v/>
      </c>
      <c r="N251" s="28" t="str">
        <f aca="false">IF($B251="","",IFERROR(IF($D251="Completed",INDEX(Properties!$I$5:$I$104,MATCH($B251,Properties!$A$5:$A$104,0))*(1+IF($G251="Y",Settings!$B$8,0))+IF($H251="Y",Settings!$B$7,0)+N($I251),IF($D251="Deep clean",INDEX(Settings!$E$22:$E$26,MATCH(MIN(INDEX(Properties!$E$5:$E$104,MATCH($B251,Properties!$A$5:$A$104,0)),4),Settings!$A$22:$A$26,0))+N($I251),IF($D251="Late cancel",INDEX(Properties!$I$5:$I$104,MATCH($B251,Properties!$A$5:$A$104,0))*Settings!$B$10,0))),0))</f>
        <v/>
      </c>
      <c r="O251" s="28" t="str">
        <f aca="false">IF($B251="","",IFERROR(IF($D251="Completed",INDEX(Properties!$L$5:$L$104,MATCH($B251,Properties!$A$5:$A$104,0))+IF($G251="Y",INDEX(Properties!$I$5:$I$104,MATCH($B251,Properties!$A$5:$A$104,0))*Settings!$B$8*Settings!$B$9,0)+IF($H251="Y",Settings!$B$7*Settings!$B$9,0)+N($I251)*Settings!$B$9,IF($D251="Deep clean",INDEX(Settings!$E$22:$E$26,MATCH(MIN(INDEX(Properties!$E$5:$E$104,MATCH($B251,Properties!$A$5:$A$104,0)),4),Settings!$A$22:$A$26,0))*Settings!$B$19+N($I251)*Settings!$B$9,IF($D251="Late cancel",INDEX(Properties!$L$5:$L$104,MATCH($B251,Properties!$A$5:$A$104,0))*Settings!$B$11,0))),0))</f>
        <v/>
      </c>
      <c r="P251" s="28" t="str">
        <f aca="false">IF($B251="","",$N251-$O251)</f>
        <v/>
      </c>
      <c r="Q251" s="29" t="str">
        <f aca="false">IF($A251="","",DATE(YEAR($A251),MONTH($A251),1))</f>
        <v/>
      </c>
      <c r="R251" s="30" t="str">
        <f aca="false">IF($A251="","",$A251+MOD(6-WEEKDAY($A251),7))</f>
        <v/>
      </c>
      <c r="S251" s="31" t="str">
        <f aca="false">IF($B251="","",IF(AND($M251='Invoice Builder'!$C$5,$Q251='Invoice Builder'!$C$6,N($N251)&gt;0),COUNTIFS($M$5:$M251,'Invoice Builder'!$C$5,$Q$5:$Q251,'Invoice Builder'!$C$6,$N$5:$N251,"&gt;0"),""))</f>
        <v/>
      </c>
      <c r="T251" s="27" t="str">
        <f aca="false">IF($A251="","",IF($A251&gt;=DATE(YEAR($A251),4,6),YEAR($A251)&amp;"/"&amp;RIGHT(YEAR($A251)+1,2),YEAR($A251)-1&amp;"/"&amp;RIGHT(YEAR($A251),2)))</f>
        <v/>
      </c>
    </row>
    <row r="252" customFormat="false" ht="15" hidden="false" customHeight="false" outlineLevel="0" collapsed="false">
      <c r="A252" s="22"/>
      <c r="B252" s="23"/>
      <c r="C252" s="23"/>
      <c r="D252" s="23"/>
      <c r="E252" s="24"/>
      <c r="F252" s="24"/>
      <c r="G252" s="23"/>
      <c r="H252" s="23"/>
      <c r="I252" s="25"/>
      <c r="J252" s="23"/>
      <c r="K252" s="23"/>
      <c r="L252" s="26" t="str">
        <f aca="false">IF(OR($E252="",$F252=""),"",MOD($F252-$E252,1)*24)</f>
        <v/>
      </c>
      <c r="M252" s="27" t="str">
        <f aca="false">IF($B252="","",IFERROR(INDEX(Properties!$D$5:$D$104,MATCH($B252,Properties!$A$5:$A$104,0)),"?"))</f>
        <v/>
      </c>
      <c r="N252" s="28" t="str">
        <f aca="false">IF($B252="","",IFERROR(IF($D252="Completed",INDEX(Properties!$I$5:$I$104,MATCH($B252,Properties!$A$5:$A$104,0))*(1+IF($G252="Y",Settings!$B$8,0))+IF($H252="Y",Settings!$B$7,0)+N($I252),IF($D252="Deep clean",INDEX(Settings!$E$22:$E$26,MATCH(MIN(INDEX(Properties!$E$5:$E$104,MATCH($B252,Properties!$A$5:$A$104,0)),4),Settings!$A$22:$A$26,0))+N($I252),IF($D252="Late cancel",INDEX(Properties!$I$5:$I$104,MATCH($B252,Properties!$A$5:$A$104,0))*Settings!$B$10,0))),0))</f>
        <v/>
      </c>
      <c r="O252" s="28" t="str">
        <f aca="false">IF($B252="","",IFERROR(IF($D252="Completed",INDEX(Properties!$L$5:$L$104,MATCH($B252,Properties!$A$5:$A$104,0))+IF($G252="Y",INDEX(Properties!$I$5:$I$104,MATCH($B252,Properties!$A$5:$A$104,0))*Settings!$B$8*Settings!$B$9,0)+IF($H252="Y",Settings!$B$7*Settings!$B$9,0)+N($I252)*Settings!$B$9,IF($D252="Deep clean",INDEX(Settings!$E$22:$E$26,MATCH(MIN(INDEX(Properties!$E$5:$E$104,MATCH($B252,Properties!$A$5:$A$104,0)),4),Settings!$A$22:$A$26,0))*Settings!$B$19+N($I252)*Settings!$B$9,IF($D252="Late cancel",INDEX(Properties!$L$5:$L$104,MATCH($B252,Properties!$A$5:$A$104,0))*Settings!$B$11,0))),0))</f>
        <v/>
      </c>
      <c r="P252" s="28" t="str">
        <f aca="false">IF($B252="","",$N252-$O252)</f>
        <v/>
      </c>
      <c r="Q252" s="29" t="str">
        <f aca="false">IF($A252="","",DATE(YEAR($A252),MONTH($A252),1))</f>
        <v/>
      </c>
      <c r="R252" s="30" t="str">
        <f aca="false">IF($A252="","",$A252+MOD(6-WEEKDAY($A252),7))</f>
        <v/>
      </c>
      <c r="S252" s="31" t="str">
        <f aca="false">IF($B252="","",IF(AND($M252='Invoice Builder'!$C$5,$Q252='Invoice Builder'!$C$6,N($N252)&gt;0),COUNTIFS($M$5:$M252,'Invoice Builder'!$C$5,$Q$5:$Q252,'Invoice Builder'!$C$6,$N$5:$N252,"&gt;0"),""))</f>
        <v/>
      </c>
      <c r="T252" s="27" t="str">
        <f aca="false">IF($A252="","",IF($A252&gt;=DATE(YEAR($A252),4,6),YEAR($A252)&amp;"/"&amp;RIGHT(YEAR($A252)+1,2),YEAR($A252)-1&amp;"/"&amp;RIGHT(YEAR($A252),2)))</f>
        <v/>
      </c>
    </row>
    <row r="253" customFormat="false" ht="15" hidden="false" customHeight="false" outlineLevel="0" collapsed="false">
      <c r="A253" s="22"/>
      <c r="B253" s="23"/>
      <c r="C253" s="23"/>
      <c r="D253" s="23"/>
      <c r="E253" s="24"/>
      <c r="F253" s="24"/>
      <c r="G253" s="23"/>
      <c r="H253" s="23"/>
      <c r="I253" s="25"/>
      <c r="J253" s="23"/>
      <c r="K253" s="23"/>
      <c r="L253" s="26" t="str">
        <f aca="false">IF(OR($E253="",$F253=""),"",MOD($F253-$E253,1)*24)</f>
        <v/>
      </c>
      <c r="M253" s="27" t="str">
        <f aca="false">IF($B253="","",IFERROR(INDEX(Properties!$D$5:$D$104,MATCH($B253,Properties!$A$5:$A$104,0)),"?"))</f>
        <v/>
      </c>
      <c r="N253" s="28" t="str">
        <f aca="false">IF($B253="","",IFERROR(IF($D253="Completed",INDEX(Properties!$I$5:$I$104,MATCH($B253,Properties!$A$5:$A$104,0))*(1+IF($G253="Y",Settings!$B$8,0))+IF($H253="Y",Settings!$B$7,0)+N($I253),IF($D253="Deep clean",INDEX(Settings!$E$22:$E$26,MATCH(MIN(INDEX(Properties!$E$5:$E$104,MATCH($B253,Properties!$A$5:$A$104,0)),4),Settings!$A$22:$A$26,0))+N($I253),IF($D253="Late cancel",INDEX(Properties!$I$5:$I$104,MATCH($B253,Properties!$A$5:$A$104,0))*Settings!$B$10,0))),0))</f>
        <v/>
      </c>
      <c r="O253" s="28" t="str">
        <f aca="false">IF($B253="","",IFERROR(IF($D253="Completed",INDEX(Properties!$L$5:$L$104,MATCH($B253,Properties!$A$5:$A$104,0))+IF($G253="Y",INDEX(Properties!$I$5:$I$104,MATCH($B253,Properties!$A$5:$A$104,0))*Settings!$B$8*Settings!$B$9,0)+IF($H253="Y",Settings!$B$7*Settings!$B$9,0)+N($I253)*Settings!$B$9,IF($D253="Deep clean",INDEX(Settings!$E$22:$E$26,MATCH(MIN(INDEX(Properties!$E$5:$E$104,MATCH($B253,Properties!$A$5:$A$104,0)),4),Settings!$A$22:$A$26,0))*Settings!$B$19+N($I253)*Settings!$B$9,IF($D253="Late cancel",INDEX(Properties!$L$5:$L$104,MATCH($B253,Properties!$A$5:$A$104,0))*Settings!$B$11,0))),0))</f>
        <v/>
      </c>
      <c r="P253" s="28" t="str">
        <f aca="false">IF($B253="","",$N253-$O253)</f>
        <v/>
      </c>
      <c r="Q253" s="29" t="str">
        <f aca="false">IF($A253="","",DATE(YEAR($A253),MONTH($A253),1))</f>
        <v/>
      </c>
      <c r="R253" s="30" t="str">
        <f aca="false">IF($A253="","",$A253+MOD(6-WEEKDAY($A253),7))</f>
        <v/>
      </c>
      <c r="S253" s="31" t="str">
        <f aca="false">IF($B253="","",IF(AND($M253='Invoice Builder'!$C$5,$Q253='Invoice Builder'!$C$6,N($N253)&gt;0),COUNTIFS($M$5:$M253,'Invoice Builder'!$C$5,$Q$5:$Q253,'Invoice Builder'!$C$6,$N$5:$N253,"&gt;0"),""))</f>
        <v/>
      </c>
      <c r="T253" s="27" t="str">
        <f aca="false">IF($A253="","",IF($A253&gt;=DATE(YEAR($A253),4,6),YEAR($A253)&amp;"/"&amp;RIGHT(YEAR($A253)+1,2),YEAR($A253)-1&amp;"/"&amp;RIGHT(YEAR($A253),2)))</f>
        <v/>
      </c>
    </row>
    <row r="254" customFormat="false" ht="15" hidden="false" customHeight="false" outlineLevel="0" collapsed="false">
      <c r="A254" s="22"/>
      <c r="B254" s="23"/>
      <c r="C254" s="23"/>
      <c r="D254" s="23"/>
      <c r="E254" s="24"/>
      <c r="F254" s="24"/>
      <c r="G254" s="23"/>
      <c r="H254" s="23"/>
      <c r="I254" s="25"/>
      <c r="J254" s="23"/>
      <c r="K254" s="23"/>
      <c r="L254" s="26" t="str">
        <f aca="false">IF(OR($E254="",$F254=""),"",MOD($F254-$E254,1)*24)</f>
        <v/>
      </c>
      <c r="M254" s="27" t="str">
        <f aca="false">IF($B254="","",IFERROR(INDEX(Properties!$D$5:$D$104,MATCH($B254,Properties!$A$5:$A$104,0)),"?"))</f>
        <v/>
      </c>
      <c r="N254" s="28" t="str">
        <f aca="false">IF($B254="","",IFERROR(IF($D254="Completed",INDEX(Properties!$I$5:$I$104,MATCH($B254,Properties!$A$5:$A$104,0))*(1+IF($G254="Y",Settings!$B$8,0))+IF($H254="Y",Settings!$B$7,0)+N($I254),IF($D254="Deep clean",INDEX(Settings!$E$22:$E$26,MATCH(MIN(INDEX(Properties!$E$5:$E$104,MATCH($B254,Properties!$A$5:$A$104,0)),4),Settings!$A$22:$A$26,0))+N($I254),IF($D254="Late cancel",INDEX(Properties!$I$5:$I$104,MATCH($B254,Properties!$A$5:$A$104,0))*Settings!$B$10,0))),0))</f>
        <v/>
      </c>
      <c r="O254" s="28" t="str">
        <f aca="false">IF($B254="","",IFERROR(IF($D254="Completed",INDEX(Properties!$L$5:$L$104,MATCH($B254,Properties!$A$5:$A$104,0))+IF($G254="Y",INDEX(Properties!$I$5:$I$104,MATCH($B254,Properties!$A$5:$A$104,0))*Settings!$B$8*Settings!$B$9,0)+IF($H254="Y",Settings!$B$7*Settings!$B$9,0)+N($I254)*Settings!$B$9,IF($D254="Deep clean",INDEX(Settings!$E$22:$E$26,MATCH(MIN(INDEX(Properties!$E$5:$E$104,MATCH($B254,Properties!$A$5:$A$104,0)),4),Settings!$A$22:$A$26,0))*Settings!$B$19+N($I254)*Settings!$B$9,IF($D254="Late cancel",INDEX(Properties!$L$5:$L$104,MATCH($B254,Properties!$A$5:$A$104,0))*Settings!$B$11,0))),0))</f>
        <v/>
      </c>
      <c r="P254" s="28" t="str">
        <f aca="false">IF($B254="","",$N254-$O254)</f>
        <v/>
      </c>
      <c r="Q254" s="29" t="str">
        <f aca="false">IF($A254="","",DATE(YEAR($A254),MONTH($A254),1))</f>
        <v/>
      </c>
      <c r="R254" s="30" t="str">
        <f aca="false">IF($A254="","",$A254+MOD(6-WEEKDAY($A254),7))</f>
        <v/>
      </c>
      <c r="S254" s="31" t="str">
        <f aca="false">IF($B254="","",IF(AND($M254='Invoice Builder'!$C$5,$Q254='Invoice Builder'!$C$6,N($N254)&gt;0),COUNTIFS($M$5:$M254,'Invoice Builder'!$C$5,$Q$5:$Q254,'Invoice Builder'!$C$6,$N$5:$N254,"&gt;0"),""))</f>
        <v/>
      </c>
      <c r="T254" s="27" t="str">
        <f aca="false">IF($A254="","",IF($A254&gt;=DATE(YEAR($A254),4,6),YEAR($A254)&amp;"/"&amp;RIGHT(YEAR($A254)+1,2),YEAR($A254)-1&amp;"/"&amp;RIGHT(YEAR($A254),2)))</f>
        <v/>
      </c>
    </row>
    <row r="255" customFormat="false" ht="15" hidden="false" customHeight="false" outlineLevel="0" collapsed="false">
      <c r="A255" s="22"/>
      <c r="B255" s="23"/>
      <c r="C255" s="23"/>
      <c r="D255" s="23"/>
      <c r="E255" s="24"/>
      <c r="F255" s="24"/>
      <c r="G255" s="23"/>
      <c r="H255" s="23"/>
      <c r="I255" s="25"/>
      <c r="J255" s="23"/>
      <c r="K255" s="23"/>
      <c r="L255" s="26" t="str">
        <f aca="false">IF(OR($E255="",$F255=""),"",MOD($F255-$E255,1)*24)</f>
        <v/>
      </c>
      <c r="M255" s="27" t="str">
        <f aca="false">IF($B255="","",IFERROR(INDEX(Properties!$D$5:$D$104,MATCH($B255,Properties!$A$5:$A$104,0)),"?"))</f>
        <v/>
      </c>
      <c r="N255" s="28" t="str">
        <f aca="false">IF($B255="","",IFERROR(IF($D255="Completed",INDEX(Properties!$I$5:$I$104,MATCH($B255,Properties!$A$5:$A$104,0))*(1+IF($G255="Y",Settings!$B$8,0))+IF($H255="Y",Settings!$B$7,0)+N($I255),IF($D255="Deep clean",INDEX(Settings!$E$22:$E$26,MATCH(MIN(INDEX(Properties!$E$5:$E$104,MATCH($B255,Properties!$A$5:$A$104,0)),4),Settings!$A$22:$A$26,0))+N($I255),IF($D255="Late cancel",INDEX(Properties!$I$5:$I$104,MATCH($B255,Properties!$A$5:$A$104,0))*Settings!$B$10,0))),0))</f>
        <v/>
      </c>
      <c r="O255" s="28" t="str">
        <f aca="false">IF($B255="","",IFERROR(IF($D255="Completed",INDEX(Properties!$L$5:$L$104,MATCH($B255,Properties!$A$5:$A$104,0))+IF($G255="Y",INDEX(Properties!$I$5:$I$104,MATCH($B255,Properties!$A$5:$A$104,0))*Settings!$B$8*Settings!$B$9,0)+IF($H255="Y",Settings!$B$7*Settings!$B$9,0)+N($I255)*Settings!$B$9,IF($D255="Deep clean",INDEX(Settings!$E$22:$E$26,MATCH(MIN(INDEX(Properties!$E$5:$E$104,MATCH($B255,Properties!$A$5:$A$104,0)),4),Settings!$A$22:$A$26,0))*Settings!$B$19+N($I255)*Settings!$B$9,IF($D255="Late cancel",INDEX(Properties!$L$5:$L$104,MATCH($B255,Properties!$A$5:$A$104,0))*Settings!$B$11,0))),0))</f>
        <v/>
      </c>
      <c r="P255" s="28" t="str">
        <f aca="false">IF($B255="","",$N255-$O255)</f>
        <v/>
      </c>
      <c r="Q255" s="29" t="str">
        <f aca="false">IF($A255="","",DATE(YEAR($A255),MONTH($A255),1))</f>
        <v/>
      </c>
      <c r="R255" s="30" t="str">
        <f aca="false">IF($A255="","",$A255+MOD(6-WEEKDAY($A255),7))</f>
        <v/>
      </c>
      <c r="S255" s="31" t="str">
        <f aca="false">IF($B255="","",IF(AND($M255='Invoice Builder'!$C$5,$Q255='Invoice Builder'!$C$6,N($N255)&gt;0),COUNTIFS($M$5:$M255,'Invoice Builder'!$C$5,$Q$5:$Q255,'Invoice Builder'!$C$6,$N$5:$N255,"&gt;0"),""))</f>
        <v/>
      </c>
      <c r="T255" s="27" t="str">
        <f aca="false">IF($A255="","",IF($A255&gt;=DATE(YEAR($A255),4,6),YEAR($A255)&amp;"/"&amp;RIGHT(YEAR($A255)+1,2),YEAR($A255)-1&amp;"/"&amp;RIGHT(YEAR($A255),2)))</f>
        <v/>
      </c>
    </row>
    <row r="256" customFormat="false" ht="15" hidden="false" customHeight="false" outlineLevel="0" collapsed="false">
      <c r="A256" s="22"/>
      <c r="B256" s="23"/>
      <c r="C256" s="23"/>
      <c r="D256" s="23"/>
      <c r="E256" s="24"/>
      <c r="F256" s="24"/>
      <c r="G256" s="23"/>
      <c r="H256" s="23"/>
      <c r="I256" s="25"/>
      <c r="J256" s="23"/>
      <c r="K256" s="23"/>
      <c r="L256" s="26" t="str">
        <f aca="false">IF(OR($E256="",$F256=""),"",MOD($F256-$E256,1)*24)</f>
        <v/>
      </c>
      <c r="M256" s="27" t="str">
        <f aca="false">IF($B256="","",IFERROR(INDEX(Properties!$D$5:$D$104,MATCH($B256,Properties!$A$5:$A$104,0)),"?"))</f>
        <v/>
      </c>
      <c r="N256" s="28" t="str">
        <f aca="false">IF($B256="","",IFERROR(IF($D256="Completed",INDEX(Properties!$I$5:$I$104,MATCH($B256,Properties!$A$5:$A$104,0))*(1+IF($G256="Y",Settings!$B$8,0))+IF($H256="Y",Settings!$B$7,0)+N($I256),IF($D256="Deep clean",INDEX(Settings!$E$22:$E$26,MATCH(MIN(INDEX(Properties!$E$5:$E$104,MATCH($B256,Properties!$A$5:$A$104,0)),4),Settings!$A$22:$A$26,0))+N($I256),IF($D256="Late cancel",INDEX(Properties!$I$5:$I$104,MATCH($B256,Properties!$A$5:$A$104,0))*Settings!$B$10,0))),0))</f>
        <v/>
      </c>
      <c r="O256" s="28" t="str">
        <f aca="false">IF($B256="","",IFERROR(IF($D256="Completed",INDEX(Properties!$L$5:$L$104,MATCH($B256,Properties!$A$5:$A$104,0))+IF($G256="Y",INDEX(Properties!$I$5:$I$104,MATCH($B256,Properties!$A$5:$A$104,0))*Settings!$B$8*Settings!$B$9,0)+IF($H256="Y",Settings!$B$7*Settings!$B$9,0)+N($I256)*Settings!$B$9,IF($D256="Deep clean",INDEX(Settings!$E$22:$E$26,MATCH(MIN(INDEX(Properties!$E$5:$E$104,MATCH($B256,Properties!$A$5:$A$104,0)),4),Settings!$A$22:$A$26,0))*Settings!$B$19+N($I256)*Settings!$B$9,IF($D256="Late cancel",INDEX(Properties!$L$5:$L$104,MATCH($B256,Properties!$A$5:$A$104,0))*Settings!$B$11,0))),0))</f>
        <v/>
      </c>
      <c r="P256" s="28" t="str">
        <f aca="false">IF($B256="","",$N256-$O256)</f>
        <v/>
      </c>
      <c r="Q256" s="29" t="str">
        <f aca="false">IF($A256="","",DATE(YEAR($A256),MONTH($A256),1))</f>
        <v/>
      </c>
      <c r="R256" s="30" t="str">
        <f aca="false">IF($A256="","",$A256+MOD(6-WEEKDAY($A256),7))</f>
        <v/>
      </c>
      <c r="S256" s="31" t="str">
        <f aca="false">IF($B256="","",IF(AND($M256='Invoice Builder'!$C$5,$Q256='Invoice Builder'!$C$6,N($N256)&gt;0),COUNTIFS($M$5:$M256,'Invoice Builder'!$C$5,$Q$5:$Q256,'Invoice Builder'!$C$6,$N$5:$N256,"&gt;0"),""))</f>
        <v/>
      </c>
      <c r="T256" s="27" t="str">
        <f aca="false">IF($A256="","",IF($A256&gt;=DATE(YEAR($A256),4,6),YEAR($A256)&amp;"/"&amp;RIGHT(YEAR($A256)+1,2),YEAR($A256)-1&amp;"/"&amp;RIGHT(YEAR($A256),2)))</f>
        <v/>
      </c>
    </row>
    <row r="257" customFormat="false" ht="15" hidden="false" customHeight="false" outlineLevel="0" collapsed="false">
      <c r="A257" s="22"/>
      <c r="B257" s="23"/>
      <c r="C257" s="23"/>
      <c r="D257" s="23"/>
      <c r="E257" s="24"/>
      <c r="F257" s="24"/>
      <c r="G257" s="23"/>
      <c r="H257" s="23"/>
      <c r="I257" s="25"/>
      <c r="J257" s="23"/>
      <c r="K257" s="23"/>
      <c r="L257" s="26" t="str">
        <f aca="false">IF(OR($E257="",$F257=""),"",MOD($F257-$E257,1)*24)</f>
        <v/>
      </c>
      <c r="M257" s="27" t="str">
        <f aca="false">IF($B257="","",IFERROR(INDEX(Properties!$D$5:$D$104,MATCH($B257,Properties!$A$5:$A$104,0)),"?"))</f>
        <v/>
      </c>
      <c r="N257" s="28" t="str">
        <f aca="false">IF($B257="","",IFERROR(IF($D257="Completed",INDEX(Properties!$I$5:$I$104,MATCH($B257,Properties!$A$5:$A$104,0))*(1+IF($G257="Y",Settings!$B$8,0))+IF($H257="Y",Settings!$B$7,0)+N($I257),IF($D257="Deep clean",INDEX(Settings!$E$22:$E$26,MATCH(MIN(INDEX(Properties!$E$5:$E$104,MATCH($B257,Properties!$A$5:$A$104,0)),4),Settings!$A$22:$A$26,0))+N($I257),IF($D257="Late cancel",INDEX(Properties!$I$5:$I$104,MATCH($B257,Properties!$A$5:$A$104,0))*Settings!$B$10,0))),0))</f>
        <v/>
      </c>
      <c r="O257" s="28" t="str">
        <f aca="false">IF($B257="","",IFERROR(IF($D257="Completed",INDEX(Properties!$L$5:$L$104,MATCH($B257,Properties!$A$5:$A$104,0))+IF($G257="Y",INDEX(Properties!$I$5:$I$104,MATCH($B257,Properties!$A$5:$A$104,0))*Settings!$B$8*Settings!$B$9,0)+IF($H257="Y",Settings!$B$7*Settings!$B$9,0)+N($I257)*Settings!$B$9,IF($D257="Deep clean",INDEX(Settings!$E$22:$E$26,MATCH(MIN(INDEX(Properties!$E$5:$E$104,MATCH($B257,Properties!$A$5:$A$104,0)),4),Settings!$A$22:$A$26,0))*Settings!$B$19+N($I257)*Settings!$B$9,IF($D257="Late cancel",INDEX(Properties!$L$5:$L$104,MATCH($B257,Properties!$A$5:$A$104,0))*Settings!$B$11,0))),0))</f>
        <v/>
      </c>
      <c r="P257" s="28" t="str">
        <f aca="false">IF($B257="","",$N257-$O257)</f>
        <v/>
      </c>
      <c r="Q257" s="29" t="str">
        <f aca="false">IF($A257="","",DATE(YEAR($A257),MONTH($A257),1))</f>
        <v/>
      </c>
      <c r="R257" s="30" t="str">
        <f aca="false">IF($A257="","",$A257+MOD(6-WEEKDAY($A257),7))</f>
        <v/>
      </c>
      <c r="S257" s="31" t="str">
        <f aca="false">IF($B257="","",IF(AND($M257='Invoice Builder'!$C$5,$Q257='Invoice Builder'!$C$6,N($N257)&gt;0),COUNTIFS($M$5:$M257,'Invoice Builder'!$C$5,$Q$5:$Q257,'Invoice Builder'!$C$6,$N$5:$N257,"&gt;0"),""))</f>
        <v/>
      </c>
      <c r="T257" s="27" t="str">
        <f aca="false">IF($A257="","",IF($A257&gt;=DATE(YEAR($A257),4,6),YEAR($A257)&amp;"/"&amp;RIGHT(YEAR($A257)+1,2),YEAR($A257)-1&amp;"/"&amp;RIGHT(YEAR($A257),2)))</f>
        <v/>
      </c>
    </row>
    <row r="258" customFormat="false" ht="15" hidden="false" customHeight="false" outlineLevel="0" collapsed="false">
      <c r="A258" s="22"/>
      <c r="B258" s="23"/>
      <c r="C258" s="23"/>
      <c r="D258" s="23"/>
      <c r="E258" s="24"/>
      <c r="F258" s="24"/>
      <c r="G258" s="23"/>
      <c r="H258" s="23"/>
      <c r="I258" s="25"/>
      <c r="J258" s="23"/>
      <c r="K258" s="23"/>
      <c r="L258" s="26" t="str">
        <f aca="false">IF(OR($E258="",$F258=""),"",MOD($F258-$E258,1)*24)</f>
        <v/>
      </c>
      <c r="M258" s="27" t="str">
        <f aca="false">IF($B258="","",IFERROR(INDEX(Properties!$D$5:$D$104,MATCH($B258,Properties!$A$5:$A$104,0)),"?"))</f>
        <v/>
      </c>
      <c r="N258" s="28" t="str">
        <f aca="false">IF($B258="","",IFERROR(IF($D258="Completed",INDEX(Properties!$I$5:$I$104,MATCH($B258,Properties!$A$5:$A$104,0))*(1+IF($G258="Y",Settings!$B$8,0))+IF($H258="Y",Settings!$B$7,0)+N($I258),IF($D258="Deep clean",INDEX(Settings!$E$22:$E$26,MATCH(MIN(INDEX(Properties!$E$5:$E$104,MATCH($B258,Properties!$A$5:$A$104,0)),4),Settings!$A$22:$A$26,0))+N($I258),IF($D258="Late cancel",INDEX(Properties!$I$5:$I$104,MATCH($B258,Properties!$A$5:$A$104,0))*Settings!$B$10,0))),0))</f>
        <v/>
      </c>
      <c r="O258" s="28" t="str">
        <f aca="false">IF($B258="","",IFERROR(IF($D258="Completed",INDEX(Properties!$L$5:$L$104,MATCH($B258,Properties!$A$5:$A$104,0))+IF($G258="Y",INDEX(Properties!$I$5:$I$104,MATCH($B258,Properties!$A$5:$A$104,0))*Settings!$B$8*Settings!$B$9,0)+IF($H258="Y",Settings!$B$7*Settings!$B$9,0)+N($I258)*Settings!$B$9,IF($D258="Deep clean",INDEX(Settings!$E$22:$E$26,MATCH(MIN(INDEX(Properties!$E$5:$E$104,MATCH($B258,Properties!$A$5:$A$104,0)),4),Settings!$A$22:$A$26,0))*Settings!$B$19+N($I258)*Settings!$B$9,IF($D258="Late cancel",INDEX(Properties!$L$5:$L$104,MATCH($B258,Properties!$A$5:$A$104,0))*Settings!$B$11,0))),0))</f>
        <v/>
      </c>
      <c r="P258" s="28" t="str">
        <f aca="false">IF($B258="","",$N258-$O258)</f>
        <v/>
      </c>
      <c r="Q258" s="29" t="str">
        <f aca="false">IF($A258="","",DATE(YEAR($A258),MONTH($A258),1))</f>
        <v/>
      </c>
      <c r="R258" s="30" t="str">
        <f aca="false">IF($A258="","",$A258+MOD(6-WEEKDAY($A258),7))</f>
        <v/>
      </c>
      <c r="S258" s="31" t="str">
        <f aca="false">IF($B258="","",IF(AND($M258='Invoice Builder'!$C$5,$Q258='Invoice Builder'!$C$6,N($N258)&gt;0),COUNTIFS($M$5:$M258,'Invoice Builder'!$C$5,$Q$5:$Q258,'Invoice Builder'!$C$6,$N$5:$N258,"&gt;0"),""))</f>
        <v/>
      </c>
      <c r="T258" s="27" t="str">
        <f aca="false">IF($A258="","",IF($A258&gt;=DATE(YEAR($A258),4,6),YEAR($A258)&amp;"/"&amp;RIGHT(YEAR($A258)+1,2),YEAR($A258)-1&amp;"/"&amp;RIGHT(YEAR($A258),2)))</f>
        <v/>
      </c>
    </row>
    <row r="259" customFormat="false" ht="15" hidden="false" customHeight="false" outlineLevel="0" collapsed="false">
      <c r="A259" s="22"/>
      <c r="B259" s="23"/>
      <c r="C259" s="23"/>
      <c r="D259" s="23"/>
      <c r="E259" s="24"/>
      <c r="F259" s="24"/>
      <c r="G259" s="23"/>
      <c r="H259" s="23"/>
      <c r="I259" s="25"/>
      <c r="J259" s="23"/>
      <c r="K259" s="23"/>
      <c r="L259" s="26" t="str">
        <f aca="false">IF(OR($E259="",$F259=""),"",MOD($F259-$E259,1)*24)</f>
        <v/>
      </c>
      <c r="M259" s="27" t="str">
        <f aca="false">IF($B259="","",IFERROR(INDEX(Properties!$D$5:$D$104,MATCH($B259,Properties!$A$5:$A$104,0)),"?"))</f>
        <v/>
      </c>
      <c r="N259" s="28" t="str">
        <f aca="false">IF($B259="","",IFERROR(IF($D259="Completed",INDEX(Properties!$I$5:$I$104,MATCH($B259,Properties!$A$5:$A$104,0))*(1+IF($G259="Y",Settings!$B$8,0))+IF($H259="Y",Settings!$B$7,0)+N($I259),IF($D259="Deep clean",INDEX(Settings!$E$22:$E$26,MATCH(MIN(INDEX(Properties!$E$5:$E$104,MATCH($B259,Properties!$A$5:$A$104,0)),4),Settings!$A$22:$A$26,0))+N($I259),IF($D259="Late cancel",INDEX(Properties!$I$5:$I$104,MATCH($B259,Properties!$A$5:$A$104,0))*Settings!$B$10,0))),0))</f>
        <v/>
      </c>
      <c r="O259" s="28" t="str">
        <f aca="false">IF($B259="","",IFERROR(IF($D259="Completed",INDEX(Properties!$L$5:$L$104,MATCH($B259,Properties!$A$5:$A$104,0))+IF($G259="Y",INDEX(Properties!$I$5:$I$104,MATCH($B259,Properties!$A$5:$A$104,0))*Settings!$B$8*Settings!$B$9,0)+IF($H259="Y",Settings!$B$7*Settings!$B$9,0)+N($I259)*Settings!$B$9,IF($D259="Deep clean",INDEX(Settings!$E$22:$E$26,MATCH(MIN(INDEX(Properties!$E$5:$E$104,MATCH($B259,Properties!$A$5:$A$104,0)),4),Settings!$A$22:$A$26,0))*Settings!$B$19+N($I259)*Settings!$B$9,IF($D259="Late cancel",INDEX(Properties!$L$5:$L$104,MATCH($B259,Properties!$A$5:$A$104,0))*Settings!$B$11,0))),0))</f>
        <v/>
      </c>
      <c r="P259" s="28" t="str">
        <f aca="false">IF($B259="","",$N259-$O259)</f>
        <v/>
      </c>
      <c r="Q259" s="29" t="str">
        <f aca="false">IF($A259="","",DATE(YEAR($A259),MONTH($A259),1))</f>
        <v/>
      </c>
      <c r="R259" s="30" t="str">
        <f aca="false">IF($A259="","",$A259+MOD(6-WEEKDAY($A259),7))</f>
        <v/>
      </c>
      <c r="S259" s="31" t="str">
        <f aca="false">IF($B259="","",IF(AND($M259='Invoice Builder'!$C$5,$Q259='Invoice Builder'!$C$6,N($N259)&gt;0),COUNTIFS($M$5:$M259,'Invoice Builder'!$C$5,$Q$5:$Q259,'Invoice Builder'!$C$6,$N$5:$N259,"&gt;0"),""))</f>
        <v/>
      </c>
      <c r="T259" s="27" t="str">
        <f aca="false">IF($A259="","",IF($A259&gt;=DATE(YEAR($A259),4,6),YEAR($A259)&amp;"/"&amp;RIGHT(YEAR($A259)+1,2),YEAR($A259)-1&amp;"/"&amp;RIGHT(YEAR($A259),2)))</f>
        <v/>
      </c>
    </row>
    <row r="260" customFormat="false" ht="15" hidden="false" customHeight="false" outlineLevel="0" collapsed="false">
      <c r="A260" s="22"/>
      <c r="B260" s="23"/>
      <c r="C260" s="23"/>
      <c r="D260" s="23"/>
      <c r="E260" s="24"/>
      <c r="F260" s="24"/>
      <c r="G260" s="23"/>
      <c r="H260" s="23"/>
      <c r="I260" s="25"/>
      <c r="J260" s="23"/>
      <c r="K260" s="23"/>
      <c r="L260" s="26" t="str">
        <f aca="false">IF(OR($E260="",$F260=""),"",MOD($F260-$E260,1)*24)</f>
        <v/>
      </c>
      <c r="M260" s="27" t="str">
        <f aca="false">IF($B260="","",IFERROR(INDEX(Properties!$D$5:$D$104,MATCH($B260,Properties!$A$5:$A$104,0)),"?"))</f>
        <v/>
      </c>
      <c r="N260" s="28" t="str">
        <f aca="false">IF($B260="","",IFERROR(IF($D260="Completed",INDEX(Properties!$I$5:$I$104,MATCH($B260,Properties!$A$5:$A$104,0))*(1+IF($G260="Y",Settings!$B$8,0))+IF($H260="Y",Settings!$B$7,0)+N($I260),IF($D260="Deep clean",INDEX(Settings!$E$22:$E$26,MATCH(MIN(INDEX(Properties!$E$5:$E$104,MATCH($B260,Properties!$A$5:$A$104,0)),4),Settings!$A$22:$A$26,0))+N($I260),IF($D260="Late cancel",INDEX(Properties!$I$5:$I$104,MATCH($B260,Properties!$A$5:$A$104,0))*Settings!$B$10,0))),0))</f>
        <v/>
      </c>
      <c r="O260" s="28" t="str">
        <f aca="false">IF($B260="","",IFERROR(IF($D260="Completed",INDEX(Properties!$L$5:$L$104,MATCH($B260,Properties!$A$5:$A$104,0))+IF($G260="Y",INDEX(Properties!$I$5:$I$104,MATCH($B260,Properties!$A$5:$A$104,0))*Settings!$B$8*Settings!$B$9,0)+IF($H260="Y",Settings!$B$7*Settings!$B$9,0)+N($I260)*Settings!$B$9,IF($D260="Deep clean",INDEX(Settings!$E$22:$E$26,MATCH(MIN(INDEX(Properties!$E$5:$E$104,MATCH($B260,Properties!$A$5:$A$104,0)),4),Settings!$A$22:$A$26,0))*Settings!$B$19+N($I260)*Settings!$B$9,IF($D260="Late cancel",INDEX(Properties!$L$5:$L$104,MATCH($B260,Properties!$A$5:$A$104,0))*Settings!$B$11,0))),0))</f>
        <v/>
      </c>
      <c r="P260" s="28" t="str">
        <f aca="false">IF($B260="","",$N260-$O260)</f>
        <v/>
      </c>
      <c r="Q260" s="29" t="str">
        <f aca="false">IF($A260="","",DATE(YEAR($A260),MONTH($A260),1))</f>
        <v/>
      </c>
      <c r="R260" s="30" t="str">
        <f aca="false">IF($A260="","",$A260+MOD(6-WEEKDAY($A260),7))</f>
        <v/>
      </c>
      <c r="S260" s="31" t="str">
        <f aca="false">IF($B260="","",IF(AND($M260='Invoice Builder'!$C$5,$Q260='Invoice Builder'!$C$6,N($N260)&gt;0),COUNTIFS($M$5:$M260,'Invoice Builder'!$C$5,$Q$5:$Q260,'Invoice Builder'!$C$6,$N$5:$N260,"&gt;0"),""))</f>
        <v/>
      </c>
      <c r="T260" s="27" t="str">
        <f aca="false">IF($A260="","",IF($A260&gt;=DATE(YEAR($A260),4,6),YEAR($A260)&amp;"/"&amp;RIGHT(YEAR($A260)+1,2),YEAR($A260)-1&amp;"/"&amp;RIGHT(YEAR($A260),2)))</f>
        <v/>
      </c>
    </row>
    <row r="261" customFormat="false" ht="15" hidden="false" customHeight="false" outlineLevel="0" collapsed="false">
      <c r="A261" s="22"/>
      <c r="B261" s="23"/>
      <c r="C261" s="23"/>
      <c r="D261" s="23"/>
      <c r="E261" s="24"/>
      <c r="F261" s="24"/>
      <c r="G261" s="23"/>
      <c r="H261" s="23"/>
      <c r="I261" s="25"/>
      <c r="J261" s="23"/>
      <c r="K261" s="23"/>
      <c r="L261" s="26" t="str">
        <f aca="false">IF(OR($E261="",$F261=""),"",MOD($F261-$E261,1)*24)</f>
        <v/>
      </c>
      <c r="M261" s="27" t="str">
        <f aca="false">IF($B261="","",IFERROR(INDEX(Properties!$D$5:$D$104,MATCH($B261,Properties!$A$5:$A$104,0)),"?"))</f>
        <v/>
      </c>
      <c r="N261" s="28" t="str">
        <f aca="false">IF($B261="","",IFERROR(IF($D261="Completed",INDEX(Properties!$I$5:$I$104,MATCH($B261,Properties!$A$5:$A$104,0))*(1+IF($G261="Y",Settings!$B$8,0))+IF($H261="Y",Settings!$B$7,0)+N($I261),IF($D261="Deep clean",INDEX(Settings!$E$22:$E$26,MATCH(MIN(INDEX(Properties!$E$5:$E$104,MATCH($B261,Properties!$A$5:$A$104,0)),4),Settings!$A$22:$A$26,0))+N($I261),IF($D261="Late cancel",INDEX(Properties!$I$5:$I$104,MATCH($B261,Properties!$A$5:$A$104,0))*Settings!$B$10,0))),0))</f>
        <v/>
      </c>
      <c r="O261" s="28" t="str">
        <f aca="false">IF($B261="","",IFERROR(IF($D261="Completed",INDEX(Properties!$L$5:$L$104,MATCH($B261,Properties!$A$5:$A$104,0))+IF($G261="Y",INDEX(Properties!$I$5:$I$104,MATCH($B261,Properties!$A$5:$A$104,0))*Settings!$B$8*Settings!$B$9,0)+IF($H261="Y",Settings!$B$7*Settings!$B$9,0)+N($I261)*Settings!$B$9,IF($D261="Deep clean",INDEX(Settings!$E$22:$E$26,MATCH(MIN(INDEX(Properties!$E$5:$E$104,MATCH($B261,Properties!$A$5:$A$104,0)),4),Settings!$A$22:$A$26,0))*Settings!$B$19+N($I261)*Settings!$B$9,IF($D261="Late cancel",INDEX(Properties!$L$5:$L$104,MATCH($B261,Properties!$A$5:$A$104,0))*Settings!$B$11,0))),0))</f>
        <v/>
      </c>
      <c r="P261" s="28" t="str">
        <f aca="false">IF($B261="","",$N261-$O261)</f>
        <v/>
      </c>
      <c r="Q261" s="29" t="str">
        <f aca="false">IF($A261="","",DATE(YEAR($A261),MONTH($A261),1))</f>
        <v/>
      </c>
      <c r="R261" s="30" t="str">
        <f aca="false">IF($A261="","",$A261+MOD(6-WEEKDAY($A261),7))</f>
        <v/>
      </c>
      <c r="S261" s="31" t="str">
        <f aca="false">IF($B261="","",IF(AND($M261='Invoice Builder'!$C$5,$Q261='Invoice Builder'!$C$6,N($N261)&gt;0),COUNTIFS($M$5:$M261,'Invoice Builder'!$C$5,$Q$5:$Q261,'Invoice Builder'!$C$6,$N$5:$N261,"&gt;0"),""))</f>
        <v/>
      </c>
      <c r="T261" s="27" t="str">
        <f aca="false">IF($A261="","",IF($A261&gt;=DATE(YEAR($A261),4,6),YEAR($A261)&amp;"/"&amp;RIGHT(YEAR($A261)+1,2),YEAR($A261)-1&amp;"/"&amp;RIGHT(YEAR($A261),2)))</f>
        <v/>
      </c>
    </row>
    <row r="262" customFormat="false" ht="15" hidden="false" customHeight="false" outlineLevel="0" collapsed="false">
      <c r="A262" s="22"/>
      <c r="B262" s="23"/>
      <c r="C262" s="23"/>
      <c r="D262" s="23"/>
      <c r="E262" s="24"/>
      <c r="F262" s="24"/>
      <c r="G262" s="23"/>
      <c r="H262" s="23"/>
      <c r="I262" s="25"/>
      <c r="J262" s="23"/>
      <c r="K262" s="23"/>
      <c r="L262" s="26" t="str">
        <f aca="false">IF(OR($E262="",$F262=""),"",MOD($F262-$E262,1)*24)</f>
        <v/>
      </c>
      <c r="M262" s="27" t="str">
        <f aca="false">IF($B262="","",IFERROR(INDEX(Properties!$D$5:$D$104,MATCH($B262,Properties!$A$5:$A$104,0)),"?"))</f>
        <v/>
      </c>
      <c r="N262" s="28" t="str">
        <f aca="false">IF($B262="","",IFERROR(IF($D262="Completed",INDEX(Properties!$I$5:$I$104,MATCH($B262,Properties!$A$5:$A$104,0))*(1+IF($G262="Y",Settings!$B$8,0))+IF($H262="Y",Settings!$B$7,0)+N($I262),IF($D262="Deep clean",INDEX(Settings!$E$22:$E$26,MATCH(MIN(INDEX(Properties!$E$5:$E$104,MATCH($B262,Properties!$A$5:$A$104,0)),4),Settings!$A$22:$A$26,0))+N($I262),IF($D262="Late cancel",INDEX(Properties!$I$5:$I$104,MATCH($B262,Properties!$A$5:$A$104,0))*Settings!$B$10,0))),0))</f>
        <v/>
      </c>
      <c r="O262" s="28" t="str">
        <f aca="false">IF($B262="","",IFERROR(IF($D262="Completed",INDEX(Properties!$L$5:$L$104,MATCH($B262,Properties!$A$5:$A$104,0))+IF($G262="Y",INDEX(Properties!$I$5:$I$104,MATCH($B262,Properties!$A$5:$A$104,0))*Settings!$B$8*Settings!$B$9,0)+IF($H262="Y",Settings!$B$7*Settings!$B$9,0)+N($I262)*Settings!$B$9,IF($D262="Deep clean",INDEX(Settings!$E$22:$E$26,MATCH(MIN(INDEX(Properties!$E$5:$E$104,MATCH($B262,Properties!$A$5:$A$104,0)),4),Settings!$A$22:$A$26,0))*Settings!$B$19+N($I262)*Settings!$B$9,IF($D262="Late cancel",INDEX(Properties!$L$5:$L$104,MATCH($B262,Properties!$A$5:$A$104,0))*Settings!$B$11,0))),0))</f>
        <v/>
      </c>
      <c r="P262" s="28" t="str">
        <f aca="false">IF($B262="","",$N262-$O262)</f>
        <v/>
      </c>
      <c r="Q262" s="29" t="str">
        <f aca="false">IF($A262="","",DATE(YEAR($A262),MONTH($A262),1))</f>
        <v/>
      </c>
      <c r="R262" s="30" t="str">
        <f aca="false">IF($A262="","",$A262+MOD(6-WEEKDAY($A262),7))</f>
        <v/>
      </c>
      <c r="S262" s="31" t="str">
        <f aca="false">IF($B262="","",IF(AND($M262='Invoice Builder'!$C$5,$Q262='Invoice Builder'!$C$6,N($N262)&gt;0),COUNTIFS($M$5:$M262,'Invoice Builder'!$C$5,$Q$5:$Q262,'Invoice Builder'!$C$6,$N$5:$N262,"&gt;0"),""))</f>
        <v/>
      </c>
      <c r="T262" s="27" t="str">
        <f aca="false">IF($A262="","",IF($A262&gt;=DATE(YEAR($A262),4,6),YEAR($A262)&amp;"/"&amp;RIGHT(YEAR($A262)+1,2),YEAR($A262)-1&amp;"/"&amp;RIGHT(YEAR($A262),2)))</f>
        <v/>
      </c>
    </row>
    <row r="263" customFormat="false" ht="15" hidden="false" customHeight="false" outlineLevel="0" collapsed="false">
      <c r="A263" s="22"/>
      <c r="B263" s="23"/>
      <c r="C263" s="23"/>
      <c r="D263" s="23"/>
      <c r="E263" s="24"/>
      <c r="F263" s="24"/>
      <c r="G263" s="23"/>
      <c r="H263" s="23"/>
      <c r="I263" s="25"/>
      <c r="J263" s="23"/>
      <c r="K263" s="23"/>
      <c r="L263" s="26" t="str">
        <f aca="false">IF(OR($E263="",$F263=""),"",MOD($F263-$E263,1)*24)</f>
        <v/>
      </c>
      <c r="M263" s="27" t="str">
        <f aca="false">IF($B263="","",IFERROR(INDEX(Properties!$D$5:$D$104,MATCH($B263,Properties!$A$5:$A$104,0)),"?"))</f>
        <v/>
      </c>
      <c r="N263" s="28" t="str">
        <f aca="false">IF($B263="","",IFERROR(IF($D263="Completed",INDEX(Properties!$I$5:$I$104,MATCH($B263,Properties!$A$5:$A$104,0))*(1+IF($G263="Y",Settings!$B$8,0))+IF($H263="Y",Settings!$B$7,0)+N($I263),IF($D263="Deep clean",INDEX(Settings!$E$22:$E$26,MATCH(MIN(INDEX(Properties!$E$5:$E$104,MATCH($B263,Properties!$A$5:$A$104,0)),4),Settings!$A$22:$A$26,0))+N($I263),IF($D263="Late cancel",INDEX(Properties!$I$5:$I$104,MATCH($B263,Properties!$A$5:$A$104,0))*Settings!$B$10,0))),0))</f>
        <v/>
      </c>
      <c r="O263" s="28" t="str">
        <f aca="false">IF($B263="","",IFERROR(IF($D263="Completed",INDEX(Properties!$L$5:$L$104,MATCH($B263,Properties!$A$5:$A$104,0))+IF($G263="Y",INDEX(Properties!$I$5:$I$104,MATCH($B263,Properties!$A$5:$A$104,0))*Settings!$B$8*Settings!$B$9,0)+IF($H263="Y",Settings!$B$7*Settings!$B$9,0)+N($I263)*Settings!$B$9,IF($D263="Deep clean",INDEX(Settings!$E$22:$E$26,MATCH(MIN(INDEX(Properties!$E$5:$E$104,MATCH($B263,Properties!$A$5:$A$104,0)),4),Settings!$A$22:$A$26,0))*Settings!$B$19+N($I263)*Settings!$B$9,IF($D263="Late cancel",INDEX(Properties!$L$5:$L$104,MATCH($B263,Properties!$A$5:$A$104,0))*Settings!$B$11,0))),0))</f>
        <v/>
      </c>
      <c r="P263" s="28" t="str">
        <f aca="false">IF($B263="","",$N263-$O263)</f>
        <v/>
      </c>
      <c r="Q263" s="29" t="str">
        <f aca="false">IF($A263="","",DATE(YEAR($A263),MONTH($A263),1))</f>
        <v/>
      </c>
      <c r="R263" s="30" t="str">
        <f aca="false">IF($A263="","",$A263+MOD(6-WEEKDAY($A263),7))</f>
        <v/>
      </c>
      <c r="S263" s="31" t="str">
        <f aca="false">IF($B263="","",IF(AND($M263='Invoice Builder'!$C$5,$Q263='Invoice Builder'!$C$6,N($N263)&gt;0),COUNTIFS($M$5:$M263,'Invoice Builder'!$C$5,$Q$5:$Q263,'Invoice Builder'!$C$6,$N$5:$N263,"&gt;0"),""))</f>
        <v/>
      </c>
      <c r="T263" s="27" t="str">
        <f aca="false">IF($A263="","",IF($A263&gt;=DATE(YEAR($A263),4,6),YEAR($A263)&amp;"/"&amp;RIGHT(YEAR($A263)+1,2),YEAR($A263)-1&amp;"/"&amp;RIGHT(YEAR($A263),2)))</f>
        <v/>
      </c>
    </row>
    <row r="264" customFormat="false" ht="15" hidden="false" customHeight="false" outlineLevel="0" collapsed="false">
      <c r="A264" s="22"/>
      <c r="B264" s="23"/>
      <c r="C264" s="23"/>
      <c r="D264" s="23"/>
      <c r="E264" s="24"/>
      <c r="F264" s="24"/>
      <c r="G264" s="23"/>
      <c r="H264" s="23"/>
      <c r="I264" s="25"/>
      <c r="J264" s="23"/>
      <c r="K264" s="23"/>
      <c r="L264" s="26" t="str">
        <f aca="false">IF(OR($E264="",$F264=""),"",MOD($F264-$E264,1)*24)</f>
        <v/>
      </c>
      <c r="M264" s="27" t="str">
        <f aca="false">IF($B264="","",IFERROR(INDEX(Properties!$D$5:$D$104,MATCH($B264,Properties!$A$5:$A$104,0)),"?"))</f>
        <v/>
      </c>
      <c r="N264" s="28" t="str">
        <f aca="false">IF($B264="","",IFERROR(IF($D264="Completed",INDEX(Properties!$I$5:$I$104,MATCH($B264,Properties!$A$5:$A$104,0))*(1+IF($G264="Y",Settings!$B$8,0))+IF($H264="Y",Settings!$B$7,0)+N($I264),IF($D264="Deep clean",INDEX(Settings!$E$22:$E$26,MATCH(MIN(INDEX(Properties!$E$5:$E$104,MATCH($B264,Properties!$A$5:$A$104,0)),4),Settings!$A$22:$A$26,0))+N($I264),IF($D264="Late cancel",INDEX(Properties!$I$5:$I$104,MATCH($B264,Properties!$A$5:$A$104,0))*Settings!$B$10,0))),0))</f>
        <v/>
      </c>
      <c r="O264" s="28" t="str">
        <f aca="false">IF($B264="","",IFERROR(IF($D264="Completed",INDEX(Properties!$L$5:$L$104,MATCH($B264,Properties!$A$5:$A$104,0))+IF($G264="Y",INDEX(Properties!$I$5:$I$104,MATCH($B264,Properties!$A$5:$A$104,0))*Settings!$B$8*Settings!$B$9,0)+IF($H264="Y",Settings!$B$7*Settings!$B$9,0)+N($I264)*Settings!$B$9,IF($D264="Deep clean",INDEX(Settings!$E$22:$E$26,MATCH(MIN(INDEX(Properties!$E$5:$E$104,MATCH($B264,Properties!$A$5:$A$104,0)),4),Settings!$A$22:$A$26,0))*Settings!$B$19+N($I264)*Settings!$B$9,IF($D264="Late cancel",INDEX(Properties!$L$5:$L$104,MATCH($B264,Properties!$A$5:$A$104,0))*Settings!$B$11,0))),0))</f>
        <v/>
      </c>
      <c r="P264" s="28" t="str">
        <f aca="false">IF($B264="","",$N264-$O264)</f>
        <v/>
      </c>
      <c r="Q264" s="29" t="str">
        <f aca="false">IF($A264="","",DATE(YEAR($A264),MONTH($A264),1))</f>
        <v/>
      </c>
      <c r="R264" s="30" t="str">
        <f aca="false">IF($A264="","",$A264+MOD(6-WEEKDAY($A264),7))</f>
        <v/>
      </c>
      <c r="S264" s="31" t="str">
        <f aca="false">IF($B264="","",IF(AND($M264='Invoice Builder'!$C$5,$Q264='Invoice Builder'!$C$6,N($N264)&gt;0),COUNTIFS($M$5:$M264,'Invoice Builder'!$C$5,$Q$5:$Q264,'Invoice Builder'!$C$6,$N$5:$N264,"&gt;0"),""))</f>
        <v/>
      </c>
      <c r="T264" s="27" t="str">
        <f aca="false">IF($A264="","",IF($A264&gt;=DATE(YEAR($A264),4,6),YEAR($A264)&amp;"/"&amp;RIGHT(YEAR($A264)+1,2),YEAR($A264)-1&amp;"/"&amp;RIGHT(YEAR($A264),2)))</f>
        <v/>
      </c>
    </row>
    <row r="265" customFormat="false" ht="15" hidden="false" customHeight="false" outlineLevel="0" collapsed="false">
      <c r="A265" s="22"/>
      <c r="B265" s="23"/>
      <c r="C265" s="23"/>
      <c r="D265" s="23"/>
      <c r="E265" s="24"/>
      <c r="F265" s="24"/>
      <c r="G265" s="23"/>
      <c r="H265" s="23"/>
      <c r="I265" s="25"/>
      <c r="J265" s="23"/>
      <c r="K265" s="23"/>
      <c r="L265" s="26" t="str">
        <f aca="false">IF(OR($E265="",$F265=""),"",MOD($F265-$E265,1)*24)</f>
        <v/>
      </c>
      <c r="M265" s="27" t="str">
        <f aca="false">IF($B265="","",IFERROR(INDEX(Properties!$D$5:$D$104,MATCH($B265,Properties!$A$5:$A$104,0)),"?"))</f>
        <v/>
      </c>
      <c r="N265" s="28" t="str">
        <f aca="false">IF($B265="","",IFERROR(IF($D265="Completed",INDEX(Properties!$I$5:$I$104,MATCH($B265,Properties!$A$5:$A$104,0))*(1+IF($G265="Y",Settings!$B$8,0))+IF($H265="Y",Settings!$B$7,0)+N($I265),IF($D265="Deep clean",INDEX(Settings!$E$22:$E$26,MATCH(MIN(INDEX(Properties!$E$5:$E$104,MATCH($B265,Properties!$A$5:$A$104,0)),4),Settings!$A$22:$A$26,0))+N($I265),IF($D265="Late cancel",INDEX(Properties!$I$5:$I$104,MATCH($B265,Properties!$A$5:$A$104,0))*Settings!$B$10,0))),0))</f>
        <v/>
      </c>
      <c r="O265" s="28" t="str">
        <f aca="false">IF($B265="","",IFERROR(IF($D265="Completed",INDEX(Properties!$L$5:$L$104,MATCH($B265,Properties!$A$5:$A$104,0))+IF($G265="Y",INDEX(Properties!$I$5:$I$104,MATCH($B265,Properties!$A$5:$A$104,0))*Settings!$B$8*Settings!$B$9,0)+IF($H265="Y",Settings!$B$7*Settings!$B$9,0)+N($I265)*Settings!$B$9,IF($D265="Deep clean",INDEX(Settings!$E$22:$E$26,MATCH(MIN(INDEX(Properties!$E$5:$E$104,MATCH($B265,Properties!$A$5:$A$104,0)),4),Settings!$A$22:$A$26,0))*Settings!$B$19+N($I265)*Settings!$B$9,IF($D265="Late cancel",INDEX(Properties!$L$5:$L$104,MATCH($B265,Properties!$A$5:$A$104,0))*Settings!$B$11,0))),0))</f>
        <v/>
      </c>
      <c r="P265" s="28" t="str">
        <f aca="false">IF($B265="","",$N265-$O265)</f>
        <v/>
      </c>
      <c r="Q265" s="29" t="str">
        <f aca="false">IF($A265="","",DATE(YEAR($A265),MONTH($A265),1))</f>
        <v/>
      </c>
      <c r="R265" s="30" t="str">
        <f aca="false">IF($A265="","",$A265+MOD(6-WEEKDAY($A265),7))</f>
        <v/>
      </c>
      <c r="S265" s="31" t="str">
        <f aca="false">IF($B265="","",IF(AND($M265='Invoice Builder'!$C$5,$Q265='Invoice Builder'!$C$6,N($N265)&gt;0),COUNTIFS($M$5:$M265,'Invoice Builder'!$C$5,$Q$5:$Q265,'Invoice Builder'!$C$6,$N$5:$N265,"&gt;0"),""))</f>
        <v/>
      </c>
      <c r="T265" s="27" t="str">
        <f aca="false">IF($A265="","",IF($A265&gt;=DATE(YEAR($A265),4,6),YEAR($A265)&amp;"/"&amp;RIGHT(YEAR($A265)+1,2),YEAR($A265)-1&amp;"/"&amp;RIGHT(YEAR($A265),2)))</f>
        <v/>
      </c>
    </row>
    <row r="266" customFormat="false" ht="15" hidden="false" customHeight="false" outlineLevel="0" collapsed="false">
      <c r="A266" s="22"/>
      <c r="B266" s="23"/>
      <c r="C266" s="23"/>
      <c r="D266" s="23"/>
      <c r="E266" s="24"/>
      <c r="F266" s="24"/>
      <c r="G266" s="23"/>
      <c r="H266" s="23"/>
      <c r="I266" s="25"/>
      <c r="J266" s="23"/>
      <c r="K266" s="23"/>
      <c r="L266" s="26" t="str">
        <f aca="false">IF(OR($E266="",$F266=""),"",MOD($F266-$E266,1)*24)</f>
        <v/>
      </c>
      <c r="M266" s="27" t="str">
        <f aca="false">IF($B266="","",IFERROR(INDEX(Properties!$D$5:$D$104,MATCH($B266,Properties!$A$5:$A$104,0)),"?"))</f>
        <v/>
      </c>
      <c r="N266" s="28" t="str">
        <f aca="false">IF($B266="","",IFERROR(IF($D266="Completed",INDEX(Properties!$I$5:$I$104,MATCH($B266,Properties!$A$5:$A$104,0))*(1+IF($G266="Y",Settings!$B$8,0))+IF($H266="Y",Settings!$B$7,0)+N($I266),IF($D266="Deep clean",INDEX(Settings!$E$22:$E$26,MATCH(MIN(INDEX(Properties!$E$5:$E$104,MATCH($B266,Properties!$A$5:$A$104,0)),4),Settings!$A$22:$A$26,0))+N($I266),IF($D266="Late cancel",INDEX(Properties!$I$5:$I$104,MATCH($B266,Properties!$A$5:$A$104,0))*Settings!$B$10,0))),0))</f>
        <v/>
      </c>
      <c r="O266" s="28" t="str">
        <f aca="false">IF($B266="","",IFERROR(IF($D266="Completed",INDEX(Properties!$L$5:$L$104,MATCH($B266,Properties!$A$5:$A$104,0))+IF($G266="Y",INDEX(Properties!$I$5:$I$104,MATCH($B266,Properties!$A$5:$A$104,0))*Settings!$B$8*Settings!$B$9,0)+IF($H266="Y",Settings!$B$7*Settings!$B$9,0)+N($I266)*Settings!$B$9,IF($D266="Deep clean",INDEX(Settings!$E$22:$E$26,MATCH(MIN(INDEX(Properties!$E$5:$E$104,MATCH($B266,Properties!$A$5:$A$104,0)),4),Settings!$A$22:$A$26,0))*Settings!$B$19+N($I266)*Settings!$B$9,IF($D266="Late cancel",INDEX(Properties!$L$5:$L$104,MATCH($B266,Properties!$A$5:$A$104,0))*Settings!$B$11,0))),0))</f>
        <v/>
      </c>
      <c r="P266" s="28" t="str">
        <f aca="false">IF($B266="","",$N266-$O266)</f>
        <v/>
      </c>
      <c r="Q266" s="29" t="str">
        <f aca="false">IF($A266="","",DATE(YEAR($A266),MONTH($A266),1))</f>
        <v/>
      </c>
      <c r="R266" s="30" t="str">
        <f aca="false">IF($A266="","",$A266+MOD(6-WEEKDAY($A266),7))</f>
        <v/>
      </c>
      <c r="S266" s="31" t="str">
        <f aca="false">IF($B266="","",IF(AND($M266='Invoice Builder'!$C$5,$Q266='Invoice Builder'!$C$6,N($N266)&gt;0),COUNTIFS($M$5:$M266,'Invoice Builder'!$C$5,$Q$5:$Q266,'Invoice Builder'!$C$6,$N$5:$N266,"&gt;0"),""))</f>
        <v/>
      </c>
      <c r="T266" s="27" t="str">
        <f aca="false">IF($A266="","",IF($A266&gt;=DATE(YEAR($A266),4,6),YEAR($A266)&amp;"/"&amp;RIGHT(YEAR($A266)+1,2),YEAR($A266)-1&amp;"/"&amp;RIGHT(YEAR($A266),2)))</f>
        <v/>
      </c>
    </row>
    <row r="267" customFormat="false" ht="15" hidden="false" customHeight="false" outlineLevel="0" collapsed="false">
      <c r="A267" s="22"/>
      <c r="B267" s="23"/>
      <c r="C267" s="23"/>
      <c r="D267" s="23"/>
      <c r="E267" s="24"/>
      <c r="F267" s="24"/>
      <c r="G267" s="23"/>
      <c r="H267" s="23"/>
      <c r="I267" s="25"/>
      <c r="J267" s="23"/>
      <c r="K267" s="23"/>
      <c r="L267" s="26" t="str">
        <f aca="false">IF(OR($E267="",$F267=""),"",MOD($F267-$E267,1)*24)</f>
        <v/>
      </c>
      <c r="M267" s="27" t="str">
        <f aca="false">IF($B267="","",IFERROR(INDEX(Properties!$D$5:$D$104,MATCH($B267,Properties!$A$5:$A$104,0)),"?"))</f>
        <v/>
      </c>
      <c r="N267" s="28" t="str">
        <f aca="false">IF($B267="","",IFERROR(IF($D267="Completed",INDEX(Properties!$I$5:$I$104,MATCH($B267,Properties!$A$5:$A$104,0))*(1+IF($G267="Y",Settings!$B$8,0))+IF($H267="Y",Settings!$B$7,0)+N($I267),IF($D267="Deep clean",INDEX(Settings!$E$22:$E$26,MATCH(MIN(INDEX(Properties!$E$5:$E$104,MATCH($B267,Properties!$A$5:$A$104,0)),4),Settings!$A$22:$A$26,0))+N($I267),IF($D267="Late cancel",INDEX(Properties!$I$5:$I$104,MATCH($B267,Properties!$A$5:$A$104,0))*Settings!$B$10,0))),0))</f>
        <v/>
      </c>
      <c r="O267" s="28" t="str">
        <f aca="false">IF($B267="","",IFERROR(IF($D267="Completed",INDEX(Properties!$L$5:$L$104,MATCH($B267,Properties!$A$5:$A$104,0))+IF($G267="Y",INDEX(Properties!$I$5:$I$104,MATCH($B267,Properties!$A$5:$A$104,0))*Settings!$B$8*Settings!$B$9,0)+IF($H267="Y",Settings!$B$7*Settings!$B$9,0)+N($I267)*Settings!$B$9,IF($D267="Deep clean",INDEX(Settings!$E$22:$E$26,MATCH(MIN(INDEX(Properties!$E$5:$E$104,MATCH($B267,Properties!$A$5:$A$104,0)),4),Settings!$A$22:$A$26,0))*Settings!$B$19+N($I267)*Settings!$B$9,IF($D267="Late cancel",INDEX(Properties!$L$5:$L$104,MATCH($B267,Properties!$A$5:$A$104,0))*Settings!$B$11,0))),0))</f>
        <v/>
      </c>
      <c r="P267" s="28" t="str">
        <f aca="false">IF($B267="","",$N267-$O267)</f>
        <v/>
      </c>
      <c r="Q267" s="29" t="str">
        <f aca="false">IF($A267="","",DATE(YEAR($A267),MONTH($A267),1))</f>
        <v/>
      </c>
      <c r="R267" s="30" t="str">
        <f aca="false">IF($A267="","",$A267+MOD(6-WEEKDAY($A267),7))</f>
        <v/>
      </c>
      <c r="S267" s="31" t="str">
        <f aca="false">IF($B267="","",IF(AND($M267='Invoice Builder'!$C$5,$Q267='Invoice Builder'!$C$6,N($N267)&gt;0),COUNTIFS($M$5:$M267,'Invoice Builder'!$C$5,$Q$5:$Q267,'Invoice Builder'!$C$6,$N$5:$N267,"&gt;0"),""))</f>
        <v/>
      </c>
      <c r="T267" s="27" t="str">
        <f aca="false">IF($A267="","",IF($A267&gt;=DATE(YEAR($A267),4,6),YEAR($A267)&amp;"/"&amp;RIGHT(YEAR($A267)+1,2),YEAR($A267)-1&amp;"/"&amp;RIGHT(YEAR($A267),2)))</f>
        <v/>
      </c>
    </row>
    <row r="268" customFormat="false" ht="15" hidden="false" customHeight="false" outlineLevel="0" collapsed="false">
      <c r="A268" s="22"/>
      <c r="B268" s="23"/>
      <c r="C268" s="23"/>
      <c r="D268" s="23"/>
      <c r="E268" s="24"/>
      <c r="F268" s="24"/>
      <c r="G268" s="23"/>
      <c r="H268" s="23"/>
      <c r="I268" s="25"/>
      <c r="J268" s="23"/>
      <c r="K268" s="23"/>
      <c r="L268" s="26" t="str">
        <f aca="false">IF(OR($E268="",$F268=""),"",MOD($F268-$E268,1)*24)</f>
        <v/>
      </c>
      <c r="M268" s="27" t="str">
        <f aca="false">IF($B268="","",IFERROR(INDEX(Properties!$D$5:$D$104,MATCH($B268,Properties!$A$5:$A$104,0)),"?"))</f>
        <v/>
      </c>
      <c r="N268" s="28" t="str">
        <f aca="false">IF($B268="","",IFERROR(IF($D268="Completed",INDEX(Properties!$I$5:$I$104,MATCH($B268,Properties!$A$5:$A$104,0))*(1+IF($G268="Y",Settings!$B$8,0))+IF($H268="Y",Settings!$B$7,0)+N($I268),IF($D268="Deep clean",INDEX(Settings!$E$22:$E$26,MATCH(MIN(INDEX(Properties!$E$5:$E$104,MATCH($B268,Properties!$A$5:$A$104,0)),4),Settings!$A$22:$A$26,0))+N($I268),IF($D268="Late cancel",INDEX(Properties!$I$5:$I$104,MATCH($B268,Properties!$A$5:$A$104,0))*Settings!$B$10,0))),0))</f>
        <v/>
      </c>
      <c r="O268" s="28" t="str">
        <f aca="false">IF($B268="","",IFERROR(IF($D268="Completed",INDEX(Properties!$L$5:$L$104,MATCH($B268,Properties!$A$5:$A$104,0))+IF($G268="Y",INDEX(Properties!$I$5:$I$104,MATCH($B268,Properties!$A$5:$A$104,0))*Settings!$B$8*Settings!$B$9,0)+IF($H268="Y",Settings!$B$7*Settings!$B$9,0)+N($I268)*Settings!$B$9,IF($D268="Deep clean",INDEX(Settings!$E$22:$E$26,MATCH(MIN(INDEX(Properties!$E$5:$E$104,MATCH($B268,Properties!$A$5:$A$104,0)),4),Settings!$A$22:$A$26,0))*Settings!$B$19+N($I268)*Settings!$B$9,IF($D268="Late cancel",INDEX(Properties!$L$5:$L$104,MATCH($B268,Properties!$A$5:$A$104,0))*Settings!$B$11,0))),0))</f>
        <v/>
      </c>
      <c r="P268" s="28" t="str">
        <f aca="false">IF($B268="","",$N268-$O268)</f>
        <v/>
      </c>
      <c r="Q268" s="29" t="str">
        <f aca="false">IF($A268="","",DATE(YEAR($A268),MONTH($A268),1))</f>
        <v/>
      </c>
      <c r="R268" s="30" t="str">
        <f aca="false">IF($A268="","",$A268+MOD(6-WEEKDAY($A268),7))</f>
        <v/>
      </c>
      <c r="S268" s="31" t="str">
        <f aca="false">IF($B268="","",IF(AND($M268='Invoice Builder'!$C$5,$Q268='Invoice Builder'!$C$6,N($N268)&gt;0),COUNTIFS($M$5:$M268,'Invoice Builder'!$C$5,$Q$5:$Q268,'Invoice Builder'!$C$6,$N$5:$N268,"&gt;0"),""))</f>
        <v/>
      </c>
      <c r="T268" s="27" t="str">
        <f aca="false">IF($A268="","",IF($A268&gt;=DATE(YEAR($A268),4,6),YEAR($A268)&amp;"/"&amp;RIGHT(YEAR($A268)+1,2),YEAR($A268)-1&amp;"/"&amp;RIGHT(YEAR($A268),2)))</f>
        <v/>
      </c>
    </row>
    <row r="269" customFormat="false" ht="15" hidden="false" customHeight="false" outlineLevel="0" collapsed="false">
      <c r="A269" s="22"/>
      <c r="B269" s="23"/>
      <c r="C269" s="23"/>
      <c r="D269" s="23"/>
      <c r="E269" s="24"/>
      <c r="F269" s="24"/>
      <c r="G269" s="23"/>
      <c r="H269" s="23"/>
      <c r="I269" s="25"/>
      <c r="J269" s="23"/>
      <c r="K269" s="23"/>
      <c r="L269" s="26" t="str">
        <f aca="false">IF(OR($E269="",$F269=""),"",MOD($F269-$E269,1)*24)</f>
        <v/>
      </c>
      <c r="M269" s="27" t="str">
        <f aca="false">IF($B269="","",IFERROR(INDEX(Properties!$D$5:$D$104,MATCH($B269,Properties!$A$5:$A$104,0)),"?"))</f>
        <v/>
      </c>
      <c r="N269" s="28" t="str">
        <f aca="false">IF($B269="","",IFERROR(IF($D269="Completed",INDEX(Properties!$I$5:$I$104,MATCH($B269,Properties!$A$5:$A$104,0))*(1+IF($G269="Y",Settings!$B$8,0))+IF($H269="Y",Settings!$B$7,0)+N($I269),IF($D269="Deep clean",INDEX(Settings!$E$22:$E$26,MATCH(MIN(INDEX(Properties!$E$5:$E$104,MATCH($B269,Properties!$A$5:$A$104,0)),4),Settings!$A$22:$A$26,0))+N($I269),IF($D269="Late cancel",INDEX(Properties!$I$5:$I$104,MATCH($B269,Properties!$A$5:$A$104,0))*Settings!$B$10,0))),0))</f>
        <v/>
      </c>
      <c r="O269" s="28" t="str">
        <f aca="false">IF($B269="","",IFERROR(IF($D269="Completed",INDEX(Properties!$L$5:$L$104,MATCH($B269,Properties!$A$5:$A$104,0))+IF($G269="Y",INDEX(Properties!$I$5:$I$104,MATCH($B269,Properties!$A$5:$A$104,0))*Settings!$B$8*Settings!$B$9,0)+IF($H269="Y",Settings!$B$7*Settings!$B$9,0)+N($I269)*Settings!$B$9,IF($D269="Deep clean",INDEX(Settings!$E$22:$E$26,MATCH(MIN(INDEX(Properties!$E$5:$E$104,MATCH($B269,Properties!$A$5:$A$104,0)),4),Settings!$A$22:$A$26,0))*Settings!$B$19+N($I269)*Settings!$B$9,IF($D269="Late cancel",INDEX(Properties!$L$5:$L$104,MATCH($B269,Properties!$A$5:$A$104,0))*Settings!$B$11,0))),0))</f>
        <v/>
      </c>
      <c r="P269" s="28" t="str">
        <f aca="false">IF($B269="","",$N269-$O269)</f>
        <v/>
      </c>
      <c r="Q269" s="29" t="str">
        <f aca="false">IF($A269="","",DATE(YEAR($A269),MONTH($A269),1))</f>
        <v/>
      </c>
      <c r="R269" s="30" t="str">
        <f aca="false">IF($A269="","",$A269+MOD(6-WEEKDAY($A269),7))</f>
        <v/>
      </c>
      <c r="S269" s="31" t="str">
        <f aca="false">IF($B269="","",IF(AND($M269='Invoice Builder'!$C$5,$Q269='Invoice Builder'!$C$6,N($N269)&gt;0),COUNTIFS($M$5:$M269,'Invoice Builder'!$C$5,$Q$5:$Q269,'Invoice Builder'!$C$6,$N$5:$N269,"&gt;0"),""))</f>
        <v/>
      </c>
      <c r="T269" s="27" t="str">
        <f aca="false">IF($A269="","",IF($A269&gt;=DATE(YEAR($A269),4,6),YEAR($A269)&amp;"/"&amp;RIGHT(YEAR($A269)+1,2),YEAR($A269)-1&amp;"/"&amp;RIGHT(YEAR($A269),2)))</f>
        <v/>
      </c>
    </row>
    <row r="270" customFormat="false" ht="15" hidden="false" customHeight="false" outlineLevel="0" collapsed="false">
      <c r="A270" s="22"/>
      <c r="B270" s="23"/>
      <c r="C270" s="23"/>
      <c r="D270" s="23"/>
      <c r="E270" s="24"/>
      <c r="F270" s="24"/>
      <c r="G270" s="23"/>
      <c r="H270" s="23"/>
      <c r="I270" s="25"/>
      <c r="J270" s="23"/>
      <c r="K270" s="23"/>
      <c r="L270" s="26" t="str">
        <f aca="false">IF(OR($E270="",$F270=""),"",MOD($F270-$E270,1)*24)</f>
        <v/>
      </c>
      <c r="M270" s="27" t="str">
        <f aca="false">IF($B270="","",IFERROR(INDEX(Properties!$D$5:$D$104,MATCH($B270,Properties!$A$5:$A$104,0)),"?"))</f>
        <v/>
      </c>
      <c r="N270" s="28" t="str">
        <f aca="false">IF($B270="","",IFERROR(IF($D270="Completed",INDEX(Properties!$I$5:$I$104,MATCH($B270,Properties!$A$5:$A$104,0))*(1+IF($G270="Y",Settings!$B$8,0))+IF($H270="Y",Settings!$B$7,0)+N($I270),IF($D270="Deep clean",INDEX(Settings!$E$22:$E$26,MATCH(MIN(INDEX(Properties!$E$5:$E$104,MATCH($B270,Properties!$A$5:$A$104,0)),4),Settings!$A$22:$A$26,0))+N($I270),IF($D270="Late cancel",INDEX(Properties!$I$5:$I$104,MATCH($B270,Properties!$A$5:$A$104,0))*Settings!$B$10,0))),0))</f>
        <v/>
      </c>
      <c r="O270" s="28" t="str">
        <f aca="false">IF($B270="","",IFERROR(IF($D270="Completed",INDEX(Properties!$L$5:$L$104,MATCH($B270,Properties!$A$5:$A$104,0))+IF($G270="Y",INDEX(Properties!$I$5:$I$104,MATCH($B270,Properties!$A$5:$A$104,0))*Settings!$B$8*Settings!$B$9,0)+IF($H270="Y",Settings!$B$7*Settings!$B$9,0)+N($I270)*Settings!$B$9,IF($D270="Deep clean",INDEX(Settings!$E$22:$E$26,MATCH(MIN(INDEX(Properties!$E$5:$E$104,MATCH($B270,Properties!$A$5:$A$104,0)),4),Settings!$A$22:$A$26,0))*Settings!$B$19+N($I270)*Settings!$B$9,IF($D270="Late cancel",INDEX(Properties!$L$5:$L$104,MATCH($B270,Properties!$A$5:$A$104,0))*Settings!$B$11,0))),0))</f>
        <v/>
      </c>
      <c r="P270" s="28" t="str">
        <f aca="false">IF($B270="","",$N270-$O270)</f>
        <v/>
      </c>
      <c r="Q270" s="29" t="str">
        <f aca="false">IF($A270="","",DATE(YEAR($A270),MONTH($A270),1))</f>
        <v/>
      </c>
      <c r="R270" s="30" t="str">
        <f aca="false">IF($A270="","",$A270+MOD(6-WEEKDAY($A270),7))</f>
        <v/>
      </c>
      <c r="S270" s="31" t="str">
        <f aca="false">IF($B270="","",IF(AND($M270='Invoice Builder'!$C$5,$Q270='Invoice Builder'!$C$6,N($N270)&gt;0),COUNTIFS($M$5:$M270,'Invoice Builder'!$C$5,$Q$5:$Q270,'Invoice Builder'!$C$6,$N$5:$N270,"&gt;0"),""))</f>
        <v/>
      </c>
      <c r="T270" s="27" t="str">
        <f aca="false">IF($A270="","",IF($A270&gt;=DATE(YEAR($A270),4,6),YEAR($A270)&amp;"/"&amp;RIGHT(YEAR($A270)+1,2),YEAR($A270)-1&amp;"/"&amp;RIGHT(YEAR($A270),2)))</f>
        <v/>
      </c>
    </row>
    <row r="271" customFormat="false" ht="15" hidden="false" customHeight="false" outlineLevel="0" collapsed="false">
      <c r="A271" s="22"/>
      <c r="B271" s="23"/>
      <c r="C271" s="23"/>
      <c r="D271" s="23"/>
      <c r="E271" s="24"/>
      <c r="F271" s="24"/>
      <c r="G271" s="23"/>
      <c r="H271" s="23"/>
      <c r="I271" s="25"/>
      <c r="J271" s="23"/>
      <c r="K271" s="23"/>
      <c r="L271" s="26" t="str">
        <f aca="false">IF(OR($E271="",$F271=""),"",MOD($F271-$E271,1)*24)</f>
        <v/>
      </c>
      <c r="M271" s="27" t="str">
        <f aca="false">IF($B271="","",IFERROR(INDEX(Properties!$D$5:$D$104,MATCH($B271,Properties!$A$5:$A$104,0)),"?"))</f>
        <v/>
      </c>
      <c r="N271" s="28" t="str">
        <f aca="false">IF($B271="","",IFERROR(IF($D271="Completed",INDEX(Properties!$I$5:$I$104,MATCH($B271,Properties!$A$5:$A$104,0))*(1+IF($G271="Y",Settings!$B$8,0))+IF($H271="Y",Settings!$B$7,0)+N($I271),IF($D271="Deep clean",INDEX(Settings!$E$22:$E$26,MATCH(MIN(INDEX(Properties!$E$5:$E$104,MATCH($B271,Properties!$A$5:$A$104,0)),4),Settings!$A$22:$A$26,0))+N($I271),IF($D271="Late cancel",INDEX(Properties!$I$5:$I$104,MATCH($B271,Properties!$A$5:$A$104,0))*Settings!$B$10,0))),0))</f>
        <v/>
      </c>
      <c r="O271" s="28" t="str">
        <f aca="false">IF($B271="","",IFERROR(IF($D271="Completed",INDEX(Properties!$L$5:$L$104,MATCH($B271,Properties!$A$5:$A$104,0))+IF($G271="Y",INDEX(Properties!$I$5:$I$104,MATCH($B271,Properties!$A$5:$A$104,0))*Settings!$B$8*Settings!$B$9,0)+IF($H271="Y",Settings!$B$7*Settings!$B$9,0)+N($I271)*Settings!$B$9,IF($D271="Deep clean",INDEX(Settings!$E$22:$E$26,MATCH(MIN(INDEX(Properties!$E$5:$E$104,MATCH($B271,Properties!$A$5:$A$104,0)),4),Settings!$A$22:$A$26,0))*Settings!$B$19+N($I271)*Settings!$B$9,IF($D271="Late cancel",INDEX(Properties!$L$5:$L$104,MATCH($B271,Properties!$A$5:$A$104,0))*Settings!$B$11,0))),0))</f>
        <v/>
      </c>
      <c r="P271" s="28" t="str">
        <f aca="false">IF($B271="","",$N271-$O271)</f>
        <v/>
      </c>
      <c r="Q271" s="29" t="str">
        <f aca="false">IF($A271="","",DATE(YEAR($A271),MONTH($A271),1))</f>
        <v/>
      </c>
      <c r="R271" s="30" t="str">
        <f aca="false">IF($A271="","",$A271+MOD(6-WEEKDAY($A271),7))</f>
        <v/>
      </c>
      <c r="S271" s="31" t="str">
        <f aca="false">IF($B271="","",IF(AND($M271='Invoice Builder'!$C$5,$Q271='Invoice Builder'!$C$6,N($N271)&gt;0),COUNTIFS($M$5:$M271,'Invoice Builder'!$C$5,$Q$5:$Q271,'Invoice Builder'!$C$6,$N$5:$N271,"&gt;0"),""))</f>
        <v/>
      </c>
      <c r="T271" s="27" t="str">
        <f aca="false">IF($A271="","",IF($A271&gt;=DATE(YEAR($A271),4,6),YEAR($A271)&amp;"/"&amp;RIGHT(YEAR($A271)+1,2),YEAR($A271)-1&amp;"/"&amp;RIGHT(YEAR($A271),2)))</f>
        <v/>
      </c>
    </row>
    <row r="272" customFormat="false" ht="15" hidden="false" customHeight="false" outlineLevel="0" collapsed="false">
      <c r="A272" s="22"/>
      <c r="B272" s="23"/>
      <c r="C272" s="23"/>
      <c r="D272" s="23"/>
      <c r="E272" s="24"/>
      <c r="F272" s="24"/>
      <c r="G272" s="23"/>
      <c r="H272" s="23"/>
      <c r="I272" s="25"/>
      <c r="J272" s="23"/>
      <c r="K272" s="23"/>
      <c r="L272" s="26" t="str">
        <f aca="false">IF(OR($E272="",$F272=""),"",MOD($F272-$E272,1)*24)</f>
        <v/>
      </c>
      <c r="M272" s="27" t="str">
        <f aca="false">IF($B272="","",IFERROR(INDEX(Properties!$D$5:$D$104,MATCH($B272,Properties!$A$5:$A$104,0)),"?"))</f>
        <v/>
      </c>
      <c r="N272" s="28" t="str">
        <f aca="false">IF($B272="","",IFERROR(IF($D272="Completed",INDEX(Properties!$I$5:$I$104,MATCH($B272,Properties!$A$5:$A$104,0))*(1+IF($G272="Y",Settings!$B$8,0))+IF($H272="Y",Settings!$B$7,0)+N($I272),IF($D272="Deep clean",INDEX(Settings!$E$22:$E$26,MATCH(MIN(INDEX(Properties!$E$5:$E$104,MATCH($B272,Properties!$A$5:$A$104,0)),4),Settings!$A$22:$A$26,0))+N($I272),IF($D272="Late cancel",INDEX(Properties!$I$5:$I$104,MATCH($B272,Properties!$A$5:$A$104,0))*Settings!$B$10,0))),0))</f>
        <v/>
      </c>
      <c r="O272" s="28" t="str">
        <f aca="false">IF($B272="","",IFERROR(IF($D272="Completed",INDEX(Properties!$L$5:$L$104,MATCH($B272,Properties!$A$5:$A$104,0))+IF($G272="Y",INDEX(Properties!$I$5:$I$104,MATCH($B272,Properties!$A$5:$A$104,0))*Settings!$B$8*Settings!$B$9,0)+IF($H272="Y",Settings!$B$7*Settings!$B$9,0)+N($I272)*Settings!$B$9,IF($D272="Deep clean",INDEX(Settings!$E$22:$E$26,MATCH(MIN(INDEX(Properties!$E$5:$E$104,MATCH($B272,Properties!$A$5:$A$104,0)),4),Settings!$A$22:$A$26,0))*Settings!$B$19+N($I272)*Settings!$B$9,IF($D272="Late cancel",INDEX(Properties!$L$5:$L$104,MATCH($B272,Properties!$A$5:$A$104,0))*Settings!$B$11,0))),0))</f>
        <v/>
      </c>
      <c r="P272" s="28" t="str">
        <f aca="false">IF($B272="","",$N272-$O272)</f>
        <v/>
      </c>
      <c r="Q272" s="29" t="str">
        <f aca="false">IF($A272="","",DATE(YEAR($A272),MONTH($A272),1))</f>
        <v/>
      </c>
      <c r="R272" s="30" t="str">
        <f aca="false">IF($A272="","",$A272+MOD(6-WEEKDAY($A272),7))</f>
        <v/>
      </c>
      <c r="S272" s="31" t="str">
        <f aca="false">IF($B272="","",IF(AND($M272='Invoice Builder'!$C$5,$Q272='Invoice Builder'!$C$6,N($N272)&gt;0),COUNTIFS($M$5:$M272,'Invoice Builder'!$C$5,$Q$5:$Q272,'Invoice Builder'!$C$6,$N$5:$N272,"&gt;0"),""))</f>
        <v/>
      </c>
      <c r="T272" s="27" t="str">
        <f aca="false">IF($A272="","",IF($A272&gt;=DATE(YEAR($A272),4,6),YEAR($A272)&amp;"/"&amp;RIGHT(YEAR($A272)+1,2),YEAR($A272)-1&amp;"/"&amp;RIGHT(YEAR($A272),2)))</f>
        <v/>
      </c>
    </row>
    <row r="273" customFormat="false" ht="15" hidden="false" customHeight="false" outlineLevel="0" collapsed="false">
      <c r="A273" s="22"/>
      <c r="B273" s="23"/>
      <c r="C273" s="23"/>
      <c r="D273" s="23"/>
      <c r="E273" s="24"/>
      <c r="F273" s="24"/>
      <c r="G273" s="23"/>
      <c r="H273" s="23"/>
      <c r="I273" s="25"/>
      <c r="J273" s="23"/>
      <c r="K273" s="23"/>
      <c r="L273" s="26" t="str">
        <f aca="false">IF(OR($E273="",$F273=""),"",MOD($F273-$E273,1)*24)</f>
        <v/>
      </c>
      <c r="M273" s="27" t="str">
        <f aca="false">IF($B273="","",IFERROR(INDEX(Properties!$D$5:$D$104,MATCH($B273,Properties!$A$5:$A$104,0)),"?"))</f>
        <v/>
      </c>
      <c r="N273" s="28" t="str">
        <f aca="false">IF($B273="","",IFERROR(IF($D273="Completed",INDEX(Properties!$I$5:$I$104,MATCH($B273,Properties!$A$5:$A$104,0))*(1+IF($G273="Y",Settings!$B$8,0))+IF($H273="Y",Settings!$B$7,0)+N($I273),IF($D273="Deep clean",INDEX(Settings!$E$22:$E$26,MATCH(MIN(INDEX(Properties!$E$5:$E$104,MATCH($B273,Properties!$A$5:$A$104,0)),4),Settings!$A$22:$A$26,0))+N($I273),IF($D273="Late cancel",INDEX(Properties!$I$5:$I$104,MATCH($B273,Properties!$A$5:$A$104,0))*Settings!$B$10,0))),0))</f>
        <v/>
      </c>
      <c r="O273" s="28" t="str">
        <f aca="false">IF($B273="","",IFERROR(IF($D273="Completed",INDEX(Properties!$L$5:$L$104,MATCH($B273,Properties!$A$5:$A$104,0))+IF($G273="Y",INDEX(Properties!$I$5:$I$104,MATCH($B273,Properties!$A$5:$A$104,0))*Settings!$B$8*Settings!$B$9,0)+IF($H273="Y",Settings!$B$7*Settings!$B$9,0)+N($I273)*Settings!$B$9,IF($D273="Deep clean",INDEX(Settings!$E$22:$E$26,MATCH(MIN(INDEX(Properties!$E$5:$E$104,MATCH($B273,Properties!$A$5:$A$104,0)),4),Settings!$A$22:$A$26,0))*Settings!$B$19+N($I273)*Settings!$B$9,IF($D273="Late cancel",INDEX(Properties!$L$5:$L$104,MATCH($B273,Properties!$A$5:$A$104,0))*Settings!$B$11,0))),0))</f>
        <v/>
      </c>
      <c r="P273" s="28" t="str">
        <f aca="false">IF($B273="","",$N273-$O273)</f>
        <v/>
      </c>
      <c r="Q273" s="29" t="str">
        <f aca="false">IF($A273="","",DATE(YEAR($A273),MONTH($A273),1))</f>
        <v/>
      </c>
      <c r="R273" s="30" t="str">
        <f aca="false">IF($A273="","",$A273+MOD(6-WEEKDAY($A273),7))</f>
        <v/>
      </c>
      <c r="S273" s="31" t="str">
        <f aca="false">IF($B273="","",IF(AND($M273='Invoice Builder'!$C$5,$Q273='Invoice Builder'!$C$6,N($N273)&gt;0),COUNTIFS($M$5:$M273,'Invoice Builder'!$C$5,$Q$5:$Q273,'Invoice Builder'!$C$6,$N$5:$N273,"&gt;0"),""))</f>
        <v/>
      </c>
      <c r="T273" s="27" t="str">
        <f aca="false">IF($A273="","",IF($A273&gt;=DATE(YEAR($A273),4,6),YEAR($A273)&amp;"/"&amp;RIGHT(YEAR($A273)+1,2),YEAR($A273)-1&amp;"/"&amp;RIGHT(YEAR($A273),2)))</f>
        <v/>
      </c>
    </row>
    <row r="274" customFormat="false" ht="15" hidden="false" customHeight="false" outlineLevel="0" collapsed="false">
      <c r="A274" s="22"/>
      <c r="B274" s="23"/>
      <c r="C274" s="23"/>
      <c r="D274" s="23"/>
      <c r="E274" s="24"/>
      <c r="F274" s="24"/>
      <c r="G274" s="23"/>
      <c r="H274" s="23"/>
      <c r="I274" s="25"/>
      <c r="J274" s="23"/>
      <c r="K274" s="23"/>
      <c r="L274" s="26" t="str">
        <f aca="false">IF(OR($E274="",$F274=""),"",MOD($F274-$E274,1)*24)</f>
        <v/>
      </c>
      <c r="M274" s="27" t="str">
        <f aca="false">IF($B274="","",IFERROR(INDEX(Properties!$D$5:$D$104,MATCH($B274,Properties!$A$5:$A$104,0)),"?"))</f>
        <v/>
      </c>
      <c r="N274" s="28" t="str">
        <f aca="false">IF($B274="","",IFERROR(IF($D274="Completed",INDEX(Properties!$I$5:$I$104,MATCH($B274,Properties!$A$5:$A$104,0))*(1+IF($G274="Y",Settings!$B$8,0))+IF($H274="Y",Settings!$B$7,0)+N($I274),IF($D274="Deep clean",INDEX(Settings!$E$22:$E$26,MATCH(MIN(INDEX(Properties!$E$5:$E$104,MATCH($B274,Properties!$A$5:$A$104,0)),4),Settings!$A$22:$A$26,0))+N($I274),IF($D274="Late cancel",INDEX(Properties!$I$5:$I$104,MATCH($B274,Properties!$A$5:$A$104,0))*Settings!$B$10,0))),0))</f>
        <v/>
      </c>
      <c r="O274" s="28" t="str">
        <f aca="false">IF($B274="","",IFERROR(IF($D274="Completed",INDEX(Properties!$L$5:$L$104,MATCH($B274,Properties!$A$5:$A$104,0))+IF($G274="Y",INDEX(Properties!$I$5:$I$104,MATCH($B274,Properties!$A$5:$A$104,0))*Settings!$B$8*Settings!$B$9,0)+IF($H274="Y",Settings!$B$7*Settings!$B$9,0)+N($I274)*Settings!$B$9,IF($D274="Deep clean",INDEX(Settings!$E$22:$E$26,MATCH(MIN(INDEX(Properties!$E$5:$E$104,MATCH($B274,Properties!$A$5:$A$104,0)),4),Settings!$A$22:$A$26,0))*Settings!$B$19+N($I274)*Settings!$B$9,IF($D274="Late cancel",INDEX(Properties!$L$5:$L$104,MATCH($B274,Properties!$A$5:$A$104,0))*Settings!$B$11,0))),0))</f>
        <v/>
      </c>
      <c r="P274" s="28" t="str">
        <f aca="false">IF($B274="","",$N274-$O274)</f>
        <v/>
      </c>
      <c r="Q274" s="29" t="str">
        <f aca="false">IF($A274="","",DATE(YEAR($A274),MONTH($A274),1))</f>
        <v/>
      </c>
      <c r="R274" s="30" t="str">
        <f aca="false">IF($A274="","",$A274+MOD(6-WEEKDAY($A274),7))</f>
        <v/>
      </c>
      <c r="S274" s="31" t="str">
        <f aca="false">IF($B274="","",IF(AND($M274='Invoice Builder'!$C$5,$Q274='Invoice Builder'!$C$6,N($N274)&gt;0),COUNTIFS($M$5:$M274,'Invoice Builder'!$C$5,$Q$5:$Q274,'Invoice Builder'!$C$6,$N$5:$N274,"&gt;0"),""))</f>
        <v/>
      </c>
      <c r="T274" s="27" t="str">
        <f aca="false">IF($A274="","",IF($A274&gt;=DATE(YEAR($A274),4,6),YEAR($A274)&amp;"/"&amp;RIGHT(YEAR($A274)+1,2),YEAR($A274)-1&amp;"/"&amp;RIGHT(YEAR($A274),2)))</f>
        <v/>
      </c>
    </row>
    <row r="275" customFormat="false" ht="15" hidden="false" customHeight="false" outlineLevel="0" collapsed="false">
      <c r="A275" s="22"/>
      <c r="B275" s="23"/>
      <c r="C275" s="23"/>
      <c r="D275" s="23"/>
      <c r="E275" s="24"/>
      <c r="F275" s="24"/>
      <c r="G275" s="23"/>
      <c r="H275" s="23"/>
      <c r="I275" s="25"/>
      <c r="J275" s="23"/>
      <c r="K275" s="23"/>
      <c r="L275" s="26" t="str">
        <f aca="false">IF(OR($E275="",$F275=""),"",MOD($F275-$E275,1)*24)</f>
        <v/>
      </c>
      <c r="M275" s="27" t="str">
        <f aca="false">IF($B275="","",IFERROR(INDEX(Properties!$D$5:$D$104,MATCH($B275,Properties!$A$5:$A$104,0)),"?"))</f>
        <v/>
      </c>
      <c r="N275" s="28" t="str">
        <f aca="false">IF($B275="","",IFERROR(IF($D275="Completed",INDEX(Properties!$I$5:$I$104,MATCH($B275,Properties!$A$5:$A$104,0))*(1+IF($G275="Y",Settings!$B$8,0))+IF($H275="Y",Settings!$B$7,0)+N($I275),IF($D275="Deep clean",INDEX(Settings!$E$22:$E$26,MATCH(MIN(INDEX(Properties!$E$5:$E$104,MATCH($B275,Properties!$A$5:$A$104,0)),4),Settings!$A$22:$A$26,0))+N($I275),IF($D275="Late cancel",INDEX(Properties!$I$5:$I$104,MATCH($B275,Properties!$A$5:$A$104,0))*Settings!$B$10,0))),0))</f>
        <v/>
      </c>
      <c r="O275" s="28" t="str">
        <f aca="false">IF($B275="","",IFERROR(IF($D275="Completed",INDEX(Properties!$L$5:$L$104,MATCH($B275,Properties!$A$5:$A$104,0))+IF($G275="Y",INDEX(Properties!$I$5:$I$104,MATCH($B275,Properties!$A$5:$A$104,0))*Settings!$B$8*Settings!$B$9,0)+IF($H275="Y",Settings!$B$7*Settings!$B$9,0)+N($I275)*Settings!$B$9,IF($D275="Deep clean",INDEX(Settings!$E$22:$E$26,MATCH(MIN(INDEX(Properties!$E$5:$E$104,MATCH($B275,Properties!$A$5:$A$104,0)),4),Settings!$A$22:$A$26,0))*Settings!$B$19+N($I275)*Settings!$B$9,IF($D275="Late cancel",INDEX(Properties!$L$5:$L$104,MATCH($B275,Properties!$A$5:$A$104,0))*Settings!$B$11,0))),0))</f>
        <v/>
      </c>
      <c r="P275" s="28" t="str">
        <f aca="false">IF($B275="","",$N275-$O275)</f>
        <v/>
      </c>
      <c r="Q275" s="29" t="str">
        <f aca="false">IF($A275="","",DATE(YEAR($A275),MONTH($A275),1))</f>
        <v/>
      </c>
      <c r="R275" s="30" t="str">
        <f aca="false">IF($A275="","",$A275+MOD(6-WEEKDAY($A275),7))</f>
        <v/>
      </c>
      <c r="S275" s="31" t="str">
        <f aca="false">IF($B275="","",IF(AND($M275='Invoice Builder'!$C$5,$Q275='Invoice Builder'!$C$6,N($N275)&gt;0),COUNTIFS($M$5:$M275,'Invoice Builder'!$C$5,$Q$5:$Q275,'Invoice Builder'!$C$6,$N$5:$N275,"&gt;0"),""))</f>
        <v/>
      </c>
      <c r="T275" s="27" t="str">
        <f aca="false">IF($A275="","",IF($A275&gt;=DATE(YEAR($A275),4,6),YEAR($A275)&amp;"/"&amp;RIGHT(YEAR($A275)+1,2),YEAR($A275)-1&amp;"/"&amp;RIGHT(YEAR($A275),2)))</f>
        <v/>
      </c>
    </row>
    <row r="276" customFormat="false" ht="15" hidden="false" customHeight="false" outlineLevel="0" collapsed="false">
      <c r="A276" s="22"/>
      <c r="B276" s="23"/>
      <c r="C276" s="23"/>
      <c r="D276" s="23"/>
      <c r="E276" s="24"/>
      <c r="F276" s="24"/>
      <c r="G276" s="23"/>
      <c r="H276" s="23"/>
      <c r="I276" s="25"/>
      <c r="J276" s="23"/>
      <c r="K276" s="23"/>
      <c r="L276" s="26" t="str">
        <f aca="false">IF(OR($E276="",$F276=""),"",MOD($F276-$E276,1)*24)</f>
        <v/>
      </c>
      <c r="M276" s="27" t="str">
        <f aca="false">IF($B276="","",IFERROR(INDEX(Properties!$D$5:$D$104,MATCH($B276,Properties!$A$5:$A$104,0)),"?"))</f>
        <v/>
      </c>
      <c r="N276" s="28" t="str">
        <f aca="false">IF($B276="","",IFERROR(IF($D276="Completed",INDEX(Properties!$I$5:$I$104,MATCH($B276,Properties!$A$5:$A$104,0))*(1+IF($G276="Y",Settings!$B$8,0))+IF($H276="Y",Settings!$B$7,0)+N($I276),IF($D276="Deep clean",INDEX(Settings!$E$22:$E$26,MATCH(MIN(INDEX(Properties!$E$5:$E$104,MATCH($B276,Properties!$A$5:$A$104,0)),4),Settings!$A$22:$A$26,0))+N($I276),IF($D276="Late cancel",INDEX(Properties!$I$5:$I$104,MATCH($B276,Properties!$A$5:$A$104,0))*Settings!$B$10,0))),0))</f>
        <v/>
      </c>
      <c r="O276" s="28" t="str">
        <f aca="false">IF($B276="","",IFERROR(IF($D276="Completed",INDEX(Properties!$L$5:$L$104,MATCH($B276,Properties!$A$5:$A$104,0))+IF($G276="Y",INDEX(Properties!$I$5:$I$104,MATCH($B276,Properties!$A$5:$A$104,0))*Settings!$B$8*Settings!$B$9,0)+IF($H276="Y",Settings!$B$7*Settings!$B$9,0)+N($I276)*Settings!$B$9,IF($D276="Deep clean",INDEX(Settings!$E$22:$E$26,MATCH(MIN(INDEX(Properties!$E$5:$E$104,MATCH($B276,Properties!$A$5:$A$104,0)),4),Settings!$A$22:$A$26,0))*Settings!$B$19+N($I276)*Settings!$B$9,IF($D276="Late cancel",INDEX(Properties!$L$5:$L$104,MATCH($B276,Properties!$A$5:$A$104,0))*Settings!$B$11,0))),0))</f>
        <v/>
      </c>
      <c r="P276" s="28" t="str">
        <f aca="false">IF($B276="","",$N276-$O276)</f>
        <v/>
      </c>
      <c r="Q276" s="29" t="str">
        <f aca="false">IF($A276="","",DATE(YEAR($A276),MONTH($A276),1))</f>
        <v/>
      </c>
      <c r="R276" s="30" t="str">
        <f aca="false">IF($A276="","",$A276+MOD(6-WEEKDAY($A276),7))</f>
        <v/>
      </c>
      <c r="S276" s="31" t="str">
        <f aca="false">IF($B276="","",IF(AND($M276='Invoice Builder'!$C$5,$Q276='Invoice Builder'!$C$6,N($N276)&gt;0),COUNTIFS($M$5:$M276,'Invoice Builder'!$C$5,$Q$5:$Q276,'Invoice Builder'!$C$6,$N$5:$N276,"&gt;0"),""))</f>
        <v/>
      </c>
      <c r="T276" s="27" t="str">
        <f aca="false">IF($A276="","",IF($A276&gt;=DATE(YEAR($A276),4,6),YEAR($A276)&amp;"/"&amp;RIGHT(YEAR($A276)+1,2),YEAR($A276)-1&amp;"/"&amp;RIGHT(YEAR($A276),2)))</f>
        <v/>
      </c>
    </row>
    <row r="277" customFormat="false" ht="15" hidden="false" customHeight="false" outlineLevel="0" collapsed="false">
      <c r="A277" s="22"/>
      <c r="B277" s="23"/>
      <c r="C277" s="23"/>
      <c r="D277" s="23"/>
      <c r="E277" s="24"/>
      <c r="F277" s="24"/>
      <c r="G277" s="23"/>
      <c r="H277" s="23"/>
      <c r="I277" s="25"/>
      <c r="J277" s="23"/>
      <c r="K277" s="23"/>
      <c r="L277" s="26" t="str">
        <f aca="false">IF(OR($E277="",$F277=""),"",MOD($F277-$E277,1)*24)</f>
        <v/>
      </c>
      <c r="M277" s="27" t="str">
        <f aca="false">IF($B277="","",IFERROR(INDEX(Properties!$D$5:$D$104,MATCH($B277,Properties!$A$5:$A$104,0)),"?"))</f>
        <v/>
      </c>
      <c r="N277" s="28" t="str">
        <f aca="false">IF($B277="","",IFERROR(IF($D277="Completed",INDEX(Properties!$I$5:$I$104,MATCH($B277,Properties!$A$5:$A$104,0))*(1+IF($G277="Y",Settings!$B$8,0))+IF($H277="Y",Settings!$B$7,0)+N($I277),IF($D277="Deep clean",INDEX(Settings!$E$22:$E$26,MATCH(MIN(INDEX(Properties!$E$5:$E$104,MATCH($B277,Properties!$A$5:$A$104,0)),4),Settings!$A$22:$A$26,0))+N($I277),IF($D277="Late cancel",INDEX(Properties!$I$5:$I$104,MATCH($B277,Properties!$A$5:$A$104,0))*Settings!$B$10,0))),0))</f>
        <v/>
      </c>
      <c r="O277" s="28" t="str">
        <f aca="false">IF($B277="","",IFERROR(IF($D277="Completed",INDEX(Properties!$L$5:$L$104,MATCH($B277,Properties!$A$5:$A$104,0))+IF($G277="Y",INDEX(Properties!$I$5:$I$104,MATCH($B277,Properties!$A$5:$A$104,0))*Settings!$B$8*Settings!$B$9,0)+IF($H277="Y",Settings!$B$7*Settings!$B$9,0)+N($I277)*Settings!$B$9,IF($D277="Deep clean",INDEX(Settings!$E$22:$E$26,MATCH(MIN(INDEX(Properties!$E$5:$E$104,MATCH($B277,Properties!$A$5:$A$104,0)),4),Settings!$A$22:$A$26,0))*Settings!$B$19+N($I277)*Settings!$B$9,IF($D277="Late cancel",INDEX(Properties!$L$5:$L$104,MATCH($B277,Properties!$A$5:$A$104,0))*Settings!$B$11,0))),0))</f>
        <v/>
      </c>
      <c r="P277" s="28" t="str">
        <f aca="false">IF($B277="","",$N277-$O277)</f>
        <v/>
      </c>
      <c r="Q277" s="29" t="str">
        <f aca="false">IF($A277="","",DATE(YEAR($A277),MONTH($A277),1))</f>
        <v/>
      </c>
      <c r="R277" s="30" t="str">
        <f aca="false">IF($A277="","",$A277+MOD(6-WEEKDAY($A277),7))</f>
        <v/>
      </c>
      <c r="S277" s="31" t="str">
        <f aca="false">IF($B277="","",IF(AND($M277='Invoice Builder'!$C$5,$Q277='Invoice Builder'!$C$6,N($N277)&gt;0),COUNTIFS($M$5:$M277,'Invoice Builder'!$C$5,$Q$5:$Q277,'Invoice Builder'!$C$6,$N$5:$N277,"&gt;0"),""))</f>
        <v/>
      </c>
      <c r="T277" s="27" t="str">
        <f aca="false">IF($A277="","",IF($A277&gt;=DATE(YEAR($A277),4,6),YEAR($A277)&amp;"/"&amp;RIGHT(YEAR($A277)+1,2),YEAR($A277)-1&amp;"/"&amp;RIGHT(YEAR($A277),2)))</f>
        <v/>
      </c>
    </row>
    <row r="278" customFormat="false" ht="15" hidden="false" customHeight="false" outlineLevel="0" collapsed="false">
      <c r="A278" s="22"/>
      <c r="B278" s="23"/>
      <c r="C278" s="23"/>
      <c r="D278" s="23"/>
      <c r="E278" s="24"/>
      <c r="F278" s="24"/>
      <c r="G278" s="23"/>
      <c r="H278" s="23"/>
      <c r="I278" s="25"/>
      <c r="J278" s="23"/>
      <c r="K278" s="23"/>
      <c r="L278" s="26" t="str">
        <f aca="false">IF(OR($E278="",$F278=""),"",MOD($F278-$E278,1)*24)</f>
        <v/>
      </c>
      <c r="M278" s="27" t="str">
        <f aca="false">IF($B278="","",IFERROR(INDEX(Properties!$D$5:$D$104,MATCH($B278,Properties!$A$5:$A$104,0)),"?"))</f>
        <v/>
      </c>
      <c r="N278" s="28" t="str">
        <f aca="false">IF($B278="","",IFERROR(IF($D278="Completed",INDEX(Properties!$I$5:$I$104,MATCH($B278,Properties!$A$5:$A$104,0))*(1+IF($G278="Y",Settings!$B$8,0))+IF($H278="Y",Settings!$B$7,0)+N($I278),IF($D278="Deep clean",INDEX(Settings!$E$22:$E$26,MATCH(MIN(INDEX(Properties!$E$5:$E$104,MATCH($B278,Properties!$A$5:$A$104,0)),4),Settings!$A$22:$A$26,0))+N($I278),IF($D278="Late cancel",INDEX(Properties!$I$5:$I$104,MATCH($B278,Properties!$A$5:$A$104,0))*Settings!$B$10,0))),0))</f>
        <v/>
      </c>
      <c r="O278" s="28" t="str">
        <f aca="false">IF($B278="","",IFERROR(IF($D278="Completed",INDEX(Properties!$L$5:$L$104,MATCH($B278,Properties!$A$5:$A$104,0))+IF($G278="Y",INDEX(Properties!$I$5:$I$104,MATCH($B278,Properties!$A$5:$A$104,0))*Settings!$B$8*Settings!$B$9,0)+IF($H278="Y",Settings!$B$7*Settings!$B$9,0)+N($I278)*Settings!$B$9,IF($D278="Deep clean",INDEX(Settings!$E$22:$E$26,MATCH(MIN(INDEX(Properties!$E$5:$E$104,MATCH($B278,Properties!$A$5:$A$104,0)),4),Settings!$A$22:$A$26,0))*Settings!$B$19+N($I278)*Settings!$B$9,IF($D278="Late cancel",INDEX(Properties!$L$5:$L$104,MATCH($B278,Properties!$A$5:$A$104,0))*Settings!$B$11,0))),0))</f>
        <v/>
      </c>
      <c r="P278" s="28" t="str">
        <f aca="false">IF($B278="","",$N278-$O278)</f>
        <v/>
      </c>
      <c r="Q278" s="29" t="str">
        <f aca="false">IF($A278="","",DATE(YEAR($A278),MONTH($A278),1))</f>
        <v/>
      </c>
      <c r="R278" s="30" t="str">
        <f aca="false">IF($A278="","",$A278+MOD(6-WEEKDAY($A278),7))</f>
        <v/>
      </c>
      <c r="S278" s="31" t="str">
        <f aca="false">IF($B278="","",IF(AND($M278='Invoice Builder'!$C$5,$Q278='Invoice Builder'!$C$6,N($N278)&gt;0),COUNTIFS($M$5:$M278,'Invoice Builder'!$C$5,$Q$5:$Q278,'Invoice Builder'!$C$6,$N$5:$N278,"&gt;0"),""))</f>
        <v/>
      </c>
      <c r="T278" s="27" t="str">
        <f aca="false">IF($A278="","",IF($A278&gt;=DATE(YEAR($A278),4,6),YEAR($A278)&amp;"/"&amp;RIGHT(YEAR($A278)+1,2),YEAR($A278)-1&amp;"/"&amp;RIGHT(YEAR($A278),2)))</f>
        <v/>
      </c>
    </row>
    <row r="279" customFormat="false" ht="15" hidden="false" customHeight="false" outlineLevel="0" collapsed="false">
      <c r="A279" s="22"/>
      <c r="B279" s="23"/>
      <c r="C279" s="23"/>
      <c r="D279" s="23"/>
      <c r="E279" s="24"/>
      <c r="F279" s="24"/>
      <c r="G279" s="23"/>
      <c r="H279" s="23"/>
      <c r="I279" s="25"/>
      <c r="J279" s="23"/>
      <c r="K279" s="23"/>
      <c r="L279" s="26" t="str">
        <f aca="false">IF(OR($E279="",$F279=""),"",MOD($F279-$E279,1)*24)</f>
        <v/>
      </c>
      <c r="M279" s="27" t="str">
        <f aca="false">IF($B279="","",IFERROR(INDEX(Properties!$D$5:$D$104,MATCH($B279,Properties!$A$5:$A$104,0)),"?"))</f>
        <v/>
      </c>
      <c r="N279" s="28" t="str">
        <f aca="false">IF($B279="","",IFERROR(IF($D279="Completed",INDEX(Properties!$I$5:$I$104,MATCH($B279,Properties!$A$5:$A$104,0))*(1+IF($G279="Y",Settings!$B$8,0))+IF($H279="Y",Settings!$B$7,0)+N($I279),IF($D279="Deep clean",INDEX(Settings!$E$22:$E$26,MATCH(MIN(INDEX(Properties!$E$5:$E$104,MATCH($B279,Properties!$A$5:$A$104,0)),4),Settings!$A$22:$A$26,0))+N($I279),IF($D279="Late cancel",INDEX(Properties!$I$5:$I$104,MATCH($B279,Properties!$A$5:$A$104,0))*Settings!$B$10,0))),0))</f>
        <v/>
      </c>
      <c r="O279" s="28" t="str">
        <f aca="false">IF($B279="","",IFERROR(IF($D279="Completed",INDEX(Properties!$L$5:$L$104,MATCH($B279,Properties!$A$5:$A$104,0))+IF($G279="Y",INDEX(Properties!$I$5:$I$104,MATCH($B279,Properties!$A$5:$A$104,0))*Settings!$B$8*Settings!$B$9,0)+IF($H279="Y",Settings!$B$7*Settings!$B$9,0)+N($I279)*Settings!$B$9,IF($D279="Deep clean",INDEX(Settings!$E$22:$E$26,MATCH(MIN(INDEX(Properties!$E$5:$E$104,MATCH($B279,Properties!$A$5:$A$104,0)),4),Settings!$A$22:$A$26,0))*Settings!$B$19+N($I279)*Settings!$B$9,IF($D279="Late cancel",INDEX(Properties!$L$5:$L$104,MATCH($B279,Properties!$A$5:$A$104,0))*Settings!$B$11,0))),0))</f>
        <v/>
      </c>
      <c r="P279" s="28" t="str">
        <f aca="false">IF($B279="","",$N279-$O279)</f>
        <v/>
      </c>
      <c r="Q279" s="29" t="str">
        <f aca="false">IF($A279="","",DATE(YEAR($A279),MONTH($A279),1))</f>
        <v/>
      </c>
      <c r="R279" s="30" t="str">
        <f aca="false">IF($A279="","",$A279+MOD(6-WEEKDAY($A279),7))</f>
        <v/>
      </c>
      <c r="S279" s="31" t="str">
        <f aca="false">IF($B279="","",IF(AND($M279='Invoice Builder'!$C$5,$Q279='Invoice Builder'!$C$6,N($N279)&gt;0),COUNTIFS($M$5:$M279,'Invoice Builder'!$C$5,$Q$5:$Q279,'Invoice Builder'!$C$6,$N$5:$N279,"&gt;0"),""))</f>
        <v/>
      </c>
      <c r="T279" s="27" t="str">
        <f aca="false">IF($A279="","",IF($A279&gt;=DATE(YEAR($A279),4,6),YEAR($A279)&amp;"/"&amp;RIGHT(YEAR($A279)+1,2),YEAR($A279)-1&amp;"/"&amp;RIGHT(YEAR($A279),2)))</f>
        <v/>
      </c>
    </row>
    <row r="280" customFormat="false" ht="15" hidden="false" customHeight="false" outlineLevel="0" collapsed="false">
      <c r="A280" s="22"/>
      <c r="B280" s="23"/>
      <c r="C280" s="23"/>
      <c r="D280" s="23"/>
      <c r="E280" s="24"/>
      <c r="F280" s="24"/>
      <c r="G280" s="23"/>
      <c r="H280" s="23"/>
      <c r="I280" s="25"/>
      <c r="J280" s="23"/>
      <c r="K280" s="23"/>
      <c r="L280" s="26" t="str">
        <f aca="false">IF(OR($E280="",$F280=""),"",MOD($F280-$E280,1)*24)</f>
        <v/>
      </c>
      <c r="M280" s="27" t="str">
        <f aca="false">IF($B280="","",IFERROR(INDEX(Properties!$D$5:$D$104,MATCH($B280,Properties!$A$5:$A$104,0)),"?"))</f>
        <v/>
      </c>
      <c r="N280" s="28" t="str">
        <f aca="false">IF($B280="","",IFERROR(IF($D280="Completed",INDEX(Properties!$I$5:$I$104,MATCH($B280,Properties!$A$5:$A$104,0))*(1+IF($G280="Y",Settings!$B$8,0))+IF($H280="Y",Settings!$B$7,0)+N($I280),IF($D280="Deep clean",INDEX(Settings!$E$22:$E$26,MATCH(MIN(INDEX(Properties!$E$5:$E$104,MATCH($B280,Properties!$A$5:$A$104,0)),4),Settings!$A$22:$A$26,0))+N($I280),IF($D280="Late cancel",INDEX(Properties!$I$5:$I$104,MATCH($B280,Properties!$A$5:$A$104,0))*Settings!$B$10,0))),0))</f>
        <v/>
      </c>
      <c r="O280" s="28" t="str">
        <f aca="false">IF($B280="","",IFERROR(IF($D280="Completed",INDEX(Properties!$L$5:$L$104,MATCH($B280,Properties!$A$5:$A$104,0))+IF($G280="Y",INDEX(Properties!$I$5:$I$104,MATCH($B280,Properties!$A$5:$A$104,0))*Settings!$B$8*Settings!$B$9,0)+IF($H280="Y",Settings!$B$7*Settings!$B$9,0)+N($I280)*Settings!$B$9,IF($D280="Deep clean",INDEX(Settings!$E$22:$E$26,MATCH(MIN(INDEX(Properties!$E$5:$E$104,MATCH($B280,Properties!$A$5:$A$104,0)),4),Settings!$A$22:$A$26,0))*Settings!$B$19+N($I280)*Settings!$B$9,IF($D280="Late cancel",INDEX(Properties!$L$5:$L$104,MATCH($B280,Properties!$A$5:$A$104,0))*Settings!$B$11,0))),0))</f>
        <v/>
      </c>
      <c r="P280" s="28" t="str">
        <f aca="false">IF($B280="","",$N280-$O280)</f>
        <v/>
      </c>
      <c r="Q280" s="29" t="str">
        <f aca="false">IF($A280="","",DATE(YEAR($A280),MONTH($A280),1))</f>
        <v/>
      </c>
      <c r="R280" s="30" t="str">
        <f aca="false">IF($A280="","",$A280+MOD(6-WEEKDAY($A280),7))</f>
        <v/>
      </c>
      <c r="S280" s="31" t="str">
        <f aca="false">IF($B280="","",IF(AND($M280='Invoice Builder'!$C$5,$Q280='Invoice Builder'!$C$6,N($N280)&gt;0),COUNTIFS($M$5:$M280,'Invoice Builder'!$C$5,$Q$5:$Q280,'Invoice Builder'!$C$6,$N$5:$N280,"&gt;0"),""))</f>
        <v/>
      </c>
      <c r="T280" s="27" t="str">
        <f aca="false">IF($A280="","",IF($A280&gt;=DATE(YEAR($A280),4,6),YEAR($A280)&amp;"/"&amp;RIGHT(YEAR($A280)+1,2),YEAR($A280)-1&amp;"/"&amp;RIGHT(YEAR($A280),2)))</f>
        <v/>
      </c>
    </row>
    <row r="281" customFormat="false" ht="15" hidden="false" customHeight="false" outlineLevel="0" collapsed="false">
      <c r="A281" s="22"/>
      <c r="B281" s="23"/>
      <c r="C281" s="23"/>
      <c r="D281" s="23"/>
      <c r="E281" s="24"/>
      <c r="F281" s="24"/>
      <c r="G281" s="23"/>
      <c r="H281" s="23"/>
      <c r="I281" s="25"/>
      <c r="J281" s="23"/>
      <c r="K281" s="23"/>
      <c r="L281" s="26" t="str">
        <f aca="false">IF(OR($E281="",$F281=""),"",MOD($F281-$E281,1)*24)</f>
        <v/>
      </c>
      <c r="M281" s="27" t="str">
        <f aca="false">IF($B281="","",IFERROR(INDEX(Properties!$D$5:$D$104,MATCH($B281,Properties!$A$5:$A$104,0)),"?"))</f>
        <v/>
      </c>
      <c r="N281" s="28" t="str">
        <f aca="false">IF($B281="","",IFERROR(IF($D281="Completed",INDEX(Properties!$I$5:$I$104,MATCH($B281,Properties!$A$5:$A$104,0))*(1+IF($G281="Y",Settings!$B$8,0))+IF($H281="Y",Settings!$B$7,0)+N($I281),IF($D281="Deep clean",INDEX(Settings!$E$22:$E$26,MATCH(MIN(INDEX(Properties!$E$5:$E$104,MATCH($B281,Properties!$A$5:$A$104,0)),4),Settings!$A$22:$A$26,0))+N($I281),IF($D281="Late cancel",INDEX(Properties!$I$5:$I$104,MATCH($B281,Properties!$A$5:$A$104,0))*Settings!$B$10,0))),0))</f>
        <v/>
      </c>
      <c r="O281" s="28" t="str">
        <f aca="false">IF($B281="","",IFERROR(IF($D281="Completed",INDEX(Properties!$L$5:$L$104,MATCH($B281,Properties!$A$5:$A$104,0))+IF($G281="Y",INDEX(Properties!$I$5:$I$104,MATCH($B281,Properties!$A$5:$A$104,0))*Settings!$B$8*Settings!$B$9,0)+IF($H281="Y",Settings!$B$7*Settings!$B$9,0)+N($I281)*Settings!$B$9,IF($D281="Deep clean",INDEX(Settings!$E$22:$E$26,MATCH(MIN(INDEX(Properties!$E$5:$E$104,MATCH($B281,Properties!$A$5:$A$104,0)),4),Settings!$A$22:$A$26,0))*Settings!$B$19+N($I281)*Settings!$B$9,IF($D281="Late cancel",INDEX(Properties!$L$5:$L$104,MATCH($B281,Properties!$A$5:$A$104,0))*Settings!$B$11,0))),0))</f>
        <v/>
      </c>
      <c r="P281" s="28" t="str">
        <f aca="false">IF($B281="","",$N281-$O281)</f>
        <v/>
      </c>
      <c r="Q281" s="29" t="str">
        <f aca="false">IF($A281="","",DATE(YEAR($A281),MONTH($A281),1))</f>
        <v/>
      </c>
      <c r="R281" s="30" t="str">
        <f aca="false">IF($A281="","",$A281+MOD(6-WEEKDAY($A281),7))</f>
        <v/>
      </c>
      <c r="S281" s="31" t="str">
        <f aca="false">IF($B281="","",IF(AND($M281='Invoice Builder'!$C$5,$Q281='Invoice Builder'!$C$6,N($N281)&gt;0),COUNTIFS($M$5:$M281,'Invoice Builder'!$C$5,$Q$5:$Q281,'Invoice Builder'!$C$6,$N$5:$N281,"&gt;0"),""))</f>
        <v/>
      </c>
      <c r="T281" s="27" t="str">
        <f aca="false">IF($A281="","",IF($A281&gt;=DATE(YEAR($A281),4,6),YEAR($A281)&amp;"/"&amp;RIGHT(YEAR($A281)+1,2),YEAR($A281)-1&amp;"/"&amp;RIGHT(YEAR($A281),2)))</f>
        <v/>
      </c>
    </row>
    <row r="282" customFormat="false" ht="15" hidden="false" customHeight="false" outlineLevel="0" collapsed="false">
      <c r="A282" s="22"/>
      <c r="B282" s="23"/>
      <c r="C282" s="23"/>
      <c r="D282" s="23"/>
      <c r="E282" s="24"/>
      <c r="F282" s="24"/>
      <c r="G282" s="23"/>
      <c r="H282" s="23"/>
      <c r="I282" s="25"/>
      <c r="J282" s="23"/>
      <c r="K282" s="23"/>
      <c r="L282" s="26" t="str">
        <f aca="false">IF(OR($E282="",$F282=""),"",MOD($F282-$E282,1)*24)</f>
        <v/>
      </c>
      <c r="M282" s="27" t="str">
        <f aca="false">IF($B282="","",IFERROR(INDEX(Properties!$D$5:$D$104,MATCH($B282,Properties!$A$5:$A$104,0)),"?"))</f>
        <v/>
      </c>
      <c r="N282" s="28" t="str">
        <f aca="false">IF($B282="","",IFERROR(IF($D282="Completed",INDEX(Properties!$I$5:$I$104,MATCH($B282,Properties!$A$5:$A$104,0))*(1+IF($G282="Y",Settings!$B$8,0))+IF($H282="Y",Settings!$B$7,0)+N($I282),IF($D282="Deep clean",INDEX(Settings!$E$22:$E$26,MATCH(MIN(INDEX(Properties!$E$5:$E$104,MATCH($B282,Properties!$A$5:$A$104,0)),4),Settings!$A$22:$A$26,0))+N($I282),IF($D282="Late cancel",INDEX(Properties!$I$5:$I$104,MATCH($B282,Properties!$A$5:$A$104,0))*Settings!$B$10,0))),0))</f>
        <v/>
      </c>
      <c r="O282" s="28" t="str">
        <f aca="false">IF($B282="","",IFERROR(IF($D282="Completed",INDEX(Properties!$L$5:$L$104,MATCH($B282,Properties!$A$5:$A$104,0))+IF($G282="Y",INDEX(Properties!$I$5:$I$104,MATCH($B282,Properties!$A$5:$A$104,0))*Settings!$B$8*Settings!$B$9,0)+IF($H282="Y",Settings!$B$7*Settings!$B$9,0)+N($I282)*Settings!$B$9,IF($D282="Deep clean",INDEX(Settings!$E$22:$E$26,MATCH(MIN(INDEX(Properties!$E$5:$E$104,MATCH($B282,Properties!$A$5:$A$104,0)),4),Settings!$A$22:$A$26,0))*Settings!$B$19+N($I282)*Settings!$B$9,IF($D282="Late cancel",INDEX(Properties!$L$5:$L$104,MATCH($B282,Properties!$A$5:$A$104,0))*Settings!$B$11,0))),0))</f>
        <v/>
      </c>
      <c r="P282" s="28" t="str">
        <f aca="false">IF($B282="","",$N282-$O282)</f>
        <v/>
      </c>
      <c r="Q282" s="29" t="str">
        <f aca="false">IF($A282="","",DATE(YEAR($A282),MONTH($A282),1))</f>
        <v/>
      </c>
      <c r="R282" s="30" t="str">
        <f aca="false">IF($A282="","",$A282+MOD(6-WEEKDAY($A282),7))</f>
        <v/>
      </c>
      <c r="S282" s="31" t="str">
        <f aca="false">IF($B282="","",IF(AND($M282='Invoice Builder'!$C$5,$Q282='Invoice Builder'!$C$6,N($N282)&gt;0),COUNTIFS($M$5:$M282,'Invoice Builder'!$C$5,$Q$5:$Q282,'Invoice Builder'!$C$6,$N$5:$N282,"&gt;0"),""))</f>
        <v/>
      </c>
      <c r="T282" s="27" t="str">
        <f aca="false">IF($A282="","",IF($A282&gt;=DATE(YEAR($A282),4,6),YEAR($A282)&amp;"/"&amp;RIGHT(YEAR($A282)+1,2),YEAR($A282)-1&amp;"/"&amp;RIGHT(YEAR($A282),2)))</f>
        <v/>
      </c>
    </row>
    <row r="283" customFormat="false" ht="15" hidden="false" customHeight="false" outlineLevel="0" collapsed="false">
      <c r="A283" s="22"/>
      <c r="B283" s="23"/>
      <c r="C283" s="23"/>
      <c r="D283" s="23"/>
      <c r="E283" s="24"/>
      <c r="F283" s="24"/>
      <c r="G283" s="23"/>
      <c r="H283" s="23"/>
      <c r="I283" s="25"/>
      <c r="J283" s="23"/>
      <c r="K283" s="23"/>
      <c r="L283" s="26" t="str">
        <f aca="false">IF(OR($E283="",$F283=""),"",MOD($F283-$E283,1)*24)</f>
        <v/>
      </c>
      <c r="M283" s="27" t="str">
        <f aca="false">IF($B283="","",IFERROR(INDEX(Properties!$D$5:$D$104,MATCH($B283,Properties!$A$5:$A$104,0)),"?"))</f>
        <v/>
      </c>
      <c r="N283" s="28" t="str">
        <f aca="false">IF($B283="","",IFERROR(IF($D283="Completed",INDEX(Properties!$I$5:$I$104,MATCH($B283,Properties!$A$5:$A$104,0))*(1+IF($G283="Y",Settings!$B$8,0))+IF($H283="Y",Settings!$B$7,0)+N($I283),IF($D283="Deep clean",INDEX(Settings!$E$22:$E$26,MATCH(MIN(INDEX(Properties!$E$5:$E$104,MATCH($B283,Properties!$A$5:$A$104,0)),4),Settings!$A$22:$A$26,0))+N($I283),IF($D283="Late cancel",INDEX(Properties!$I$5:$I$104,MATCH($B283,Properties!$A$5:$A$104,0))*Settings!$B$10,0))),0))</f>
        <v/>
      </c>
      <c r="O283" s="28" t="str">
        <f aca="false">IF($B283="","",IFERROR(IF($D283="Completed",INDEX(Properties!$L$5:$L$104,MATCH($B283,Properties!$A$5:$A$104,0))+IF($G283="Y",INDEX(Properties!$I$5:$I$104,MATCH($B283,Properties!$A$5:$A$104,0))*Settings!$B$8*Settings!$B$9,0)+IF($H283="Y",Settings!$B$7*Settings!$B$9,0)+N($I283)*Settings!$B$9,IF($D283="Deep clean",INDEX(Settings!$E$22:$E$26,MATCH(MIN(INDEX(Properties!$E$5:$E$104,MATCH($B283,Properties!$A$5:$A$104,0)),4),Settings!$A$22:$A$26,0))*Settings!$B$19+N($I283)*Settings!$B$9,IF($D283="Late cancel",INDEX(Properties!$L$5:$L$104,MATCH($B283,Properties!$A$5:$A$104,0))*Settings!$B$11,0))),0))</f>
        <v/>
      </c>
      <c r="P283" s="28" t="str">
        <f aca="false">IF($B283="","",$N283-$O283)</f>
        <v/>
      </c>
      <c r="Q283" s="29" t="str">
        <f aca="false">IF($A283="","",DATE(YEAR($A283),MONTH($A283),1))</f>
        <v/>
      </c>
      <c r="R283" s="30" t="str">
        <f aca="false">IF($A283="","",$A283+MOD(6-WEEKDAY($A283),7))</f>
        <v/>
      </c>
      <c r="S283" s="31" t="str">
        <f aca="false">IF($B283="","",IF(AND($M283='Invoice Builder'!$C$5,$Q283='Invoice Builder'!$C$6,N($N283)&gt;0),COUNTIFS($M$5:$M283,'Invoice Builder'!$C$5,$Q$5:$Q283,'Invoice Builder'!$C$6,$N$5:$N283,"&gt;0"),""))</f>
        <v/>
      </c>
      <c r="T283" s="27" t="str">
        <f aca="false">IF($A283="","",IF($A283&gt;=DATE(YEAR($A283),4,6),YEAR($A283)&amp;"/"&amp;RIGHT(YEAR($A283)+1,2),YEAR($A283)-1&amp;"/"&amp;RIGHT(YEAR($A283),2)))</f>
        <v/>
      </c>
    </row>
    <row r="284" customFormat="false" ht="15" hidden="false" customHeight="false" outlineLevel="0" collapsed="false">
      <c r="A284" s="22"/>
      <c r="B284" s="23"/>
      <c r="C284" s="23"/>
      <c r="D284" s="23"/>
      <c r="E284" s="24"/>
      <c r="F284" s="24"/>
      <c r="G284" s="23"/>
      <c r="H284" s="23"/>
      <c r="I284" s="25"/>
      <c r="J284" s="23"/>
      <c r="K284" s="23"/>
      <c r="L284" s="26" t="str">
        <f aca="false">IF(OR($E284="",$F284=""),"",MOD($F284-$E284,1)*24)</f>
        <v/>
      </c>
      <c r="M284" s="27" t="str">
        <f aca="false">IF($B284="","",IFERROR(INDEX(Properties!$D$5:$D$104,MATCH($B284,Properties!$A$5:$A$104,0)),"?"))</f>
        <v/>
      </c>
      <c r="N284" s="28" t="str">
        <f aca="false">IF($B284="","",IFERROR(IF($D284="Completed",INDEX(Properties!$I$5:$I$104,MATCH($B284,Properties!$A$5:$A$104,0))*(1+IF($G284="Y",Settings!$B$8,0))+IF($H284="Y",Settings!$B$7,0)+N($I284),IF($D284="Deep clean",INDEX(Settings!$E$22:$E$26,MATCH(MIN(INDEX(Properties!$E$5:$E$104,MATCH($B284,Properties!$A$5:$A$104,0)),4),Settings!$A$22:$A$26,0))+N($I284),IF($D284="Late cancel",INDEX(Properties!$I$5:$I$104,MATCH($B284,Properties!$A$5:$A$104,0))*Settings!$B$10,0))),0))</f>
        <v/>
      </c>
      <c r="O284" s="28" t="str">
        <f aca="false">IF($B284="","",IFERROR(IF($D284="Completed",INDEX(Properties!$L$5:$L$104,MATCH($B284,Properties!$A$5:$A$104,0))+IF($G284="Y",INDEX(Properties!$I$5:$I$104,MATCH($B284,Properties!$A$5:$A$104,0))*Settings!$B$8*Settings!$B$9,0)+IF($H284="Y",Settings!$B$7*Settings!$B$9,0)+N($I284)*Settings!$B$9,IF($D284="Deep clean",INDEX(Settings!$E$22:$E$26,MATCH(MIN(INDEX(Properties!$E$5:$E$104,MATCH($B284,Properties!$A$5:$A$104,0)),4),Settings!$A$22:$A$26,0))*Settings!$B$19+N($I284)*Settings!$B$9,IF($D284="Late cancel",INDEX(Properties!$L$5:$L$104,MATCH($B284,Properties!$A$5:$A$104,0))*Settings!$B$11,0))),0))</f>
        <v/>
      </c>
      <c r="P284" s="28" t="str">
        <f aca="false">IF($B284="","",$N284-$O284)</f>
        <v/>
      </c>
      <c r="Q284" s="29" t="str">
        <f aca="false">IF($A284="","",DATE(YEAR($A284),MONTH($A284),1))</f>
        <v/>
      </c>
      <c r="R284" s="30" t="str">
        <f aca="false">IF($A284="","",$A284+MOD(6-WEEKDAY($A284),7))</f>
        <v/>
      </c>
      <c r="S284" s="31" t="str">
        <f aca="false">IF($B284="","",IF(AND($M284='Invoice Builder'!$C$5,$Q284='Invoice Builder'!$C$6,N($N284)&gt;0),COUNTIFS($M$5:$M284,'Invoice Builder'!$C$5,$Q$5:$Q284,'Invoice Builder'!$C$6,$N$5:$N284,"&gt;0"),""))</f>
        <v/>
      </c>
      <c r="T284" s="27" t="str">
        <f aca="false">IF($A284="","",IF($A284&gt;=DATE(YEAR($A284),4,6),YEAR($A284)&amp;"/"&amp;RIGHT(YEAR($A284)+1,2),YEAR($A284)-1&amp;"/"&amp;RIGHT(YEAR($A284),2)))</f>
        <v/>
      </c>
    </row>
    <row r="285" customFormat="false" ht="15" hidden="false" customHeight="false" outlineLevel="0" collapsed="false">
      <c r="A285" s="22"/>
      <c r="B285" s="23"/>
      <c r="C285" s="23"/>
      <c r="D285" s="23"/>
      <c r="E285" s="24"/>
      <c r="F285" s="24"/>
      <c r="G285" s="23"/>
      <c r="H285" s="23"/>
      <c r="I285" s="25"/>
      <c r="J285" s="23"/>
      <c r="K285" s="23"/>
      <c r="L285" s="26" t="str">
        <f aca="false">IF(OR($E285="",$F285=""),"",MOD($F285-$E285,1)*24)</f>
        <v/>
      </c>
      <c r="M285" s="27" t="str">
        <f aca="false">IF($B285="","",IFERROR(INDEX(Properties!$D$5:$D$104,MATCH($B285,Properties!$A$5:$A$104,0)),"?"))</f>
        <v/>
      </c>
      <c r="N285" s="28" t="str">
        <f aca="false">IF($B285="","",IFERROR(IF($D285="Completed",INDEX(Properties!$I$5:$I$104,MATCH($B285,Properties!$A$5:$A$104,0))*(1+IF($G285="Y",Settings!$B$8,0))+IF($H285="Y",Settings!$B$7,0)+N($I285),IF($D285="Deep clean",INDEX(Settings!$E$22:$E$26,MATCH(MIN(INDEX(Properties!$E$5:$E$104,MATCH($B285,Properties!$A$5:$A$104,0)),4),Settings!$A$22:$A$26,0))+N($I285),IF($D285="Late cancel",INDEX(Properties!$I$5:$I$104,MATCH($B285,Properties!$A$5:$A$104,0))*Settings!$B$10,0))),0))</f>
        <v/>
      </c>
      <c r="O285" s="28" t="str">
        <f aca="false">IF($B285="","",IFERROR(IF($D285="Completed",INDEX(Properties!$L$5:$L$104,MATCH($B285,Properties!$A$5:$A$104,0))+IF($G285="Y",INDEX(Properties!$I$5:$I$104,MATCH($B285,Properties!$A$5:$A$104,0))*Settings!$B$8*Settings!$B$9,0)+IF($H285="Y",Settings!$B$7*Settings!$B$9,0)+N($I285)*Settings!$B$9,IF($D285="Deep clean",INDEX(Settings!$E$22:$E$26,MATCH(MIN(INDEX(Properties!$E$5:$E$104,MATCH($B285,Properties!$A$5:$A$104,0)),4),Settings!$A$22:$A$26,0))*Settings!$B$19+N($I285)*Settings!$B$9,IF($D285="Late cancel",INDEX(Properties!$L$5:$L$104,MATCH($B285,Properties!$A$5:$A$104,0))*Settings!$B$11,0))),0))</f>
        <v/>
      </c>
      <c r="P285" s="28" t="str">
        <f aca="false">IF($B285="","",$N285-$O285)</f>
        <v/>
      </c>
      <c r="Q285" s="29" t="str">
        <f aca="false">IF($A285="","",DATE(YEAR($A285),MONTH($A285),1))</f>
        <v/>
      </c>
      <c r="R285" s="30" t="str">
        <f aca="false">IF($A285="","",$A285+MOD(6-WEEKDAY($A285),7))</f>
        <v/>
      </c>
      <c r="S285" s="31" t="str">
        <f aca="false">IF($B285="","",IF(AND($M285='Invoice Builder'!$C$5,$Q285='Invoice Builder'!$C$6,N($N285)&gt;0),COUNTIFS($M$5:$M285,'Invoice Builder'!$C$5,$Q$5:$Q285,'Invoice Builder'!$C$6,$N$5:$N285,"&gt;0"),""))</f>
        <v/>
      </c>
      <c r="T285" s="27" t="str">
        <f aca="false">IF($A285="","",IF($A285&gt;=DATE(YEAR($A285),4,6),YEAR($A285)&amp;"/"&amp;RIGHT(YEAR($A285)+1,2),YEAR($A285)-1&amp;"/"&amp;RIGHT(YEAR($A285),2)))</f>
        <v/>
      </c>
    </row>
    <row r="286" customFormat="false" ht="15" hidden="false" customHeight="false" outlineLevel="0" collapsed="false">
      <c r="A286" s="22"/>
      <c r="B286" s="23"/>
      <c r="C286" s="23"/>
      <c r="D286" s="23"/>
      <c r="E286" s="24"/>
      <c r="F286" s="24"/>
      <c r="G286" s="23"/>
      <c r="H286" s="23"/>
      <c r="I286" s="25"/>
      <c r="J286" s="23"/>
      <c r="K286" s="23"/>
      <c r="L286" s="26" t="str">
        <f aca="false">IF(OR($E286="",$F286=""),"",MOD($F286-$E286,1)*24)</f>
        <v/>
      </c>
      <c r="M286" s="27" t="str">
        <f aca="false">IF($B286="","",IFERROR(INDEX(Properties!$D$5:$D$104,MATCH($B286,Properties!$A$5:$A$104,0)),"?"))</f>
        <v/>
      </c>
      <c r="N286" s="28" t="str">
        <f aca="false">IF($B286="","",IFERROR(IF($D286="Completed",INDEX(Properties!$I$5:$I$104,MATCH($B286,Properties!$A$5:$A$104,0))*(1+IF($G286="Y",Settings!$B$8,0))+IF($H286="Y",Settings!$B$7,0)+N($I286),IF($D286="Deep clean",INDEX(Settings!$E$22:$E$26,MATCH(MIN(INDEX(Properties!$E$5:$E$104,MATCH($B286,Properties!$A$5:$A$104,0)),4),Settings!$A$22:$A$26,0))+N($I286),IF($D286="Late cancel",INDEX(Properties!$I$5:$I$104,MATCH($B286,Properties!$A$5:$A$104,0))*Settings!$B$10,0))),0))</f>
        <v/>
      </c>
      <c r="O286" s="28" t="str">
        <f aca="false">IF($B286="","",IFERROR(IF($D286="Completed",INDEX(Properties!$L$5:$L$104,MATCH($B286,Properties!$A$5:$A$104,0))+IF($G286="Y",INDEX(Properties!$I$5:$I$104,MATCH($B286,Properties!$A$5:$A$104,0))*Settings!$B$8*Settings!$B$9,0)+IF($H286="Y",Settings!$B$7*Settings!$B$9,0)+N($I286)*Settings!$B$9,IF($D286="Deep clean",INDEX(Settings!$E$22:$E$26,MATCH(MIN(INDEX(Properties!$E$5:$E$104,MATCH($B286,Properties!$A$5:$A$104,0)),4),Settings!$A$22:$A$26,0))*Settings!$B$19+N($I286)*Settings!$B$9,IF($D286="Late cancel",INDEX(Properties!$L$5:$L$104,MATCH($B286,Properties!$A$5:$A$104,0))*Settings!$B$11,0))),0))</f>
        <v/>
      </c>
      <c r="P286" s="28" t="str">
        <f aca="false">IF($B286="","",$N286-$O286)</f>
        <v/>
      </c>
      <c r="Q286" s="29" t="str">
        <f aca="false">IF($A286="","",DATE(YEAR($A286),MONTH($A286),1))</f>
        <v/>
      </c>
      <c r="R286" s="30" t="str">
        <f aca="false">IF($A286="","",$A286+MOD(6-WEEKDAY($A286),7))</f>
        <v/>
      </c>
      <c r="S286" s="31" t="str">
        <f aca="false">IF($B286="","",IF(AND($M286='Invoice Builder'!$C$5,$Q286='Invoice Builder'!$C$6,N($N286)&gt;0),COUNTIFS($M$5:$M286,'Invoice Builder'!$C$5,$Q$5:$Q286,'Invoice Builder'!$C$6,$N$5:$N286,"&gt;0"),""))</f>
        <v/>
      </c>
      <c r="T286" s="27" t="str">
        <f aca="false">IF($A286="","",IF($A286&gt;=DATE(YEAR($A286),4,6),YEAR($A286)&amp;"/"&amp;RIGHT(YEAR($A286)+1,2),YEAR($A286)-1&amp;"/"&amp;RIGHT(YEAR($A286),2)))</f>
        <v/>
      </c>
    </row>
    <row r="287" customFormat="false" ht="15" hidden="false" customHeight="false" outlineLevel="0" collapsed="false">
      <c r="A287" s="22"/>
      <c r="B287" s="23"/>
      <c r="C287" s="23"/>
      <c r="D287" s="23"/>
      <c r="E287" s="24"/>
      <c r="F287" s="24"/>
      <c r="G287" s="23"/>
      <c r="H287" s="23"/>
      <c r="I287" s="25"/>
      <c r="J287" s="23"/>
      <c r="K287" s="23"/>
      <c r="L287" s="26" t="str">
        <f aca="false">IF(OR($E287="",$F287=""),"",MOD($F287-$E287,1)*24)</f>
        <v/>
      </c>
      <c r="M287" s="27" t="str">
        <f aca="false">IF($B287="","",IFERROR(INDEX(Properties!$D$5:$D$104,MATCH($B287,Properties!$A$5:$A$104,0)),"?"))</f>
        <v/>
      </c>
      <c r="N287" s="28" t="str">
        <f aca="false">IF($B287="","",IFERROR(IF($D287="Completed",INDEX(Properties!$I$5:$I$104,MATCH($B287,Properties!$A$5:$A$104,0))*(1+IF($G287="Y",Settings!$B$8,0))+IF($H287="Y",Settings!$B$7,0)+N($I287),IF($D287="Deep clean",INDEX(Settings!$E$22:$E$26,MATCH(MIN(INDEX(Properties!$E$5:$E$104,MATCH($B287,Properties!$A$5:$A$104,0)),4),Settings!$A$22:$A$26,0))+N($I287),IF($D287="Late cancel",INDEX(Properties!$I$5:$I$104,MATCH($B287,Properties!$A$5:$A$104,0))*Settings!$B$10,0))),0))</f>
        <v/>
      </c>
      <c r="O287" s="28" t="str">
        <f aca="false">IF($B287="","",IFERROR(IF($D287="Completed",INDEX(Properties!$L$5:$L$104,MATCH($B287,Properties!$A$5:$A$104,0))+IF($G287="Y",INDEX(Properties!$I$5:$I$104,MATCH($B287,Properties!$A$5:$A$104,0))*Settings!$B$8*Settings!$B$9,0)+IF($H287="Y",Settings!$B$7*Settings!$B$9,0)+N($I287)*Settings!$B$9,IF($D287="Deep clean",INDEX(Settings!$E$22:$E$26,MATCH(MIN(INDEX(Properties!$E$5:$E$104,MATCH($B287,Properties!$A$5:$A$104,0)),4),Settings!$A$22:$A$26,0))*Settings!$B$19+N($I287)*Settings!$B$9,IF($D287="Late cancel",INDEX(Properties!$L$5:$L$104,MATCH($B287,Properties!$A$5:$A$104,0))*Settings!$B$11,0))),0))</f>
        <v/>
      </c>
      <c r="P287" s="28" t="str">
        <f aca="false">IF($B287="","",$N287-$O287)</f>
        <v/>
      </c>
      <c r="Q287" s="29" t="str">
        <f aca="false">IF($A287="","",DATE(YEAR($A287),MONTH($A287),1))</f>
        <v/>
      </c>
      <c r="R287" s="30" t="str">
        <f aca="false">IF($A287="","",$A287+MOD(6-WEEKDAY($A287),7))</f>
        <v/>
      </c>
      <c r="S287" s="31" t="str">
        <f aca="false">IF($B287="","",IF(AND($M287='Invoice Builder'!$C$5,$Q287='Invoice Builder'!$C$6,N($N287)&gt;0),COUNTIFS($M$5:$M287,'Invoice Builder'!$C$5,$Q$5:$Q287,'Invoice Builder'!$C$6,$N$5:$N287,"&gt;0"),""))</f>
        <v/>
      </c>
      <c r="T287" s="27" t="str">
        <f aca="false">IF($A287="","",IF($A287&gt;=DATE(YEAR($A287),4,6),YEAR($A287)&amp;"/"&amp;RIGHT(YEAR($A287)+1,2),YEAR($A287)-1&amp;"/"&amp;RIGHT(YEAR($A287),2)))</f>
        <v/>
      </c>
    </row>
    <row r="288" customFormat="false" ht="15" hidden="false" customHeight="false" outlineLevel="0" collapsed="false">
      <c r="A288" s="22"/>
      <c r="B288" s="23"/>
      <c r="C288" s="23"/>
      <c r="D288" s="23"/>
      <c r="E288" s="24"/>
      <c r="F288" s="24"/>
      <c r="G288" s="23"/>
      <c r="H288" s="23"/>
      <c r="I288" s="25"/>
      <c r="J288" s="23"/>
      <c r="K288" s="23"/>
      <c r="L288" s="26" t="str">
        <f aca="false">IF(OR($E288="",$F288=""),"",MOD($F288-$E288,1)*24)</f>
        <v/>
      </c>
      <c r="M288" s="27" t="str">
        <f aca="false">IF($B288="","",IFERROR(INDEX(Properties!$D$5:$D$104,MATCH($B288,Properties!$A$5:$A$104,0)),"?"))</f>
        <v/>
      </c>
      <c r="N288" s="28" t="str">
        <f aca="false">IF($B288="","",IFERROR(IF($D288="Completed",INDEX(Properties!$I$5:$I$104,MATCH($B288,Properties!$A$5:$A$104,0))*(1+IF($G288="Y",Settings!$B$8,0))+IF($H288="Y",Settings!$B$7,0)+N($I288),IF($D288="Deep clean",INDEX(Settings!$E$22:$E$26,MATCH(MIN(INDEX(Properties!$E$5:$E$104,MATCH($B288,Properties!$A$5:$A$104,0)),4),Settings!$A$22:$A$26,0))+N($I288),IF($D288="Late cancel",INDEX(Properties!$I$5:$I$104,MATCH($B288,Properties!$A$5:$A$104,0))*Settings!$B$10,0))),0))</f>
        <v/>
      </c>
      <c r="O288" s="28" t="str">
        <f aca="false">IF($B288="","",IFERROR(IF($D288="Completed",INDEX(Properties!$L$5:$L$104,MATCH($B288,Properties!$A$5:$A$104,0))+IF($G288="Y",INDEX(Properties!$I$5:$I$104,MATCH($B288,Properties!$A$5:$A$104,0))*Settings!$B$8*Settings!$B$9,0)+IF($H288="Y",Settings!$B$7*Settings!$B$9,0)+N($I288)*Settings!$B$9,IF($D288="Deep clean",INDEX(Settings!$E$22:$E$26,MATCH(MIN(INDEX(Properties!$E$5:$E$104,MATCH($B288,Properties!$A$5:$A$104,0)),4),Settings!$A$22:$A$26,0))*Settings!$B$19+N($I288)*Settings!$B$9,IF($D288="Late cancel",INDEX(Properties!$L$5:$L$104,MATCH($B288,Properties!$A$5:$A$104,0))*Settings!$B$11,0))),0))</f>
        <v/>
      </c>
      <c r="P288" s="28" t="str">
        <f aca="false">IF($B288="","",$N288-$O288)</f>
        <v/>
      </c>
      <c r="Q288" s="29" t="str">
        <f aca="false">IF($A288="","",DATE(YEAR($A288),MONTH($A288),1))</f>
        <v/>
      </c>
      <c r="R288" s="30" t="str">
        <f aca="false">IF($A288="","",$A288+MOD(6-WEEKDAY($A288),7))</f>
        <v/>
      </c>
      <c r="S288" s="31" t="str">
        <f aca="false">IF($B288="","",IF(AND($M288='Invoice Builder'!$C$5,$Q288='Invoice Builder'!$C$6,N($N288)&gt;0),COUNTIFS($M$5:$M288,'Invoice Builder'!$C$5,$Q$5:$Q288,'Invoice Builder'!$C$6,$N$5:$N288,"&gt;0"),""))</f>
        <v/>
      </c>
      <c r="T288" s="27" t="str">
        <f aca="false">IF($A288="","",IF($A288&gt;=DATE(YEAR($A288),4,6),YEAR($A288)&amp;"/"&amp;RIGHT(YEAR($A288)+1,2),YEAR($A288)-1&amp;"/"&amp;RIGHT(YEAR($A288),2)))</f>
        <v/>
      </c>
    </row>
    <row r="289" customFormat="false" ht="15" hidden="false" customHeight="false" outlineLevel="0" collapsed="false">
      <c r="A289" s="22"/>
      <c r="B289" s="23"/>
      <c r="C289" s="23"/>
      <c r="D289" s="23"/>
      <c r="E289" s="24"/>
      <c r="F289" s="24"/>
      <c r="G289" s="23"/>
      <c r="H289" s="23"/>
      <c r="I289" s="25"/>
      <c r="J289" s="23"/>
      <c r="K289" s="23"/>
      <c r="L289" s="26" t="str">
        <f aca="false">IF(OR($E289="",$F289=""),"",MOD($F289-$E289,1)*24)</f>
        <v/>
      </c>
      <c r="M289" s="27" t="str">
        <f aca="false">IF($B289="","",IFERROR(INDEX(Properties!$D$5:$D$104,MATCH($B289,Properties!$A$5:$A$104,0)),"?"))</f>
        <v/>
      </c>
      <c r="N289" s="28" t="str">
        <f aca="false">IF($B289="","",IFERROR(IF($D289="Completed",INDEX(Properties!$I$5:$I$104,MATCH($B289,Properties!$A$5:$A$104,0))*(1+IF($G289="Y",Settings!$B$8,0))+IF($H289="Y",Settings!$B$7,0)+N($I289),IF($D289="Deep clean",INDEX(Settings!$E$22:$E$26,MATCH(MIN(INDEX(Properties!$E$5:$E$104,MATCH($B289,Properties!$A$5:$A$104,0)),4),Settings!$A$22:$A$26,0))+N($I289),IF($D289="Late cancel",INDEX(Properties!$I$5:$I$104,MATCH($B289,Properties!$A$5:$A$104,0))*Settings!$B$10,0))),0))</f>
        <v/>
      </c>
      <c r="O289" s="28" t="str">
        <f aca="false">IF($B289="","",IFERROR(IF($D289="Completed",INDEX(Properties!$L$5:$L$104,MATCH($B289,Properties!$A$5:$A$104,0))+IF($G289="Y",INDEX(Properties!$I$5:$I$104,MATCH($B289,Properties!$A$5:$A$104,0))*Settings!$B$8*Settings!$B$9,0)+IF($H289="Y",Settings!$B$7*Settings!$B$9,0)+N($I289)*Settings!$B$9,IF($D289="Deep clean",INDEX(Settings!$E$22:$E$26,MATCH(MIN(INDEX(Properties!$E$5:$E$104,MATCH($B289,Properties!$A$5:$A$104,0)),4),Settings!$A$22:$A$26,0))*Settings!$B$19+N($I289)*Settings!$B$9,IF($D289="Late cancel",INDEX(Properties!$L$5:$L$104,MATCH($B289,Properties!$A$5:$A$104,0))*Settings!$B$11,0))),0))</f>
        <v/>
      </c>
      <c r="P289" s="28" t="str">
        <f aca="false">IF($B289="","",$N289-$O289)</f>
        <v/>
      </c>
      <c r="Q289" s="29" t="str">
        <f aca="false">IF($A289="","",DATE(YEAR($A289),MONTH($A289),1))</f>
        <v/>
      </c>
      <c r="R289" s="30" t="str">
        <f aca="false">IF($A289="","",$A289+MOD(6-WEEKDAY($A289),7))</f>
        <v/>
      </c>
      <c r="S289" s="31" t="str">
        <f aca="false">IF($B289="","",IF(AND($M289='Invoice Builder'!$C$5,$Q289='Invoice Builder'!$C$6,N($N289)&gt;0),COUNTIFS($M$5:$M289,'Invoice Builder'!$C$5,$Q$5:$Q289,'Invoice Builder'!$C$6,$N$5:$N289,"&gt;0"),""))</f>
        <v/>
      </c>
      <c r="T289" s="27" t="str">
        <f aca="false">IF($A289="","",IF($A289&gt;=DATE(YEAR($A289),4,6),YEAR($A289)&amp;"/"&amp;RIGHT(YEAR($A289)+1,2),YEAR($A289)-1&amp;"/"&amp;RIGHT(YEAR($A289),2)))</f>
        <v/>
      </c>
    </row>
    <row r="290" customFormat="false" ht="15" hidden="false" customHeight="false" outlineLevel="0" collapsed="false">
      <c r="A290" s="22"/>
      <c r="B290" s="23"/>
      <c r="C290" s="23"/>
      <c r="D290" s="23"/>
      <c r="E290" s="24"/>
      <c r="F290" s="24"/>
      <c r="G290" s="23"/>
      <c r="H290" s="23"/>
      <c r="I290" s="25"/>
      <c r="J290" s="23"/>
      <c r="K290" s="23"/>
      <c r="L290" s="26" t="str">
        <f aca="false">IF(OR($E290="",$F290=""),"",MOD($F290-$E290,1)*24)</f>
        <v/>
      </c>
      <c r="M290" s="27" t="str">
        <f aca="false">IF($B290="","",IFERROR(INDEX(Properties!$D$5:$D$104,MATCH($B290,Properties!$A$5:$A$104,0)),"?"))</f>
        <v/>
      </c>
      <c r="N290" s="28" t="str">
        <f aca="false">IF($B290="","",IFERROR(IF($D290="Completed",INDEX(Properties!$I$5:$I$104,MATCH($B290,Properties!$A$5:$A$104,0))*(1+IF($G290="Y",Settings!$B$8,0))+IF($H290="Y",Settings!$B$7,0)+N($I290),IF($D290="Deep clean",INDEX(Settings!$E$22:$E$26,MATCH(MIN(INDEX(Properties!$E$5:$E$104,MATCH($B290,Properties!$A$5:$A$104,0)),4),Settings!$A$22:$A$26,0))+N($I290),IF($D290="Late cancel",INDEX(Properties!$I$5:$I$104,MATCH($B290,Properties!$A$5:$A$104,0))*Settings!$B$10,0))),0))</f>
        <v/>
      </c>
      <c r="O290" s="28" t="str">
        <f aca="false">IF($B290="","",IFERROR(IF($D290="Completed",INDEX(Properties!$L$5:$L$104,MATCH($B290,Properties!$A$5:$A$104,0))+IF($G290="Y",INDEX(Properties!$I$5:$I$104,MATCH($B290,Properties!$A$5:$A$104,0))*Settings!$B$8*Settings!$B$9,0)+IF($H290="Y",Settings!$B$7*Settings!$B$9,0)+N($I290)*Settings!$B$9,IF($D290="Deep clean",INDEX(Settings!$E$22:$E$26,MATCH(MIN(INDEX(Properties!$E$5:$E$104,MATCH($B290,Properties!$A$5:$A$104,0)),4),Settings!$A$22:$A$26,0))*Settings!$B$19+N($I290)*Settings!$B$9,IF($D290="Late cancel",INDEX(Properties!$L$5:$L$104,MATCH($B290,Properties!$A$5:$A$104,0))*Settings!$B$11,0))),0))</f>
        <v/>
      </c>
      <c r="P290" s="28" t="str">
        <f aca="false">IF($B290="","",$N290-$O290)</f>
        <v/>
      </c>
      <c r="Q290" s="29" t="str">
        <f aca="false">IF($A290="","",DATE(YEAR($A290),MONTH($A290),1))</f>
        <v/>
      </c>
      <c r="R290" s="30" t="str">
        <f aca="false">IF($A290="","",$A290+MOD(6-WEEKDAY($A290),7))</f>
        <v/>
      </c>
      <c r="S290" s="31" t="str">
        <f aca="false">IF($B290="","",IF(AND($M290='Invoice Builder'!$C$5,$Q290='Invoice Builder'!$C$6,N($N290)&gt;0),COUNTIFS($M$5:$M290,'Invoice Builder'!$C$5,$Q$5:$Q290,'Invoice Builder'!$C$6,$N$5:$N290,"&gt;0"),""))</f>
        <v/>
      </c>
      <c r="T290" s="27" t="str">
        <f aca="false">IF($A290="","",IF($A290&gt;=DATE(YEAR($A290),4,6),YEAR($A290)&amp;"/"&amp;RIGHT(YEAR($A290)+1,2),YEAR($A290)-1&amp;"/"&amp;RIGHT(YEAR($A290),2)))</f>
        <v/>
      </c>
    </row>
    <row r="291" customFormat="false" ht="15" hidden="false" customHeight="false" outlineLevel="0" collapsed="false">
      <c r="A291" s="22"/>
      <c r="B291" s="23"/>
      <c r="C291" s="23"/>
      <c r="D291" s="23"/>
      <c r="E291" s="24"/>
      <c r="F291" s="24"/>
      <c r="G291" s="23"/>
      <c r="H291" s="23"/>
      <c r="I291" s="25"/>
      <c r="J291" s="23"/>
      <c r="K291" s="23"/>
      <c r="L291" s="26" t="str">
        <f aca="false">IF(OR($E291="",$F291=""),"",MOD($F291-$E291,1)*24)</f>
        <v/>
      </c>
      <c r="M291" s="27" t="str">
        <f aca="false">IF($B291="","",IFERROR(INDEX(Properties!$D$5:$D$104,MATCH($B291,Properties!$A$5:$A$104,0)),"?"))</f>
        <v/>
      </c>
      <c r="N291" s="28" t="str">
        <f aca="false">IF($B291="","",IFERROR(IF($D291="Completed",INDEX(Properties!$I$5:$I$104,MATCH($B291,Properties!$A$5:$A$104,0))*(1+IF($G291="Y",Settings!$B$8,0))+IF($H291="Y",Settings!$B$7,0)+N($I291),IF($D291="Deep clean",INDEX(Settings!$E$22:$E$26,MATCH(MIN(INDEX(Properties!$E$5:$E$104,MATCH($B291,Properties!$A$5:$A$104,0)),4),Settings!$A$22:$A$26,0))+N($I291),IF($D291="Late cancel",INDEX(Properties!$I$5:$I$104,MATCH($B291,Properties!$A$5:$A$104,0))*Settings!$B$10,0))),0))</f>
        <v/>
      </c>
      <c r="O291" s="28" t="str">
        <f aca="false">IF($B291="","",IFERROR(IF($D291="Completed",INDEX(Properties!$L$5:$L$104,MATCH($B291,Properties!$A$5:$A$104,0))+IF($G291="Y",INDEX(Properties!$I$5:$I$104,MATCH($B291,Properties!$A$5:$A$104,0))*Settings!$B$8*Settings!$B$9,0)+IF($H291="Y",Settings!$B$7*Settings!$B$9,0)+N($I291)*Settings!$B$9,IF($D291="Deep clean",INDEX(Settings!$E$22:$E$26,MATCH(MIN(INDEX(Properties!$E$5:$E$104,MATCH($B291,Properties!$A$5:$A$104,0)),4),Settings!$A$22:$A$26,0))*Settings!$B$19+N($I291)*Settings!$B$9,IF($D291="Late cancel",INDEX(Properties!$L$5:$L$104,MATCH($B291,Properties!$A$5:$A$104,0))*Settings!$B$11,0))),0))</f>
        <v/>
      </c>
      <c r="P291" s="28" t="str">
        <f aca="false">IF($B291="","",$N291-$O291)</f>
        <v/>
      </c>
      <c r="Q291" s="29" t="str">
        <f aca="false">IF($A291="","",DATE(YEAR($A291),MONTH($A291),1))</f>
        <v/>
      </c>
      <c r="R291" s="30" t="str">
        <f aca="false">IF($A291="","",$A291+MOD(6-WEEKDAY($A291),7))</f>
        <v/>
      </c>
      <c r="S291" s="31" t="str">
        <f aca="false">IF($B291="","",IF(AND($M291='Invoice Builder'!$C$5,$Q291='Invoice Builder'!$C$6,N($N291)&gt;0),COUNTIFS($M$5:$M291,'Invoice Builder'!$C$5,$Q$5:$Q291,'Invoice Builder'!$C$6,$N$5:$N291,"&gt;0"),""))</f>
        <v/>
      </c>
      <c r="T291" s="27" t="str">
        <f aca="false">IF($A291="","",IF($A291&gt;=DATE(YEAR($A291),4,6),YEAR($A291)&amp;"/"&amp;RIGHT(YEAR($A291)+1,2),YEAR($A291)-1&amp;"/"&amp;RIGHT(YEAR($A291),2)))</f>
        <v/>
      </c>
    </row>
    <row r="292" customFormat="false" ht="15" hidden="false" customHeight="false" outlineLevel="0" collapsed="false">
      <c r="A292" s="22"/>
      <c r="B292" s="23"/>
      <c r="C292" s="23"/>
      <c r="D292" s="23"/>
      <c r="E292" s="24"/>
      <c r="F292" s="24"/>
      <c r="G292" s="23"/>
      <c r="H292" s="23"/>
      <c r="I292" s="25"/>
      <c r="J292" s="23"/>
      <c r="K292" s="23"/>
      <c r="L292" s="26" t="str">
        <f aca="false">IF(OR($E292="",$F292=""),"",MOD($F292-$E292,1)*24)</f>
        <v/>
      </c>
      <c r="M292" s="27" t="str">
        <f aca="false">IF($B292="","",IFERROR(INDEX(Properties!$D$5:$D$104,MATCH($B292,Properties!$A$5:$A$104,0)),"?"))</f>
        <v/>
      </c>
      <c r="N292" s="28" t="str">
        <f aca="false">IF($B292="","",IFERROR(IF($D292="Completed",INDEX(Properties!$I$5:$I$104,MATCH($B292,Properties!$A$5:$A$104,0))*(1+IF($G292="Y",Settings!$B$8,0))+IF($H292="Y",Settings!$B$7,0)+N($I292),IF($D292="Deep clean",INDEX(Settings!$E$22:$E$26,MATCH(MIN(INDEX(Properties!$E$5:$E$104,MATCH($B292,Properties!$A$5:$A$104,0)),4),Settings!$A$22:$A$26,0))+N($I292),IF($D292="Late cancel",INDEX(Properties!$I$5:$I$104,MATCH($B292,Properties!$A$5:$A$104,0))*Settings!$B$10,0))),0))</f>
        <v/>
      </c>
      <c r="O292" s="28" t="str">
        <f aca="false">IF($B292="","",IFERROR(IF($D292="Completed",INDEX(Properties!$L$5:$L$104,MATCH($B292,Properties!$A$5:$A$104,0))+IF($G292="Y",INDEX(Properties!$I$5:$I$104,MATCH($B292,Properties!$A$5:$A$104,0))*Settings!$B$8*Settings!$B$9,0)+IF($H292="Y",Settings!$B$7*Settings!$B$9,0)+N($I292)*Settings!$B$9,IF($D292="Deep clean",INDEX(Settings!$E$22:$E$26,MATCH(MIN(INDEX(Properties!$E$5:$E$104,MATCH($B292,Properties!$A$5:$A$104,0)),4),Settings!$A$22:$A$26,0))*Settings!$B$19+N($I292)*Settings!$B$9,IF($D292="Late cancel",INDEX(Properties!$L$5:$L$104,MATCH($B292,Properties!$A$5:$A$104,0))*Settings!$B$11,0))),0))</f>
        <v/>
      </c>
      <c r="P292" s="28" t="str">
        <f aca="false">IF($B292="","",$N292-$O292)</f>
        <v/>
      </c>
      <c r="Q292" s="29" t="str">
        <f aca="false">IF($A292="","",DATE(YEAR($A292),MONTH($A292),1))</f>
        <v/>
      </c>
      <c r="R292" s="30" t="str">
        <f aca="false">IF($A292="","",$A292+MOD(6-WEEKDAY($A292),7))</f>
        <v/>
      </c>
      <c r="S292" s="31" t="str">
        <f aca="false">IF($B292="","",IF(AND($M292='Invoice Builder'!$C$5,$Q292='Invoice Builder'!$C$6,N($N292)&gt;0),COUNTIFS($M$5:$M292,'Invoice Builder'!$C$5,$Q$5:$Q292,'Invoice Builder'!$C$6,$N$5:$N292,"&gt;0"),""))</f>
        <v/>
      </c>
      <c r="T292" s="27" t="str">
        <f aca="false">IF($A292="","",IF($A292&gt;=DATE(YEAR($A292),4,6),YEAR($A292)&amp;"/"&amp;RIGHT(YEAR($A292)+1,2),YEAR($A292)-1&amp;"/"&amp;RIGHT(YEAR($A292),2)))</f>
        <v/>
      </c>
    </row>
    <row r="293" customFormat="false" ht="15" hidden="false" customHeight="false" outlineLevel="0" collapsed="false">
      <c r="A293" s="22"/>
      <c r="B293" s="23"/>
      <c r="C293" s="23"/>
      <c r="D293" s="23"/>
      <c r="E293" s="24"/>
      <c r="F293" s="24"/>
      <c r="G293" s="23"/>
      <c r="H293" s="23"/>
      <c r="I293" s="25"/>
      <c r="J293" s="23"/>
      <c r="K293" s="23"/>
      <c r="L293" s="26" t="str">
        <f aca="false">IF(OR($E293="",$F293=""),"",MOD($F293-$E293,1)*24)</f>
        <v/>
      </c>
      <c r="M293" s="27" t="str">
        <f aca="false">IF($B293="","",IFERROR(INDEX(Properties!$D$5:$D$104,MATCH($B293,Properties!$A$5:$A$104,0)),"?"))</f>
        <v/>
      </c>
      <c r="N293" s="28" t="str">
        <f aca="false">IF($B293="","",IFERROR(IF($D293="Completed",INDEX(Properties!$I$5:$I$104,MATCH($B293,Properties!$A$5:$A$104,0))*(1+IF($G293="Y",Settings!$B$8,0))+IF($H293="Y",Settings!$B$7,0)+N($I293),IF($D293="Deep clean",INDEX(Settings!$E$22:$E$26,MATCH(MIN(INDEX(Properties!$E$5:$E$104,MATCH($B293,Properties!$A$5:$A$104,0)),4),Settings!$A$22:$A$26,0))+N($I293),IF($D293="Late cancel",INDEX(Properties!$I$5:$I$104,MATCH($B293,Properties!$A$5:$A$104,0))*Settings!$B$10,0))),0))</f>
        <v/>
      </c>
      <c r="O293" s="28" t="str">
        <f aca="false">IF($B293="","",IFERROR(IF($D293="Completed",INDEX(Properties!$L$5:$L$104,MATCH($B293,Properties!$A$5:$A$104,0))+IF($G293="Y",INDEX(Properties!$I$5:$I$104,MATCH($B293,Properties!$A$5:$A$104,0))*Settings!$B$8*Settings!$B$9,0)+IF($H293="Y",Settings!$B$7*Settings!$B$9,0)+N($I293)*Settings!$B$9,IF($D293="Deep clean",INDEX(Settings!$E$22:$E$26,MATCH(MIN(INDEX(Properties!$E$5:$E$104,MATCH($B293,Properties!$A$5:$A$104,0)),4),Settings!$A$22:$A$26,0))*Settings!$B$19+N($I293)*Settings!$B$9,IF($D293="Late cancel",INDEX(Properties!$L$5:$L$104,MATCH($B293,Properties!$A$5:$A$104,0))*Settings!$B$11,0))),0))</f>
        <v/>
      </c>
      <c r="P293" s="28" t="str">
        <f aca="false">IF($B293="","",$N293-$O293)</f>
        <v/>
      </c>
      <c r="Q293" s="29" t="str">
        <f aca="false">IF($A293="","",DATE(YEAR($A293),MONTH($A293),1))</f>
        <v/>
      </c>
      <c r="R293" s="30" t="str">
        <f aca="false">IF($A293="","",$A293+MOD(6-WEEKDAY($A293),7))</f>
        <v/>
      </c>
      <c r="S293" s="31" t="str">
        <f aca="false">IF($B293="","",IF(AND($M293='Invoice Builder'!$C$5,$Q293='Invoice Builder'!$C$6,N($N293)&gt;0),COUNTIFS($M$5:$M293,'Invoice Builder'!$C$5,$Q$5:$Q293,'Invoice Builder'!$C$6,$N$5:$N293,"&gt;0"),""))</f>
        <v/>
      </c>
      <c r="T293" s="27" t="str">
        <f aca="false">IF($A293="","",IF($A293&gt;=DATE(YEAR($A293),4,6),YEAR($A293)&amp;"/"&amp;RIGHT(YEAR($A293)+1,2),YEAR($A293)-1&amp;"/"&amp;RIGHT(YEAR($A293),2)))</f>
        <v/>
      </c>
    </row>
    <row r="294" customFormat="false" ht="15" hidden="false" customHeight="false" outlineLevel="0" collapsed="false">
      <c r="A294" s="22"/>
      <c r="B294" s="23"/>
      <c r="C294" s="23"/>
      <c r="D294" s="23"/>
      <c r="E294" s="24"/>
      <c r="F294" s="24"/>
      <c r="G294" s="23"/>
      <c r="H294" s="23"/>
      <c r="I294" s="25"/>
      <c r="J294" s="23"/>
      <c r="K294" s="23"/>
      <c r="L294" s="26" t="str">
        <f aca="false">IF(OR($E294="",$F294=""),"",MOD($F294-$E294,1)*24)</f>
        <v/>
      </c>
      <c r="M294" s="27" t="str">
        <f aca="false">IF($B294="","",IFERROR(INDEX(Properties!$D$5:$D$104,MATCH($B294,Properties!$A$5:$A$104,0)),"?"))</f>
        <v/>
      </c>
      <c r="N294" s="28" t="str">
        <f aca="false">IF($B294="","",IFERROR(IF($D294="Completed",INDEX(Properties!$I$5:$I$104,MATCH($B294,Properties!$A$5:$A$104,0))*(1+IF($G294="Y",Settings!$B$8,0))+IF($H294="Y",Settings!$B$7,0)+N($I294),IF($D294="Deep clean",INDEX(Settings!$E$22:$E$26,MATCH(MIN(INDEX(Properties!$E$5:$E$104,MATCH($B294,Properties!$A$5:$A$104,0)),4),Settings!$A$22:$A$26,0))+N($I294),IF($D294="Late cancel",INDEX(Properties!$I$5:$I$104,MATCH($B294,Properties!$A$5:$A$104,0))*Settings!$B$10,0))),0))</f>
        <v/>
      </c>
      <c r="O294" s="28" t="str">
        <f aca="false">IF($B294="","",IFERROR(IF($D294="Completed",INDEX(Properties!$L$5:$L$104,MATCH($B294,Properties!$A$5:$A$104,0))+IF($G294="Y",INDEX(Properties!$I$5:$I$104,MATCH($B294,Properties!$A$5:$A$104,0))*Settings!$B$8*Settings!$B$9,0)+IF($H294="Y",Settings!$B$7*Settings!$B$9,0)+N($I294)*Settings!$B$9,IF($D294="Deep clean",INDEX(Settings!$E$22:$E$26,MATCH(MIN(INDEX(Properties!$E$5:$E$104,MATCH($B294,Properties!$A$5:$A$104,0)),4),Settings!$A$22:$A$26,0))*Settings!$B$19+N($I294)*Settings!$B$9,IF($D294="Late cancel",INDEX(Properties!$L$5:$L$104,MATCH($B294,Properties!$A$5:$A$104,0))*Settings!$B$11,0))),0))</f>
        <v/>
      </c>
      <c r="P294" s="28" t="str">
        <f aca="false">IF($B294="","",$N294-$O294)</f>
        <v/>
      </c>
      <c r="Q294" s="29" t="str">
        <f aca="false">IF($A294="","",DATE(YEAR($A294),MONTH($A294),1))</f>
        <v/>
      </c>
      <c r="R294" s="30" t="str">
        <f aca="false">IF($A294="","",$A294+MOD(6-WEEKDAY($A294),7))</f>
        <v/>
      </c>
      <c r="S294" s="31" t="str">
        <f aca="false">IF($B294="","",IF(AND($M294='Invoice Builder'!$C$5,$Q294='Invoice Builder'!$C$6,N($N294)&gt;0),COUNTIFS($M$5:$M294,'Invoice Builder'!$C$5,$Q$5:$Q294,'Invoice Builder'!$C$6,$N$5:$N294,"&gt;0"),""))</f>
        <v/>
      </c>
      <c r="T294" s="27" t="str">
        <f aca="false">IF($A294="","",IF($A294&gt;=DATE(YEAR($A294),4,6),YEAR($A294)&amp;"/"&amp;RIGHT(YEAR($A294)+1,2),YEAR($A294)-1&amp;"/"&amp;RIGHT(YEAR($A294),2)))</f>
        <v/>
      </c>
    </row>
    <row r="295" customFormat="false" ht="15" hidden="false" customHeight="false" outlineLevel="0" collapsed="false">
      <c r="A295" s="22"/>
      <c r="B295" s="23"/>
      <c r="C295" s="23"/>
      <c r="D295" s="23"/>
      <c r="E295" s="24"/>
      <c r="F295" s="24"/>
      <c r="G295" s="23"/>
      <c r="H295" s="23"/>
      <c r="I295" s="25"/>
      <c r="J295" s="23"/>
      <c r="K295" s="23"/>
      <c r="L295" s="26" t="str">
        <f aca="false">IF(OR($E295="",$F295=""),"",MOD($F295-$E295,1)*24)</f>
        <v/>
      </c>
      <c r="M295" s="27" t="str">
        <f aca="false">IF($B295="","",IFERROR(INDEX(Properties!$D$5:$D$104,MATCH($B295,Properties!$A$5:$A$104,0)),"?"))</f>
        <v/>
      </c>
      <c r="N295" s="28" t="str">
        <f aca="false">IF($B295="","",IFERROR(IF($D295="Completed",INDEX(Properties!$I$5:$I$104,MATCH($B295,Properties!$A$5:$A$104,0))*(1+IF($G295="Y",Settings!$B$8,0))+IF($H295="Y",Settings!$B$7,0)+N($I295),IF($D295="Deep clean",INDEX(Settings!$E$22:$E$26,MATCH(MIN(INDEX(Properties!$E$5:$E$104,MATCH($B295,Properties!$A$5:$A$104,0)),4),Settings!$A$22:$A$26,0))+N($I295),IF($D295="Late cancel",INDEX(Properties!$I$5:$I$104,MATCH($B295,Properties!$A$5:$A$104,0))*Settings!$B$10,0))),0))</f>
        <v/>
      </c>
      <c r="O295" s="28" t="str">
        <f aca="false">IF($B295="","",IFERROR(IF($D295="Completed",INDEX(Properties!$L$5:$L$104,MATCH($B295,Properties!$A$5:$A$104,0))+IF($G295="Y",INDEX(Properties!$I$5:$I$104,MATCH($B295,Properties!$A$5:$A$104,0))*Settings!$B$8*Settings!$B$9,0)+IF($H295="Y",Settings!$B$7*Settings!$B$9,0)+N($I295)*Settings!$B$9,IF($D295="Deep clean",INDEX(Settings!$E$22:$E$26,MATCH(MIN(INDEX(Properties!$E$5:$E$104,MATCH($B295,Properties!$A$5:$A$104,0)),4),Settings!$A$22:$A$26,0))*Settings!$B$19+N($I295)*Settings!$B$9,IF($D295="Late cancel",INDEX(Properties!$L$5:$L$104,MATCH($B295,Properties!$A$5:$A$104,0))*Settings!$B$11,0))),0))</f>
        <v/>
      </c>
      <c r="P295" s="28" t="str">
        <f aca="false">IF($B295="","",$N295-$O295)</f>
        <v/>
      </c>
      <c r="Q295" s="29" t="str">
        <f aca="false">IF($A295="","",DATE(YEAR($A295),MONTH($A295),1))</f>
        <v/>
      </c>
      <c r="R295" s="30" t="str">
        <f aca="false">IF($A295="","",$A295+MOD(6-WEEKDAY($A295),7))</f>
        <v/>
      </c>
      <c r="S295" s="31" t="str">
        <f aca="false">IF($B295="","",IF(AND($M295='Invoice Builder'!$C$5,$Q295='Invoice Builder'!$C$6,N($N295)&gt;0),COUNTIFS($M$5:$M295,'Invoice Builder'!$C$5,$Q$5:$Q295,'Invoice Builder'!$C$6,$N$5:$N295,"&gt;0"),""))</f>
        <v/>
      </c>
      <c r="T295" s="27" t="str">
        <f aca="false">IF($A295="","",IF($A295&gt;=DATE(YEAR($A295),4,6),YEAR($A295)&amp;"/"&amp;RIGHT(YEAR($A295)+1,2),YEAR($A295)-1&amp;"/"&amp;RIGHT(YEAR($A295),2)))</f>
        <v/>
      </c>
    </row>
    <row r="296" customFormat="false" ht="15" hidden="false" customHeight="false" outlineLevel="0" collapsed="false">
      <c r="A296" s="22"/>
      <c r="B296" s="23"/>
      <c r="C296" s="23"/>
      <c r="D296" s="23"/>
      <c r="E296" s="24"/>
      <c r="F296" s="24"/>
      <c r="G296" s="23"/>
      <c r="H296" s="23"/>
      <c r="I296" s="25"/>
      <c r="J296" s="23"/>
      <c r="K296" s="23"/>
      <c r="L296" s="26" t="str">
        <f aca="false">IF(OR($E296="",$F296=""),"",MOD($F296-$E296,1)*24)</f>
        <v/>
      </c>
      <c r="M296" s="27" t="str">
        <f aca="false">IF($B296="","",IFERROR(INDEX(Properties!$D$5:$D$104,MATCH($B296,Properties!$A$5:$A$104,0)),"?"))</f>
        <v/>
      </c>
      <c r="N296" s="28" t="str">
        <f aca="false">IF($B296="","",IFERROR(IF($D296="Completed",INDEX(Properties!$I$5:$I$104,MATCH($B296,Properties!$A$5:$A$104,0))*(1+IF($G296="Y",Settings!$B$8,0))+IF($H296="Y",Settings!$B$7,0)+N($I296),IF($D296="Deep clean",INDEX(Settings!$E$22:$E$26,MATCH(MIN(INDEX(Properties!$E$5:$E$104,MATCH($B296,Properties!$A$5:$A$104,0)),4),Settings!$A$22:$A$26,0))+N($I296),IF($D296="Late cancel",INDEX(Properties!$I$5:$I$104,MATCH($B296,Properties!$A$5:$A$104,0))*Settings!$B$10,0))),0))</f>
        <v/>
      </c>
      <c r="O296" s="28" t="str">
        <f aca="false">IF($B296="","",IFERROR(IF($D296="Completed",INDEX(Properties!$L$5:$L$104,MATCH($B296,Properties!$A$5:$A$104,0))+IF($G296="Y",INDEX(Properties!$I$5:$I$104,MATCH($B296,Properties!$A$5:$A$104,0))*Settings!$B$8*Settings!$B$9,0)+IF($H296="Y",Settings!$B$7*Settings!$B$9,0)+N($I296)*Settings!$B$9,IF($D296="Deep clean",INDEX(Settings!$E$22:$E$26,MATCH(MIN(INDEX(Properties!$E$5:$E$104,MATCH($B296,Properties!$A$5:$A$104,0)),4),Settings!$A$22:$A$26,0))*Settings!$B$19+N($I296)*Settings!$B$9,IF($D296="Late cancel",INDEX(Properties!$L$5:$L$104,MATCH($B296,Properties!$A$5:$A$104,0))*Settings!$B$11,0))),0))</f>
        <v/>
      </c>
      <c r="P296" s="28" t="str">
        <f aca="false">IF($B296="","",$N296-$O296)</f>
        <v/>
      </c>
      <c r="Q296" s="29" t="str">
        <f aca="false">IF($A296="","",DATE(YEAR($A296),MONTH($A296),1))</f>
        <v/>
      </c>
      <c r="R296" s="30" t="str">
        <f aca="false">IF($A296="","",$A296+MOD(6-WEEKDAY($A296),7))</f>
        <v/>
      </c>
      <c r="S296" s="31" t="str">
        <f aca="false">IF($B296="","",IF(AND($M296='Invoice Builder'!$C$5,$Q296='Invoice Builder'!$C$6,N($N296)&gt;0),COUNTIFS($M$5:$M296,'Invoice Builder'!$C$5,$Q$5:$Q296,'Invoice Builder'!$C$6,$N$5:$N296,"&gt;0"),""))</f>
        <v/>
      </c>
      <c r="T296" s="27" t="str">
        <f aca="false">IF($A296="","",IF($A296&gt;=DATE(YEAR($A296),4,6),YEAR($A296)&amp;"/"&amp;RIGHT(YEAR($A296)+1,2),YEAR($A296)-1&amp;"/"&amp;RIGHT(YEAR($A296),2)))</f>
        <v/>
      </c>
    </row>
    <row r="297" customFormat="false" ht="15" hidden="false" customHeight="false" outlineLevel="0" collapsed="false">
      <c r="A297" s="22"/>
      <c r="B297" s="23"/>
      <c r="C297" s="23"/>
      <c r="D297" s="23"/>
      <c r="E297" s="24"/>
      <c r="F297" s="24"/>
      <c r="G297" s="23"/>
      <c r="H297" s="23"/>
      <c r="I297" s="25"/>
      <c r="J297" s="23"/>
      <c r="K297" s="23"/>
      <c r="L297" s="26" t="str">
        <f aca="false">IF(OR($E297="",$F297=""),"",MOD($F297-$E297,1)*24)</f>
        <v/>
      </c>
      <c r="M297" s="27" t="str">
        <f aca="false">IF($B297="","",IFERROR(INDEX(Properties!$D$5:$D$104,MATCH($B297,Properties!$A$5:$A$104,0)),"?"))</f>
        <v/>
      </c>
      <c r="N297" s="28" t="str">
        <f aca="false">IF($B297="","",IFERROR(IF($D297="Completed",INDEX(Properties!$I$5:$I$104,MATCH($B297,Properties!$A$5:$A$104,0))*(1+IF($G297="Y",Settings!$B$8,0))+IF($H297="Y",Settings!$B$7,0)+N($I297),IF($D297="Deep clean",INDEX(Settings!$E$22:$E$26,MATCH(MIN(INDEX(Properties!$E$5:$E$104,MATCH($B297,Properties!$A$5:$A$104,0)),4),Settings!$A$22:$A$26,0))+N($I297),IF($D297="Late cancel",INDEX(Properties!$I$5:$I$104,MATCH($B297,Properties!$A$5:$A$104,0))*Settings!$B$10,0))),0))</f>
        <v/>
      </c>
      <c r="O297" s="28" t="str">
        <f aca="false">IF($B297="","",IFERROR(IF($D297="Completed",INDEX(Properties!$L$5:$L$104,MATCH($B297,Properties!$A$5:$A$104,0))+IF($G297="Y",INDEX(Properties!$I$5:$I$104,MATCH($B297,Properties!$A$5:$A$104,0))*Settings!$B$8*Settings!$B$9,0)+IF($H297="Y",Settings!$B$7*Settings!$B$9,0)+N($I297)*Settings!$B$9,IF($D297="Deep clean",INDEX(Settings!$E$22:$E$26,MATCH(MIN(INDEX(Properties!$E$5:$E$104,MATCH($B297,Properties!$A$5:$A$104,0)),4),Settings!$A$22:$A$26,0))*Settings!$B$19+N($I297)*Settings!$B$9,IF($D297="Late cancel",INDEX(Properties!$L$5:$L$104,MATCH($B297,Properties!$A$5:$A$104,0))*Settings!$B$11,0))),0))</f>
        <v/>
      </c>
      <c r="P297" s="28" t="str">
        <f aca="false">IF($B297="","",$N297-$O297)</f>
        <v/>
      </c>
      <c r="Q297" s="29" t="str">
        <f aca="false">IF($A297="","",DATE(YEAR($A297),MONTH($A297),1))</f>
        <v/>
      </c>
      <c r="R297" s="30" t="str">
        <f aca="false">IF($A297="","",$A297+MOD(6-WEEKDAY($A297),7))</f>
        <v/>
      </c>
      <c r="S297" s="31" t="str">
        <f aca="false">IF($B297="","",IF(AND($M297='Invoice Builder'!$C$5,$Q297='Invoice Builder'!$C$6,N($N297)&gt;0),COUNTIFS($M$5:$M297,'Invoice Builder'!$C$5,$Q$5:$Q297,'Invoice Builder'!$C$6,$N$5:$N297,"&gt;0"),""))</f>
        <v/>
      </c>
      <c r="T297" s="27" t="str">
        <f aca="false">IF($A297="","",IF($A297&gt;=DATE(YEAR($A297),4,6),YEAR($A297)&amp;"/"&amp;RIGHT(YEAR($A297)+1,2),YEAR($A297)-1&amp;"/"&amp;RIGHT(YEAR($A297),2)))</f>
        <v/>
      </c>
    </row>
    <row r="298" customFormat="false" ht="15" hidden="false" customHeight="false" outlineLevel="0" collapsed="false">
      <c r="A298" s="22"/>
      <c r="B298" s="23"/>
      <c r="C298" s="23"/>
      <c r="D298" s="23"/>
      <c r="E298" s="24"/>
      <c r="F298" s="24"/>
      <c r="G298" s="23"/>
      <c r="H298" s="23"/>
      <c r="I298" s="25"/>
      <c r="J298" s="23"/>
      <c r="K298" s="23"/>
      <c r="L298" s="26" t="str">
        <f aca="false">IF(OR($E298="",$F298=""),"",MOD($F298-$E298,1)*24)</f>
        <v/>
      </c>
      <c r="M298" s="27" t="str">
        <f aca="false">IF($B298="","",IFERROR(INDEX(Properties!$D$5:$D$104,MATCH($B298,Properties!$A$5:$A$104,0)),"?"))</f>
        <v/>
      </c>
      <c r="N298" s="28" t="str">
        <f aca="false">IF($B298="","",IFERROR(IF($D298="Completed",INDEX(Properties!$I$5:$I$104,MATCH($B298,Properties!$A$5:$A$104,0))*(1+IF($G298="Y",Settings!$B$8,0))+IF($H298="Y",Settings!$B$7,0)+N($I298),IF($D298="Deep clean",INDEX(Settings!$E$22:$E$26,MATCH(MIN(INDEX(Properties!$E$5:$E$104,MATCH($B298,Properties!$A$5:$A$104,0)),4),Settings!$A$22:$A$26,0))+N($I298),IF($D298="Late cancel",INDEX(Properties!$I$5:$I$104,MATCH($B298,Properties!$A$5:$A$104,0))*Settings!$B$10,0))),0))</f>
        <v/>
      </c>
      <c r="O298" s="28" t="str">
        <f aca="false">IF($B298="","",IFERROR(IF($D298="Completed",INDEX(Properties!$L$5:$L$104,MATCH($B298,Properties!$A$5:$A$104,0))+IF($G298="Y",INDEX(Properties!$I$5:$I$104,MATCH($B298,Properties!$A$5:$A$104,0))*Settings!$B$8*Settings!$B$9,0)+IF($H298="Y",Settings!$B$7*Settings!$B$9,0)+N($I298)*Settings!$B$9,IF($D298="Deep clean",INDEX(Settings!$E$22:$E$26,MATCH(MIN(INDEX(Properties!$E$5:$E$104,MATCH($B298,Properties!$A$5:$A$104,0)),4),Settings!$A$22:$A$26,0))*Settings!$B$19+N($I298)*Settings!$B$9,IF($D298="Late cancel",INDEX(Properties!$L$5:$L$104,MATCH($B298,Properties!$A$5:$A$104,0))*Settings!$B$11,0))),0))</f>
        <v/>
      </c>
      <c r="P298" s="28" t="str">
        <f aca="false">IF($B298="","",$N298-$O298)</f>
        <v/>
      </c>
      <c r="Q298" s="29" t="str">
        <f aca="false">IF($A298="","",DATE(YEAR($A298),MONTH($A298),1))</f>
        <v/>
      </c>
      <c r="R298" s="30" t="str">
        <f aca="false">IF($A298="","",$A298+MOD(6-WEEKDAY($A298),7))</f>
        <v/>
      </c>
      <c r="S298" s="31" t="str">
        <f aca="false">IF($B298="","",IF(AND($M298='Invoice Builder'!$C$5,$Q298='Invoice Builder'!$C$6,N($N298)&gt;0),COUNTIFS($M$5:$M298,'Invoice Builder'!$C$5,$Q$5:$Q298,'Invoice Builder'!$C$6,$N$5:$N298,"&gt;0"),""))</f>
        <v/>
      </c>
      <c r="T298" s="27" t="str">
        <f aca="false">IF($A298="","",IF($A298&gt;=DATE(YEAR($A298),4,6),YEAR($A298)&amp;"/"&amp;RIGHT(YEAR($A298)+1,2),YEAR($A298)-1&amp;"/"&amp;RIGHT(YEAR($A298),2)))</f>
        <v/>
      </c>
    </row>
    <row r="299" customFormat="false" ht="15" hidden="false" customHeight="false" outlineLevel="0" collapsed="false">
      <c r="A299" s="22"/>
      <c r="B299" s="23"/>
      <c r="C299" s="23"/>
      <c r="D299" s="23"/>
      <c r="E299" s="24"/>
      <c r="F299" s="24"/>
      <c r="G299" s="23"/>
      <c r="H299" s="23"/>
      <c r="I299" s="25"/>
      <c r="J299" s="23"/>
      <c r="K299" s="23"/>
      <c r="L299" s="26" t="str">
        <f aca="false">IF(OR($E299="",$F299=""),"",MOD($F299-$E299,1)*24)</f>
        <v/>
      </c>
      <c r="M299" s="27" t="str">
        <f aca="false">IF($B299="","",IFERROR(INDEX(Properties!$D$5:$D$104,MATCH($B299,Properties!$A$5:$A$104,0)),"?"))</f>
        <v/>
      </c>
      <c r="N299" s="28" t="str">
        <f aca="false">IF($B299="","",IFERROR(IF($D299="Completed",INDEX(Properties!$I$5:$I$104,MATCH($B299,Properties!$A$5:$A$104,0))*(1+IF($G299="Y",Settings!$B$8,0))+IF($H299="Y",Settings!$B$7,0)+N($I299),IF($D299="Deep clean",INDEX(Settings!$E$22:$E$26,MATCH(MIN(INDEX(Properties!$E$5:$E$104,MATCH($B299,Properties!$A$5:$A$104,0)),4),Settings!$A$22:$A$26,0))+N($I299),IF($D299="Late cancel",INDEX(Properties!$I$5:$I$104,MATCH($B299,Properties!$A$5:$A$104,0))*Settings!$B$10,0))),0))</f>
        <v/>
      </c>
      <c r="O299" s="28" t="str">
        <f aca="false">IF($B299="","",IFERROR(IF($D299="Completed",INDEX(Properties!$L$5:$L$104,MATCH($B299,Properties!$A$5:$A$104,0))+IF($G299="Y",INDEX(Properties!$I$5:$I$104,MATCH($B299,Properties!$A$5:$A$104,0))*Settings!$B$8*Settings!$B$9,0)+IF($H299="Y",Settings!$B$7*Settings!$B$9,0)+N($I299)*Settings!$B$9,IF($D299="Deep clean",INDEX(Settings!$E$22:$E$26,MATCH(MIN(INDEX(Properties!$E$5:$E$104,MATCH($B299,Properties!$A$5:$A$104,0)),4),Settings!$A$22:$A$26,0))*Settings!$B$19+N($I299)*Settings!$B$9,IF($D299="Late cancel",INDEX(Properties!$L$5:$L$104,MATCH($B299,Properties!$A$5:$A$104,0))*Settings!$B$11,0))),0))</f>
        <v/>
      </c>
      <c r="P299" s="28" t="str">
        <f aca="false">IF($B299="","",$N299-$O299)</f>
        <v/>
      </c>
      <c r="Q299" s="29" t="str">
        <f aca="false">IF($A299="","",DATE(YEAR($A299),MONTH($A299),1))</f>
        <v/>
      </c>
      <c r="R299" s="30" t="str">
        <f aca="false">IF($A299="","",$A299+MOD(6-WEEKDAY($A299),7))</f>
        <v/>
      </c>
      <c r="S299" s="31" t="str">
        <f aca="false">IF($B299="","",IF(AND($M299='Invoice Builder'!$C$5,$Q299='Invoice Builder'!$C$6,N($N299)&gt;0),COUNTIFS($M$5:$M299,'Invoice Builder'!$C$5,$Q$5:$Q299,'Invoice Builder'!$C$6,$N$5:$N299,"&gt;0"),""))</f>
        <v/>
      </c>
      <c r="T299" s="27" t="str">
        <f aca="false">IF($A299="","",IF($A299&gt;=DATE(YEAR($A299),4,6),YEAR($A299)&amp;"/"&amp;RIGHT(YEAR($A299)+1,2),YEAR($A299)-1&amp;"/"&amp;RIGHT(YEAR($A299),2)))</f>
        <v/>
      </c>
    </row>
    <row r="300" customFormat="false" ht="15" hidden="false" customHeight="false" outlineLevel="0" collapsed="false">
      <c r="A300" s="22"/>
      <c r="B300" s="23"/>
      <c r="C300" s="23"/>
      <c r="D300" s="23"/>
      <c r="E300" s="24"/>
      <c r="F300" s="24"/>
      <c r="G300" s="23"/>
      <c r="H300" s="23"/>
      <c r="I300" s="25"/>
      <c r="J300" s="23"/>
      <c r="K300" s="23"/>
      <c r="L300" s="26" t="str">
        <f aca="false">IF(OR($E300="",$F300=""),"",MOD($F300-$E300,1)*24)</f>
        <v/>
      </c>
      <c r="M300" s="27" t="str">
        <f aca="false">IF($B300="","",IFERROR(INDEX(Properties!$D$5:$D$104,MATCH($B300,Properties!$A$5:$A$104,0)),"?"))</f>
        <v/>
      </c>
      <c r="N300" s="28" t="str">
        <f aca="false">IF($B300="","",IFERROR(IF($D300="Completed",INDEX(Properties!$I$5:$I$104,MATCH($B300,Properties!$A$5:$A$104,0))*(1+IF($G300="Y",Settings!$B$8,0))+IF($H300="Y",Settings!$B$7,0)+N($I300),IF($D300="Deep clean",INDEX(Settings!$E$22:$E$26,MATCH(MIN(INDEX(Properties!$E$5:$E$104,MATCH($B300,Properties!$A$5:$A$104,0)),4),Settings!$A$22:$A$26,0))+N($I300),IF($D300="Late cancel",INDEX(Properties!$I$5:$I$104,MATCH($B300,Properties!$A$5:$A$104,0))*Settings!$B$10,0))),0))</f>
        <v/>
      </c>
      <c r="O300" s="28" t="str">
        <f aca="false">IF($B300="","",IFERROR(IF($D300="Completed",INDEX(Properties!$L$5:$L$104,MATCH($B300,Properties!$A$5:$A$104,0))+IF($G300="Y",INDEX(Properties!$I$5:$I$104,MATCH($B300,Properties!$A$5:$A$104,0))*Settings!$B$8*Settings!$B$9,0)+IF($H300="Y",Settings!$B$7*Settings!$B$9,0)+N($I300)*Settings!$B$9,IF($D300="Deep clean",INDEX(Settings!$E$22:$E$26,MATCH(MIN(INDEX(Properties!$E$5:$E$104,MATCH($B300,Properties!$A$5:$A$104,0)),4),Settings!$A$22:$A$26,0))*Settings!$B$19+N($I300)*Settings!$B$9,IF($D300="Late cancel",INDEX(Properties!$L$5:$L$104,MATCH($B300,Properties!$A$5:$A$104,0))*Settings!$B$11,0))),0))</f>
        <v/>
      </c>
      <c r="P300" s="28" t="str">
        <f aca="false">IF($B300="","",$N300-$O300)</f>
        <v/>
      </c>
      <c r="Q300" s="29" t="str">
        <f aca="false">IF($A300="","",DATE(YEAR($A300),MONTH($A300),1))</f>
        <v/>
      </c>
      <c r="R300" s="30" t="str">
        <f aca="false">IF($A300="","",$A300+MOD(6-WEEKDAY($A300),7))</f>
        <v/>
      </c>
      <c r="S300" s="31" t="str">
        <f aca="false">IF($B300="","",IF(AND($M300='Invoice Builder'!$C$5,$Q300='Invoice Builder'!$C$6,N($N300)&gt;0),COUNTIFS($M$5:$M300,'Invoice Builder'!$C$5,$Q$5:$Q300,'Invoice Builder'!$C$6,$N$5:$N300,"&gt;0"),""))</f>
        <v/>
      </c>
      <c r="T300" s="27" t="str">
        <f aca="false">IF($A300="","",IF($A300&gt;=DATE(YEAR($A300),4,6),YEAR($A300)&amp;"/"&amp;RIGHT(YEAR($A300)+1,2),YEAR($A300)-1&amp;"/"&amp;RIGHT(YEAR($A300),2)))</f>
        <v/>
      </c>
    </row>
    <row r="301" customFormat="false" ht="15" hidden="false" customHeight="false" outlineLevel="0" collapsed="false">
      <c r="A301" s="22"/>
      <c r="B301" s="23"/>
      <c r="C301" s="23"/>
      <c r="D301" s="23"/>
      <c r="E301" s="24"/>
      <c r="F301" s="24"/>
      <c r="G301" s="23"/>
      <c r="H301" s="23"/>
      <c r="I301" s="25"/>
      <c r="J301" s="23"/>
      <c r="K301" s="23"/>
      <c r="L301" s="26" t="str">
        <f aca="false">IF(OR($E301="",$F301=""),"",MOD($F301-$E301,1)*24)</f>
        <v/>
      </c>
      <c r="M301" s="27" t="str">
        <f aca="false">IF($B301="","",IFERROR(INDEX(Properties!$D$5:$D$104,MATCH($B301,Properties!$A$5:$A$104,0)),"?"))</f>
        <v/>
      </c>
      <c r="N301" s="28" t="str">
        <f aca="false">IF($B301="","",IFERROR(IF($D301="Completed",INDEX(Properties!$I$5:$I$104,MATCH($B301,Properties!$A$5:$A$104,0))*(1+IF($G301="Y",Settings!$B$8,0))+IF($H301="Y",Settings!$B$7,0)+N($I301),IF($D301="Deep clean",INDEX(Settings!$E$22:$E$26,MATCH(MIN(INDEX(Properties!$E$5:$E$104,MATCH($B301,Properties!$A$5:$A$104,0)),4),Settings!$A$22:$A$26,0))+N($I301),IF($D301="Late cancel",INDEX(Properties!$I$5:$I$104,MATCH($B301,Properties!$A$5:$A$104,0))*Settings!$B$10,0))),0))</f>
        <v/>
      </c>
      <c r="O301" s="28" t="str">
        <f aca="false">IF($B301="","",IFERROR(IF($D301="Completed",INDEX(Properties!$L$5:$L$104,MATCH($B301,Properties!$A$5:$A$104,0))+IF($G301="Y",INDEX(Properties!$I$5:$I$104,MATCH($B301,Properties!$A$5:$A$104,0))*Settings!$B$8*Settings!$B$9,0)+IF($H301="Y",Settings!$B$7*Settings!$B$9,0)+N($I301)*Settings!$B$9,IF($D301="Deep clean",INDEX(Settings!$E$22:$E$26,MATCH(MIN(INDEX(Properties!$E$5:$E$104,MATCH($B301,Properties!$A$5:$A$104,0)),4),Settings!$A$22:$A$26,0))*Settings!$B$19+N($I301)*Settings!$B$9,IF($D301="Late cancel",INDEX(Properties!$L$5:$L$104,MATCH($B301,Properties!$A$5:$A$104,0))*Settings!$B$11,0))),0))</f>
        <v/>
      </c>
      <c r="P301" s="28" t="str">
        <f aca="false">IF($B301="","",$N301-$O301)</f>
        <v/>
      </c>
      <c r="Q301" s="29" t="str">
        <f aca="false">IF($A301="","",DATE(YEAR($A301),MONTH($A301),1))</f>
        <v/>
      </c>
      <c r="R301" s="30" t="str">
        <f aca="false">IF($A301="","",$A301+MOD(6-WEEKDAY($A301),7))</f>
        <v/>
      </c>
      <c r="S301" s="31" t="str">
        <f aca="false">IF($B301="","",IF(AND($M301='Invoice Builder'!$C$5,$Q301='Invoice Builder'!$C$6,N($N301)&gt;0),COUNTIFS($M$5:$M301,'Invoice Builder'!$C$5,$Q$5:$Q301,'Invoice Builder'!$C$6,$N$5:$N301,"&gt;0"),""))</f>
        <v/>
      </c>
      <c r="T301" s="27" t="str">
        <f aca="false">IF($A301="","",IF($A301&gt;=DATE(YEAR($A301),4,6),YEAR($A301)&amp;"/"&amp;RIGHT(YEAR($A301)+1,2),YEAR($A301)-1&amp;"/"&amp;RIGHT(YEAR($A301),2)))</f>
        <v/>
      </c>
    </row>
    <row r="302" customFormat="false" ht="15" hidden="false" customHeight="false" outlineLevel="0" collapsed="false">
      <c r="A302" s="22"/>
      <c r="B302" s="23"/>
      <c r="C302" s="23"/>
      <c r="D302" s="23"/>
      <c r="E302" s="24"/>
      <c r="F302" s="24"/>
      <c r="G302" s="23"/>
      <c r="H302" s="23"/>
      <c r="I302" s="25"/>
      <c r="J302" s="23"/>
      <c r="K302" s="23"/>
      <c r="L302" s="26" t="str">
        <f aca="false">IF(OR($E302="",$F302=""),"",MOD($F302-$E302,1)*24)</f>
        <v/>
      </c>
      <c r="M302" s="27" t="str">
        <f aca="false">IF($B302="","",IFERROR(INDEX(Properties!$D$5:$D$104,MATCH($B302,Properties!$A$5:$A$104,0)),"?"))</f>
        <v/>
      </c>
      <c r="N302" s="28" t="str">
        <f aca="false">IF($B302="","",IFERROR(IF($D302="Completed",INDEX(Properties!$I$5:$I$104,MATCH($B302,Properties!$A$5:$A$104,0))*(1+IF($G302="Y",Settings!$B$8,0))+IF($H302="Y",Settings!$B$7,0)+N($I302),IF($D302="Deep clean",INDEX(Settings!$E$22:$E$26,MATCH(MIN(INDEX(Properties!$E$5:$E$104,MATCH($B302,Properties!$A$5:$A$104,0)),4),Settings!$A$22:$A$26,0))+N($I302),IF($D302="Late cancel",INDEX(Properties!$I$5:$I$104,MATCH($B302,Properties!$A$5:$A$104,0))*Settings!$B$10,0))),0))</f>
        <v/>
      </c>
      <c r="O302" s="28" t="str">
        <f aca="false">IF($B302="","",IFERROR(IF($D302="Completed",INDEX(Properties!$L$5:$L$104,MATCH($B302,Properties!$A$5:$A$104,0))+IF($G302="Y",INDEX(Properties!$I$5:$I$104,MATCH($B302,Properties!$A$5:$A$104,0))*Settings!$B$8*Settings!$B$9,0)+IF($H302="Y",Settings!$B$7*Settings!$B$9,0)+N($I302)*Settings!$B$9,IF($D302="Deep clean",INDEX(Settings!$E$22:$E$26,MATCH(MIN(INDEX(Properties!$E$5:$E$104,MATCH($B302,Properties!$A$5:$A$104,0)),4),Settings!$A$22:$A$26,0))*Settings!$B$19+N($I302)*Settings!$B$9,IF($D302="Late cancel",INDEX(Properties!$L$5:$L$104,MATCH($B302,Properties!$A$5:$A$104,0))*Settings!$B$11,0))),0))</f>
        <v/>
      </c>
      <c r="P302" s="28" t="str">
        <f aca="false">IF($B302="","",$N302-$O302)</f>
        <v/>
      </c>
      <c r="Q302" s="29" t="str">
        <f aca="false">IF($A302="","",DATE(YEAR($A302),MONTH($A302),1))</f>
        <v/>
      </c>
      <c r="R302" s="30" t="str">
        <f aca="false">IF($A302="","",$A302+MOD(6-WEEKDAY($A302),7))</f>
        <v/>
      </c>
      <c r="S302" s="31" t="str">
        <f aca="false">IF($B302="","",IF(AND($M302='Invoice Builder'!$C$5,$Q302='Invoice Builder'!$C$6,N($N302)&gt;0),COUNTIFS($M$5:$M302,'Invoice Builder'!$C$5,$Q$5:$Q302,'Invoice Builder'!$C$6,$N$5:$N302,"&gt;0"),""))</f>
        <v/>
      </c>
      <c r="T302" s="27" t="str">
        <f aca="false">IF($A302="","",IF($A302&gt;=DATE(YEAR($A302),4,6),YEAR($A302)&amp;"/"&amp;RIGHT(YEAR($A302)+1,2),YEAR($A302)-1&amp;"/"&amp;RIGHT(YEAR($A302),2)))</f>
        <v/>
      </c>
    </row>
    <row r="303" customFormat="false" ht="15" hidden="false" customHeight="false" outlineLevel="0" collapsed="false">
      <c r="A303" s="22"/>
      <c r="B303" s="23"/>
      <c r="C303" s="23"/>
      <c r="D303" s="23"/>
      <c r="E303" s="24"/>
      <c r="F303" s="24"/>
      <c r="G303" s="23"/>
      <c r="H303" s="23"/>
      <c r="I303" s="25"/>
      <c r="J303" s="23"/>
      <c r="K303" s="23"/>
      <c r="L303" s="26" t="str">
        <f aca="false">IF(OR($E303="",$F303=""),"",MOD($F303-$E303,1)*24)</f>
        <v/>
      </c>
      <c r="M303" s="27" t="str">
        <f aca="false">IF($B303="","",IFERROR(INDEX(Properties!$D$5:$D$104,MATCH($B303,Properties!$A$5:$A$104,0)),"?"))</f>
        <v/>
      </c>
      <c r="N303" s="28" t="str">
        <f aca="false">IF($B303="","",IFERROR(IF($D303="Completed",INDEX(Properties!$I$5:$I$104,MATCH($B303,Properties!$A$5:$A$104,0))*(1+IF($G303="Y",Settings!$B$8,0))+IF($H303="Y",Settings!$B$7,0)+N($I303),IF($D303="Deep clean",INDEX(Settings!$E$22:$E$26,MATCH(MIN(INDEX(Properties!$E$5:$E$104,MATCH($B303,Properties!$A$5:$A$104,0)),4),Settings!$A$22:$A$26,0))+N($I303),IF($D303="Late cancel",INDEX(Properties!$I$5:$I$104,MATCH($B303,Properties!$A$5:$A$104,0))*Settings!$B$10,0))),0))</f>
        <v/>
      </c>
      <c r="O303" s="28" t="str">
        <f aca="false">IF($B303="","",IFERROR(IF($D303="Completed",INDEX(Properties!$L$5:$L$104,MATCH($B303,Properties!$A$5:$A$104,0))+IF($G303="Y",INDEX(Properties!$I$5:$I$104,MATCH($B303,Properties!$A$5:$A$104,0))*Settings!$B$8*Settings!$B$9,0)+IF($H303="Y",Settings!$B$7*Settings!$B$9,0)+N($I303)*Settings!$B$9,IF($D303="Deep clean",INDEX(Settings!$E$22:$E$26,MATCH(MIN(INDEX(Properties!$E$5:$E$104,MATCH($B303,Properties!$A$5:$A$104,0)),4),Settings!$A$22:$A$26,0))*Settings!$B$19+N($I303)*Settings!$B$9,IF($D303="Late cancel",INDEX(Properties!$L$5:$L$104,MATCH($B303,Properties!$A$5:$A$104,0))*Settings!$B$11,0))),0))</f>
        <v/>
      </c>
      <c r="P303" s="28" t="str">
        <f aca="false">IF($B303="","",$N303-$O303)</f>
        <v/>
      </c>
      <c r="Q303" s="29" t="str">
        <f aca="false">IF($A303="","",DATE(YEAR($A303),MONTH($A303),1))</f>
        <v/>
      </c>
      <c r="R303" s="30" t="str">
        <f aca="false">IF($A303="","",$A303+MOD(6-WEEKDAY($A303),7))</f>
        <v/>
      </c>
      <c r="S303" s="31" t="str">
        <f aca="false">IF($B303="","",IF(AND($M303='Invoice Builder'!$C$5,$Q303='Invoice Builder'!$C$6,N($N303)&gt;0),COUNTIFS($M$5:$M303,'Invoice Builder'!$C$5,$Q$5:$Q303,'Invoice Builder'!$C$6,$N$5:$N303,"&gt;0"),""))</f>
        <v/>
      </c>
      <c r="T303" s="27" t="str">
        <f aca="false">IF($A303="","",IF($A303&gt;=DATE(YEAR($A303),4,6),YEAR($A303)&amp;"/"&amp;RIGHT(YEAR($A303)+1,2),YEAR($A303)-1&amp;"/"&amp;RIGHT(YEAR($A303),2)))</f>
        <v/>
      </c>
    </row>
    <row r="304" customFormat="false" ht="15" hidden="false" customHeight="false" outlineLevel="0" collapsed="false">
      <c r="A304" s="22"/>
      <c r="B304" s="23"/>
      <c r="C304" s="23"/>
      <c r="D304" s="23"/>
      <c r="E304" s="24"/>
      <c r="F304" s="24"/>
      <c r="G304" s="23"/>
      <c r="H304" s="23"/>
      <c r="I304" s="25"/>
      <c r="J304" s="23"/>
      <c r="K304" s="23"/>
      <c r="L304" s="26" t="str">
        <f aca="false">IF(OR($E304="",$F304=""),"",MOD($F304-$E304,1)*24)</f>
        <v/>
      </c>
      <c r="M304" s="27" t="str">
        <f aca="false">IF($B304="","",IFERROR(INDEX(Properties!$D$5:$D$104,MATCH($B304,Properties!$A$5:$A$104,0)),"?"))</f>
        <v/>
      </c>
      <c r="N304" s="28" t="str">
        <f aca="false">IF($B304="","",IFERROR(IF($D304="Completed",INDEX(Properties!$I$5:$I$104,MATCH($B304,Properties!$A$5:$A$104,0))*(1+IF($G304="Y",Settings!$B$8,0))+IF($H304="Y",Settings!$B$7,0)+N($I304),IF($D304="Deep clean",INDEX(Settings!$E$22:$E$26,MATCH(MIN(INDEX(Properties!$E$5:$E$104,MATCH($B304,Properties!$A$5:$A$104,0)),4),Settings!$A$22:$A$26,0))+N($I304),IF($D304="Late cancel",INDEX(Properties!$I$5:$I$104,MATCH($B304,Properties!$A$5:$A$104,0))*Settings!$B$10,0))),0))</f>
        <v/>
      </c>
      <c r="O304" s="28" t="str">
        <f aca="false">IF($B304="","",IFERROR(IF($D304="Completed",INDEX(Properties!$L$5:$L$104,MATCH($B304,Properties!$A$5:$A$104,0))+IF($G304="Y",INDEX(Properties!$I$5:$I$104,MATCH($B304,Properties!$A$5:$A$104,0))*Settings!$B$8*Settings!$B$9,0)+IF($H304="Y",Settings!$B$7*Settings!$B$9,0)+N($I304)*Settings!$B$9,IF($D304="Deep clean",INDEX(Settings!$E$22:$E$26,MATCH(MIN(INDEX(Properties!$E$5:$E$104,MATCH($B304,Properties!$A$5:$A$104,0)),4),Settings!$A$22:$A$26,0))*Settings!$B$19+N($I304)*Settings!$B$9,IF($D304="Late cancel",INDEX(Properties!$L$5:$L$104,MATCH($B304,Properties!$A$5:$A$104,0))*Settings!$B$11,0))),0))</f>
        <v/>
      </c>
      <c r="P304" s="28" t="str">
        <f aca="false">IF($B304="","",$N304-$O304)</f>
        <v/>
      </c>
      <c r="Q304" s="29" t="str">
        <f aca="false">IF($A304="","",DATE(YEAR($A304),MONTH($A304),1))</f>
        <v/>
      </c>
      <c r="R304" s="30" t="str">
        <f aca="false">IF($A304="","",$A304+MOD(6-WEEKDAY($A304),7))</f>
        <v/>
      </c>
      <c r="S304" s="31" t="str">
        <f aca="false">IF($B304="","",IF(AND($M304='Invoice Builder'!$C$5,$Q304='Invoice Builder'!$C$6,N($N304)&gt;0),COUNTIFS($M$5:$M304,'Invoice Builder'!$C$5,$Q$5:$Q304,'Invoice Builder'!$C$6,$N$5:$N304,"&gt;0"),""))</f>
        <v/>
      </c>
      <c r="T304" s="27" t="str">
        <f aca="false">IF($A304="","",IF($A304&gt;=DATE(YEAR($A304),4,6),YEAR($A304)&amp;"/"&amp;RIGHT(YEAR($A304)+1,2),YEAR($A304)-1&amp;"/"&amp;RIGHT(YEAR($A304),2)))</f>
        <v/>
      </c>
    </row>
    <row r="305" customFormat="false" ht="15" hidden="false" customHeight="false" outlineLevel="0" collapsed="false">
      <c r="A305" s="22"/>
      <c r="B305" s="23"/>
      <c r="C305" s="23"/>
      <c r="D305" s="23"/>
      <c r="E305" s="24"/>
      <c r="F305" s="24"/>
      <c r="G305" s="23"/>
      <c r="H305" s="23"/>
      <c r="I305" s="25"/>
      <c r="J305" s="23"/>
      <c r="K305" s="23"/>
      <c r="L305" s="26" t="str">
        <f aca="false">IF(OR($E305="",$F305=""),"",MOD($F305-$E305,1)*24)</f>
        <v/>
      </c>
      <c r="M305" s="27" t="str">
        <f aca="false">IF($B305="","",IFERROR(INDEX(Properties!$D$5:$D$104,MATCH($B305,Properties!$A$5:$A$104,0)),"?"))</f>
        <v/>
      </c>
      <c r="N305" s="28" t="str">
        <f aca="false">IF($B305="","",IFERROR(IF($D305="Completed",INDEX(Properties!$I$5:$I$104,MATCH($B305,Properties!$A$5:$A$104,0))*(1+IF($G305="Y",Settings!$B$8,0))+IF($H305="Y",Settings!$B$7,0)+N($I305),IF($D305="Deep clean",INDEX(Settings!$E$22:$E$26,MATCH(MIN(INDEX(Properties!$E$5:$E$104,MATCH($B305,Properties!$A$5:$A$104,0)),4),Settings!$A$22:$A$26,0))+N($I305),IF($D305="Late cancel",INDEX(Properties!$I$5:$I$104,MATCH($B305,Properties!$A$5:$A$104,0))*Settings!$B$10,0))),0))</f>
        <v/>
      </c>
      <c r="O305" s="28" t="str">
        <f aca="false">IF($B305="","",IFERROR(IF($D305="Completed",INDEX(Properties!$L$5:$L$104,MATCH($B305,Properties!$A$5:$A$104,0))+IF($G305="Y",INDEX(Properties!$I$5:$I$104,MATCH($B305,Properties!$A$5:$A$104,0))*Settings!$B$8*Settings!$B$9,0)+IF($H305="Y",Settings!$B$7*Settings!$B$9,0)+N($I305)*Settings!$B$9,IF($D305="Deep clean",INDEX(Settings!$E$22:$E$26,MATCH(MIN(INDEX(Properties!$E$5:$E$104,MATCH($B305,Properties!$A$5:$A$104,0)),4),Settings!$A$22:$A$26,0))*Settings!$B$19+N($I305)*Settings!$B$9,IF($D305="Late cancel",INDEX(Properties!$L$5:$L$104,MATCH($B305,Properties!$A$5:$A$104,0))*Settings!$B$11,0))),0))</f>
        <v/>
      </c>
      <c r="P305" s="28" t="str">
        <f aca="false">IF($B305="","",$N305-$O305)</f>
        <v/>
      </c>
      <c r="Q305" s="29" t="str">
        <f aca="false">IF($A305="","",DATE(YEAR($A305),MONTH($A305),1))</f>
        <v/>
      </c>
      <c r="R305" s="30" t="str">
        <f aca="false">IF($A305="","",$A305+MOD(6-WEEKDAY($A305),7))</f>
        <v/>
      </c>
      <c r="S305" s="31" t="str">
        <f aca="false">IF($B305="","",IF(AND($M305='Invoice Builder'!$C$5,$Q305='Invoice Builder'!$C$6,N($N305)&gt;0),COUNTIFS($M$5:$M305,'Invoice Builder'!$C$5,$Q$5:$Q305,'Invoice Builder'!$C$6,$N$5:$N305,"&gt;0"),""))</f>
        <v/>
      </c>
      <c r="T305" s="27" t="str">
        <f aca="false">IF($A305="","",IF($A305&gt;=DATE(YEAR($A305),4,6),YEAR($A305)&amp;"/"&amp;RIGHT(YEAR($A305)+1,2),YEAR($A305)-1&amp;"/"&amp;RIGHT(YEAR($A305),2)))</f>
        <v/>
      </c>
    </row>
    <row r="306" customFormat="false" ht="15" hidden="false" customHeight="false" outlineLevel="0" collapsed="false">
      <c r="A306" s="22"/>
      <c r="B306" s="23"/>
      <c r="C306" s="23"/>
      <c r="D306" s="23"/>
      <c r="E306" s="24"/>
      <c r="F306" s="24"/>
      <c r="G306" s="23"/>
      <c r="H306" s="23"/>
      <c r="I306" s="25"/>
      <c r="J306" s="23"/>
      <c r="K306" s="23"/>
      <c r="L306" s="26" t="str">
        <f aca="false">IF(OR($E306="",$F306=""),"",MOD($F306-$E306,1)*24)</f>
        <v/>
      </c>
      <c r="M306" s="27" t="str">
        <f aca="false">IF($B306="","",IFERROR(INDEX(Properties!$D$5:$D$104,MATCH($B306,Properties!$A$5:$A$104,0)),"?"))</f>
        <v/>
      </c>
      <c r="N306" s="28" t="str">
        <f aca="false">IF($B306="","",IFERROR(IF($D306="Completed",INDEX(Properties!$I$5:$I$104,MATCH($B306,Properties!$A$5:$A$104,0))*(1+IF($G306="Y",Settings!$B$8,0))+IF($H306="Y",Settings!$B$7,0)+N($I306),IF($D306="Deep clean",INDEX(Settings!$E$22:$E$26,MATCH(MIN(INDEX(Properties!$E$5:$E$104,MATCH($B306,Properties!$A$5:$A$104,0)),4),Settings!$A$22:$A$26,0))+N($I306),IF($D306="Late cancel",INDEX(Properties!$I$5:$I$104,MATCH($B306,Properties!$A$5:$A$104,0))*Settings!$B$10,0))),0))</f>
        <v/>
      </c>
      <c r="O306" s="28" t="str">
        <f aca="false">IF($B306="","",IFERROR(IF($D306="Completed",INDEX(Properties!$L$5:$L$104,MATCH($B306,Properties!$A$5:$A$104,0))+IF($G306="Y",INDEX(Properties!$I$5:$I$104,MATCH($B306,Properties!$A$5:$A$104,0))*Settings!$B$8*Settings!$B$9,0)+IF($H306="Y",Settings!$B$7*Settings!$B$9,0)+N($I306)*Settings!$B$9,IF($D306="Deep clean",INDEX(Settings!$E$22:$E$26,MATCH(MIN(INDEX(Properties!$E$5:$E$104,MATCH($B306,Properties!$A$5:$A$104,0)),4),Settings!$A$22:$A$26,0))*Settings!$B$19+N($I306)*Settings!$B$9,IF($D306="Late cancel",INDEX(Properties!$L$5:$L$104,MATCH($B306,Properties!$A$5:$A$104,0))*Settings!$B$11,0))),0))</f>
        <v/>
      </c>
      <c r="P306" s="28" t="str">
        <f aca="false">IF($B306="","",$N306-$O306)</f>
        <v/>
      </c>
      <c r="Q306" s="29" t="str">
        <f aca="false">IF($A306="","",DATE(YEAR($A306),MONTH($A306),1))</f>
        <v/>
      </c>
      <c r="R306" s="30" t="str">
        <f aca="false">IF($A306="","",$A306+MOD(6-WEEKDAY($A306),7))</f>
        <v/>
      </c>
      <c r="S306" s="31" t="str">
        <f aca="false">IF($B306="","",IF(AND($M306='Invoice Builder'!$C$5,$Q306='Invoice Builder'!$C$6,N($N306)&gt;0),COUNTIFS($M$5:$M306,'Invoice Builder'!$C$5,$Q$5:$Q306,'Invoice Builder'!$C$6,$N$5:$N306,"&gt;0"),""))</f>
        <v/>
      </c>
      <c r="T306" s="27" t="str">
        <f aca="false">IF($A306="","",IF($A306&gt;=DATE(YEAR($A306),4,6),YEAR($A306)&amp;"/"&amp;RIGHT(YEAR($A306)+1,2),YEAR($A306)-1&amp;"/"&amp;RIGHT(YEAR($A306),2)))</f>
        <v/>
      </c>
    </row>
    <row r="307" customFormat="false" ht="15" hidden="false" customHeight="false" outlineLevel="0" collapsed="false">
      <c r="A307" s="22"/>
      <c r="B307" s="23"/>
      <c r="C307" s="23"/>
      <c r="D307" s="23"/>
      <c r="E307" s="24"/>
      <c r="F307" s="24"/>
      <c r="G307" s="23"/>
      <c r="H307" s="23"/>
      <c r="I307" s="25"/>
      <c r="J307" s="23"/>
      <c r="K307" s="23"/>
      <c r="L307" s="26" t="str">
        <f aca="false">IF(OR($E307="",$F307=""),"",MOD($F307-$E307,1)*24)</f>
        <v/>
      </c>
      <c r="M307" s="27" t="str">
        <f aca="false">IF($B307="","",IFERROR(INDEX(Properties!$D$5:$D$104,MATCH($B307,Properties!$A$5:$A$104,0)),"?"))</f>
        <v/>
      </c>
      <c r="N307" s="28" t="str">
        <f aca="false">IF($B307="","",IFERROR(IF($D307="Completed",INDEX(Properties!$I$5:$I$104,MATCH($B307,Properties!$A$5:$A$104,0))*(1+IF($G307="Y",Settings!$B$8,0))+IF($H307="Y",Settings!$B$7,0)+N($I307),IF($D307="Deep clean",INDEX(Settings!$E$22:$E$26,MATCH(MIN(INDEX(Properties!$E$5:$E$104,MATCH($B307,Properties!$A$5:$A$104,0)),4),Settings!$A$22:$A$26,0))+N($I307),IF($D307="Late cancel",INDEX(Properties!$I$5:$I$104,MATCH($B307,Properties!$A$5:$A$104,0))*Settings!$B$10,0))),0))</f>
        <v/>
      </c>
      <c r="O307" s="28" t="str">
        <f aca="false">IF($B307="","",IFERROR(IF($D307="Completed",INDEX(Properties!$L$5:$L$104,MATCH($B307,Properties!$A$5:$A$104,0))+IF($G307="Y",INDEX(Properties!$I$5:$I$104,MATCH($B307,Properties!$A$5:$A$104,0))*Settings!$B$8*Settings!$B$9,0)+IF($H307="Y",Settings!$B$7*Settings!$B$9,0)+N($I307)*Settings!$B$9,IF($D307="Deep clean",INDEX(Settings!$E$22:$E$26,MATCH(MIN(INDEX(Properties!$E$5:$E$104,MATCH($B307,Properties!$A$5:$A$104,0)),4),Settings!$A$22:$A$26,0))*Settings!$B$19+N($I307)*Settings!$B$9,IF($D307="Late cancel",INDEX(Properties!$L$5:$L$104,MATCH($B307,Properties!$A$5:$A$104,0))*Settings!$B$11,0))),0))</f>
        <v/>
      </c>
      <c r="P307" s="28" t="str">
        <f aca="false">IF($B307="","",$N307-$O307)</f>
        <v/>
      </c>
      <c r="Q307" s="29" t="str">
        <f aca="false">IF($A307="","",DATE(YEAR($A307),MONTH($A307),1))</f>
        <v/>
      </c>
      <c r="R307" s="30" t="str">
        <f aca="false">IF($A307="","",$A307+MOD(6-WEEKDAY($A307),7))</f>
        <v/>
      </c>
      <c r="S307" s="31" t="str">
        <f aca="false">IF($B307="","",IF(AND($M307='Invoice Builder'!$C$5,$Q307='Invoice Builder'!$C$6,N($N307)&gt;0),COUNTIFS($M$5:$M307,'Invoice Builder'!$C$5,$Q$5:$Q307,'Invoice Builder'!$C$6,$N$5:$N307,"&gt;0"),""))</f>
        <v/>
      </c>
      <c r="T307" s="27" t="str">
        <f aca="false">IF($A307="","",IF($A307&gt;=DATE(YEAR($A307),4,6),YEAR($A307)&amp;"/"&amp;RIGHT(YEAR($A307)+1,2),YEAR($A307)-1&amp;"/"&amp;RIGHT(YEAR($A307),2)))</f>
        <v/>
      </c>
    </row>
    <row r="308" customFormat="false" ht="15" hidden="false" customHeight="false" outlineLevel="0" collapsed="false">
      <c r="A308" s="22"/>
      <c r="B308" s="23"/>
      <c r="C308" s="23"/>
      <c r="D308" s="23"/>
      <c r="E308" s="24"/>
      <c r="F308" s="24"/>
      <c r="G308" s="23"/>
      <c r="H308" s="23"/>
      <c r="I308" s="25"/>
      <c r="J308" s="23"/>
      <c r="K308" s="23"/>
      <c r="L308" s="26" t="str">
        <f aca="false">IF(OR($E308="",$F308=""),"",MOD($F308-$E308,1)*24)</f>
        <v/>
      </c>
      <c r="M308" s="27" t="str">
        <f aca="false">IF($B308="","",IFERROR(INDEX(Properties!$D$5:$D$104,MATCH($B308,Properties!$A$5:$A$104,0)),"?"))</f>
        <v/>
      </c>
      <c r="N308" s="28" t="str">
        <f aca="false">IF($B308="","",IFERROR(IF($D308="Completed",INDEX(Properties!$I$5:$I$104,MATCH($B308,Properties!$A$5:$A$104,0))*(1+IF($G308="Y",Settings!$B$8,0))+IF($H308="Y",Settings!$B$7,0)+N($I308),IF($D308="Deep clean",INDEX(Settings!$E$22:$E$26,MATCH(MIN(INDEX(Properties!$E$5:$E$104,MATCH($B308,Properties!$A$5:$A$104,0)),4),Settings!$A$22:$A$26,0))+N($I308),IF($D308="Late cancel",INDEX(Properties!$I$5:$I$104,MATCH($B308,Properties!$A$5:$A$104,0))*Settings!$B$10,0))),0))</f>
        <v/>
      </c>
      <c r="O308" s="28" t="str">
        <f aca="false">IF($B308="","",IFERROR(IF($D308="Completed",INDEX(Properties!$L$5:$L$104,MATCH($B308,Properties!$A$5:$A$104,0))+IF($G308="Y",INDEX(Properties!$I$5:$I$104,MATCH($B308,Properties!$A$5:$A$104,0))*Settings!$B$8*Settings!$B$9,0)+IF($H308="Y",Settings!$B$7*Settings!$B$9,0)+N($I308)*Settings!$B$9,IF($D308="Deep clean",INDEX(Settings!$E$22:$E$26,MATCH(MIN(INDEX(Properties!$E$5:$E$104,MATCH($B308,Properties!$A$5:$A$104,0)),4),Settings!$A$22:$A$26,0))*Settings!$B$19+N($I308)*Settings!$B$9,IF($D308="Late cancel",INDEX(Properties!$L$5:$L$104,MATCH($B308,Properties!$A$5:$A$104,0))*Settings!$B$11,0))),0))</f>
        <v/>
      </c>
      <c r="P308" s="28" t="str">
        <f aca="false">IF($B308="","",$N308-$O308)</f>
        <v/>
      </c>
      <c r="Q308" s="29" t="str">
        <f aca="false">IF($A308="","",DATE(YEAR($A308),MONTH($A308),1))</f>
        <v/>
      </c>
      <c r="R308" s="30" t="str">
        <f aca="false">IF($A308="","",$A308+MOD(6-WEEKDAY($A308),7))</f>
        <v/>
      </c>
      <c r="S308" s="31" t="str">
        <f aca="false">IF($B308="","",IF(AND($M308='Invoice Builder'!$C$5,$Q308='Invoice Builder'!$C$6,N($N308)&gt;0),COUNTIFS($M$5:$M308,'Invoice Builder'!$C$5,$Q$5:$Q308,'Invoice Builder'!$C$6,$N$5:$N308,"&gt;0"),""))</f>
        <v/>
      </c>
      <c r="T308" s="27" t="str">
        <f aca="false">IF($A308="","",IF($A308&gt;=DATE(YEAR($A308),4,6),YEAR($A308)&amp;"/"&amp;RIGHT(YEAR($A308)+1,2),YEAR($A308)-1&amp;"/"&amp;RIGHT(YEAR($A308),2)))</f>
        <v/>
      </c>
    </row>
    <row r="309" customFormat="false" ht="15" hidden="false" customHeight="false" outlineLevel="0" collapsed="false">
      <c r="A309" s="22"/>
      <c r="B309" s="23"/>
      <c r="C309" s="23"/>
      <c r="D309" s="23"/>
      <c r="E309" s="24"/>
      <c r="F309" s="24"/>
      <c r="G309" s="23"/>
      <c r="H309" s="23"/>
      <c r="I309" s="25"/>
      <c r="J309" s="23"/>
      <c r="K309" s="23"/>
      <c r="L309" s="26" t="str">
        <f aca="false">IF(OR($E309="",$F309=""),"",MOD($F309-$E309,1)*24)</f>
        <v/>
      </c>
      <c r="M309" s="27" t="str">
        <f aca="false">IF($B309="","",IFERROR(INDEX(Properties!$D$5:$D$104,MATCH($B309,Properties!$A$5:$A$104,0)),"?"))</f>
        <v/>
      </c>
      <c r="N309" s="28" t="str">
        <f aca="false">IF($B309="","",IFERROR(IF($D309="Completed",INDEX(Properties!$I$5:$I$104,MATCH($B309,Properties!$A$5:$A$104,0))*(1+IF($G309="Y",Settings!$B$8,0))+IF($H309="Y",Settings!$B$7,0)+N($I309),IF($D309="Deep clean",INDEX(Settings!$E$22:$E$26,MATCH(MIN(INDEX(Properties!$E$5:$E$104,MATCH($B309,Properties!$A$5:$A$104,0)),4),Settings!$A$22:$A$26,0))+N($I309),IF($D309="Late cancel",INDEX(Properties!$I$5:$I$104,MATCH($B309,Properties!$A$5:$A$104,0))*Settings!$B$10,0))),0))</f>
        <v/>
      </c>
      <c r="O309" s="28" t="str">
        <f aca="false">IF($B309="","",IFERROR(IF($D309="Completed",INDEX(Properties!$L$5:$L$104,MATCH($B309,Properties!$A$5:$A$104,0))+IF($G309="Y",INDEX(Properties!$I$5:$I$104,MATCH($B309,Properties!$A$5:$A$104,0))*Settings!$B$8*Settings!$B$9,0)+IF($H309="Y",Settings!$B$7*Settings!$B$9,0)+N($I309)*Settings!$B$9,IF($D309="Deep clean",INDEX(Settings!$E$22:$E$26,MATCH(MIN(INDEX(Properties!$E$5:$E$104,MATCH($B309,Properties!$A$5:$A$104,0)),4),Settings!$A$22:$A$26,0))*Settings!$B$19+N($I309)*Settings!$B$9,IF($D309="Late cancel",INDEX(Properties!$L$5:$L$104,MATCH($B309,Properties!$A$5:$A$104,0))*Settings!$B$11,0))),0))</f>
        <v/>
      </c>
      <c r="P309" s="28" t="str">
        <f aca="false">IF($B309="","",$N309-$O309)</f>
        <v/>
      </c>
      <c r="Q309" s="29" t="str">
        <f aca="false">IF($A309="","",DATE(YEAR($A309),MONTH($A309),1))</f>
        <v/>
      </c>
      <c r="R309" s="30" t="str">
        <f aca="false">IF($A309="","",$A309+MOD(6-WEEKDAY($A309),7))</f>
        <v/>
      </c>
      <c r="S309" s="31" t="str">
        <f aca="false">IF($B309="","",IF(AND($M309='Invoice Builder'!$C$5,$Q309='Invoice Builder'!$C$6,N($N309)&gt;0),COUNTIFS($M$5:$M309,'Invoice Builder'!$C$5,$Q$5:$Q309,'Invoice Builder'!$C$6,$N$5:$N309,"&gt;0"),""))</f>
        <v/>
      </c>
      <c r="T309" s="27" t="str">
        <f aca="false">IF($A309="","",IF($A309&gt;=DATE(YEAR($A309),4,6),YEAR($A309)&amp;"/"&amp;RIGHT(YEAR($A309)+1,2),YEAR($A309)-1&amp;"/"&amp;RIGHT(YEAR($A309),2)))</f>
        <v/>
      </c>
    </row>
    <row r="310" customFormat="false" ht="15" hidden="false" customHeight="false" outlineLevel="0" collapsed="false">
      <c r="A310" s="22"/>
      <c r="B310" s="23"/>
      <c r="C310" s="23"/>
      <c r="D310" s="23"/>
      <c r="E310" s="24"/>
      <c r="F310" s="24"/>
      <c r="G310" s="23"/>
      <c r="H310" s="23"/>
      <c r="I310" s="25"/>
      <c r="J310" s="23"/>
      <c r="K310" s="23"/>
      <c r="L310" s="26" t="str">
        <f aca="false">IF(OR($E310="",$F310=""),"",MOD($F310-$E310,1)*24)</f>
        <v/>
      </c>
      <c r="M310" s="27" t="str">
        <f aca="false">IF($B310="","",IFERROR(INDEX(Properties!$D$5:$D$104,MATCH($B310,Properties!$A$5:$A$104,0)),"?"))</f>
        <v/>
      </c>
      <c r="N310" s="28" t="str">
        <f aca="false">IF($B310="","",IFERROR(IF($D310="Completed",INDEX(Properties!$I$5:$I$104,MATCH($B310,Properties!$A$5:$A$104,0))*(1+IF($G310="Y",Settings!$B$8,0))+IF($H310="Y",Settings!$B$7,0)+N($I310),IF($D310="Deep clean",INDEX(Settings!$E$22:$E$26,MATCH(MIN(INDEX(Properties!$E$5:$E$104,MATCH($B310,Properties!$A$5:$A$104,0)),4),Settings!$A$22:$A$26,0))+N($I310),IF($D310="Late cancel",INDEX(Properties!$I$5:$I$104,MATCH($B310,Properties!$A$5:$A$104,0))*Settings!$B$10,0))),0))</f>
        <v/>
      </c>
      <c r="O310" s="28" t="str">
        <f aca="false">IF($B310="","",IFERROR(IF($D310="Completed",INDEX(Properties!$L$5:$L$104,MATCH($B310,Properties!$A$5:$A$104,0))+IF($G310="Y",INDEX(Properties!$I$5:$I$104,MATCH($B310,Properties!$A$5:$A$104,0))*Settings!$B$8*Settings!$B$9,0)+IF($H310="Y",Settings!$B$7*Settings!$B$9,0)+N($I310)*Settings!$B$9,IF($D310="Deep clean",INDEX(Settings!$E$22:$E$26,MATCH(MIN(INDEX(Properties!$E$5:$E$104,MATCH($B310,Properties!$A$5:$A$104,0)),4),Settings!$A$22:$A$26,0))*Settings!$B$19+N($I310)*Settings!$B$9,IF($D310="Late cancel",INDEX(Properties!$L$5:$L$104,MATCH($B310,Properties!$A$5:$A$104,0))*Settings!$B$11,0))),0))</f>
        <v/>
      </c>
      <c r="P310" s="28" t="str">
        <f aca="false">IF($B310="","",$N310-$O310)</f>
        <v/>
      </c>
      <c r="Q310" s="29" t="str">
        <f aca="false">IF($A310="","",DATE(YEAR($A310),MONTH($A310),1))</f>
        <v/>
      </c>
      <c r="R310" s="30" t="str">
        <f aca="false">IF($A310="","",$A310+MOD(6-WEEKDAY($A310),7))</f>
        <v/>
      </c>
      <c r="S310" s="31" t="str">
        <f aca="false">IF($B310="","",IF(AND($M310='Invoice Builder'!$C$5,$Q310='Invoice Builder'!$C$6,N($N310)&gt;0),COUNTIFS($M$5:$M310,'Invoice Builder'!$C$5,$Q$5:$Q310,'Invoice Builder'!$C$6,$N$5:$N310,"&gt;0"),""))</f>
        <v/>
      </c>
      <c r="T310" s="27" t="str">
        <f aca="false">IF($A310="","",IF($A310&gt;=DATE(YEAR($A310),4,6),YEAR($A310)&amp;"/"&amp;RIGHT(YEAR($A310)+1,2),YEAR($A310)-1&amp;"/"&amp;RIGHT(YEAR($A310),2)))</f>
        <v/>
      </c>
    </row>
    <row r="311" customFormat="false" ht="15" hidden="false" customHeight="false" outlineLevel="0" collapsed="false">
      <c r="A311" s="22"/>
      <c r="B311" s="23"/>
      <c r="C311" s="23"/>
      <c r="D311" s="23"/>
      <c r="E311" s="24"/>
      <c r="F311" s="24"/>
      <c r="G311" s="23"/>
      <c r="H311" s="23"/>
      <c r="I311" s="25"/>
      <c r="J311" s="23"/>
      <c r="K311" s="23"/>
      <c r="L311" s="26" t="str">
        <f aca="false">IF(OR($E311="",$F311=""),"",MOD($F311-$E311,1)*24)</f>
        <v/>
      </c>
      <c r="M311" s="27" t="str">
        <f aca="false">IF($B311="","",IFERROR(INDEX(Properties!$D$5:$D$104,MATCH($B311,Properties!$A$5:$A$104,0)),"?"))</f>
        <v/>
      </c>
      <c r="N311" s="28" t="str">
        <f aca="false">IF($B311="","",IFERROR(IF($D311="Completed",INDEX(Properties!$I$5:$I$104,MATCH($B311,Properties!$A$5:$A$104,0))*(1+IF($G311="Y",Settings!$B$8,0))+IF($H311="Y",Settings!$B$7,0)+N($I311),IF($D311="Deep clean",INDEX(Settings!$E$22:$E$26,MATCH(MIN(INDEX(Properties!$E$5:$E$104,MATCH($B311,Properties!$A$5:$A$104,0)),4),Settings!$A$22:$A$26,0))+N($I311),IF($D311="Late cancel",INDEX(Properties!$I$5:$I$104,MATCH($B311,Properties!$A$5:$A$104,0))*Settings!$B$10,0))),0))</f>
        <v/>
      </c>
      <c r="O311" s="28" t="str">
        <f aca="false">IF($B311="","",IFERROR(IF($D311="Completed",INDEX(Properties!$L$5:$L$104,MATCH($B311,Properties!$A$5:$A$104,0))+IF($G311="Y",INDEX(Properties!$I$5:$I$104,MATCH($B311,Properties!$A$5:$A$104,0))*Settings!$B$8*Settings!$B$9,0)+IF($H311="Y",Settings!$B$7*Settings!$B$9,0)+N($I311)*Settings!$B$9,IF($D311="Deep clean",INDEX(Settings!$E$22:$E$26,MATCH(MIN(INDEX(Properties!$E$5:$E$104,MATCH($B311,Properties!$A$5:$A$104,0)),4),Settings!$A$22:$A$26,0))*Settings!$B$19+N($I311)*Settings!$B$9,IF($D311="Late cancel",INDEX(Properties!$L$5:$L$104,MATCH($B311,Properties!$A$5:$A$104,0))*Settings!$B$11,0))),0))</f>
        <v/>
      </c>
      <c r="P311" s="28" t="str">
        <f aca="false">IF($B311="","",$N311-$O311)</f>
        <v/>
      </c>
      <c r="Q311" s="29" t="str">
        <f aca="false">IF($A311="","",DATE(YEAR($A311),MONTH($A311),1))</f>
        <v/>
      </c>
      <c r="R311" s="30" t="str">
        <f aca="false">IF($A311="","",$A311+MOD(6-WEEKDAY($A311),7))</f>
        <v/>
      </c>
      <c r="S311" s="31" t="str">
        <f aca="false">IF($B311="","",IF(AND($M311='Invoice Builder'!$C$5,$Q311='Invoice Builder'!$C$6,N($N311)&gt;0),COUNTIFS($M$5:$M311,'Invoice Builder'!$C$5,$Q$5:$Q311,'Invoice Builder'!$C$6,$N$5:$N311,"&gt;0"),""))</f>
        <v/>
      </c>
      <c r="T311" s="27" t="str">
        <f aca="false">IF($A311="","",IF($A311&gt;=DATE(YEAR($A311),4,6),YEAR($A311)&amp;"/"&amp;RIGHT(YEAR($A311)+1,2),YEAR($A311)-1&amp;"/"&amp;RIGHT(YEAR($A311),2)))</f>
        <v/>
      </c>
    </row>
    <row r="312" customFormat="false" ht="15" hidden="false" customHeight="false" outlineLevel="0" collapsed="false">
      <c r="A312" s="22"/>
      <c r="B312" s="23"/>
      <c r="C312" s="23"/>
      <c r="D312" s="23"/>
      <c r="E312" s="24"/>
      <c r="F312" s="24"/>
      <c r="G312" s="23"/>
      <c r="H312" s="23"/>
      <c r="I312" s="25"/>
      <c r="J312" s="23"/>
      <c r="K312" s="23"/>
      <c r="L312" s="26" t="str">
        <f aca="false">IF(OR($E312="",$F312=""),"",MOD($F312-$E312,1)*24)</f>
        <v/>
      </c>
      <c r="M312" s="27" t="str">
        <f aca="false">IF($B312="","",IFERROR(INDEX(Properties!$D$5:$D$104,MATCH($B312,Properties!$A$5:$A$104,0)),"?"))</f>
        <v/>
      </c>
      <c r="N312" s="28" t="str">
        <f aca="false">IF($B312="","",IFERROR(IF($D312="Completed",INDEX(Properties!$I$5:$I$104,MATCH($B312,Properties!$A$5:$A$104,0))*(1+IF($G312="Y",Settings!$B$8,0))+IF($H312="Y",Settings!$B$7,0)+N($I312),IF($D312="Deep clean",INDEX(Settings!$E$22:$E$26,MATCH(MIN(INDEX(Properties!$E$5:$E$104,MATCH($B312,Properties!$A$5:$A$104,0)),4),Settings!$A$22:$A$26,0))+N($I312),IF($D312="Late cancel",INDEX(Properties!$I$5:$I$104,MATCH($B312,Properties!$A$5:$A$104,0))*Settings!$B$10,0))),0))</f>
        <v/>
      </c>
      <c r="O312" s="28" t="str">
        <f aca="false">IF($B312="","",IFERROR(IF($D312="Completed",INDEX(Properties!$L$5:$L$104,MATCH($B312,Properties!$A$5:$A$104,0))+IF($G312="Y",INDEX(Properties!$I$5:$I$104,MATCH($B312,Properties!$A$5:$A$104,0))*Settings!$B$8*Settings!$B$9,0)+IF($H312="Y",Settings!$B$7*Settings!$B$9,0)+N($I312)*Settings!$B$9,IF($D312="Deep clean",INDEX(Settings!$E$22:$E$26,MATCH(MIN(INDEX(Properties!$E$5:$E$104,MATCH($B312,Properties!$A$5:$A$104,0)),4),Settings!$A$22:$A$26,0))*Settings!$B$19+N($I312)*Settings!$B$9,IF($D312="Late cancel",INDEX(Properties!$L$5:$L$104,MATCH($B312,Properties!$A$5:$A$104,0))*Settings!$B$11,0))),0))</f>
        <v/>
      </c>
      <c r="P312" s="28" t="str">
        <f aca="false">IF($B312="","",$N312-$O312)</f>
        <v/>
      </c>
      <c r="Q312" s="29" t="str">
        <f aca="false">IF($A312="","",DATE(YEAR($A312),MONTH($A312),1))</f>
        <v/>
      </c>
      <c r="R312" s="30" t="str">
        <f aca="false">IF($A312="","",$A312+MOD(6-WEEKDAY($A312),7))</f>
        <v/>
      </c>
      <c r="S312" s="31" t="str">
        <f aca="false">IF($B312="","",IF(AND($M312='Invoice Builder'!$C$5,$Q312='Invoice Builder'!$C$6,N($N312)&gt;0),COUNTIFS($M$5:$M312,'Invoice Builder'!$C$5,$Q$5:$Q312,'Invoice Builder'!$C$6,$N$5:$N312,"&gt;0"),""))</f>
        <v/>
      </c>
      <c r="T312" s="27" t="str">
        <f aca="false">IF($A312="","",IF($A312&gt;=DATE(YEAR($A312),4,6),YEAR($A312)&amp;"/"&amp;RIGHT(YEAR($A312)+1,2),YEAR($A312)-1&amp;"/"&amp;RIGHT(YEAR($A312),2)))</f>
        <v/>
      </c>
    </row>
    <row r="313" customFormat="false" ht="15" hidden="false" customHeight="false" outlineLevel="0" collapsed="false">
      <c r="A313" s="22"/>
      <c r="B313" s="23"/>
      <c r="C313" s="23"/>
      <c r="D313" s="23"/>
      <c r="E313" s="24"/>
      <c r="F313" s="24"/>
      <c r="G313" s="23"/>
      <c r="H313" s="23"/>
      <c r="I313" s="25"/>
      <c r="J313" s="23"/>
      <c r="K313" s="23"/>
      <c r="L313" s="26" t="str">
        <f aca="false">IF(OR($E313="",$F313=""),"",MOD($F313-$E313,1)*24)</f>
        <v/>
      </c>
      <c r="M313" s="27" t="str">
        <f aca="false">IF($B313="","",IFERROR(INDEX(Properties!$D$5:$D$104,MATCH($B313,Properties!$A$5:$A$104,0)),"?"))</f>
        <v/>
      </c>
      <c r="N313" s="28" t="str">
        <f aca="false">IF($B313="","",IFERROR(IF($D313="Completed",INDEX(Properties!$I$5:$I$104,MATCH($B313,Properties!$A$5:$A$104,0))*(1+IF($G313="Y",Settings!$B$8,0))+IF($H313="Y",Settings!$B$7,0)+N($I313),IF($D313="Deep clean",INDEX(Settings!$E$22:$E$26,MATCH(MIN(INDEX(Properties!$E$5:$E$104,MATCH($B313,Properties!$A$5:$A$104,0)),4),Settings!$A$22:$A$26,0))+N($I313),IF($D313="Late cancel",INDEX(Properties!$I$5:$I$104,MATCH($B313,Properties!$A$5:$A$104,0))*Settings!$B$10,0))),0))</f>
        <v/>
      </c>
      <c r="O313" s="28" t="str">
        <f aca="false">IF($B313="","",IFERROR(IF($D313="Completed",INDEX(Properties!$L$5:$L$104,MATCH($B313,Properties!$A$5:$A$104,0))+IF($G313="Y",INDEX(Properties!$I$5:$I$104,MATCH($B313,Properties!$A$5:$A$104,0))*Settings!$B$8*Settings!$B$9,0)+IF($H313="Y",Settings!$B$7*Settings!$B$9,0)+N($I313)*Settings!$B$9,IF($D313="Deep clean",INDEX(Settings!$E$22:$E$26,MATCH(MIN(INDEX(Properties!$E$5:$E$104,MATCH($B313,Properties!$A$5:$A$104,0)),4),Settings!$A$22:$A$26,0))*Settings!$B$19+N($I313)*Settings!$B$9,IF($D313="Late cancel",INDEX(Properties!$L$5:$L$104,MATCH($B313,Properties!$A$5:$A$104,0))*Settings!$B$11,0))),0))</f>
        <v/>
      </c>
      <c r="P313" s="28" t="str">
        <f aca="false">IF($B313="","",$N313-$O313)</f>
        <v/>
      </c>
      <c r="Q313" s="29" t="str">
        <f aca="false">IF($A313="","",DATE(YEAR($A313),MONTH($A313),1))</f>
        <v/>
      </c>
      <c r="R313" s="30" t="str">
        <f aca="false">IF($A313="","",$A313+MOD(6-WEEKDAY($A313),7))</f>
        <v/>
      </c>
      <c r="S313" s="31" t="str">
        <f aca="false">IF($B313="","",IF(AND($M313='Invoice Builder'!$C$5,$Q313='Invoice Builder'!$C$6,N($N313)&gt;0),COUNTIFS($M$5:$M313,'Invoice Builder'!$C$5,$Q$5:$Q313,'Invoice Builder'!$C$6,$N$5:$N313,"&gt;0"),""))</f>
        <v/>
      </c>
      <c r="T313" s="27" t="str">
        <f aca="false">IF($A313="","",IF($A313&gt;=DATE(YEAR($A313),4,6),YEAR($A313)&amp;"/"&amp;RIGHT(YEAR($A313)+1,2),YEAR($A313)-1&amp;"/"&amp;RIGHT(YEAR($A313),2)))</f>
        <v/>
      </c>
    </row>
    <row r="314" customFormat="false" ht="15" hidden="false" customHeight="false" outlineLevel="0" collapsed="false">
      <c r="A314" s="22"/>
      <c r="B314" s="23"/>
      <c r="C314" s="23"/>
      <c r="D314" s="23"/>
      <c r="E314" s="24"/>
      <c r="F314" s="24"/>
      <c r="G314" s="23"/>
      <c r="H314" s="23"/>
      <c r="I314" s="25"/>
      <c r="J314" s="23"/>
      <c r="K314" s="23"/>
      <c r="L314" s="26" t="str">
        <f aca="false">IF(OR($E314="",$F314=""),"",MOD($F314-$E314,1)*24)</f>
        <v/>
      </c>
      <c r="M314" s="27" t="str">
        <f aca="false">IF($B314="","",IFERROR(INDEX(Properties!$D$5:$D$104,MATCH($B314,Properties!$A$5:$A$104,0)),"?"))</f>
        <v/>
      </c>
      <c r="N314" s="28" t="str">
        <f aca="false">IF($B314="","",IFERROR(IF($D314="Completed",INDEX(Properties!$I$5:$I$104,MATCH($B314,Properties!$A$5:$A$104,0))*(1+IF($G314="Y",Settings!$B$8,0))+IF($H314="Y",Settings!$B$7,0)+N($I314),IF($D314="Deep clean",INDEX(Settings!$E$22:$E$26,MATCH(MIN(INDEX(Properties!$E$5:$E$104,MATCH($B314,Properties!$A$5:$A$104,0)),4),Settings!$A$22:$A$26,0))+N($I314),IF($D314="Late cancel",INDEX(Properties!$I$5:$I$104,MATCH($B314,Properties!$A$5:$A$104,0))*Settings!$B$10,0))),0))</f>
        <v/>
      </c>
      <c r="O314" s="28" t="str">
        <f aca="false">IF($B314="","",IFERROR(IF($D314="Completed",INDEX(Properties!$L$5:$L$104,MATCH($B314,Properties!$A$5:$A$104,0))+IF($G314="Y",INDEX(Properties!$I$5:$I$104,MATCH($B314,Properties!$A$5:$A$104,0))*Settings!$B$8*Settings!$B$9,0)+IF($H314="Y",Settings!$B$7*Settings!$B$9,0)+N($I314)*Settings!$B$9,IF($D314="Deep clean",INDEX(Settings!$E$22:$E$26,MATCH(MIN(INDEX(Properties!$E$5:$E$104,MATCH($B314,Properties!$A$5:$A$104,0)),4),Settings!$A$22:$A$26,0))*Settings!$B$19+N($I314)*Settings!$B$9,IF($D314="Late cancel",INDEX(Properties!$L$5:$L$104,MATCH($B314,Properties!$A$5:$A$104,0))*Settings!$B$11,0))),0))</f>
        <v/>
      </c>
      <c r="P314" s="28" t="str">
        <f aca="false">IF($B314="","",$N314-$O314)</f>
        <v/>
      </c>
      <c r="Q314" s="29" t="str">
        <f aca="false">IF($A314="","",DATE(YEAR($A314),MONTH($A314),1))</f>
        <v/>
      </c>
      <c r="R314" s="30" t="str">
        <f aca="false">IF($A314="","",$A314+MOD(6-WEEKDAY($A314),7))</f>
        <v/>
      </c>
      <c r="S314" s="31" t="str">
        <f aca="false">IF($B314="","",IF(AND($M314='Invoice Builder'!$C$5,$Q314='Invoice Builder'!$C$6,N($N314)&gt;0),COUNTIFS($M$5:$M314,'Invoice Builder'!$C$5,$Q$5:$Q314,'Invoice Builder'!$C$6,$N$5:$N314,"&gt;0"),""))</f>
        <v/>
      </c>
      <c r="T314" s="27" t="str">
        <f aca="false">IF($A314="","",IF($A314&gt;=DATE(YEAR($A314),4,6),YEAR($A314)&amp;"/"&amp;RIGHT(YEAR($A314)+1,2),YEAR($A314)-1&amp;"/"&amp;RIGHT(YEAR($A314),2)))</f>
        <v/>
      </c>
    </row>
    <row r="315" customFormat="false" ht="15" hidden="false" customHeight="false" outlineLevel="0" collapsed="false">
      <c r="A315" s="22"/>
      <c r="B315" s="23"/>
      <c r="C315" s="23"/>
      <c r="D315" s="23"/>
      <c r="E315" s="24"/>
      <c r="F315" s="24"/>
      <c r="G315" s="23"/>
      <c r="H315" s="23"/>
      <c r="I315" s="25"/>
      <c r="J315" s="23"/>
      <c r="K315" s="23"/>
      <c r="L315" s="26" t="str">
        <f aca="false">IF(OR($E315="",$F315=""),"",MOD($F315-$E315,1)*24)</f>
        <v/>
      </c>
      <c r="M315" s="27" t="str">
        <f aca="false">IF($B315="","",IFERROR(INDEX(Properties!$D$5:$D$104,MATCH($B315,Properties!$A$5:$A$104,0)),"?"))</f>
        <v/>
      </c>
      <c r="N315" s="28" t="str">
        <f aca="false">IF($B315="","",IFERROR(IF($D315="Completed",INDEX(Properties!$I$5:$I$104,MATCH($B315,Properties!$A$5:$A$104,0))*(1+IF($G315="Y",Settings!$B$8,0))+IF($H315="Y",Settings!$B$7,0)+N($I315),IF($D315="Deep clean",INDEX(Settings!$E$22:$E$26,MATCH(MIN(INDEX(Properties!$E$5:$E$104,MATCH($B315,Properties!$A$5:$A$104,0)),4),Settings!$A$22:$A$26,0))+N($I315),IF($D315="Late cancel",INDEX(Properties!$I$5:$I$104,MATCH($B315,Properties!$A$5:$A$104,0))*Settings!$B$10,0))),0))</f>
        <v/>
      </c>
      <c r="O315" s="28" t="str">
        <f aca="false">IF($B315="","",IFERROR(IF($D315="Completed",INDEX(Properties!$L$5:$L$104,MATCH($B315,Properties!$A$5:$A$104,0))+IF($G315="Y",INDEX(Properties!$I$5:$I$104,MATCH($B315,Properties!$A$5:$A$104,0))*Settings!$B$8*Settings!$B$9,0)+IF($H315="Y",Settings!$B$7*Settings!$B$9,0)+N($I315)*Settings!$B$9,IF($D315="Deep clean",INDEX(Settings!$E$22:$E$26,MATCH(MIN(INDEX(Properties!$E$5:$E$104,MATCH($B315,Properties!$A$5:$A$104,0)),4),Settings!$A$22:$A$26,0))*Settings!$B$19+N($I315)*Settings!$B$9,IF($D315="Late cancel",INDEX(Properties!$L$5:$L$104,MATCH($B315,Properties!$A$5:$A$104,0))*Settings!$B$11,0))),0))</f>
        <v/>
      </c>
      <c r="P315" s="28" t="str">
        <f aca="false">IF($B315="","",$N315-$O315)</f>
        <v/>
      </c>
      <c r="Q315" s="29" t="str">
        <f aca="false">IF($A315="","",DATE(YEAR($A315),MONTH($A315),1))</f>
        <v/>
      </c>
      <c r="R315" s="30" t="str">
        <f aca="false">IF($A315="","",$A315+MOD(6-WEEKDAY($A315),7))</f>
        <v/>
      </c>
      <c r="S315" s="31" t="str">
        <f aca="false">IF($B315="","",IF(AND($M315='Invoice Builder'!$C$5,$Q315='Invoice Builder'!$C$6,N($N315)&gt;0),COUNTIFS($M$5:$M315,'Invoice Builder'!$C$5,$Q$5:$Q315,'Invoice Builder'!$C$6,$N$5:$N315,"&gt;0"),""))</f>
        <v/>
      </c>
      <c r="T315" s="27" t="str">
        <f aca="false">IF($A315="","",IF($A315&gt;=DATE(YEAR($A315),4,6),YEAR($A315)&amp;"/"&amp;RIGHT(YEAR($A315)+1,2),YEAR($A315)-1&amp;"/"&amp;RIGHT(YEAR($A315),2)))</f>
        <v/>
      </c>
    </row>
    <row r="316" customFormat="false" ht="15" hidden="false" customHeight="false" outlineLevel="0" collapsed="false">
      <c r="A316" s="22"/>
      <c r="B316" s="23"/>
      <c r="C316" s="23"/>
      <c r="D316" s="23"/>
      <c r="E316" s="24"/>
      <c r="F316" s="24"/>
      <c r="G316" s="23"/>
      <c r="H316" s="23"/>
      <c r="I316" s="25"/>
      <c r="J316" s="23"/>
      <c r="K316" s="23"/>
      <c r="L316" s="26" t="str">
        <f aca="false">IF(OR($E316="",$F316=""),"",MOD($F316-$E316,1)*24)</f>
        <v/>
      </c>
      <c r="M316" s="27" t="str">
        <f aca="false">IF($B316="","",IFERROR(INDEX(Properties!$D$5:$D$104,MATCH($B316,Properties!$A$5:$A$104,0)),"?"))</f>
        <v/>
      </c>
      <c r="N316" s="28" t="str">
        <f aca="false">IF($B316="","",IFERROR(IF($D316="Completed",INDEX(Properties!$I$5:$I$104,MATCH($B316,Properties!$A$5:$A$104,0))*(1+IF($G316="Y",Settings!$B$8,0))+IF($H316="Y",Settings!$B$7,0)+N($I316),IF($D316="Deep clean",INDEX(Settings!$E$22:$E$26,MATCH(MIN(INDEX(Properties!$E$5:$E$104,MATCH($B316,Properties!$A$5:$A$104,0)),4),Settings!$A$22:$A$26,0))+N($I316),IF($D316="Late cancel",INDEX(Properties!$I$5:$I$104,MATCH($B316,Properties!$A$5:$A$104,0))*Settings!$B$10,0))),0))</f>
        <v/>
      </c>
      <c r="O316" s="28" t="str">
        <f aca="false">IF($B316="","",IFERROR(IF($D316="Completed",INDEX(Properties!$L$5:$L$104,MATCH($B316,Properties!$A$5:$A$104,0))+IF($G316="Y",INDEX(Properties!$I$5:$I$104,MATCH($B316,Properties!$A$5:$A$104,0))*Settings!$B$8*Settings!$B$9,0)+IF($H316="Y",Settings!$B$7*Settings!$B$9,0)+N($I316)*Settings!$B$9,IF($D316="Deep clean",INDEX(Settings!$E$22:$E$26,MATCH(MIN(INDEX(Properties!$E$5:$E$104,MATCH($B316,Properties!$A$5:$A$104,0)),4),Settings!$A$22:$A$26,0))*Settings!$B$19+N($I316)*Settings!$B$9,IF($D316="Late cancel",INDEX(Properties!$L$5:$L$104,MATCH($B316,Properties!$A$5:$A$104,0))*Settings!$B$11,0))),0))</f>
        <v/>
      </c>
      <c r="P316" s="28" t="str">
        <f aca="false">IF($B316="","",$N316-$O316)</f>
        <v/>
      </c>
      <c r="Q316" s="29" t="str">
        <f aca="false">IF($A316="","",DATE(YEAR($A316),MONTH($A316),1))</f>
        <v/>
      </c>
      <c r="R316" s="30" t="str">
        <f aca="false">IF($A316="","",$A316+MOD(6-WEEKDAY($A316),7))</f>
        <v/>
      </c>
      <c r="S316" s="31" t="str">
        <f aca="false">IF($B316="","",IF(AND($M316='Invoice Builder'!$C$5,$Q316='Invoice Builder'!$C$6,N($N316)&gt;0),COUNTIFS($M$5:$M316,'Invoice Builder'!$C$5,$Q$5:$Q316,'Invoice Builder'!$C$6,$N$5:$N316,"&gt;0"),""))</f>
        <v/>
      </c>
      <c r="T316" s="27" t="str">
        <f aca="false">IF($A316="","",IF($A316&gt;=DATE(YEAR($A316),4,6),YEAR($A316)&amp;"/"&amp;RIGHT(YEAR($A316)+1,2),YEAR($A316)-1&amp;"/"&amp;RIGHT(YEAR($A316),2)))</f>
        <v/>
      </c>
    </row>
    <row r="317" customFormat="false" ht="15" hidden="false" customHeight="false" outlineLevel="0" collapsed="false">
      <c r="A317" s="22"/>
      <c r="B317" s="23"/>
      <c r="C317" s="23"/>
      <c r="D317" s="23"/>
      <c r="E317" s="24"/>
      <c r="F317" s="24"/>
      <c r="G317" s="23"/>
      <c r="H317" s="23"/>
      <c r="I317" s="25"/>
      <c r="J317" s="23"/>
      <c r="K317" s="23"/>
      <c r="L317" s="26" t="str">
        <f aca="false">IF(OR($E317="",$F317=""),"",MOD($F317-$E317,1)*24)</f>
        <v/>
      </c>
      <c r="M317" s="27" t="str">
        <f aca="false">IF($B317="","",IFERROR(INDEX(Properties!$D$5:$D$104,MATCH($B317,Properties!$A$5:$A$104,0)),"?"))</f>
        <v/>
      </c>
      <c r="N317" s="28" t="str">
        <f aca="false">IF($B317="","",IFERROR(IF($D317="Completed",INDEX(Properties!$I$5:$I$104,MATCH($B317,Properties!$A$5:$A$104,0))*(1+IF($G317="Y",Settings!$B$8,0))+IF($H317="Y",Settings!$B$7,0)+N($I317),IF($D317="Deep clean",INDEX(Settings!$E$22:$E$26,MATCH(MIN(INDEX(Properties!$E$5:$E$104,MATCH($B317,Properties!$A$5:$A$104,0)),4),Settings!$A$22:$A$26,0))+N($I317),IF($D317="Late cancel",INDEX(Properties!$I$5:$I$104,MATCH($B317,Properties!$A$5:$A$104,0))*Settings!$B$10,0))),0))</f>
        <v/>
      </c>
      <c r="O317" s="28" t="str">
        <f aca="false">IF($B317="","",IFERROR(IF($D317="Completed",INDEX(Properties!$L$5:$L$104,MATCH($B317,Properties!$A$5:$A$104,0))+IF($G317="Y",INDEX(Properties!$I$5:$I$104,MATCH($B317,Properties!$A$5:$A$104,0))*Settings!$B$8*Settings!$B$9,0)+IF($H317="Y",Settings!$B$7*Settings!$B$9,0)+N($I317)*Settings!$B$9,IF($D317="Deep clean",INDEX(Settings!$E$22:$E$26,MATCH(MIN(INDEX(Properties!$E$5:$E$104,MATCH($B317,Properties!$A$5:$A$104,0)),4),Settings!$A$22:$A$26,0))*Settings!$B$19+N($I317)*Settings!$B$9,IF($D317="Late cancel",INDEX(Properties!$L$5:$L$104,MATCH($B317,Properties!$A$5:$A$104,0))*Settings!$B$11,0))),0))</f>
        <v/>
      </c>
      <c r="P317" s="28" t="str">
        <f aca="false">IF($B317="","",$N317-$O317)</f>
        <v/>
      </c>
      <c r="Q317" s="29" t="str">
        <f aca="false">IF($A317="","",DATE(YEAR($A317),MONTH($A317),1))</f>
        <v/>
      </c>
      <c r="R317" s="30" t="str">
        <f aca="false">IF($A317="","",$A317+MOD(6-WEEKDAY($A317),7))</f>
        <v/>
      </c>
      <c r="S317" s="31" t="str">
        <f aca="false">IF($B317="","",IF(AND($M317='Invoice Builder'!$C$5,$Q317='Invoice Builder'!$C$6,N($N317)&gt;0),COUNTIFS($M$5:$M317,'Invoice Builder'!$C$5,$Q$5:$Q317,'Invoice Builder'!$C$6,$N$5:$N317,"&gt;0"),""))</f>
        <v/>
      </c>
      <c r="T317" s="27" t="str">
        <f aca="false">IF($A317="","",IF($A317&gt;=DATE(YEAR($A317),4,6),YEAR($A317)&amp;"/"&amp;RIGHT(YEAR($A317)+1,2),YEAR($A317)-1&amp;"/"&amp;RIGHT(YEAR($A317),2)))</f>
        <v/>
      </c>
    </row>
    <row r="318" customFormat="false" ht="15" hidden="false" customHeight="false" outlineLevel="0" collapsed="false">
      <c r="A318" s="22"/>
      <c r="B318" s="23"/>
      <c r="C318" s="23"/>
      <c r="D318" s="23"/>
      <c r="E318" s="24"/>
      <c r="F318" s="24"/>
      <c r="G318" s="23"/>
      <c r="H318" s="23"/>
      <c r="I318" s="25"/>
      <c r="J318" s="23"/>
      <c r="K318" s="23"/>
      <c r="L318" s="26" t="str">
        <f aca="false">IF(OR($E318="",$F318=""),"",MOD($F318-$E318,1)*24)</f>
        <v/>
      </c>
      <c r="M318" s="27" t="str">
        <f aca="false">IF($B318="","",IFERROR(INDEX(Properties!$D$5:$D$104,MATCH($B318,Properties!$A$5:$A$104,0)),"?"))</f>
        <v/>
      </c>
      <c r="N318" s="28" t="str">
        <f aca="false">IF($B318="","",IFERROR(IF($D318="Completed",INDEX(Properties!$I$5:$I$104,MATCH($B318,Properties!$A$5:$A$104,0))*(1+IF($G318="Y",Settings!$B$8,0))+IF($H318="Y",Settings!$B$7,0)+N($I318),IF($D318="Deep clean",INDEX(Settings!$E$22:$E$26,MATCH(MIN(INDEX(Properties!$E$5:$E$104,MATCH($B318,Properties!$A$5:$A$104,0)),4),Settings!$A$22:$A$26,0))+N($I318),IF($D318="Late cancel",INDEX(Properties!$I$5:$I$104,MATCH($B318,Properties!$A$5:$A$104,0))*Settings!$B$10,0))),0))</f>
        <v/>
      </c>
      <c r="O318" s="28" t="str">
        <f aca="false">IF($B318="","",IFERROR(IF($D318="Completed",INDEX(Properties!$L$5:$L$104,MATCH($B318,Properties!$A$5:$A$104,0))+IF($G318="Y",INDEX(Properties!$I$5:$I$104,MATCH($B318,Properties!$A$5:$A$104,0))*Settings!$B$8*Settings!$B$9,0)+IF($H318="Y",Settings!$B$7*Settings!$B$9,0)+N($I318)*Settings!$B$9,IF($D318="Deep clean",INDEX(Settings!$E$22:$E$26,MATCH(MIN(INDEX(Properties!$E$5:$E$104,MATCH($B318,Properties!$A$5:$A$104,0)),4),Settings!$A$22:$A$26,0))*Settings!$B$19+N($I318)*Settings!$B$9,IF($D318="Late cancel",INDEX(Properties!$L$5:$L$104,MATCH($B318,Properties!$A$5:$A$104,0))*Settings!$B$11,0))),0))</f>
        <v/>
      </c>
      <c r="P318" s="28" t="str">
        <f aca="false">IF($B318="","",$N318-$O318)</f>
        <v/>
      </c>
      <c r="Q318" s="29" t="str">
        <f aca="false">IF($A318="","",DATE(YEAR($A318),MONTH($A318),1))</f>
        <v/>
      </c>
      <c r="R318" s="30" t="str">
        <f aca="false">IF($A318="","",$A318+MOD(6-WEEKDAY($A318),7))</f>
        <v/>
      </c>
      <c r="S318" s="31" t="str">
        <f aca="false">IF($B318="","",IF(AND($M318='Invoice Builder'!$C$5,$Q318='Invoice Builder'!$C$6,N($N318)&gt;0),COUNTIFS($M$5:$M318,'Invoice Builder'!$C$5,$Q$5:$Q318,'Invoice Builder'!$C$6,$N$5:$N318,"&gt;0"),""))</f>
        <v/>
      </c>
      <c r="T318" s="27" t="str">
        <f aca="false">IF($A318="","",IF($A318&gt;=DATE(YEAR($A318),4,6),YEAR($A318)&amp;"/"&amp;RIGHT(YEAR($A318)+1,2),YEAR($A318)-1&amp;"/"&amp;RIGHT(YEAR($A318),2)))</f>
        <v/>
      </c>
    </row>
    <row r="319" customFormat="false" ht="15" hidden="false" customHeight="false" outlineLevel="0" collapsed="false">
      <c r="A319" s="22"/>
      <c r="B319" s="23"/>
      <c r="C319" s="23"/>
      <c r="D319" s="23"/>
      <c r="E319" s="24"/>
      <c r="F319" s="24"/>
      <c r="G319" s="23"/>
      <c r="H319" s="23"/>
      <c r="I319" s="25"/>
      <c r="J319" s="23"/>
      <c r="K319" s="23"/>
      <c r="L319" s="26" t="str">
        <f aca="false">IF(OR($E319="",$F319=""),"",MOD($F319-$E319,1)*24)</f>
        <v/>
      </c>
      <c r="M319" s="27" t="str">
        <f aca="false">IF($B319="","",IFERROR(INDEX(Properties!$D$5:$D$104,MATCH($B319,Properties!$A$5:$A$104,0)),"?"))</f>
        <v/>
      </c>
      <c r="N319" s="28" t="str">
        <f aca="false">IF($B319="","",IFERROR(IF($D319="Completed",INDEX(Properties!$I$5:$I$104,MATCH($B319,Properties!$A$5:$A$104,0))*(1+IF($G319="Y",Settings!$B$8,0))+IF($H319="Y",Settings!$B$7,0)+N($I319),IF($D319="Deep clean",INDEX(Settings!$E$22:$E$26,MATCH(MIN(INDEX(Properties!$E$5:$E$104,MATCH($B319,Properties!$A$5:$A$104,0)),4),Settings!$A$22:$A$26,0))+N($I319),IF($D319="Late cancel",INDEX(Properties!$I$5:$I$104,MATCH($B319,Properties!$A$5:$A$104,0))*Settings!$B$10,0))),0))</f>
        <v/>
      </c>
      <c r="O319" s="28" t="str">
        <f aca="false">IF($B319="","",IFERROR(IF($D319="Completed",INDEX(Properties!$L$5:$L$104,MATCH($B319,Properties!$A$5:$A$104,0))+IF($G319="Y",INDEX(Properties!$I$5:$I$104,MATCH($B319,Properties!$A$5:$A$104,0))*Settings!$B$8*Settings!$B$9,0)+IF($H319="Y",Settings!$B$7*Settings!$B$9,0)+N($I319)*Settings!$B$9,IF($D319="Deep clean",INDEX(Settings!$E$22:$E$26,MATCH(MIN(INDEX(Properties!$E$5:$E$104,MATCH($B319,Properties!$A$5:$A$104,0)),4),Settings!$A$22:$A$26,0))*Settings!$B$19+N($I319)*Settings!$B$9,IF($D319="Late cancel",INDEX(Properties!$L$5:$L$104,MATCH($B319,Properties!$A$5:$A$104,0))*Settings!$B$11,0))),0))</f>
        <v/>
      </c>
      <c r="P319" s="28" t="str">
        <f aca="false">IF($B319="","",$N319-$O319)</f>
        <v/>
      </c>
      <c r="Q319" s="29" t="str">
        <f aca="false">IF($A319="","",DATE(YEAR($A319),MONTH($A319),1))</f>
        <v/>
      </c>
      <c r="R319" s="30" t="str">
        <f aca="false">IF($A319="","",$A319+MOD(6-WEEKDAY($A319),7))</f>
        <v/>
      </c>
      <c r="S319" s="31" t="str">
        <f aca="false">IF($B319="","",IF(AND($M319='Invoice Builder'!$C$5,$Q319='Invoice Builder'!$C$6,N($N319)&gt;0),COUNTIFS($M$5:$M319,'Invoice Builder'!$C$5,$Q$5:$Q319,'Invoice Builder'!$C$6,$N$5:$N319,"&gt;0"),""))</f>
        <v/>
      </c>
      <c r="T319" s="27" t="str">
        <f aca="false">IF($A319="","",IF($A319&gt;=DATE(YEAR($A319),4,6),YEAR($A319)&amp;"/"&amp;RIGHT(YEAR($A319)+1,2),YEAR($A319)-1&amp;"/"&amp;RIGHT(YEAR($A319),2)))</f>
        <v/>
      </c>
    </row>
    <row r="320" customFormat="false" ht="15" hidden="false" customHeight="false" outlineLevel="0" collapsed="false">
      <c r="A320" s="22"/>
      <c r="B320" s="23"/>
      <c r="C320" s="23"/>
      <c r="D320" s="23"/>
      <c r="E320" s="24"/>
      <c r="F320" s="24"/>
      <c r="G320" s="23"/>
      <c r="H320" s="23"/>
      <c r="I320" s="25"/>
      <c r="J320" s="23"/>
      <c r="K320" s="23"/>
      <c r="L320" s="26" t="str">
        <f aca="false">IF(OR($E320="",$F320=""),"",MOD($F320-$E320,1)*24)</f>
        <v/>
      </c>
      <c r="M320" s="27" t="str">
        <f aca="false">IF($B320="","",IFERROR(INDEX(Properties!$D$5:$D$104,MATCH($B320,Properties!$A$5:$A$104,0)),"?"))</f>
        <v/>
      </c>
      <c r="N320" s="28" t="str">
        <f aca="false">IF($B320="","",IFERROR(IF($D320="Completed",INDEX(Properties!$I$5:$I$104,MATCH($B320,Properties!$A$5:$A$104,0))*(1+IF($G320="Y",Settings!$B$8,0))+IF($H320="Y",Settings!$B$7,0)+N($I320),IF($D320="Deep clean",INDEX(Settings!$E$22:$E$26,MATCH(MIN(INDEX(Properties!$E$5:$E$104,MATCH($B320,Properties!$A$5:$A$104,0)),4),Settings!$A$22:$A$26,0))+N($I320),IF($D320="Late cancel",INDEX(Properties!$I$5:$I$104,MATCH($B320,Properties!$A$5:$A$104,0))*Settings!$B$10,0))),0))</f>
        <v/>
      </c>
      <c r="O320" s="28" t="str">
        <f aca="false">IF($B320="","",IFERROR(IF($D320="Completed",INDEX(Properties!$L$5:$L$104,MATCH($B320,Properties!$A$5:$A$104,0))+IF($G320="Y",INDEX(Properties!$I$5:$I$104,MATCH($B320,Properties!$A$5:$A$104,0))*Settings!$B$8*Settings!$B$9,0)+IF($H320="Y",Settings!$B$7*Settings!$B$9,0)+N($I320)*Settings!$B$9,IF($D320="Deep clean",INDEX(Settings!$E$22:$E$26,MATCH(MIN(INDEX(Properties!$E$5:$E$104,MATCH($B320,Properties!$A$5:$A$104,0)),4),Settings!$A$22:$A$26,0))*Settings!$B$19+N($I320)*Settings!$B$9,IF($D320="Late cancel",INDEX(Properties!$L$5:$L$104,MATCH($B320,Properties!$A$5:$A$104,0))*Settings!$B$11,0))),0))</f>
        <v/>
      </c>
      <c r="P320" s="28" t="str">
        <f aca="false">IF($B320="","",$N320-$O320)</f>
        <v/>
      </c>
      <c r="Q320" s="29" t="str">
        <f aca="false">IF($A320="","",DATE(YEAR($A320),MONTH($A320),1))</f>
        <v/>
      </c>
      <c r="R320" s="30" t="str">
        <f aca="false">IF($A320="","",$A320+MOD(6-WEEKDAY($A320),7))</f>
        <v/>
      </c>
      <c r="S320" s="31" t="str">
        <f aca="false">IF($B320="","",IF(AND($M320='Invoice Builder'!$C$5,$Q320='Invoice Builder'!$C$6,N($N320)&gt;0),COUNTIFS($M$5:$M320,'Invoice Builder'!$C$5,$Q$5:$Q320,'Invoice Builder'!$C$6,$N$5:$N320,"&gt;0"),""))</f>
        <v/>
      </c>
      <c r="T320" s="27" t="str">
        <f aca="false">IF($A320="","",IF($A320&gt;=DATE(YEAR($A320),4,6),YEAR($A320)&amp;"/"&amp;RIGHT(YEAR($A320)+1,2),YEAR($A320)-1&amp;"/"&amp;RIGHT(YEAR($A320),2)))</f>
        <v/>
      </c>
    </row>
    <row r="321" customFormat="false" ht="15" hidden="false" customHeight="false" outlineLevel="0" collapsed="false">
      <c r="A321" s="22"/>
      <c r="B321" s="23"/>
      <c r="C321" s="23"/>
      <c r="D321" s="23"/>
      <c r="E321" s="24"/>
      <c r="F321" s="24"/>
      <c r="G321" s="23"/>
      <c r="H321" s="23"/>
      <c r="I321" s="25"/>
      <c r="J321" s="23"/>
      <c r="K321" s="23"/>
      <c r="L321" s="26" t="str">
        <f aca="false">IF(OR($E321="",$F321=""),"",MOD($F321-$E321,1)*24)</f>
        <v/>
      </c>
      <c r="M321" s="27" t="str">
        <f aca="false">IF($B321="","",IFERROR(INDEX(Properties!$D$5:$D$104,MATCH($B321,Properties!$A$5:$A$104,0)),"?"))</f>
        <v/>
      </c>
      <c r="N321" s="28" t="str">
        <f aca="false">IF($B321="","",IFERROR(IF($D321="Completed",INDEX(Properties!$I$5:$I$104,MATCH($B321,Properties!$A$5:$A$104,0))*(1+IF($G321="Y",Settings!$B$8,0))+IF($H321="Y",Settings!$B$7,0)+N($I321),IF($D321="Deep clean",INDEX(Settings!$E$22:$E$26,MATCH(MIN(INDEX(Properties!$E$5:$E$104,MATCH($B321,Properties!$A$5:$A$104,0)),4),Settings!$A$22:$A$26,0))+N($I321),IF($D321="Late cancel",INDEX(Properties!$I$5:$I$104,MATCH($B321,Properties!$A$5:$A$104,0))*Settings!$B$10,0))),0))</f>
        <v/>
      </c>
      <c r="O321" s="28" t="str">
        <f aca="false">IF($B321="","",IFERROR(IF($D321="Completed",INDEX(Properties!$L$5:$L$104,MATCH($B321,Properties!$A$5:$A$104,0))+IF($G321="Y",INDEX(Properties!$I$5:$I$104,MATCH($B321,Properties!$A$5:$A$104,0))*Settings!$B$8*Settings!$B$9,0)+IF($H321="Y",Settings!$B$7*Settings!$B$9,0)+N($I321)*Settings!$B$9,IF($D321="Deep clean",INDEX(Settings!$E$22:$E$26,MATCH(MIN(INDEX(Properties!$E$5:$E$104,MATCH($B321,Properties!$A$5:$A$104,0)),4),Settings!$A$22:$A$26,0))*Settings!$B$19+N($I321)*Settings!$B$9,IF($D321="Late cancel",INDEX(Properties!$L$5:$L$104,MATCH($B321,Properties!$A$5:$A$104,0))*Settings!$B$11,0))),0))</f>
        <v/>
      </c>
      <c r="P321" s="28" t="str">
        <f aca="false">IF($B321="","",$N321-$O321)</f>
        <v/>
      </c>
      <c r="Q321" s="29" t="str">
        <f aca="false">IF($A321="","",DATE(YEAR($A321),MONTH($A321),1))</f>
        <v/>
      </c>
      <c r="R321" s="30" t="str">
        <f aca="false">IF($A321="","",$A321+MOD(6-WEEKDAY($A321),7))</f>
        <v/>
      </c>
      <c r="S321" s="31" t="str">
        <f aca="false">IF($B321="","",IF(AND($M321='Invoice Builder'!$C$5,$Q321='Invoice Builder'!$C$6,N($N321)&gt;0),COUNTIFS($M$5:$M321,'Invoice Builder'!$C$5,$Q$5:$Q321,'Invoice Builder'!$C$6,$N$5:$N321,"&gt;0"),""))</f>
        <v/>
      </c>
      <c r="T321" s="27" t="str">
        <f aca="false">IF($A321="","",IF($A321&gt;=DATE(YEAR($A321),4,6),YEAR($A321)&amp;"/"&amp;RIGHT(YEAR($A321)+1,2),YEAR($A321)-1&amp;"/"&amp;RIGHT(YEAR($A321),2)))</f>
        <v/>
      </c>
    </row>
    <row r="322" customFormat="false" ht="15" hidden="false" customHeight="false" outlineLevel="0" collapsed="false">
      <c r="A322" s="22"/>
      <c r="B322" s="23"/>
      <c r="C322" s="23"/>
      <c r="D322" s="23"/>
      <c r="E322" s="24"/>
      <c r="F322" s="24"/>
      <c r="G322" s="23"/>
      <c r="H322" s="23"/>
      <c r="I322" s="25"/>
      <c r="J322" s="23"/>
      <c r="K322" s="23"/>
      <c r="L322" s="26" t="str">
        <f aca="false">IF(OR($E322="",$F322=""),"",MOD($F322-$E322,1)*24)</f>
        <v/>
      </c>
      <c r="M322" s="27" t="str">
        <f aca="false">IF($B322="","",IFERROR(INDEX(Properties!$D$5:$D$104,MATCH($B322,Properties!$A$5:$A$104,0)),"?"))</f>
        <v/>
      </c>
      <c r="N322" s="28" t="str">
        <f aca="false">IF($B322="","",IFERROR(IF($D322="Completed",INDEX(Properties!$I$5:$I$104,MATCH($B322,Properties!$A$5:$A$104,0))*(1+IF($G322="Y",Settings!$B$8,0))+IF($H322="Y",Settings!$B$7,0)+N($I322),IF($D322="Deep clean",INDEX(Settings!$E$22:$E$26,MATCH(MIN(INDEX(Properties!$E$5:$E$104,MATCH($B322,Properties!$A$5:$A$104,0)),4),Settings!$A$22:$A$26,0))+N($I322),IF($D322="Late cancel",INDEX(Properties!$I$5:$I$104,MATCH($B322,Properties!$A$5:$A$104,0))*Settings!$B$10,0))),0))</f>
        <v/>
      </c>
      <c r="O322" s="28" t="str">
        <f aca="false">IF($B322="","",IFERROR(IF($D322="Completed",INDEX(Properties!$L$5:$L$104,MATCH($B322,Properties!$A$5:$A$104,0))+IF($G322="Y",INDEX(Properties!$I$5:$I$104,MATCH($B322,Properties!$A$5:$A$104,0))*Settings!$B$8*Settings!$B$9,0)+IF($H322="Y",Settings!$B$7*Settings!$B$9,0)+N($I322)*Settings!$B$9,IF($D322="Deep clean",INDEX(Settings!$E$22:$E$26,MATCH(MIN(INDEX(Properties!$E$5:$E$104,MATCH($B322,Properties!$A$5:$A$104,0)),4),Settings!$A$22:$A$26,0))*Settings!$B$19+N($I322)*Settings!$B$9,IF($D322="Late cancel",INDEX(Properties!$L$5:$L$104,MATCH($B322,Properties!$A$5:$A$104,0))*Settings!$B$11,0))),0))</f>
        <v/>
      </c>
      <c r="P322" s="28" t="str">
        <f aca="false">IF($B322="","",$N322-$O322)</f>
        <v/>
      </c>
      <c r="Q322" s="29" t="str">
        <f aca="false">IF($A322="","",DATE(YEAR($A322),MONTH($A322),1))</f>
        <v/>
      </c>
      <c r="R322" s="30" t="str">
        <f aca="false">IF($A322="","",$A322+MOD(6-WEEKDAY($A322),7))</f>
        <v/>
      </c>
      <c r="S322" s="31" t="str">
        <f aca="false">IF($B322="","",IF(AND($M322='Invoice Builder'!$C$5,$Q322='Invoice Builder'!$C$6,N($N322)&gt;0),COUNTIFS($M$5:$M322,'Invoice Builder'!$C$5,$Q$5:$Q322,'Invoice Builder'!$C$6,$N$5:$N322,"&gt;0"),""))</f>
        <v/>
      </c>
      <c r="T322" s="27" t="str">
        <f aca="false">IF($A322="","",IF($A322&gt;=DATE(YEAR($A322),4,6),YEAR($A322)&amp;"/"&amp;RIGHT(YEAR($A322)+1,2),YEAR($A322)-1&amp;"/"&amp;RIGHT(YEAR($A322),2)))</f>
        <v/>
      </c>
    </row>
    <row r="323" customFormat="false" ht="15" hidden="false" customHeight="false" outlineLevel="0" collapsed="false">
      <c r="A323" s="22"/>
      <c r="B323" s="23"/>
      <c r="C323" s="23"/>
      <c r="D323" s="23"/>
      <c r="E323" s="24"/>
      <c r="F323" s="24"/>
      <c r="G323" s="23"/>
      <c r="H323" s="23"/>
      <c r="I323" s="25"/>
      <c r="J323" s="23"/>
      <c r="K323" s="23"/>
      <c r="L323" s="26" t="str">
        <f aca="false">IF(OR($E323="",$F323=""),"",MOD($F323-$E323,1)*24)</f>
        <v/>
      </c>
      <c r="M323" s="27" t="str">
        <f aca="false">IF($B323="","",IFERROR(INDEX(Properties!$D$5:$D$104,MATCH($B323,Properties!$A$5:$A$104,0)),"?"))</f>
        <v/>
      </c>
      <c r="N323" s="28" t="str">
        <f aca="false">IF($B323="","",IFERROR(IF($D323="Completed",INDEX(Properties!$I$5:$I$104,MATCH($B323,Properties!$A$5:$A$104,0))*(1+IF($G323="Y",Settings!$B$8,0))+IF($H323="Y",Settings!$B$7,0)+N($I323),IF($D323="Deep clean",INDEX(Settings!$E$22:$E$26,MATCH(MIN(INDEX(Properties!$E$5:$E$104,MATCH($B323,Properties!$A$5:$A$104,0)),4),Settings!$A$22:$A$26,0))+N($I323),IF($D323="Late cancel",INDEX(Properties!$I$5:$I$104,MATCH($B323,Properties!$A$5:$A$104,0))*Settings!$B$10,0))),0))</f>
        <v/>
      </c>
      <c r="O323" s="28" t="str">
        <f aca="false">IF($B323="","",IFERROR(IF($D323="Completed",INDEX(Properties!$L$5:$L$104,MATCH($B323,Properties!$A$5:$A$104,0))+IF($G323="Y",INDEX(Properties!$I$5:$I$104,MATCH($B323,Properties!$A$5:$A$104,0))*Settings!$B$8*Settings!$B$9,0)+IF($H323="Y",Settings!$B$7*Settings!$B$9,0)+N($I323)*Settings!$B$9,IF($D323="Deep clean",INDEX(Settings!$E$22:$E$26,MATCH(MIN(INDEX(Properties!$E$5:$E$104,MATCH($B323,Properties!$A$5:$A$104,0)),4),Settings!$A$22:$A$26,0))*Settings!$B$19+N($I323)*Settings!$B$9,IF($D323="Late cancel",INDEX(Properties!$L$5:$L$104,MATCH($B323,Properties!$A$5:$A$104,0))*Settings!$B$11,0))),0))</f>
        <v/>
      </c>
      <c r="P323" s="28" t="str">
        <f aca="false">IF($B323="","",$N323-$O323)</f>
        <v/>
      </c>
      <c r="Q323" s="29" t="str">
        <f aca="false">IF($A323="","",DATE(YEAR($A323),MONTH($A323),1))</f>
        <v/>
      </c>
      <c r="R323" s="30" t="str">
        <f aca="false">IF($A323="","",$A323+MOD(6-WEEKDAY($A323),7))</f>
        <v/>
      </c>
      <c r="S323" s="31" t="str">
        <f aca="false">IF($B323="","",IF(AND($M323='Invoice Builder'!$C$5,$Q323='Invoice Builder'!$C$6,N($N323)&gt;0),COUNTIFS($M$5:$M323,'Invoice Builder'!$C$5,$Q$5:$Q323,'Invoice Builder'!$C$6,$N$5:$N323,"&gt;0"),""))</f>
        <v/>
      </c>
      <c r="T323" s="27" t="str">
        <f aca="false">IF($A323="","",IF($A323&gt;=DATE(YEAR($A323),4,6),YEAR($A323)&amp;"/"&amp;RIGHT(YEAR($A323)+1,2),YEAR($A323)-1&amp;"/"&amp;RIGHT(YEAR($A323),2)))</f>
        <v/>
      </c>
    </row>
    <row r="324" customFormat="false" ht="15" hidden="false" customHeight="false" outlineLevel="0" collapsed="false">
      <c r="A324" s="22"/>
      <c r="B324" s="23"/>
      <c r="C324" s="23"/>
      <c r="D324" s="23"/>
      <c r="E324" s="24"/>
      <c r="F324" s="24"/>
      <c r="G324" s="23"/>
      <c r="H324" s="23"/>
      <c r="I324" s="25"/>
      <c r="J324" s="23"/>
      <c r="K324" s="23"/>
      <c r="L324" s="26" t="str">
        <f aca="false">IF(OR($E324="",$F324=""),"",MOD($F324-$E324,1)*24)</f>
        <v/>
      </c>
      <c r="M324" s="27" t="str">
        <f aca="false">IF($B324="","",IFERROR(INDEX(Properties!$D$5:$D$104,MATCH($B324,Properties!$A$5:$A$104,0)),"?"))</f>
        <v/>
      </c>
      <c r="N324" s="28" t="str">
        <f aca="false">IF($B324="","",IFERROR(IF($D324="Completed",INDEX(Properties!$I$5:$I$104,MATCH($B324,Properties!$A$5:$A$104,0))*(1+IF($G324="Y",Settings!$B$8,0))+IF($H324="Y",Settings!$B$7,0)+N($I324),IF($D324="Deep clean",INDEX(Settings!$E$22:$E$26,MATCH(MIN(INDEX(Properties!$E$5:$E$104,MATCH($B324,Properties!$A$5:$A$104,0)),4),Settings!$A$22:$A$26,0))+N($I324),IF($D324="Late cancel",INDEX(Properties!$I$5:$I$104,MATCH($B324,Properties!$A$5:$A$104,0))*Settings!$B$10,0))),0))</f>
        <v/>
      </c>
      <c r="O324" s="28" t="str">
        <f aca="false">IF($B324="","",IFERROR(IF($D324="Completed",INDEX(Properties!$L$5:$L$104,MATCH($B324,Properties!$A$5:$A$104,0))+IF($G324="Y",INDEX(Properties!$I$5:$I$104,MATCH($B324,Properties!$A$5:$A$104,0))*Settings!$B$8*Settings!$B$9,0)+IF($H324="Y",Settings!$B$7*Settings!$B$9,0)+N($I324)*Settings!$B$9,IF($D324="Deep clean",INDEX(Settings!$E$22:$E$26,MATCH(MIN(INDEX(Properties!$E$5:$E$104,MATCH($B324,Properties!$A$5:$A$104,0)),4),Settings!$A$22:$A$26,0))*Settings!$B$19+N($I324)*Settings!$B$9,IF($D324="Late cancel",INDEX(Properties!$L$5:$L$104,MATCH($B324,Properties!$A$5:$A$104,0))*Settings!$B$11,0))),0))</f>
        <v/>
      </c>
      <c r="P324" s="28" t="str">
        <f aca="false">IF($B324="","",$N324-$O324)</f>
        <v/>
      </c>
      <c r="Q324" s="29" t="str">
        <f aca="false">IF($A324="","",DATE(YEAR($A324),MONTH($A324),1))</f>
        <v/>
      </c>
      <c r="R324" s="30" t="str">
        <f aca="false">IF($A324="","",$A324+MOD(6-WEEKDAY($A324),7))</f>
        <v/>
      </c>
      <c r="S324" s="31" t="str">
        <f aca="false">IF($B324="","",IF(AND($M324='Invoice Builder'!$C$5,$Q324='Invoice Builder'!$C$6,N($N324)&gt;0),COUNTIFS($M$5:$M324,'Invoice Builder'!$C$5,$Q$5:$Q324,'Invoice Builder'!$C$6,$N$5:$N324,"&gt;0"),""))</f>
        <v/>
      </c>
      <c r="T324" s="27" t="str">
        <f aca="false">IF($A324="","",IF($A324&gt;=DATE(YEAR($A324),4,6),YEAR($A324)&amp;"/"&amp;RIGHT(YEAR($A324)+1,2),YEAR($A324)-1&amp;"/"&amp;RIGHT(YEAR($A324),2)))</f>
        <v/>
      </c>
    </row>
    <row r="325" customFormat="false" ht="15" hidden="false" customHeight="false" outlineLevel="0" collapsed="false">
      <c r="A325" s="22"/>
      <c r="B325" s="23"/>
      <c r="C325" s="23"/>
      <c r="D325" s="23"/>
      <c r="E325" s="24"/>
      <c r="F325" s="24"/>
      <c r="G325" s="23"/>
      <c r="H325" s="23"/>
      <c r="I325" s="25"/>
      <c r="J325" s="23"/>
      <c r="K325" s="23"/>
      <c r="L325" s="26" t="str">
        <f aca="false">IF(OR($E325="",$F325=""),"",MOD($F325-$E325,1)*24)</f>
        <v/>
      </c>
      <c r="M325" s="27" t="str">
        <f aca="false">IF($B325="","",IFERROR(INDEX(Properties!$D$5:$D$104,MATCH($B325,Properties!$A$5:$A$104,0)),"?"))</f>
        <v/>
      </c>
      <c r="N325" s="28" t="str">
        <f aca="false">IF($B325="","",IFERROR(IF($D325="Completed",INDEX(Properties!$I$5:$I$104,MATCH($B325,Properties!$A$5:$A$104,0))*(1+IF($G325="Y",Settings!$B$8,0))+IF($H325="Y",Settings!$B$7,0)+N($I325),IF($D325="Deep clean",INDEX(Settings!$E$22:$E$26,MATCH(MIN(INDEX(Properties!$E$5:$E$104,MATCH($B325,Properties!$A$5:$A$104,0)),4),Settings!$A$22:$A$26,0))+N($I325),IF($D325="Late cancel",INDEX(Properties!$I$5:$I$104,MATCH($B325,Properties!$A$5:$A$104,0))*Settings!$B$10,0))),0))</f>
        <v/>
      </c>
      <c r="O325" s="28" t="str">
        <f aca="false">IF($B325="","",IFERROR(IF($D325="Completed",INDEX(Properties!$L$5:$L$104,MATCH($B325,Properties!$A$5:$A$104,0))+IF($G325="Y",INDEX(Properties!$I$5:$I$104,MATCH($B325,Properties!$A$5:$A$104,0))*Settings!$B$8*Settings!$B$9,0)+IF($H325="Y",Settings!$B$7*Settings!$B$9,0)+N($I325)*Settings!$B$9,IF($D325="Deep clean",INDEX(Settings!$E$22:$E$26,MATCH(MIN(INDEX(Properties!$E$5:$E$104,MATCH($B325,Properties!$A$5:$A$104,0)),4),Settings!$A$22:$A$26,0))*Settings!$B$19+N($I325)*Settings!$B$9,IF($D325="Late cancel",INDEX(Properties!$L$5:$L$104,MATCH($B325,Properties!$A$5:$A$104,0))*Settings!$B$11,0))),0))</f>
        <v/>
      </c>
      <c r="P325" s="28" t="str">
        <f aca="false">IF($B325="","",$N325-$O325)</f>
        <v/>
      </c>
      <c r="Q325" s="29" t="str">
        <f aca="false">IF($A325="","",DATE(YEAR($A325),MONTH($A325),1))</f>
        <v/>
      </c>
      <c r="R325" s="30" t="str">
        <f aca="false">IF($A325="","",$A325+MOD(6-WEEKDAY($A325),7))</f>
        <v/>
      </c>
      <c r="S325" s="31" t="str">
        <f aca="false">IF($B325="","",IF(AND($M325='Invoice Builder'!$C$5,$Q325='Invoice Builder'!$C$6,N($N325)&gt;0),COUNTIFS($M$5:$M325,'Invoice Builder'!$C$5,$Q$5:$Q325,'Invoice Builder'!$C$6,$N$5:$N325,"&gt;0"),""))</f>
        <v/>
      </c>
      <c r="T325" s="27" t="str">
        <f aca="false">IF($A325="","",IF($A325&gt;=DATE(YEAR($A325),4,6),YEAR($A325)&amp;"/"&amp;RIGHT(YEAR($A325)+1,2),YEAR($A325)-1&amp;"/"&amp;RIGHT(YEAR($A325),2)))</f>
        <v/>
      </c>
    </row>
    <row r="326" customFormat="false" ht="15" hidden="false" customHeight="false" outlineLevel="0" collapsed="false">
      <c r="A326" s="22"/>
      <c r="B326" s="23"/>
      <c r="C326" s="23"/>
      <c r="D326" s="23"/>
      <c r="E326" s="24"/>
      <c r="F326" s="24"/>
      <c r="G326" s="23"/>
      <c r="H326" s="23"/>
      <c r="I326" s="25"/>
      <c r="J326" s="23"/>
      <c r="K326" s="23"/>
      <c r="L326" s="26" t="str">
        <f aca="false">IF(OR($E326="",$F326=""),"",MOD($F326-$E326,1)*24)</f>
        <v/>
      </c>
      <c r="M326" s="27" t="str">
        <f aca="false">IF($B326="","",IFERROR(INDEX(Properties!$D$5:$D$104,MATCH($B326,Properties!$A$5:$A$104,0)),"?"))</f>
        <v/>
      </c>
      <c r="N326" s="28" t="str">
        <f aca="false">IF($B326="","",IFERROR(IF($D326="Completed",INDEX(Properties!$I$5:$I$104,MATCH($B326,Properties!$A$5:$A$104,0))*(1+IF($G326="Y",Settings!$B$8,0))+IF($H326="Y",Settings!$B$7,0)+N($I326),IF($D326="Deep clean",INDEX(Settings!$E$22:$E$26,MATCH(MIN(INDEX(Properties!$E$5:$E$104,MATCH($B326,Properties!$A$5:$A$104,0)),4),Settings!$A$22:$A$26,0))+N($I326),IF($D326="Late cancel",INDEX(Properties!$I$5:$I$104,MATCH($B326,Properties!$A$5:$A$104,0))*Settings!$B$10,0))),0))</f>
        <v/>
      </c>
      <c r="O326" s="28" t="str">
        <f aca="false">IF($B326="","",IFERROR(IF($D326="Completed",INDEX(Properties!$L$5:$L$104,MATCH($B326,Properties!$A$5:$A$104,0))+IF($G326="Y",INDEX(Properties!$I$5:$I$104,MATCH($B326,Properties!$A$5:$A$104,0))*Settings!$B$8*Settings!$B$9,0)+IF($H326="Y",Settings!$B$7*Settings!$B$9,0)+N($I326)*Settings!$B$9,IF($D326="Deep clean",INDEX(Settings!$E$22:$E$26,MATCH(MIN(INDEX(Properties!$E$5:$E$104,MATCH($B326,Properties!$A$5:$A$104,0)),4),Settings!$A$22:$A$26,0))*Settings!$B$19+N($I326)*Settings!$B$9,IF($D326="Late cancel",INDEX(Properties!$L$5:$L$104,MATCH($B326,Properties!$A$5:$A$104,0))*Settings!$B$11,0))),0))</f>
        <v/>
      </c>
      <c r="P326" s="28" t="str">
        <f aca="false">IF($B326="","",$N326-$O326)</f>
        <v/>
      </c>
      <c r="Q326" s="29" t="str">
        <f aca="false">IF($A326="","",DATE(YEAR($A326),MONTH($A326),1))</f>
        <v/>
      </c>
      <c r="R326" s="30" t="str">
        <f aca="false">IF($A326="","",$A326+MOD(6-WEEKDAY($A326),7))</f>
        <v/>
      </c>
      <c r="S326" s="31" t="str">
        <f aca="false">IF($B326="","",IF(AND($M326='Invoice Builder'!$C$5,$Q326='Invoice Builder'!$C$6,N($N326)&gt;0),COUNTIFS($M$5:$M326,'Invoice Builder'!$C$5,$Q$5:$Q326,'Invoice Builder'!$C$6,$N$5:$N326,"&gt;0"),""))</f>
        <v/>
      </c>
      <c r="T326" s="27" t="str">
        <f aca="false">IF($A326="","",IF($A326&gt;=DATE(YEAR($A326),4,6),YEAR($A326)&amp;"/"&amp;RIGHT(YEAR($A326)+1,2),YEAR($A326)-1&amp;"/"&amp;RIGHT(YEAR($A326),2)))</f>
        <v/>
      </c>
    </row>
    <row r="327" customFormat="false" ht="15" hidden="false" customHeight="false" outlineLevel="0" collapsed="false">
      <c r="A327" s="22"/>
      <c r="B327" s="23"/>
      <c r="C327" s="23"/>
      <c r="D327" s="23"/>
      <c r="E327" s="24"/>
      <c r="F327" s="24"/>
      <c r="G327" s="23"/>
      <c r="H327" s="23"/>
      <c r="I327" s="25"/>
      <c r="J327" s="23"/>
      <c r="K327" s="23"/>
      <c r="L327" s="26" t="str">
        <f aca="false">IF(OR($E327="",$F327=""),"",MOD($F327-$E327,1)*24)</f>
        <v/>
      </c>
      <c r="M327" s="27" t="str">
        <f aca="false">IF($B327="","",IFERROR(INDEX(Properties!$D$5:$D$104,MATCH($B327,Properties!$A$5:$A$104,0)),"?"))</f>
        <v/>
      </c>
      <c r="N327" s="28" t="str">
        <f aca="false">IF($B327="","",IFERROR(IF($D327="Completed",INDEX(Properties!$I$5:$I$104,MATCH($B327,Properties!$A$5:$A$104,0))*(1+IF($G327="Y",Settings!$B$8,0))+IF($H327="Y",Settings!$B$7,0)+N($I327),IF($D327="Deep clean",INDEX(Settings!$E$22:$E$26,MATCH(MIN(INDEX(Properties!$E$5:$E$104,MATCH($B327,Properties!$A$5:$A$104,0)),4),Settings!$A$22:$A$26,0))+N($I327),IF($D327="Late cancel",INDEX(Properties!$I$5:$I$104,MATCH($B327,Properties!$A$5:$A$104,0))*Settings!$B$10,0))),0))</f>
        <v/>
      </c>
      <c r="O327" s="28" t="str">
        <f aca="false">IF($B327="","",IFERROR(IF($D327="Completed",INDEX(Properties!$L$5:$L$104,MATCH($B327,Properties!$A$5:$A$104,0))+IF($G327="Y",INDEX(Properties!$I$5:$I$104,MATCH($B327,Properties!$A$5:$A$104,0))*Settings!$B$8*Settings!$B$9,0)+IF($H327="Y",Settings!$B$7*Settings!$B$9,0)+N($I327)*Settings!$B$9,IF($D327="Deep clean",INDEX(Settings!$E$22:$E$26,MATCH(MIN(INDEX(Properties!$E$5:$E$104,MATCH($B327,Properties!$A$5:$A$104,0)),4),Settings!$A$22:$A$26,0))*Settings!$B$19+N($I327)*Settings!$B$9,IF($D327="Late cancel",INDEX(Properties!$L$5:$L$104,MATCH($B327,Properties!$A$5:$A$104,0))*Settings!$B$11,0))),0))</f>
        <v/>
      </c>
      <c r="P327" s="28" t="str">
        <f aca="false">IF($B327="","",$N327-$O327)</f>
        <v/>
      </c>
      <c r="Q327" s="29" t="str">
        <f aca="false">IF($A327="","",DATE(YEAR($A327),MONTH($A327),1))</f>
        <v/>
      </c>
      <c r="R327" s="30" t="str">
        <f aca="false">IF($A327="","",$A327+MOD(6-WEEKDAY($A327),7))</f>
        <v/>
      </c>
      <c r="S327" s="31" t="str">
        <f aca="false">IF($B327="","",IF(AND($M327='Invoice Builder'!$C$5,$Q327='Invoice Builder'!$C$6,N($N327)&gt;0),COUNTIFS($M$5:$M327,'Invoice Builder'!$C$5,$Q$5:$Q327,'Invoice Builder'!$C$6,$N$5:$N327,"&gt;0"),""))</f>
        <v/>
      </c>
      <c r="T327" s="27" t="str">
        <f aca="false">IF($A327="","",IF($A327&gt;=DATE(YEAR($A327),4,6),YEAR($A327)&amp;"/"&amp;RIGHT(YEAR($A327)+1,2),YEAR($A327)-1&amp;"/"&amp;RIGHT(YEAR($A327),2)))</f>
        <v/>
      </c>
    </row>
    <row r="328" customFormat="false" ht="15" hidden="false" customHeight="false" outlineLevel="0" collapsed="false">
      <c r="A328" s="22"/>
      <c r="B328" s="23"/>
      <c r="C328" s="23"/>
      <c r="D328" s="23"/>
      <c r="E328" s="24"/>
      <c r="F328" s="24"/>
      <c r="G328" s="23"/>
      <c r="H328" s="23"/>
      <c r="I328" s="25"/>
      <c r="J328" s="23"/>
      <c r="K328" s="23"/>
      <c r="L328" s="26" t="str">
        <f aca="false">IF(OR($E328="",$F328=""),"",MOD($F328-$E328,1)*24)</f>
        <v/>
      </c>
      <c r="M328" s="27" t="str">
        <f aca="false">IF($B328="","",IFERROR(INDEX(Properties!$D$5:$D$104,MATCH($B328,Properties!$A$5:$A$104,0)),"?"))</f>
        <v/>
      </c>
      <c r="N328" s="28" t="str">
        <f aca="false">IF($B328="","",IFERROR(IF($D328="Completed",INDEX(Properties!$I$5:$I$104,MATCH($B328,Properties!$A$5:$A$104,0))*(1+IF($G328="Y",Settings!$B$8,0))+IF($H328="Y",Settings!$B$7,0)+N($I328),IF($D328="Deep clean",INDEX(Settings!$E$22:$E$26,MATCH(MIN(INDEX(Properties!$E$5:$E$104,MATCH($B328,Properties!$A$5:$A$104,0)),4),Settings!$A$22:$A$26,0))+N($I328),IF($D328="Late cancel",INDEX(Properties!$I$5:$I$104,MATCH($B328,Properties!$A$5:$A$104,0))*Settings!$B$10,0))),0))</f>
        <v/>
      </c>
      <c r="O328" s="28" t="str">
        <f aca="false">IF($B328="","",IFERROR(IF($D328="Completed",INDEX(Properties!$L$5:$L$104,MATCH($B328,Properties!$A$5:$A$104,0))+IF($G328="Y",INDEX(Properties!$I$5:$I$104,MATCH($B328,Properties!$A$5:$A$104,0))*Settings!$B$8*Settings!$B$9,0)+IF($H328="Y",Settings!$B$7*Settings!$B$9,0)+N($I328)*Settings!$B$9,IF($D328="Deep clean",INDEX(Settings!$E$22:$E$26,MATCH(MIN(INDEX(Properties!$E$5:$E$104,MATCH($B328,Properties!$A$5:$A$104,0)),4),Settings!$A$22:$A$26,0))*Settings!$B$19+N($I328)*Settings!$B$9,IF($D328="Late cancel",INDEX(Properties!$L$5:$L$104,MATCH($B328,Properties!$A$5:$A$104,0))*Settings!$B$11,0))),0))</f>
        <v/>
      </c>
      <c r="P328" s="28" t="str">
        <f aca="false">IF($B328="","",$N328-$O328)</f>
        <v/>
      </c>
      <c r="Q328" s="29" t="str">
        <f aca="false">IF($A328="","",DATE(YEAR($A328),MONTH($A328),1))</f>
        <v/>
      </c>
      <c r="R328" s="30" t="str">
        <f aca="false">IF($A328="","",$A328+MOD(6-WEEKDAY($A328),7))</f>
        <v/>
      </c>
      <c r="S328" s="31" t="str">
        <f aca="false">IF($B328="","",IF(AND($M328='Invoice Builder'!$C$5,$Q328='Invoice Builder'!$C$6,N($N328)&gt;0),COUNTIFS($M$5:$M328,'Invoice Builder'!$C$5,$Q$5:$Q328,'Invoice Builder'!$C$6,$N$5:$N328,"&gt;0"),""))</f>
        <v/>
      </c>
      <c r="T328" s="27" t="str">
        <f aca="false">IF($A328="","",IF($A328&gt;=DATE(YEAR($A328),4,6),YEAR($A328)&amp;"/"&amp;RIGHT(YEAR($A328)+1,2),YEAR($A328)-1&amp;"/"&amp;RIGHT(YEAR($A328),2)))</f>
        <v/>
      </c>
    </row>
    <row r="329" customFormat="false" ht="15" hidden="false" customHeight="false" outlineLevel="0" collapsed="false">
      <c r="A329" s="22"/>
      <c r="B329" s="23"/>
      <c r="C329" s="23"/>
      <c r="D329" s="23"/>
      <c r="E329" s="24"/>
      <c r="F329" s="24"/>
      <c r="G329" s="23"/>
      <c r="H329" s="23"/>
      <c r="I329" s="25"/>
      <c r="J329" s="23"/>
      <c r="K329" s="23"/>
      <c r="L329" s="26" t="str">
        <f aca="false">IF(OR($E329="",$F329=""),"",MOD($F329-$E329,1)*24)</f>
        <v/>
      </c>
      <c r="M329" s="27" t="str">
        <f aca="false">IF($B329="","",IFERROR(INDEX(Properties!$D$5:$D$104,MATCH($B329,Properties!$A$5:$A$104,0)),"?"))</f>
        <v/>
      </c>
      <c r="N329" s="28" t="str">
        <f aca="false">IF($B329="","",IFERROR(IF($D329="Completed",INDEX(Properties!$I$5:$I$104,MATCH($B329,Properties!$A$5:$A$104,0))*(1+IF($G329="Y",Settings!$B$8,0))+IF($H329="Y",Settings!$B$7,0)+N($I329),IF($D329="Deep clean",INDEX(Settings!$E$22:$E$26,MATCH(MIN(INDEX(Properties!$E$5:$E$104,MATCH($B329,Properties!$A$5:$A$104,0)),4),Settings!$A$22:$A$26,0))+N($I329),IF($D329="Late cancel",INDEX(Properties!$I$5:$I$104,MATCH($B329,Properties!$A$5:$A$104,0))*Settings!$B$10,0))),0))</f>
        <v/>
      </c>
      <c r="O329" s="28" t="str">
        <f aca="false">IF($B329="","",IFERROR(IF($D329="Completed",INDEX(Properties!$L$5:$L$104,MATCH($B329,Properties!$A$5:$A$104,0))+IF($G329="Y",INDEX(Properties!$I$5:$I$104,MATCH($B329,Properties!$A$5:$A$104,0))*Settings!$B$8*Settings!$B$9,0)+IF($H329="Y",Settings!$B$7*Settings!$B$9,0)+N($I329)*Settings!$B$9,IF($D329="Deep clean",INDEX(Settings!$E$22:$E$26,MATCH(MIN(INDEX(Properties!$E$5:$E$104,MATCH($B329,Properties!$A$5:$A$104,0)),4),Settings!$A$22:$A$26,0))*Settings!$B$19+N($I329)*Settings!$B$9,IF($D329="Late cancel",INDEX(Properties!$L$5:$L$104,MATCH($B329,Properties!$A$5:$A$104,0))*Settings!$B$11,0))),0))</f>
        <v/>
      </c>
      <c r="P329" s="28" t="str">
        <f aca="false">IF($B329="","",$N329-$O329)</f>
        <v/>
      </c>
      <c r="Q329" s="29" t="str">
        <f aca="false">IF($A329="","",DATE(YEAR($A329),MONTH($A329),1))</f>
        <v/>
      </c>
      <c r="R329" s="30" t="str">
        <f aca="false">IF($A329="","",$A329+MOD(6-WEEKDAY($A329),7))</f>
        <v/>
      </c>
      <c r="S329" s="31" t="str">
        <f aca="false">IF($B329="","",IF(AND($M329='Invoice Builder'!$C$5,$Q329='Invoice Builder'!$C$6,N($N329)&gt;0),COUNTIFS($M$5:$M329,'Invoice Builder'!$C$5,$Q$5:$Q329,'Invoice Builder'!$C$6,$N$5:$N329,"&gt;0"),""))</f>
        <v/>
      </c>
      <c r="T329" s="27" t="str">
        <f aca="false">IF($A329="","",IF($A329&gt;=DATE(YEAR($A329),4,6),YEAR($A329)&amp;"/"&amp;RIGHT(YEAR($A329)+1,2),YEAR($A329)-1&amp;"/"&amp;RIGHT(YEAR($A329),2)))</f>
        <v/>
      </c>
    </row>
    <row r="330" customFormat="false" ht="15" hidden="false" customHeight="false" outlineLevel="0" collapsed="false">
      <c r="A330" s="22"/>
      <c r="B330" s="23"/>
      <c r="C330" s="23"/>
      <c r="D330" s="23"/>
      <c r="E330" s="24"/>
      <c r="F330" s="24"/>
      <c r="G330" s="23"/>
      <c r="H330" s="23"/>
      <c r="I330" s="25"/>
      <c r="J330" s="23"/>
      <c r="K330" s="23"/>
      <c r="L330" s="26" t="str">
        <f aca="false">IF(OR($E330="",$F330=""),"",MOD($F330-$E330,1)*24)</f>
        <v/>
      </c>
      <c r="M330" s="27" t="str">
        <f aca="false">IF($B330="","",IFERROR(INDEX(Properties!$D$5:$D$104,MATCH($B330,Properties!$A$5:$A$104,0)),"?"))</f>
        <v/>
      </c>
      <c r="N330" s="28" t="str">
        <f aca="false">IF($B330="","",IFERROR(IF($D330="Completed",INDEX(Properties!$I$5:$I$104,MATCH($B330,Properties!$A$5:$A$104,0))*(1+IF($G330="Y",Settings!$B$8,0))+IF($H330="Y",Settings!$B$7,0)+N($I330),IF($D330="Deep clean",INDEX(Settings!$E$22:$E$26,MATCH(MIN(INDEX(Properties!$E$5:$E$104,MATCH($B330,Properties!$A$5:$A$104,0)),4),Settings!$A$22:$A$26,0))+N($I330),IF($D330="Late cancel",INDEX(Properties!$I$5:$I$104,MATCH($B330,Properties!$A$5:$A$104,0))*Settings!$B$10,0))),0))</f>
        <v/>
      </c>
      <c r="O330" s="28" t="str">
        <f aca="false">IF($B330="","",IFERROR(IF($D330="Completed",INDEX(Properties!$L$5:$L$104,MATCH($B330,Properties!$A$5:$A$104,0))+IF($G330="Y",INDEX(Properties!$I$5:$I$104,MATCH($B330,Properties!$A$5:$A$104,0))*Settings!$B$8*Settings!$B$9,0)+IF($H330="Y",Settings!$B$7*Settings!$B$9,0)+N($I330)*Settings!$B$9,IF($D330="Deep clean",INDEX(Settings!$E$22:$E$26,MATCH(MIN(INDEX(Properties!$E$5:$E$104,MATCH($B330,Properties!$A$5:$A$104,0)),4),Settings!$A$22:$A$26,0))*Settings!$B$19+N($I330)*Settings!$B$9,IF($D330="Late cancel",INDEX(Properties!$L$5:$L$104,MATCH($B330,Properties!$A$5:$A$104,0))*Settings!$B$11,0))),0))</f>
        <v/>
      </c>
      <c r="P330" s="28" t="str">
        <f aca="false">IF($B330="","",$N330-$O330)</f>
        <v/>
      </c>
      <c r="Q330" s="29" t="str">
        <f aca="false">IF($A330="","",DATE(YEAR($A330),MONTH($A330),1))</f>
        <v/>
      </c>
      <c r="R330" s="30" t="str">
        <f aca="false">IF($A330="","",$A330+MOD(6-WEEKDAY($A330),7))</f>
        <v/>
      </c>
      <c r="S330" s="31" t="str">
        <f aca="false">IF($B330="","",IF(AND($M330='Invoice Builder'!$C$5,$Q330='Invoice Builder'!$C$6,N($N330)&gt;0),COUNTIFS($M$5:$M330,'Invoice Builder'!$C$5,$Q$5:$Q330,'Invoice Builder'!$C$6,$N$5:$N330,"&gt;0"),""))</f>
        <v/>
      </c>
      <c r="T330" s="27" t="str">
        <f aca="false">IF($A330="","",IF($A330&gt;=DATE(YEAR($A330),4,6),YEAR($A330)&amp;"/"&amp;RIGHT(YEAR($A330)+1,2),YEAR($A330)-1&amp;"/"&amp;RIGHT(YEAR($A330),2)))</f>
        <v/>
      </c>
    </row>
    <row r="331" customFormat="false" ht="15" hidden="false" customHeight="false" outlineLevel="0" collapsed="false">
      <c r="A331" s="22"/>
      <c r="B331" s="23"/>
      <c r="C331" s="23"/>
      <c r="D331" s="23"/>
      <c r="E331" s="24"/>
      <c r="F331" s="24"/>
      <c r="G331" s="23"/>
      <c r="H331" s="23"/>
      <c r="I331" s="25"/>
      <c r="J331" s="23"/>
      <c r="K331" s="23"/>
      <c r="L331" s="26" t="str">
        <f aca="false">IF(OR($E331="",$F331=""),"",MOD($F331-$E331,1)*24)</f>
        <v/>
      </c>
      <c r="M331" s="27" t="str">
        <f aca="false">IF($B331="","",IFERROR(INDEX(Properties!$D$5:$D$104,MATCH($B331,Properties!$A$5:$A$104,0)),"?"))</f>
        <v/>
      </c>
      <c r="N331" s="28" t="str">
        <f aca="false">IF($B331="","",IFERROR(IF($D331="Completed",INDEX(Properties!$I$5:$I$104,MATCH($B331,Properties!$A$5:$A$104,0))*(1+IF($G331="Y",Settings!$B$8,0))+IF($H331="Y",Settings!$B$7,0)+N($I331),IF($D331="Deep clean",INDEX(Settings!$E$22:$E$26,MATCH(MIN(INDEX(Properties!$E$5:$E$104,MATCH($B331,Properties!$A$5:$A$104,0)),4),Settings!$A$22:$A$26,0))+N($I331),IF($D331="Late cancel",INDEX(Properties!$I$5:$I$104,MATCH($B331,Properties!$A$5:$A$104,0))*Settings!$B$10,0))),0))</f>
        <v/>
      </c>
      <c r="O331" s="28" t="str">
        <f aca="false">IF($B331="","",IFERROR(IF($D331="Completed",INDEX(Properties!$L$5:$L$104,MATCH($B331,Properties!$A$5:$A$104,0))+IF($G331="Y",INDEX(Properties!$I$5:$I$104,MATCH($B331,Properties!$A$5:$A$104,0))*Settings!$B$8*Settings!$B$9,0)+IF($H331="Y",Settings!$B$7*Settings!$B$9,0)+N($I331)*Settings!$B$9,IF($D331="Deep clean",INDEX(Settings!$E$22:$E$26,MATCH(MIN(INDEX(Properties!$E$5:$E$104,MATCH($B331,Properties!$A$5:$A$104,0)),4),Settings!$A$22:$A$26,0))*Settings!$B$19+N($I331)*Settings!$B$9,IF($D331="Late cancel",INDEX(Properties!$L$5:$L$104,MATCH($B331,Properties!$A$5:$A$104,0))*Settings!$B$11,0))),0))</f>
        <v/>
      </c>
      <c r="P331" s="28" t="str">
        <f aca="false">IF($B331="","",$N331-$O331)</f>
        <v/>
      </c>
      <c r="Q331" s="29" t="str">
        <f aca="false">IF($A331="","",DATE(YEAR($A331),MONTH($A331),1))</f>
        <v/>
      </c>
      <c r="R331" s="30" t="str">
        <f aca="false">IF($A331="","",$A331+MOD(6-WEEKDAY($A331),7))</f>
        <v/>
      </c>
      <c r="S331" s="31" t="str">
        <f aca="false">IF($B331="","",IF(AND($M331='Invoice Builder'!$C$5,$Q331='Invoice Builder'!$C$6,N($N331)&gt;0),COUNTIFS($M$5:$M331,'Invoice Builder'!$C$5,$Q$5:$Q331,'Invoice Builder'!$C$6,$N$5:$N331,"&gt;0"),""))</f>
        <v/>
      </c>
      <c r="T331" s="27" t="str">
        <f aca="false">IF($A331="","",IF($A331&gt;=DATE(YEAR($A331),4,6),YEAR($A331)&amp;"/"&amp;RIGHT(YEAR($A331)+1,2),YEAR($A331)-1&amp;"/"&amp;RIGHT(YEAR($A331),2)))</f>
        <v/>
      </c>
    </row>
    <row r="332" customFormat="false" ht="15" hidden="false" customHeight="false" outlineLevel="0" collapsed="false">
      <c r="A332" s="22"/>
      <c r="B332" s="23"/>
      <c r="C332" s="23"/>
      <c r="D332" s="23"/>
      <c r="E332" s="24"/>
      <c r="F332" s="24"/>
      <c r="G332" s="23"/>
      <c r="H332" s="23"/>
      <c r="I332" s="25"/>
      <c r="J332" s="23"/>
      <c r="K332" s="23"/>
      <c r="L332" s="26" t="str">
        <f aca="false">IF(OR($E332="",$F332=""),"",MOD($F332-$E332,1)*24)</f>
        <v/>
      </c>
      <c r="M332" s="27" t="str">
        <f aca="false">IF($B332="","",IFERROR(INDEX(Properties!$D$5:$D$104,MATCH($B332,Properties!$A$5:$A$104,0)),"?"))</f>
        <v/>
      </c>
      <c r="N332" s="28" t="str">
        <f aca="false">IF($B332="","",IFERROR(IF($D332="Completed",INDEX(Properties!$I$5:$I$104,MATCH($B332,Properties!$A$5:$A$104,0))*(1+IF($G332="Y",Settings!$B$8,0))+IF($H332="Y",Settings!$B$7,0)+N($I332),IF($D332="Deep clean",INDEX(Settings!$E$22:$E$26,MATCH(MIN(INDEX(Properties!$E$5:$E$104,MATCH($B332,Properties!$A$5:$A$104,0)),4),Settings!$A$22:$A$26,0))+N($I332),IF($D332="Late cancel",INDEX(Properties!$I$5:$I$104,MATCH($B332,Properties!$A$5:$A$104,0))*Settings!$B$10,0))),0))</f>
        <v/>
      </c>
      <c r="O332" s="28" t="str">
        <f aca="false">IF($B332="","",IFERROR(IF($D332="Completed",INDEX(Properties!$L$5:$L$104,MATCH($B332,Properties!$A$5:$A$104,0))+IF($G332="Y",INDEX(Properties!$I$5:$I$104,MATCH($B332,Properties!$A$5:$A$104,0))*Settings!$B$8*Settings!$B$9,0)+IF($H332="Y",Settings!$B$7*Settings!$B$9,0)+N($I332)*Settings!$B$9,IF($D332="Deep clean",INDEX(Settings!$E$22:$E$26,MATCH(MIN(INDEX(Properties!$E$5:$E$104,MATCH($B332,Properties!$A$5:$A$104,0)),4),Settings!$A$22:$A$26,0))*Settings!$B$19+N($I332)*Settings!$B$9,IF($D332="Late cancel",INDEX(Properties!$L$5:$L$104,MATCH($B332,Properties!$A$5:$A$104,0))*Settings!$B$11,0))),0))</f>
        <v/>
      </c>
      <c r="P332" s="28" t="str">
        <f aca="false">IF($B332="","",$N332-$O332)</f>
        <v/>
      </c>
      <c r="Q332" s="29" t="str">
        <f aca="false">IF($A332="","",DATE(YEAR($A332),MONTH($A332),1))</f>
        <v/>
      </c>
      <c r="R332" s="30" t="str">
        <f aca="false">IF($A332="","",$A332+MOD(6-WEEKDAY($A332),7))</f>
        <v/>
      </c>
      <c r="S332" s="31" t="str">
        <f aca="false">IF($B332="","",IF(AND($M332='Invoice Builder'!$C$5,$Q332='Invoice Builder'!$C$6,N($N332)&gt;0),COUNTIFS($M$5:$M332,'Invoice Builder'!$C$5,$Q$5:$Q332,'Invoice Builder'!$C$6,$N$5:$N332,"&gt;0"),""))</f>
        <v/>
      </c>
      <c r="T332" s="27" t="str">
        <f aca="false">IF($A332="","",IF($A332&gt;=DATE(YEAR($A332),4,6),YEAR($A332)&amp;"/"&amp;RIGHT(YEAR($A332)+1,2),YEAR($A332)-1&amp;"/"&amp;RIGHT(YEAR($A332),2)))</f>
        <v/>
      </c>
    </row>
    <row r="333" customFormat="false" ht="15" hidden="false" customHeight="false" outlineLevel="0" collapsed="false">
      <c r="A333" s="22"/>
      <c r="B333" s="23"/>
      <c r="C333" s="23"/>
      <c r="D333" s="23"/>
      <c r="E333" s="24"/>
      <c r="F333" s="24"/>
      <c r="G333" s="23"/>
      <c r="H333" s="23"/>
      <c r="I333" s="25"/>
      <c r="J333" s="23"/>
      <c r="K333" s="23"/>
      <c r="L333" s="26" t="str">
        <f aca="false">IF(OR($E333="",$F333=""),"",MOD($F333-$E333,1)*24)</f>
        <v/>
      </c>
      <c r="M333" s="27" t="str">
        <f aca="false">IF($B333="","",IFERROR(INDEX(Properties!$D$5:$D$104,MATCH($B333,Properties!$A$5:$A$104,0)),"?"))</f>
        <v/>
      </c>
      <c r="N333" s="28" t="str">
        <f aca="false">IF($B333="","",IFERROR(IF($D333="Completed",INDEX(Properties!$I$5:$I$104,MATCH($B333,Properties!$A$5:$A$104,0))*(1+IF($G333="Y",Settings!$B$8,0))+IF($H333="Y",Settings!$B$7,0)+N($I333),IF($D333="Deep clean",INDEX(Settings!$E$22:$E$26,MATCH(MIN(INDEX(Properties!$E$5:$E$104,MATCH($B333,Properties!$A$5:$A$104,0)),4),Settings!$A$22:$A$26,0))+N($I333),IF($D333="Late cancel",INDEX(Properties!$I$5:$I$104,MATCH($B333,Properties!$A$5:$A$104,0))*Settings!$B$10,0))),0))</f>
        <v/>
      </c>
      <c r="O333" s="28" t="str">
        <f aca="false">IF($B333="","",IFERROR(IF($D333="Completed",INDEX(Properties!$L$5:$L$104,MATCH($B333,Properties!$A$5:$A$104,0))+IF($G333="Y",INDEX(Properties!$I$5:$I$104,MATCH($B333,Properties!$A$5:$A$104,0))*Settings!$B$8*Settings!$B$9,0)+IF($H333="Y",Settings!$B$7*Settings!$B$9,0)+N($I333)*Settings!$B$9,IF($D333="Deep clean",INDEX(Settings!$E$22:$E$26,MATCH(MIN(INDEX(Properties!$E$5:$E$104,MATCH($B333,Properties!$A$5:$A$104,0)),4),Settings!$A$22:$A$26,0))*Settings!$B$19+N($I333)*Settings!$B$9,IF($D333="Late cancel",INDEX(Properties!$L$5:$L$104,MATCH($B333,Properties!$A$5:$A$104,0))*Settings!$B$11,0))),0))</f>
        <v/>
      </c>
      <c r="P333" s="28" t="str">
        <f aca="false">IF($B333="","",$N333-$O333)</f>
        <v/>
      </c>
      <c r="Q333" s="29" t="str">
        <f aca="false">IF($A333="","",DATE(YEAR($A333),MONTH($A333),1))</f>
        <v/>
      </c>
      <c r="R333" s="30" t="str">
        <f aca="false">IF($A333="","",$A333+MOD(6-WEEKDAY($A333),7))</f>
        <v/>
      </c>
      <c r="S333" s="31" t="str">
        <f aca="false">IF($B333="","",IF(AND($M333='Invoice Builder'!$C$5,$Q333='Invoice Builder'!$C$6,N($N333)&gt;0),COUNTIFS($M$5:$M333,'Invoice Builder'!$C$5,$Q$5:$Q333,'Invoice Builder'!$C$6,$N$5:$N333,"&gt;0"),""))</f>
        <v/>
      </c>
      <c r="T333" s="27" t="str">
        <f aca="false">IF($A333="","",IF($A333&gt;=DATE(YEAR($A333),4,6),YEAR($A333)&amp;"/"&amp;RIGHT(YEAR($A333)+1,2),YEAR($A333)-1&amp;"/"&amp;RIGHT(YEAR($A333),2)))</f>
        <v/>
      </c>
    </row>
    <row r="334" customFormat="false" ht="15" hidden="false" customHeight="false" outlineLevel="0" collapsed="false">
      <c r="A334" s="22"/>
      <c r="B334" s="23"/>
      <c r="C334" s="23"/>
      <c r="D334" s="23"/>
      <c r="E334" s="24"/>
      <c r="F334" s="24"/>
      <c r="G334" s="23"/>
      <c r="H334" s="23"/>
      <c r="I334" s="25"/>
      <c r="J334" s="23"/>
      <c r="K334" s="23"/>
      <c r="L334" s="26" t="str">
        <f aca="false">IF(OR($E334="",$F334=""),"",MOD($F334-$E334,1)*24)</f>
        <v/>
      </c>
      <c r="M334" s="27" t="str">
        <f aca="false">IF($B334="","",IFERROR(INDEX(Properties!$D$5:$D$104,MATCH($B334,Properties!$A$5:$A$104,0)),"?"))</f>
        <v/>
      </c>
      <c r="N334" s="28" t="str">
        <f aca="false">IF($B334="","",IFERROR(IF($D334="Completed",INDEX(Properties!$I$5:$I$104,MATCH($B334,Properties!$A$5:$A$104,0))*(1+IF($G334="Y",Settings!$B$8,0))+IF($H334="Y",Settings!$B$7,0)+N($I334),IF($D334="Deep clean",INDEX(Settings!$E$22:$E$26,MATCH(MIN(INDEX(Properties!$E$5:$E$104,MATCH($B334,Properties!$A$5:$A$104,0)),4),Settings!$A$22:$A$26,0))+N($I334),IF($D334="Late cancel",INDEX(Properties!$I$5:$I$104,MATCH($B334,Properties!$A$5:$A$104,0))*Settings!$B$10,0))),0))</f>
        <v/>
      </c>
      <c r="O334" s="28" t="str">
        <f aca="false">IF($B334="","",IFERROR(IF($D334="Completed",INDEX(Properties!$L$5:$L$104,MATCH($B334,Properties!$A$5:$A$104,0))+IF($G334="Y",INDEX(Properties!$I$5:$I$104,MATCH($B334,Properties!$A$5:$A$104,0))*Settings!$B$8*Settings!$B$9,0)+IF($H334="Y",Settings!$B$7*Settings!$B$9,0)+N($I334)*Settings!$B$9,IF($D334="Deep clean",INDEX(Settings!$E$22:$E$26,MATCH(MIN(INDEX(Properties!$E$5:$E$104,MATCH($B334,Properties!$A$5:$A$104,0)),4),Settings!$A$22:$A$26,0))*Settings!$B$19+N($I334)*Settings!$B$9,IF($D334="Late cancel",INDEX(Properties!$L$5:$L$104,MATCH($B334,Properties!$A$5:$A$104,0))*Settings!$B$11,0))),0))</f>
        <v/>
      </c>
      <c r="P334" s="28" t="str">
        <f aca="false">IF($B334="","",$N334-$O334)</f>
        <v/>
      </c>
      <c r="Q334" s="29" t="str">
        <f aca="false">IF($A334="","",DATE(YEAR($A334),MONTH($A334),1))</f>
        <v/>
      </c>
      <c r="R334" s="30" t="str">
        <f aca="false">IF($A334="","",$A334+MOD(6-WEEKDAY($A334),7))</f>
        <v/>
      </c>
      <c r="S334" s="31" t="str">
        <f aca="false">IF($B334="","",IF(AND($M334='Invoice Builder'!$C$5,$Q334='Invoice Builder'!$C$6,N($N334)&gt;0),COUNTIFS($M$5:$M334,'Invoice Builder'!$C$5,$Q$5:$Q334,'Invoice Builder'!$C$6,$N$5:$N334,"&gt;0"),""))</f>
        <v/>
      </c>
      <c r="T334" s="27" t="str">
        <f aca="false">IF($A334="","",IF($A334&gt;=DATE(YEAR($A334),4,6),YEAR($A334)&amp;"/"&amp;RIGHT(YEAR($A334)+1,2),YEAR($A334)-1&amp;"/"&amp;RIGHT(YEAR($A334),2)))</f>
        <v/>
      </c>
    </row>
    <row r="335" customFormat="false" ht="15" hidden="false" customHeight="false" outlineLevel="0" collapsed="false">
      <c r="A335" s="22"/>
      <c r="B335" s="23"/>
      <c r="C335" s="23"/>
      <c r="D335" s="23"/>
      <c r="E335" s="24"/>
      <c r="F335" s="24"/>
      <c r="G335" s="23"/>
      <c r="H335" s="23"/>
      <c r="I335" s="25"/>
      <c r="J335" s="23"/>
      <c r="K335" s="23"/>
      <c r="L335" s="26" t="str">
        <f aca="false">IF(OR($E335="",$F335=""),"",MOD($F335-$E335,1)*24)</f>
        <v/>
      </c>
      <c r="M335" s="27" t="str">
        <f aca="false">IF($B335="","",IFERROR(INDEX(Properties!$D$5:$D$104,MATCH($B335,Properties!$A$5:$A$104,0)),"?"))</f>
        <v/>
      </c>
      <c r="N335" s="28" t="str">
        <f aca="false">IF($B335="","",IFERROR(IF($D335="Completed",INDEX(Properties!$I$5:$I$104,MATCH($B335,Properties!$A$5:$A$104,0))*(1+IF($G335="Y",Settings!$B$8,0))+IF($H335="Y",Settings!$B$7,0)+N($I335),IF($D335="Deep clean",INDEX(Settings!$E$22:$E$26,MATCH(MIN(INDEX(Properties!$E$5:$E$104,MATCH($B335,Properties!$A$5:$A$104,0)),4),Settings!$A$22:$A$26,0))+N($I335),IF($D335="Late cancel",INDEX(Properties!$I$5:$I$104,MATCH($B335,Properties!$A$5:$A$104,0))*Settings!$B$10,0))),0))</f>
        <v/>
      </c>
      <c r="O335" s="28" t="str">
        <f aca="false">IF($B335="","",IFERROR(IF($D335="Completed",INDEX(Properties!$L$5:$L$104,MATCH($B335,Properties!$A$5:$A$104,0))+IF($G335="Y",INDEX(Properties!$I$5:$I$104,MATCH($B335,Properties!$A$5:$A$104,0))*Settings!$B$8*Settings!$B$9,0)+IF($H335="Y",Settings!$B$7*Settings!$B$9,0)+N($I335)*Settings!$B$9,IF($D335="Deep clean",INDEX(Settings!$E$22:$E$26,MATCH(MIN(INDEX(Properties!$E$5:$E$104,MATCH($B335,Properties!$A$5:$A$104,0)),4),Settings!$A$22:$A$26,0))*Settings!$B$19+N($I335)*Settings!$B$9,IF($D335="Late cancel",INDEX(Properties!$L$5:$L$104,MATCH($B335,Properties!$A$5:$A$104,0))*Settings!$B$11,0))),0))</f>
        <v/>
      </c>
      <c r="P335" s="28" t="str">
        <f aca="false">IF($B335="","",$N335-$O335)</f>
        <v/>
      </c>
      <c r="Q335" s="29" t="str">
        <f aca="false">IF($A335="","",DATE(YEAR($A335),MONTH($A335),1))</f>
        <v/>
      </c>
      <c r="R335" s="30" t="str">
        <f aca="false">IF($A335="","",$A335+MOD(6-WEEKDAY($A335),7))</f>
        <v/>
      </c>
      <c r="S335" s="31" t="str">
        <f aca="false">IF($B335="","",IF(AND($M335='Invoice Builder'!$C$5,$Q335='Invoice Builder'!$C$6,N($N335)&gt;0),COUNTIFS($M$5:$M335,'Invoice Builder'!$C$5,$Q$5:$Q335,'Invoice Builder'!$C$6,$N$5:$N335,"&gt;0"),""))</f>
        <v/>
      </c>
      <c r="T335" s="27" t="str">
        <f aca="false">IF($A335="","",IF($A335&gt;=DATE(YEAR($A335),4,6),YEAR($A335)&amp;"/"&amp;RIGHT(YEAR($A335)+1,2),YEAR($A335)-1&amp;"/"&amp;RIGHT(YEAR($A335),2)))</f>
        <v/>
      </c>
    </row>
    <row r="336" customFormat="false" ht="15" hidden="false" customHeight="false" outlineLevel="0" collapsed="false">
      <c r="A336" s="22"/>
      <c r="B336" s="23"/>
      <c r="C336" s="23"/>
      <c r="D336" s="23"/>
      <c r="E336" s="24"/>
      <c r="F336" s="24"/>
      <c r="G336" s="23"/>
      <c r="H336" s="23"/>
      <c r="I336" s="25"/>
      <c r="J336" s="23"/>
      <c r="K336" s="23"/>
      <c r="L336" s="26" t="str">
        <f aca="false">IF(OR($E336="",$F336=""),"",MOD($F336-$E336,1)*24)</f>
        <v/>
      </c>
      <c r="M336" s="27" t="str">
        <f aca="false">IF($B336="","",IFERROR(INDEX(Properties!$D$5:$D$104,MATCH($B336,Properties!$A$5:$A$104,0)),"?"))</f>
        <v/>
      </c>
      <c r="N336" s="28" t="str">
        <f aca="false">IF($B336="","",IFERROR(IF($D336="Completed",INDEX(Properties!$I$5:$I$104,MATCH($B336,Properties!$A$5:$A$104,0))*(1+IF($G336="Y",Settings!$B$8,0))+IF($H336="Y",Settings!$B$7,0)+N($I336),IF($D336="Deep clean",INDEX(Settings!$E$22:$E$26,MATCH(MIN(INDEX(Properties!$E$5:$E$104,MATCH($B336,Properties!$A$5:$A$104,0)),4),Settings!$A$22:$A$26,0))+N($I336),IF($D336="Late cancel",INDEX(Properties!$I$5:$I$104,MATCH($B336,Properties!$A$5:$A$104,0))*Settings!$B$10,0))),0))</f>
        <v/>
      </c>
      <c r="O336" s="28" t="str">
        <f aca="false">IF($B336="","",IFERROR(IF($D336="Completed",INDEX(Properties!$L$5:$L$104,MATCH($B336,Properties!$A$5:$A$104,0))+IF($G336="Y",INDEX(Properties!$I$5:$I$104,MATCH($B336,Properties!$A$5:$A$104,0))*Settings!$B$8*Settings!$B$9,0)+IF($H336="Y",Settings!$B$7*Settings!$B$9,0)+N($I336)*Settings!$B$9,IF($D336="Deep clean",INDEX(Settings!$E$22:$E$26,MATCH(MIN(INDEX(Properties!$E$5:$E$104,MATCH($B336,Properties!$A$5:$A$104,0)),4),Settings!$A$22:$A$26,0))*Settings!$B$19+N($I336)*Settings!$B$9,IF($D336="Late cancel",INDEX(Properties!$L$5:$L$104,MATCH($B336,Properties!$A$5:$A$104,0))*Settings!$B$11,0))),0))</f>
        <v/>
      </c>
      <c r="P336" s="28" t="str">
        <f aca="false">IF($B336="","",$N336-$O336)</f>
        <v/>
      </c>
      <c r="Q336" s="29" t="str">
        <f aca="false">IF($A336="","",DATE(YEAR($A336),MONTH($A336),1))</f>
        <v/>
      </c>
      <c r="R336" s="30" t="str">
        <f aca="false">IF($A336="","",$A336+MOD(6-WEEKDAY($A336),7))</f>
        <v/>
      </c>
      <c r="S336" s="31" t="str">
        <f aca="false">IF($B336="","",IF(AND($M336='Invoice Builder'!$C$5,$Q336='Invoice Builder'!$C$6,N($N336)&gt;0),COUNTIFS($M$5:$M336,'Invoice Builder'!$C$5,$Q$5:$Q336,'Invoice Builder'!$C$6,$N$5:$N336,"&gt;0"),""))</f>
        <v/>
      </c>
      <c r="T336" s="27" t="str">
        <f aca="false">IF($A336="","",IF($A336&gt;=DATE(YEAR($A336),4,6),YEAR($A336)&amp;"/"&amp;RIGHT(YEAR($A336)+1,2),YEAR($A336)-1&amp;"/"&amp;RIGHT(YEAR($A336),2)))</f>
        <v/>
      </c>
    </row>
    <row r="337" customFormat="false" ht="15" hidden="false" customHeight="false" outlineLevel="0" collapsed="false">
      <c r="A337" s="22"/>
      <c r="B337" s="23"/>
      <c r="C337" s="23"/>
      <c r="D337" s="23"/>
      <c r="E337" s="24"/>
      <c r="F337" s="24"/>
      <c r="G337" s="23"/>
      <c r="H337" s="23"/>
      <c r="I337" s="25"/>
      <c r="J337" s="23"/>
      <c r="K337" s="23"/>
      <c r="L337" s="26" t="str">
        <f aca="false">IF(OR($E337="",$F337=""),"",MOD($F337-$E337,1)*24)</f>
        <v/>
      </c>
      <c r="M337" s="27" t="str">
        <f aca="false">IF($B337="","",IFERROR(INDEX(Properties!$D$5:$D$104,MATCH($B337,Properties!$A$5:$A$104,0)),"?"))</f>
        <v/>
      </c>
      <c r="N337" s="28" t="str">
        <f aca="false">IF($B337="","",IFERROR(IF($D337="Completed",INDEX(Properties!$I$5:$I$104,MATCH($B337,Properties!$A$5:$A$104,0))*(1+IF($G337="Y",Settings!$B$8,0))+IF($H337="Y",Settings!$B$7,0)+N($I337),IF($D337="Deep clean",INDEX(Settings!$E$22:$E$26,MATCH(MIN(INDEX(Properties!$E$5:$E$104,MATCH($B337,Properties!$A$5:$A$104,0)),4),Settings!$A$22:$A$26,0))+N($I337),IF($D337="Late cancel",INDEX(Properties!$I$5:$I$104,MATCH($B337,Properties!$A$5:$A$104,0))*Settings!$B$10,0))),0))</f>
        <v/>
      </c>
      <c r="O337" s="28" t="str">
        <f aca="false">IF($B337="","",IFERROR(IF($D337="Completed",INDEX(Properties!$L$5:$L$104,MATCH($B337,Properties!$A$5:$A$104,0))+IF($G337="Y",INDEX(Properties!$I$5:$I$104,MATCH($B337,Properties!$A$5:$A$104,0))*Settings!$B$8*Settings!$B$9,0)+IF($H337="Y",Settings!$B$7*Settings!$B$9,0)+N($I337)*Settings!$B$9,IF($D337="Deep clean",INDEX(Settings!$E$22:$E$26,MATCH(MIN(INDEX(Properties!$E$5:$E$104,MATCH($B337,Properties!$A$5:$A$104,0)),4),Settings!$A$22:$A$26,0))*Settings!$B$19+N($I337)*Settings!$B$9,IF($D337="Late cancel",INDEX(Properties!$L$5:$L$104,MATCH($B337,Properties!$A$5:$A$104,0))*Settings!$B$11,0))),0))</f>
        <v/>
      </c>
      <c r="P337" s="28" t="str">
        <f aca="false">IF($B337="","",$N337-$O337)</f>
        <v/>
      </c>
      <c r="Q337" s="29" t="str">
        <f aca="false">IF($A337="","",DATE(YEAR($A337),MONTH($A337),1))</f>
        <v/>
      </c>
      <c r="R337" s="30" t="str">
        <f aca="false">IF($A337="","",$A337+MOD(6-WEEKDAY($A337),7))</f>
        <v/>
      </c>
      <c r="S337" s="31" t="str">
        <f aca="false">IF($B337="","",IF(AND($M337='Invoice Builder'!$C$5,$Q337='Invoice Builder'!$C$6,N($N337)&gt;0),COUNTIFS($M$5:$M337,'Invoice Builder'!$C$5,$Q$5:$Q337,'Invoice Builder'!$C$6,$N$5:$N337,"&gt;0"),""))</f>
        <v/>
      </c>
      <c r="T337" s="27" t="str">
        <f aca="false">IF($A337="","",IF($A337&gt;=DATE(YEAR($A337),4,6),YEAR($A337)&amp;"/"&amp;RIGHT(YEAR($A337)+1,2),YEAR($A337)-1&amp;"/"&amp;RIGHT(YEAR($A337),2)))</f>
        <v/>
      </c>
    </row>
    <row r="338" customFormat="false" ht="15" hidden="false" customHeight="false" outlineLevel="0" collapsed="false">
      <c r="A338" s="22"/>
      <c r="B338" s="23"/>
      <c r="C338" s="23"/>
      <c r="D338" s="23"/>
      <c r="E338" s="24"/>
      <c r="F338" s="24"/>
      <c r="G338" s="23"/>
      <c r="H338" s="23"/>
      <c r="I338" s="25"/>
      <c r="J338" s="23"/>
      <c r="K338" s="23"/>
      <c r="L338" s="26" t="str">
        <f aca="false">IF(OR($E338="",$F338=""),"",MOD($F338-$E338,1)*24)</f>
        <v/>
      </c>
      <c r="M338" s="27" t="str">
        <f aca="false">IF($B338="","",IFERROR(INDEX(Properties!$D$5:$D$104,MATCH($B338,Properties!$A$5:$A$104,0)),"?"))</f>
        <v/>
      </c>
      <c r="N338" s="28" t="str">
        <f aca="false">IF($B338="","",IFERROR(IF($D338="Completed",INDEX(Properties!$I$5:$I$104,MATCH($B338,Properties!$A$5:$A$104,0))*(1+IF($G338="Y",Settings!$B$8,0))+IF($H338="Y",Settings!$B$7,0)+N($I338),IF($D338="Deep clean",INDEX(Settings!$E$22:$E$26,MATCH(MIN(INDEX(Properties!$E$5:$E$104,MATCH($B338,Properties!$A$5:$A$104,0)),4),Settings!$A$22:$A$26,0))+N($I338),IF($D338="Late cancel",INDEX(Properties!$I$5:$I$104,MATCH($B338,Properties!$A$5:$A$104,0))*Settings!$B$10,0))),0))</f>
        <v/>
      </c>
      <c r="O338" s="28" t="str">
        <f aca="false">IF($B338="","",IFERROR(IF($D338="Completed",INDEX(Properties!$L$5:$L$104,MATCH($B338,Properties!$A$5:$A$104,0))+IF($G338="Y",INDEX(Properties!$I$5:$I$104,MATCH($B338,Properties!$A$5:$A$104,0))*Settings!$B$8*Settings!$B$9,0)+IF($H338="Y",Settings!$B$7*Settings!$B$9,0)+N($I338)*Settings!$B$9,IF($D338="Deep clean",INDEX(Settings!$E$22:$E$26,MATCH(MIN(INDEX(Properties!$E$5:$E$104,MATCH($B338,Properties!$A$5:$A$104,0)),4),Settings!$A$22:$A$26,0))*Settings!$B$19+N($I338)*Settings!$B$9,IF($D338="Late cancel",INDEX(Properties!$L$5:$L$104,MATCH($B338,Properties!$A$5:$A$104,0))*Settings!$B$11,0))),0))</f>
        <v/>
      </c>
      <c r="P338" s="28" t="str">
        <f aca="false">IF($B338="","",$N338-$O338)</f>
        <v/>
      </c>
      <c r="Q338" s="29" t="str">
        <f aca="false">IF($A338="","",DATE(YEAR($A338),MONTH($A338),1))</f>
        <v/>
      </c>
      <c r="R338" s="30" t="str">
        <f aca="false">IF($A338="","",$A338+MOD(6-WEEKDAY($A338),7))</f>
        <v/>
      </c>
      <c r="S338" s="31" t="str">
        <f aca="false">IF($B338="","",IF(AND($M338='Invoice Builder'!$C$5,$Q338='Invoice Builder'!$C$6,N($N338)&gt;0),COUNTIFS($M$5:$M338,'Invoice Builder'!$C$5,$Q$5:$Q338,'Invoice Builder'!$C$6,$N$5:$N338,"&gt;0"),""))</f>
        <v/>
      </c>
      <c r="T338" s="27" t="str">
        <f aca="false">IF($A338="","",IF($A338&gt;=DATE(YEAR($A338),4,6),YEAR($A338)&amp;"/"&amp;RIGHT(YEAR($A338)+1,2),YEAR($A338)-1&amp;"/"&amp;RIGHT(YEAR($A338),2)))</f>
        <v/>
      </c>
    </row>
    <row r="339" customFormat="false" ht="15" hidden="false" customHeight="false" outlineLevel="0" collapsed="false">
      <c r="A339" s="22"/>
      <c r="B339" s="23"/>
      <c r="C339" s="23"/>
      <c r="D339" s="23"/>
      <c r="E339" s="24"/>
      <c r="F339" s="24"/>
      <c r="G339" s="23"/>
      <c r="H339" s="23"/>
      <c r="I339" s="25"/>
      <c r="J339" s="23"/>
      <c r="K339" s="23"/>
      <c r="L339" s="26" t="str">
        <f aca="false">IF(OR($E339="",$F339=""),"",MOD($F339-$E339,1)*24)</f>
        <v/>
      </c>
      <c r="M339" s="27" t="str">
        <f aca="false">IF($B339="","",IFERROR(INDEX(Properties!$D$5:$D$104,MATCH($B339,Properties!$A$5:$A$104,0)),"?"))</f>
        <v/>
      </c>
      <c r="N339" s="28" t="str">
        <f aca="false">IF($B339="","",IFERROR(IF($D339="Completed",INDEX(Properties!$I$5:$I$104,MATCH($B339,Properties!$A$5:$A$104,0))*(1+IF($G339="Y",Settings!$B$8,0))+IF($H339="Y",Settings!$B$7,0)+N($I339),IF($D339="Deep clean",INDEX(Settings!$E$22:$E$26,MATCH(MIN(INDEX(Properties!$E$5:$E$104,MATCH($B339,Properties!$A$5:$A$104,0)),4),Settings!$A$22:$A$26,0))+N($I339),IF($D339="Late cancel",INDEX(Properties!$I$5:$I$104,MATCH($B339,Properties!$A$5:$A$104,0))*Settings!$B$10,0))),0))</f>
        <v/>
      </c>
      <c r="O339" s="28" t="str">
        <f aca="false">IF($B339="","",IFERROR(IF($D339="Completed",INDEX(Properties!$L$5:$L$104,MATCH($B339,Properties!$A$5:$A$104,0))+IF($G339="Y",INDEX(Properties!$I$5:$I$104,MATCH($B339,Properties!$A$5:$A$104,0))*Settings!$B$8*Settings!$B$9,0)+IF($H339="Y",Settings!$B$7*Settings!$B$9,0)+N($I339)*Settings!$B$9,IF($D339="Deep clean",INDEX(Settings!$E$22:$E$26,MATCH(MIN(INDEX(Properties!$E$5:$E$104,MATCH($B339,Properties!$A$5:$A$104,0)),4),Settings!$A$22:$A$26,0))*Settings!$B$19+N($I339)*Settings!$B$9,IF($D339="Late cancel",INDEX(Properties!$L$5:$L$104,MATCH($B339,Properties!$A$5:$A$104,0))*Settings!$B$11,0))),0))</f>
        <v/>
      </c>
      <c r="P339" s="28" t="str">
        <f aca="false">IF($B339="","",$N339-$O339)</f>
        <v/>
      </c>
      <c r="Q339" s="29" t="str">
        <f aca="false">IF($A339="","",DATE(YEAR($A339),MONTH($A339),1))</f>
        <v/>
      </c>
      <c r="R339" s="30" t="str">
        <f aca="false">IF($A339="","",$A339+MOD(6-WEEKDAY($A339),7))</f>
        <v/>
      </c>
      <c r="S339" s="31" t="str">
        <f aca="false">IF($B339="","",IF(AND($M339='Invoice Builder'!$C$5,$Q339='Invoice Builder'!$C$6,N($N339)&gt;0),COUNTIFS($M$5:$M339,'Invoice Builder'!$C$5,$Q$5:$Q339,'Invoice Builder'!$C$6,$N$5:$N339,"&gt;0"),""))</f>
        <v/>
      </c>
      <c r="T339" s="27" t="str">
        <f aca="false">IF($A339="","",IF($A339&gt;=DATE(YEAR($A339),4,6),YEAR($A339)&amp;"/"&amp;RIGHT(YEAR($A339)+1,2),YEAR($A339)-1&amp;"/"&amp;RIGHT(YEAR($A339),2)))</f>
        <v/>
      </c>
    </row>
    <row r="340" customFormat="false" ht="15" hidden="false" customHeight="false" outlineLevel="0" collapsed="false">
      <c r="A340" s="22"/>
      <c r="B340" s="23"/>
      <c r="C340" s="23"/>
      <c r="D340" s="23"/>
      <c r="E340" s="24"/>
      <c r="F340" s="24"/>
      <c r="G340" s="23"/>
      <c r="H340" s="23"/>
      <c r="I340" s="25"/>
      <c r="J340" s="23"/>
      <c r="K340" s="23"/>
      <c r="L340" s="26" t="str">
        <f aca="false">IF(OR($E340="",$F340=""),"",MOD($F340-$E340,1)*24)</f>
        <v/>
      </c>
      <c r="M340" s="27" t="str">
        <f aca="false">IF($B340="","",IFERROR(INDEX(Properties!$D$5:$D$104,MATCH($B340,Properties!$A$5:$A$104,0)),"?"))</f>
        <v/>
      </c>
      <c r="N340" s="28" t="str">
        <f aca="false">IF($B340="","",IFERROR(IF($D340="Completed",INDEX(Properties!$I$5:$I$104,MATCH($B340,Properties!$A$5:$A$104,0))*(1+IF($G340="Y",Settings!$B$8,0))+IF($H340="Y",Settings!$B$7,0)+N($I340),IF($D340="Deep clean",INDEX(Settings!$E$22:$E$26,MATCH(MIN(INDEX(Properties!$E$5:$E$104,MATCH($B340,Properties!$A$5:$A$104,0)),4),Settings!$A$22:$A$26,0))+N($I340),IF($D340="Late cancel",INDEX(Properties!$I$5:$I$104,MATCH($B340,Properties!$A$5:$A$104,0))*Settings!$B$10,0))),0))</f>
        <v/>
      </c>
      <c r="O340" s="28" t="str">
        <f aca="false">IF($B340="","",IFERROR(IF($D340="Completed",INDEX(Properties!$L$5:$L$104,MATCH($B340,Properties!$A$5:$A$104,0))+IF($G340="Y",INDEX(Properties!$I$5:$I$104,MATCH($B340,Properties!$A$5:$A$104,0))*Settings!$B$8*Settings!$B$9,0)+IF($H340="Y",Settings!$B$7*Settings!$B$9,0)+N($I340)*Settings!$B$9,IF($D340="Deep clean",INDEX(Settings!$E$22:$E$26,MATCH(MIN(INDEX(Properties!$E$5:$E$104,MATCH($B340,Properties!$A$5:$A$104,0)),4),Settings!$A$22:$A$26,0))*Settings!$B$19+N($I340)*Settings!$B$9,IF($D340="Late cancel",INDEX(Properties!$L$5:$L$104,MATCH($B340,Properties!$A$5:$A$104,0))*Settings!$B$11,0))),0))</f>
        <v/>
      </c>
      <c r="P340" s="28" t="str">
        <f aca="false">IF($B340="","",$N340-$O340)</f>
        <v/>
      </c>
      <c r="Q340" s="29" t="str">
        <f aca="false">IF($A340="","",DATE(YEAR($A340),MONTH($A340),1))</f>
        <v/>
      </c>
      <c r="R340" s="30" t="str">
        <f aca="false">IF($A340="","",$A340+MOD(6-WEEKDAY($A340),7))</f>
        <v/>
      </c>
      <c r="S340" s="31" t="str">
        <f aca="false">IF($B340="","",IF(AND($M340='Invoice Builder'!$C$5,$Q340='Invoice Builder'!$C$6,N($N340)&gt;0),COUNTIFS($M$5:$M340,'Invoice Builder'!$C$5,$Q$5:$Q340,'Invoice Builder'!$C$6,$N$5:$N340,"&gt;0"),""))</f>
        <v/>
      </c>
      <c r="T340" s="27" t="str">
        <f aca="false">IF($A340="","",IF($A340&gt;=DATE(YEAR($A340),4,6),YEAR($A340)&amp;"/"&amp;RIGHT(YEAR($A340)+1,2),YEAR($A340)-1&amp;"/"&amp;RIGHT(YEAR($A340),2)))</f>
        <v/>
      </c>
    </row>
    <row r="341" customFormat="false" ht="15" hidden="false" customHeight="false" outlineLevel="0" collapsed="false">
      <c r="A341" s="22"/>
      <c r="B341" s="23"/>
      <c r="C341" s="23"/>
      <c r="D341" s="23"/>
      <c r="E341" s="24"/>
      <c r="F341" s="24"/>
      <c r="G341" s="23"/>
      <c r="H341" s="23"/>
      <c r="I341" s="25"/>
      <c r="J341" s="23"/>
      <c r="K341" s="23"/>
      <c r="L341" s="26" t="str">
        <f aca="false">IF(OR($E341="",$F341=""),"",MOD($F341-$E341,1)*24)</f>
        <v/>
      </c>
      <c r="M341" s="27" t="str">
        <f aca="false">IF($B341="","",IFERROR(INDEX(Properties!$D$5:$D$104,MATCH($B341,Properties!$A$5:$A$104,0)),"?"))</f>
        <v/>
      </c>
      <c r="N341" s="28" t="str">
        <f aca="false">IF($B341="","",IFERROR(IF($D341="Completed",INDEX(Properties!$I$5:$I$104,MATCH($B341,Properties!$A$5:$A$104,0))*(1+IF($G341="Y",Settings!$B$8,0))+IF($H341="Y",Settings!$B$7,0)+N($I341),IF($D341="Deep clean",INDEX(Settings!$E$22:$E$26,MATCH(MIN(INDEX(Properties!$E$5:$E$104,MATCH($B341,Properties!$A$5:$A$104,0)),4),Settings!$A$22:$A$26,0))+N($I341),IF($D341="Late cancel",INDEX(Properties!$I$5:$I$104,MATCH($B341,Properties!$A$5:$A$104,0))*Settings!$B$10,0))),0))</f>
        <v/>
      </c>
      <c r="O341" s="28" t="str">
        <f aca="false">IF($B341="","",IFERROR(IF($D341="Completed",INDEX(Properties!$L$5:$L$104,MATCH($B341,Properties!$A$5:$A$104,0))+IF($G341="Y",INDEX(Properties!$I$5:$I$104,MATCH($B341,Properties!$A$5:$A$104,0))*Settings!$B$8*Settings!$B$9,0)+IF($H341="Y",Settings!$B$7*Settings!$B$9,0)+N($I341)*Settings!$B$9,IF($D341="Deep clean",INDEX(Settings!$E$22:$E$26,MATCH(MIN(INDEX(Properties!$E$5:$E$104,MATCH($B341,Properties!$A$5:$A$104,0)),4),Settings!$A$22:$A$26,0))*Settings!$B$19+N($I341)*Settings!$B$9,IF($D341="Late cancel",INDEX(Properties!$L$5:$L$104,MATCH($B341,Properties!$A$5:$A$104,0))*Settings!$B$11,0))),0))</f>
        <v/>
      </c>
      <c r="P341" s="28" t="str">
        <f aca="false">IF($B341="","",$N341-$O341)</f>
        <v/>
      </c>
      <c r="Q341" s="29" t="str">
        <f aca="false">IF($A341="","",DATE(YEAR($A341),MONTH($A341),1))</f>
        <v/>
      </c>
      <c r="R341" s="30" t="str">
        <f aca="false">IF($A341="","",$A341+MOD(6-WEEKDAY($A341),7))</f>
        <v/>
      </c>
      <c r="S341" s="31" t="str">
        <f aca="false">IF($B341="","",IF(AND($M341='Invoice Builder'!$C$5,$Q341='Invoice Builder'!$C$6,N($N341)&gt;0),COUNTIFS($M$5:$M341,'Invoice Builder'!$C$5,$Q$5:$Q341,'Invoice Builder'!$C$6,$N$5:$N341,"&gt;0"),""))</f>
        <v/>
      </c>
      <c r="T341" s="27" t="str">
        <f aca="false">IF($A341="","",IF($A341&gt;=DATE(YEAR($A341),4,6),YEAR($A341)&amp;"/"&amp;RIGHT(YEAR($A341)+1,2),YEAR($A341)-1&amp;"/"&amp;RIGHT(YEAR($A341),2)))</f>
        <v/>
      </c>
    </row>
    <row r="342" customFormat="false" ht="15" hidden="false" customHeight="false" outlineLevel="0" collapsed="false">
      <c r="A342" s="22"/>
      <c r="B342" s="23"/>
      <c r="C342" s="23"/>
      <c r="D342" s="23"/>
      <c r="E342" s="24"/>
      <c r="F342" s="24"/>
      <c r="G342" s="23"/>
      <c r="H342" s="23"/>
      <c r="I342" s="25"/>
      <c r="J342" s="23"/>
      <c r="K342" s="23"/>
      <c r="L342" s="26" t="str">
        <f aca="false">IF(OR($E342="",$F342=""),"",MOD($F342-$E342,1)*24)</f>
        <v/>
      </c>
      <c r="M342" s="27" t="str">
        <f aca="false">IF($B342="","",IFERROR(INDEX(Properties!$D$5:$D$104,MATCH($B342,Properties!$A$5:$A$104,0)),"?"))</f>
        <v/>
      </c>
      <c r="N342" s="28" t="str">
        <f aca="false">IF($B342="","",IFERROR(IF($D342="Completed",INDEX(Properties!$I$5:$I$104,MATCH($B342,Properties!$A$5:$A$104,0))*(1+IF($G342="Y",Settings!$B$8,0))+IF($H342="Y",Settings!$B$7,0)+N($I342),IF($D342="Deep clean",INDEX(Settings!$E$22:$E$26,MATCH(MIN(INDEX(Properties!$E$5:$E$104,MATCH($B342,Properties!$A$5:$A$104,0)),4),Settings!$A$22:$A$26,0))+N($I342),IF($D342="Late cancel",INDEX(Properties!$I$5:$I$104,MATCH($B342,Properties!$A$5:$A$104,0))*Settings!$B$10,0))),0))</f>
        <v/>
      </c>
      <c r="O342" s="28" t="str">
        <f aca="false">IF($B342="","",IFERROR(IF($D342="Completed",INDEX(Properties!$L$5:$L$104,MATCH($B342,Properties!$A$5:$A$104,0))+IF($G342="Y",INDEX(Properties!$I$5:$I$104,MATCH($B342,Properties!$A$5:$A$104,0))*Settings!$B$8*Settings!$B$9,0)+IF($H342="Y",Settings!$B$7*Settings!$B$9,0)+N($I342)*Settings!$B$9,IF($D342="Deep clean",INDEX(Settings!$E$22:$E$26,MATCH(MIN(INDEX(Properties!$E$5:$E$104,MATCH($B342,Properties!$A$5:$A$104,0)),4),Settings!$A$22:$A$26,0))*Settings!$B$19+N($I342)*Settings!$B$9,IF($D342="Late cancel",INDEX(Properties!$L$5:$L$104,MATCH($B342,Properties!$A$5:$A$104,0))*Settings!$B$11,0))),0))</f>
        <v/>
      </c>
      <c r="P342" s="28" t="str">
        <f aca="false">IF($B342="","",$N342-$O342)</f>
        <v/>
      </c>
      <c r="Q342" s="29" t="str">
        <f aca="false">IF($A342="","",DATE(YEAR($A342),MONTH($A342),1))</f>
        <v/>
      </c>
      <c r="R342" s="30" t="str">
        <f aca="false">IF($A342="","",$A342+MOD(6-WEEKDAY($A342),7))</f>
        <v/>
      </c>
      <c r="S342" s="31" t="str">
        <f aca="false">IF($B342="","",IF(AND($M342='Invoice Builder'!$C$5,$Q342='Invoice Builder'!$C$6,N($N342)&gt;0),COUNTIFS($M$5:$M342,'Invoice Builder'!$C$5,$Q$5:$Q342,'Invoice Builder'!$C$6,$N$5:$N342,"&gt;0"),""))</f>
        <v/>
      </c>
      <c r="T342" s="27" t="str">
        <f aca="false">IF($A342="","",IF($A342&gt;=DATE(YEAR($A342),4,6),YEAR($A342)&amp;"/"&amp;RIGHT(YEAR($A342)+1,2),YEAR($A342)-1&amp;"/"&amp;RIGHT(YEAR($A342),2)))</f>
        <v/>
      </c>
    </row>
    <row r="343" customFormat="false" ht="15" hidden="false" customHeight="false" outlineLevel="0" collapsed="false">
      <c r="A343" s="22"/>
      <c r="B343" s="23"/>
      <c r="C343" s="23"/>
      <c r="D343" s="23"/>
      <c r="E343" s="24"/>
      <c r="F343" s="24"/>
      <c r="G343" s="23"/>
      <c r="H343" s="23"/>
      <c r="I343" s="25"/>
      <c r="J343" s="23"/>
      <c r="K343" s="23"/>
      <c r="L343" s="26" t="str">
        <f aca="false">IF(OR($E343="",$F343=""),"",MOD($F343-$E343,1)*24)</f>
        <v/>
      </c>
      <c r="M343" s="27" t="str">
        <f aca="false">IF($B343="","",IFERROR(INDEX(Properties!$D$5:$D$104,MATCH($B343,Properties!$A$5:$A$104,0)),"?"))</f>
        <v/>
      </c>
      <c r="N343" s="28" t="str">
        <f aca="false">IF($B343="","",IFERROR(IF($D343="Completed",INDEX(Properties!$I$5:$I$104,MATCH($B343,Properties!$A$5:$A$104,0))*(1+IF($G343="Y",Settings!$B$8,0))+IF($H343="Y",Settings!$B$7,0)+N($I343),IF($D343="Deep clean",INDEX(Settings!$E$22:$E$26,MATCH(MIN(INDEX(Properties!$E$5:$E$104,MATCH($B343,Properties!$A$5:$A$104,0)),4),Settings!$A$22:$A$26,0))+N($I343),IF($D343="Late cancel",INDEX(Properties!$I$5:$I$104,MATCH($B343,Properties!$A$5:$A$104,0))*Settings!$B$10,0))),0))</f>
        <v/>
      </c>
      <c r="O343" s="28" t="str">
        <f aca="false">IF($B343="","",IFERROR(IF($D343="Completed",INDEX(Properties!$L$5:$L$104,MATCH($B343,Properties!$A$5:$A$104,0))+IF($G343="Y",INDEX(Properties!$I$5:$I$104,MATCH($B343,Properties!$A$5:$A$104,0))*Settings!$B$8*Settings!$B$9,0)+IF($H343="Y",Settings!$B$7*Settings!$B$9,0)+N($I343)*Settings!$B$9,IF($D343="Deep clean",INDEX(Settings!$E$22:$E$26,MATCH(MIN(INDEX(Properties!$E$5:$E$104,MATCH($B343,Properties!$A$5:$A$104,0)),4),Settings!$A$22:$A$26,0))*Settings!$B$19+N($I343)*Settings!$B$9,IF($D343="Late cancel",INDEX(Properties!$L$5:$L$104,MATCH($B343,Properties!$A$5:$A$104,0))*Settings!$B$11,0))),0))</f>
        <v/>
      </c>
      <c r="P343" s="28" t="str">
        <f aca="false">IF($B343="","",$N343-$O343)</f>
        <v/>
      </c>
      <c r="Q343" s="29" t="str">
        <f aca="false">IF($A343="","",DATE(YEAR($A343),MONTH($A343),1))</f>
        <v/>
      </c>
      <c r="R343" s="30" t="str">
        <f aca="false">IF($A343="","",$A343+MOD(6-WEEKDAY($A343),7))</f>
        <v/>
      </c>
      <c r="S343" s="31" t="str">
        <f aca="false">IF($B343="","",IF(AND($M343='Invoice Builder'!$C$5,$Q343='Invoice Builder'!$C$6,N($N343)&gt;0),COUNTIFS($M$5:$M343,'Invoice Builder'!$C$5,$Q$5:$Q343,'Invoice Builder'!$C$6,$N$5:$N343,"&gt;0"),""))</f>
        <v/>
      </c>
      <c r="T343" s="27" t="str">
        <f aca="false">IF($A343="","",IF($A343&gt;=DATE(YEAR($A343),4,6),YEAR($A343)&amp;"/"&amp;RIGHT(YEAR($A343)+1,2),YEAR($A343)-1&amp;"/"&amp;RIGHT(YEAR($A343),2)))</f>
        <v/>
      </c>
    </row>
    <row r="344" customFormat="false" ht="15" hidden="false" customHeight="false" outlineLevel="0" collapsed="false">
      <c r="A344" s="22"/>
      <c r="B344" s="23"/>
      <c r="C344" s="23"/>
      <c r="D344" s="23"/>
      <c r="E344" s="24"/>
      <c r="F344" s="24"/>
      <c r="G344" s="23"/>
      <c r="H344" s="23"/>
      <c r="I344" s="25"/>
      <c r="J344" s="23"/>
      <c r="K344" s="23"/>
      <c r="L344" s="26" t="str">
        <f aca="false">IF(OR($E344="",$F344=""),"",MOD($F344-$E344,1)*24)</f>
        <v/>
      </c>
      <c r="M344" s="27" t="str">
        <f aca="false">IF($B344="","",IFERROR(INDEX(Properties!$D$5:$D$104,MATCH($B344,Properties!$A$5:$A$104,0)),"?"))</f>
        <v/>
      </c>
      <c r="N344" s="28" t="str">
        <f aca="false">IF($B344="","",IFERROR(IF($D344="Completed",INDEX(Properties!$I$5:$I$104,MATCH($B344,Properties!$A$5:$A$104,0))*(1+IF($G344="Y",Settings!$B$8,0))+IF($H344="Y",Settings!$B$7,0)+N($I344),IF($D344="Deep clean",INDEX(Settings!$E$22:$E$26,MATCH(MIN(INDEX(Properties!$E$5:$E$104,MATCH($B344,Properties!$A$5:$A$104,0)),4),Settings!$A$22:$A$26,0))+N($I344),IF($D344="Late cancel",INDEX(Properties!$I$5:$I$104,MATCH($B344,Properties!$A$5:$A$104,0))*Settings!$B$10,0))),0))</f>
        <v/>
      </c>
      <c r="O344" s="28" t="str">
        <f aca="false">IF($B344="","",IFERROR(IF($D344="Completed",INDEX(Properties!$L$5:$L$104,MATCH($B344,Properties!$A$5:$A$104,0))+IF($G344="Y",INDEX(Properties!$I$5:$I$104,MATCH($B344,Properties!$A$5:$A$104,0))*Settings!$B$8*Settings!$B$9,0)+IF($H344="Y",Settings!$B$7*Settings!$B$9,0)+N($I344)*Settings!$B$9,IF($D344="Deep clean",INDEX(Settings!$E$22:$E$26,MATCH(MIN(INDEX(Properties!$E$5:$E$104,MATCH($B344,Properties!$A$5:$A$104,0)),4),Settings!$A$22:$A$26,0))*Settings!$B$19+N($I344)*Settings!$B$9,IF($D344="Late cancel",INDEX(Properties!$L$5:$L$104,MATCH($B344,Properties!$A$5:$A$104,0))*Settings!$B$11,0))),0))</f>
        <v/>
      </c>
      <c r="P344" s="28" t="str">
        <f aca="false">IF($B344="","",$N344-$O344)</f>
        <v/>
      </c>
      <c r="Q344" s="29" t="str">
        <f aca="false">IF($A344="","",DATE(YEAR($A344),MONTH($A344),1))</f>
        <v/>
      </c>
      <c r="R344" s="30" t="str">
        <f aca="false">IF($A344="","",$A344+MOD(6-WEEKDAY($A344),7))</f>
        <v/>
      </c>
      <c r="S344" s="31" t="str">
        <f aca="false">IF($B344="","",IF(AND($M344='Invoice Builder'!$C$5,$Q344='Invoice Builder'!$C$6,N($N344)&gt;0),COUNTIFS($M$5:$M344,'Invoice Builder'!$C$5,$Q$5:$Q344,'Invoice Builder'!$C$6,$N$5:$N344,"&gt;0"),""))</f>
        <v/>
      </c>
      <c r="T344" s="27" t="str">
        <f aca="false">IF($A344="","",IF($A344&gt;=DATE(YEAR($A344),4,6),YEAR($A344)&amp;"/"&amp;RIGHT(YEAR($A344)+1,2),YEAR($A344)-1&amp;"/"&amp;RIGHT(YEAR($A344),2)))</f>
        <v/>
      </c>
    </row>
    <row r="345" customFormat="false" ht="15" hidden="false" customHeight="false" outlineLevel="0" collapsed="false">
      <c r="A345" s="22"/>
      <c r="B345" s="23"/>
      <c r="C345" s="23"/>
      <c r="D345" s="23"/>
      <c r="E345" s="24"/>
      <c r="F345" s="24"/>
      <c r="G345" s="23"/>
      <c r="H345" s="23"/>
      <c r="I345" s="25"/>
      <c r="J345" s="23"/>
      <c r="K345" s="23"/>
      <c r="L345" s="26" t="str">
        <f aca="false">IF(OR($E345="",$F345=""),"",MOD($F345-$E345,1)*24)</f>
        <v/>
      </c>
      <c r="M345" s="27" t="str">
        <f aca="false">IF($B345="","",IFERROR(INDEX(Properties!$D$5:$D$104,MATCH($B345,Properties!$A$5:$A$104,0)),"?"))</f>
        <v/>
      </c>
      <c r="N345" s="28" t="str">
        <f aca="false">IF($B345="","",IFERROR(IF($D345="Completed",INDEX(Properties!$I$5:$I$104,MATCH($B345,Properties!$A$5:$A$104,0))*(1+IF($G345="Y",Settings!$B$8,0))+IF($H345="Y",Settings!$B$7,0)+N($I345),IF($D345="Deep clean",INDEX(Settings!$E$22:$E$26,MATCH(MIN(INDEX(Properties!$E$5:$E$104,MATCH($B345,Properties!$A$5:$A$104,0)),4),Settings!$A$22:$A$26,0))+N($I345),IF($D345="Late cancel",INDEX(Properties!$I$5:$I$104,MATCH($B345,Properties!$A$5:$A$104,0))*Settings!$B$10,0))),0))</f>
        <v/>
      </c>
      <c r="O345" s="28" t="str">
        <f aca="false">IF($B345="","",IFERROR(IF($D345="Completed",INDEX(Properties!$L$5:$L$104,MATCH($B345,Properties!$A$5:$A$104,0))+IF($G345="Y",INDEX(Properties!$I$5:$I$104,MATCH($B345,Properties!$A$5:$A$104,0))*Settings!$B$8*Settings!$B$9,0)+IF($H345="Y",Settings!$B$7*Settings!$B$9,0)+N($I345)*Settings!$B$9,IF($D345="Deep clean",INDEX(Settings!$E$22:$E$26,MATCH(MIN(INDEX(Properties!$E$5:$E$104,MATCH($B345,Properties!$A$5:$A$104,0)),4),Settings!$A$22:$A$26,0))*Settings!$B$19+N($I345)*Settings!$B$9,IF($D345="Late cancel",INDEX(Properties!$L$5:$L$104,MATCH($B345,Properties!$A$5:$A$104,0))*Settings!$B$11,0))),0))</f>
        <v/>
      </c>
      <c r="P345" s="28" t="str">
        <f aca="false">IF($B345="","",$N345-$O345)</f>
        <v/>
      </c>
      <c r="Q345" s="29" t="str">
        <f aca="false">IF($A345="","",DATE(YEAR($A345),MONTH($A345),1))</f>
        <v/>
      </c>
      <c r="R345" s="30" t="str">
        <f aca="false">IF($A345="","",$A345+MOD(6-WEEKDAY($A345),7))</f>
        <v/>
      </c>
      <c r="S345" s="31" t="str">
        <f aca="false">IF($B345="","",IF(AND($M345='Invoice Builder'!$C$5,$Q345='Invoice Builder'!$C$6,N($N345)&gt;0),COUNTIFS($M$5:$M345,'Invoice Builder'!$C$5,$Q$5:$Q345,'Invoice Builder'!$C$6,$N$5:$N345,"&gt;0"),""))</f>
        <v/>
      </c>
      <c r="T345" s="27" t="str">
        <f aca="false">IF($A345="","",IF($A345&gt;=DATE(YEAR($A345),4,6),YEAR($A345)&amp;"/"&amp;RIGHT(YEAR($A345)+1,2),YEAR($A345)-1&amp;"/"&amp;RIGHT(YEAR($A345),2)))</f>
        <v/>
      </c>
    </row>
    <row r="346" customFormat="false" ht="15" hidden="false" customHeight="false" outlineLevel="0" collapsed="false">
      <c r="A346" s="22"/>
      <c r="B346" s="23"/>
      <c r="C346" s="23"/>
      <c r="D346" s="23"/>
      <c r="E346" s="24"/>
      <c r="F346" s="24"/>
      <c r="G346" s="23"/>
      <c r="H346" s="23"/>
      <c r="I346" s="25"/>
      <c r="J346" s="23"/>
      <c r="K346" s="23"/>
      <c r="L346" s="26" t="str">
        <f aca="false">IF(OR($E346="",$F346=""),"",MOD($F346-$E346,1)*24)</f>
        <v/>
      </c>
      <c r="M346" s="27" t="str">
        <f aca="false">IF($B346="","",IFERROR(INDEX(Properties!$D$5:$D$104,MATCH($B346,Properties!$A$5:$A$104,0)),"?"))</f>
        <v/>
      </c>
      <c r="N346" s="28" t="str">
        <f aca="false">IF($B346="","",IFERROR(IF($D346="Completed",INDEX(Properties!$I$5:$I$104,MATCH($B346,Properties!$A$5:$A$104,0))*(1+IF($G346="Y",Settings!$B$8,0))+IF($H346="Y",Settings!$B$7,0)+N($I346),IF($D346="Deep clean",INDEX(Settings!$E$22:$E$26,MATCH(MIN(INDEX(Properties!$E$5:$E$104,MATCH($B346,Properties!$A$5:$A$104,0)),4),Settings!$A$22:$A$26,0))+N($I346),IF($D346="Late cancel",INDEX(Properties!$I$5:$I$104,MATCH($B346,Properties!$A$5:$A$104,0))*Settings!$B$10,0))),0))</f>
        <v/>
      </c>
      <c r="O346" s="28" t="str">
        <f aca="false">IF($B346="","",IFERROR(IF($D346="Completed",INDEX(Properties!$L$5:$L$104,MATCH($B346,Properties!$A$5:$A$104,0))+IF($G346="Y",INDEX(Properties!$I$5:$I$104,MATCH($B346,Properties!$A$5:$A$104,0))*Settings!$B$8*Settings!$B$9,0)+IF($H346="Y",Settings!$B$7*Settings!$B$9,0)+N($I346)*Settings!$B$9,IF($D346="Deep clean",INDEX(Settings!$E$22:$E$26,MATCH(MIN(INDEX(Properties!$E$5:$E$104,MATCH($B346,Properties!$A$5:$A$104,0)),4),Settings!$A$22:$A$26,0))*Settings!$B$19+N($I346)*Settings!$B$9,IF($D346="Late cancel",INDEX(Properties!$L$5:$L$104,MATCH($B346,Properties!$A$5:$A$104,0))*Settings!$B$11,0))),0))</f>
        <v/>
      </c>
      <c r="P346" s="28" t="str">
        <f aca="false">IF($B346="","",$N346-$O346)</f>
        <v/>
      </c>
      <c r="Q346" s="29" t="str">
        <f aca="false">IF($A346="","",DATE(YEAR($A346),MONTH($A346),1))</f>
        <v/>
      </c>
      <c r="R346" s="30" t="str">
        <f aca="false">IF($A346="","",$A346+MOD(6-WEEKDAY($A346),7))</f>
        <v/>
      </c>
      <c r="S346" s="31" t="str">
        <f aca="false">IF($B346="","",IF(AND($M346='Invoice Builder'!$C$5,$Q346='Invoice Builder'!$C$6,N($N346)&gt;0),COUNTIFS($M$5:$M346,'Invoice Builder'!$C$5,$Q$5:$Q346,'Invoice Builder'!$C$6,$N$5:$N346,"&gt;0"),""))</f>
        <v/>
      </c>
      <c r="T346" s="27" t="str">
        <f aca="false">IF($A346="","",IF($A346&gt;=DATE(YEAR($A346),4,6),YEAR($A346)&amp;"/"&amp;RIGHT(YEAR($A346)+1,2),YEAR($A346)-1&amp;"/"&amp;RIGHT(YEAR($A346),2)))</f>
        <v/>
      </c>
    </row>
    <row r="347" customFormat="false" ht="15" hidden="false" customHeight="false" outlineLevel="0" collapsed="false">
      <c r="A347" s="22"/>
      <c r="B347" s="23"/>
      <c r="C347" s="23"/>
      <c r="D347" s="23"/>
      <c r="E347" s="24"/>
      <c r="F347" s="24"/>
      <c r="G347" s="23"/>
      <c r="H347" s="23"/>
      <c r="I347" s="25"/>
      <c r="J347" s="23"/>
      <c r="K347" s="23"/>
      <c r="L347" s="26" t="str">
        <f aca="false">IF(OR($E347="",$F347=""),"",MOD($F347-$E347,1)*24)</f>
        <v/>
      </c>
      <c r="M347" s="27" t="str">
        <f aca="false">IF($B347="","",IFERROR(INDEX(Properties!$D$5:$D$104,MATCH($B347,Properties!$A$5:$A$104,0)),"?"))</f>
        <v/>
      </c>
      <c r="N347" s="28" t="str">
        <f aca="false">IF($B347="","",IFERROR(IF($D347="Completed",INDEX(Properties!$I$5:$I$104,MATCH($B347,Properties!$A$5:$A$104,0))*(1+IF($G347="Y",Settings!$B$8,0))+IF($H347="Y",Settings!$B$7,0)+N($I347),IF($D347="Deep clean",INDEX(Settings!$E$22:$E$26,MATCH(MIN(INDEX(Properties!$E$5:$E$104,MATCH($B347,Properties!$A$5:$A$104,0)),4),Settings!$A$22:$A$26,0))+N($I347),IF($D347="Late cancel",INDEX(Properties!$I$5:$I$104,MATCH($B347,Properties!$A$5:$A$104,0))*Settings!$B$10,0))),0))</f>
        <v/>
      </c>
      <c r="O347" s="28" t="str">
        <f aca="false">IF($B347="","",IFERROR(IF($D347="Completed",INDEX(Properties!$L$5:$L$104,MATCH($B347,Properties!$A$5:$A$104,0))+IF($G347="Y",INDEX(Properties!$I$5:$I$104,MATCH($B347,Properties!$A$5:$A$104,0))*Settings!$B$8*Settings!$B$9,0)+IF($H347="Y",Settings!$B$7*Settings!$B$9,0)+N($I347)*Settings!$B$9,IF($D347="Deep clean",INDEX(Settings!$E$22:$E$26,MATCH(MIN(INDEX(Properties!$E$5:$E$104,MATCH($B347,Properties!$A$5:$A$104,0)),4),Settings!$A$22:$A$26,0))*Settings!$B$19+N($I347)*Settings!$B$9,IF($D347="Late cancel",INDEX(Properties!$L$5:$L$104,MATCH($B347,Properties!$A$5:$A$104,0))*Settings!$B$11,0))),0))</f>
        <v/>
      </c>
      <c r="P347" s="28" t="str">
        <f aca="false">IF($B347="","",$N347-$O347)</f>
        <v/>
      </c>
      <c r="Q347" s="29" t="str">
        <f aca="false">IF($A347="","",DATE(YEAR($A347),MONTH($A347),1))</f>
        <v/>
      </c>
      <c r="R347" s="30" t="str">
        <f aca="false">IF($A347="","",$A347+MOD(6-WEEKDAY($A347),7))</f>
        <v/>
      </c>
      <c r="S347" s="31" t="str">
        <f aca="false">IF($B347="","",IF(AND($M347='Invoice Builder'!$C$5,$Q347='Invoice Builder'!$C$6,N($N347)&gt;0),COUNTIFS($M$5:$M347,'Invoice Builder'!$C$5,$Q$5:$Q347,'Invoice Builder'!$C$6,$N$5:$N347,"&gt;0"),""))</f>
        <v/>
      </c>
      <c r="T347" s="27" t="str">
        <f aca="false">IF($A347="","",IF($A347&gt;=DATE(YEAR($A347),4,6),YEAR($A347)&amp;"/"&amp;RIGHT(YEAR($A347)+1,2),YEAR($A347)-1&amp;"/"&amp;RIGHT(YEAR($A347),2)))</f>
        <v/>
      </c>
    </row>
    <row r="348" customFormat="false" ht="15" hidden="false" customHeight="false" outlineLevel="0" collapsed="false">
      <c r="A348" s="22"/>
      <c r="B348" s="23"/>
      <c r="C348" s="23"/>
      <c r="D348" s="23"/>
      <c r="E348" s="24"/>
      <c r="F348" s="24"/>
      <c r="G348" s="23"/>
      <c r="H348" s="23"/>
      <c r="I348" s="25"/>
      <c r="J348" s="23"/>
      <c r="K348" s="23"/>
      <c r="L348" s="26" t="str">
        <f aca="false">IF(OR($E348="",$F348=""),"",MOD($F348-$E348,1)*24)</f>
        <v/>
      </c>
      <c r="M348" s="27" t="str">
        <f aca="false">IF($B348="","",IFERROR(INDEX(Properties!$D$5:$D$104,MATCH($B348,Properties!$A$5:$A$104,0)),"?"))</f>
        <v/>
      </c>
      <c r="N348" s="28" t="str">
        <f aca="false">IF($B348="","",IFERROR(IF($D348="Completed",INDEX(Properties!$I$5:$I$104,MATCH($B348,Properties!$A$5:$A$104,0))*(1+IF($G348="Y",Settings!$B$8,0))+IF($H348="Y",Settings!$B$7,0)+N($I348),IF($D348="Deep clean",INDEX(Settings!$E$22:$E$26,MATCH(MIN(INDEX(Properties!$E$5:$E$104,MATCH($B348,Properties!$A$5:$A$104,0)),4),Settings!$A$22:$A$26,0))+N($I348),IF($D348="Late cancel",INDEX(Properties!$I$5:$I$104,MATCH($B348,Properties!$A$5:$A$104,0))*Settings!$B$10,0))),0))</f>
        <v/>
      </c>
      <c r="O348" s="28" t="str">
        <f aca="false">IF($B348="","",IFERROR(IF($D348="Completed",INDEX(Properties!$L$5:$L$104,MATCH($B348,Properties!$A$5:$A$104,0))+IF($G348="Y",INDEX(Properties!$I$5:$I$104,MATCH($B348,Properties!$A$5:$A$104,0))*Settings!$B$8*Settings!$B$9,0)+IF($H348="Y",Settings!$B$7*Settings!$B$9,0)+N($I348)*Settings!$B$9,IF($D348="Deep clean",INDEX(Settings!$E$22:$E$26,MATCH(MIN(INDEX(Properties!$E$5:$E$104,MATCH($B348,Properties!$A$5:$A$104,0)),4),Settings!$A$22:$A$26,0))*Settings!$B$19+N($I348)*Settings!$B$9,IF($D348="Late cancel",INDEX(Properties!$L$5:$L$104,MATCH($B348,Properties!$A$5:$A$104,0))*Settings!$B$11,0))),0))</f>
        <v/>
      </c>
      <c r="P348" s="28" t="str">
        <f aca="false">IF($B348="","",$N348-$O348)</f>
        <v/>
      </c>
      <c r="Q348" s="29" t="str">
        <f aca="false">IF($A348="","",DATE(YEAR($A348),MONTH($A348),1))</f>
        <v/>
      </c>
      <c r="R348" s="30" t="str">
        <f aca="false">IF($A348="","",$A348+MOD(6-WEEKDAY($A348),7))</f>
        <v/>
      </c>
      <c r="S348" s="31" t="str">
        <f aca="false">IF($B348="","",IF(AND($M348='Invoice Builder'!$C$5,$Q348='Invoice Builder'!$C$6,N($N348)&gt;0),COUNTIFS($M$5:$M348,'Invoice Builder'!$C$5,$Q$5:$Q348,'Invoice Builder'!$C$6,$N$5:$N348,"&gt;0"),""))</f>
        <v/>
      </c>
      <c r="T348" s="27" t="str">
        <f aca="false">IF($A348="","",IF($A348&gt;=DATE(YEAR($A348),4,6),YEAR($A348)&amp;"/"&amp;RIGHT(YEAR($A348)+1,2),YEAR($A348)-1&amp;"/"&amp;RIGHT(YEAR($A348),2)))</f>
        <v/>
      </c>
    </row>
    <row r="349" customFormat="false" ht="15" hidden="false" customHeight="false" outlineLevel="0" collapsed="false">
      <c r="A349" s="22"/>
      <c r="B349" s="23"/>
      <c r="C349" s="23"/>
      <c r="D349" s="23"/>
      <c r="E349" s="24"/>
      <c r="F349" s="24"/>
      <c r="G349" s="23"/>
      <c r="H349" s="23"/>
      <c r="I349" s="25"/>
      <c r="J349" s="23"/>
      <c r="K349" s="23"/>
      <c r="L349" s="26" t="str">
        <f aca="false">IF(OR($E349="",$F349=""),"",MOD($F349-$E349,1)*24)</f>
        <v/>
      </c>
      <c r="M349" s="27" t="str">
        <f aca="false">IF($B349="","",IFERROR(INDEX(Properties!$D$5:$D$104,MATCH($B349,Properties!$A$5:$A$104,0)),"?"))</f>
        <v/>
      </c>
      <c r="N349" s="28" t="str">
        <f aca="false">IF($B349="","",IFERROR(IF($D349="Completed",INDEX(Properties!$I$5:$I$104,MATCH($B349,Properties!$A$5:$A$104,0))*(1+IF($G349="Y",Settings!$B$8,0))+IF($H349="Y",Settings!$B$7,0)+N($I349),IF($D349="Deep clean",INDEX(Settings!$E$22:$E$26,MATCH(MIN(INDEX(Properties!$E$5:$E$104,MATCH($B349,Properties!$A$5:$A$104,0)),4),Settings!$A$22:$A$26,0))+N($I349),IF($D349="Late cancel",INDEX(Properties!$I$5:$I$104,MATCH($B349,Properties!$A$5:$A$104,0))*Settings!$B$10,0))),0))</f>
        <v/>
      </c>
      <c r="O349" s="28" t="str">
        <f aca="false">IF($B349="","",IFERROR(IF($D349="Completed",INDEX(Properties!$L$5:$L$104,MATCH($B349,Properties!$A$5:$A$104,0))+IF($G349="Y",INDEX(Properties!$I$5:$I$104,MATCH($B349,Properties!$A$5:$A$104,0))*Settings!$B$8*Settings!$B$9,0)+IF($H349="Y",Settings!$B$7*Settings!$B$9,0)+N($I349)*Settings!$B$9,IF($D349="Deep clean",INDEX(Settings!$E$22:$E$26,MATCH(MIN(INDEX(Properties!$E$5:$E$104,MATCH($B349,Properties!$A$5:$A$104,0)),4),Settings!$A$22:$A$26,0))*Settings!$B$19+N($I349)*Settings!$B$9,IF($D349="Late cancel",INDEX(Properties!$L$5:$L$104,MATCH($B349,Properties!$A$5:$A$104,0))*Settings!$B$11,0))),0))</f>
        <v/>
      </c>
      <c r="P349" s="28" t="str">
        <f aca="false">IF($B349="","",$N349-$O349)</f>
        <v/>
      </c>
      <c r="Q349" s="29" t="str">
        <f aca="false">IF($A349="","",DATE(YEAR($A349),MONTH($A349),1))</f>
        <v/>
      </c>
      <c r="R349" s="30" t="str">
        <f aca="false">IF($A349="","",$A349+MOD(6-WEEKDAY($A349),7))</f>
        <v/>
      </c>
      <c r="S349" s="31" t="str">
        <f aca="false">IF($B349="","",IF(AND($M349='Invoice Builder'!$C$5,$Q349='Invoice Builder'!$C$6,N($N349)&gt;0),COUNTIFS($M$5:$M349,'Invoice Builder'!$C$5,$Q$5:$Q349,'Invoice Builder'!$C$6,$N$5:$N349,"&gt;0"),""))</f>
        <v/>
      </c>
      <c r="T349" s="27" t="str">
        <f aca="false">IF($A349="","",IF($A349&gt;=DATE(YEAR($A349),4,6),YEAR($A349)&amp;"/"&amp;RIGHT(YEAR($A349)+1,2),YEAR($A349)-1&amp;"/"&amp;RIGHT(YEAR($A349),2)))</f>
        <v/>
      </c>
    </row>
    <row r="350" customFormat="false" ht="15" hidden="false" customHeight="false" outlineLevel="0" collapsed="false">
      <c r="A350" s="22"/>
      <c r="B350" s="23"/>
      <c r="C350" s="23"/>
      <c r="D350" s="23"/>
      <c r="E350" s="24"/>
      <c r="F350" s="24"/>
      <c r="G350" s="23"/>
      <c r="H350" s="23"/>
      <c r="I350" s="25"/>
      <c r="J350" s="23"/>
      <c r="K350" s="23"/>
      <c r="L350" s="26" t="str">
        <f aca="false">IF(OR($E350="",$F350=""),"",MOD($F350-$E350,1)*24)</f>
        <v/>
      </c>
      <c r="M350" s="27" t="str">
        <f aca="false">IF($B350="","",IFERROR(INDEX(Properties!$D$5:$D$104,MATCH($B350,Properties!$A$5:$A$104,0)),"?"))</f>
        <v/>
      </c>
      <c r="N350" s="28" t="str">
        <f aca="false">IF($B350="","",IFERROR(IF($D350="Completed",INDEX(Properties!$I$5:$I$104,MATCH($B350,Properties!$A$5:$A$104,0))*(1+IF($G350="Y",Settings!$B$8,0))+IF($H350="Y",Settings!$B$7,0)+N($I350),IF($D350="Deep clean",INDEX(Settings!$E$22:$E$26,MATCH(MIN(INDEX(Properties!$E$5:$E$104,MATCH($B350,Properties!$A$5:$A$104,0)),4),Settings!$A$22:$A$26,0))+N($I350),IF($D350="Late cancel",INDEX(Properties!$I$5:$I$104,MATCH($B350,Properties!$A$5:$A$104,0))*Settings!$B$10,0))),0))</f>
        <v/>
      </c>
      <c r="O350" s="28" t="str">
        <f aca="false">IF($B350="","",IFERROR(IF($D350="Completed",INDEX(Properties!$L$5:$L$104,MATCH($B350,Properties!$A$5:$A$104,0))+IF($G350="Y",INDEX(Properties!$I$5:$I$104,MATCH($B350,Properties!$A$5:$A$104,0))*Settings!$B$8*Settings!$B$9,0)+IF($H350="Y",Settings!$B$7*Settings!$B$9,0)+N($I350)*Settings!$B$9,IF($D350="Deep clean",INDEX(Settings!$E$22:$E$26,MATCH(MIN(INDEX(Properties!$E$5:$E$104,MATCH($B350,Properties!$A$5:$A$104,0)),4),Settings!$A$22:$A$26,0))*Settings!$B$19+N($I350)*Settings!$B$9,IF($D350="Late cancel",INDEX(Properties!$L$5:$L$104,MATCH($B350,Properties!$A$5:$A$104,0))*Settings!$B$11,0))),0))</f>
        <v/>
      </c>
      <c r="P350" s="28" t="str">
        <f aca="false">IF($B350="","",$N350-$O350)</f>
        <v/>
      </c>
      <c r="Q350" s="29" t="str">
        <f aca="false">IF($A350="","",DATE(YEAR($A350),MONTH($A350),1))</f>
        <v/>
      </c>
      <c r="R350" s="30" t="str">
        <f aca="false">IF($A350="","",$A350+MOD(6-WEEKDAY($A350),7))</f>
        <v/>
      </c>
      <c r="S350" s="31" t="str">
        <f aca="false">IF($B350="","",IF(AND($M350='Invoice Builder'!$C$5,$Q350='Invoice Builder'!$C$6,N($N350)&gt;0),COUNTIFS($M$5:$M350,'Invoice Builder'!$C$5,$Q$5:$Q350,'Invoice Builder'!$C$6,$N$5:$N350,"&gt;0"),""))</f>
        <v/>
      </c>
      <c r="T350" s="27" t="str">
        <f aca="false">IF($A350="","",IF($A350&gt;=DATE(YEAR($A350),4,6),YEAR($A350)&amp;"/"&amp;RIGHT(YEAR($A350)+1,2),YEAR($A350)-1&amp;"/"&amp;RIGHT(YEAR($A350),2)))</f>
        <v/>
      </c>
    </row>
    <row r="351" customFormat="false" ht="15" hidden="false" customHeight="false" outlineLevel="0" collapsed="false">
      <c r="A351" s="22"/>
      <c r="B351" s="23"/>
      <c r="C351" s="23"/>
      <c r="D351" s="23"/>
      <c r="E351" s="24"/>
      <c r="F351" s="24"/>
      <c r="G351" s="23"/>
      <c r="H351" s="23"/>
      <c r="I351" s="25"/>
      <c r="J351" s="23"/>
      <c r="K351" s="23"/>
      <c r="L351" s="26" t="str">
        <f aca="false">IF(OR($E351="",$F351=""),"",MOD($F351-$E351,1)*24)</f>
        <v/>
      </c>
      <c r="M351" s="27" t="str">
        <f aca="false">IF($B351="","",IFERROR(INDEX(Properties!$D$5:$D$104,MATCH($B351,Properties!$A$5:$A$104,0)),"?"))</f>
        <v/>
      </c>
      <c r="N351" s="28" t="str">
        <f aca="false">IF($B351="","",IFERROR(IF($D351="Completed",INDEX(Properties!$I$5:$I$104,MATCH($B351,Properties!$A$5:$A$104,0))*(1+IF($G351="Y",Settings!$B$8,0))+IF($H351="Y",Settings!$B$7,0)+N($I351),IF($D351="Deep clean",INDEX(Settings!$E$22:$E$26,MATCH(MIN(INDEX(Properties!$E$5:$E$104,MATCH($B351,Properties!$A$5:$A$104,0)),4),Settings!$A$22:$A$26,0))+N($I351),IF($D351="Late cancel",INDEX(Properties!$I$5:$I$104,MATCH($B351,Properties!$A$5:$A$104,0))*Settings!$B$10,0))),0))</f>
        <v/>
      </c>
      <c r="O351" s="28" t="str">
        <f aca="false">IF($B351="","",IFERROR(IF($D351="Completed",INDEX(Properties!$L$5:$L$104,MATCH($B351,Properties!$A$5:$A$104,0))+IF($G351="Y",INDEX(Properties!$I$5:$I$104,MATCH($B351,Properties!$A$5:$A$104,0))*Settings!$B$8*Settings!$B$9,0)+IF($H351="Y",Settings!$B$7*Settings!$B$9,0)+N($I351)*Settings!$B$9,IF($D351="Deep clean",INDEX(Settings!$E$22:$E$26,MATCH(MIN(INDEX(Properties!$E$5:$E$104,MATCH($B351,Properties!$A$5:$A$104,0)),4),Settings!$A$22:$A$26,0))*Settings!$B$19+N($I351)*Settings!$B$9,IF($D351="Late cancel",INDEX(Properties!$L$5:$L$104,MATCH($B351,Properties!$A$5:$A$104,0))*Settings!$B$11,0))),0))</f>
        <v/>
      </c>
      <c r="P351" s="28" t="str">
        <f aca="false">IF($B351="","",$N351-$O351)</f>
        <v/>
      </c>
      <c r="Q351" s="29" t="str">
        <f aca="false">IF($A351="","",DATE(YEAR($A351),MONTH($A351),1))</f>
        <v/>
      </c>
      <c r="R351" s="30" t="str">
        <f aca="false">IF($A351="","",$A351+MOD(6-WEEKDAY($A351),7))</f>
        <v/>
      </c>
      <c r="S351" s="31" t="str">
        <f aca="false">IF($B351="","",IF(AND($M351='Invoice Builder'!$C$5,$Q351='Invoice Builder'!$C$6,N($N351)&gt;0),COUNTIFS($M$5:$M351,'Invoice Builder'!$C$5,$Q$5:$Q351,'Invoice Builder'!$C$6,$N$5:$N351,"&gt;0"),""))</f>
        <v/>
      </c>
      <c r="T351" s="27" t="str">
        <f aca="false">IF($A351="","",IF($A351&gt;=DATE(YEAR($A351),4,6),YEAR($A351)&amp;"/"&amp;RIGHT(YEAR($A351)+1,2),YEAR($A351)-1&amp;"/"&amp;RIGHT(YEAR($A351),2)))</f>
        <v/>
      </c>
    </row>
    <row r="352" customFormat="false" ht="15" hidden="false" customHeight="false" outlineLevel="0" collapsed="false">
      <c r="A352" s="22"/>
      <c r="B352" s="23"/>
      <c r="C352" s="23"/>
      <c r="D352" s="23"/>
      <c r="E352" s="24"/>
      <c r="F352" s="24"/>
      <c r="G352" s="23"/>
      <c r="H352" s="23"/>
      <c r="I352" s="25"/>
      <c r="J352" s="23"/>
      <c r="K352" s="23"/>
      <c r="L352" s="26" t="str">
        <f aca="false">IF(OR($E352="",$F352=""),"",MOD($F352-$E352,1)*24)</f>
        <v/>
      </c>
      <c r="M352" s="27" t="str">
        <f aca="false">IF($B352="","",IFERROR(INDEX(Properties!$D$5:$D$104,MATCH($B352,Properties!$A$5:$A$104,0)),"?"))</f>
        <v/>
      </c>
      <c r="N352" s="28" t="str">
        <f aca="false">IF($B352="","",IFERROR(IF($D352="Completed",INDEX(Properties!$I$5:$I$104,MATCH($B352,Properties!$A$5:$A$104,0))*(1+IF($G352="Y",Settings!$B$8,0))+IF($H352="Y",Settings!$B$7,0)+N($I352),IF($D352="Deep clean",INDEX(Settings!$E$22:$E$26,MATCH(MIN(INDEX(Properties!$E$5:$E$104,MATCH($B352,Properties!$A$5:$A$104,0)),4),Settings!$A$22:$A$26,0))+N($I352),IF($D352="Late cancel",INDEX(Properties!$I$5:$I$104,MATCH($B352,Properties!$A$5:$A$104,0))*Settings!$B$10,0))),0))</f>
        <v/>
      </c>
      <c r="O352" s="28" t="str">
        <f aca="false">IF($B352="","",IFERROR(IF($D352="Completed",INDEX(Properties!$L$5:$L$104,MATCH($B352,Properties!$A$5:$A$104,0))+IF($G352="Y",INDEX(Properties!$I$5:$I$104,MATCH($B352,Properties!$A$5:$A$104,0))*Settings!$B$8*Settings!$B$9,0)+IF($H352="Y",Settings!$B$7*Settings!$B$9,0)+N($I352)*Settings!$B$9,IF($D352="Deep clean",INDEX(Settings!$E$22:$E$26,MATCH(MIN(INDEX(Properties!$E$5:$E$104,MATCH($B352,Properties!$A$5:$A$104,0)),4),Settings!$A$22:$A$26,0))*Settings!$B$19+N($I352)*Settings!$B$9,IF($D352="Late cancel",INDEX(Properties!$L$5:$L$104,MATCH($B352,Properties!$A$5:$A$104,0))*Settings!$B$11,0))),0))</f>
        <v/>
      </c>
      <c r="P352" s="28" t="str">
        <f aca="false">IF($B352="","",$N352-$O352)</f>
        <v/>
      </c>
      <c r="Q352" s="29" t="str">
        <f aca="false">IF($A352="","",DATE(YEAR($A352),MONTH($A352),1))</f>
        <v/>
      </c>
      <c r="R352" s="30" t="str">
        <f aca="false">IF($A352="","",$A352+MOD(6-WEEKDAY($A352),7))</f>
        <v/>
      </c>
      <c r="S352" s="31" t="str">
        <f aca="false">IF($B352="","",IF(AND($M352='Invoice Builder'!$C$5,$Q352='Invoice Builder'!$C$6,N($N352)&gt;0),COUNTIFS($M$5:$M352,'Invoice Builder'!$C$5,$Q$5:$Q352,'Invoice Builder'!$C$6,$N$5:$N352,"&gt;0"),""))</f>
        <v/>
      </c>
      <c r="T352" s="27" t="str">
        <f aca="false">IF($A352="","",IF($A352&gt;=DATE(YEAR($A352),4,6),YEAR($A352)&amp;"/"&amp;RIGHT(YEAR($A352)+1,2),YEAR($A352)-1&amp;"/"&amp;RIGHT(YEAR($A352),2)))</f>
        <v/>
      </c>
    </row>
    <row r="353" customFormat="false" ht="15" hidden="false" customHeight="false" outlineLevel="0" collapsed="false">
      <c r="A353" s="22"/>
      <c r="B353" s="23"/>
      <c r="C353" s="23"/>
      <c r="D353" s="23"/>
      <c r="E353" s="24"/>
      <c r="F353" s="24"/>
      <c r="G353" s="23"/>
      <c r="H353" s="23"/>
      <c r="I353" s="25"/>
      <c r="J353" s="23"/>
      <c r="K353" s="23"/>
      <c r="L353" s="26" t="str">
        <f aca="false">IF(OR($E353="",$F353=""),"",MOD($F353-$E353,1)*24)</f>
        <v/>
      </c>
      <c r="M353" s="27" t="str">
        <f aca="false">IF($B353="","",IFERROR(INDEX(Properties!$D$5:$D$104,MATCH($B353,Properties!$A$5:$A$104,0)),"?"))</f>
        <v/>
      </c>
      <c r="N353" s="28" t="str">
        <f aca="false">IF($B353="","",IFERROR(IF($D353="Completed",INDEX(Properties!$I$5:$I$104,MATCH($B353,Properties!$A$5:$A$104,0))*(1+IF($G353="Y",Settings!$B$8,0))+IF($H353="Y",Settings!$B$7,0)+N($I353),IF($D353="Deep clean",INDEX(Settings!$E$22:$E$26,MATCH(MIN(INDEX(Properties!$E$5:$E$104,MATCH($B353,Properties!$A$5:$A$104,0)),4),Settings!$A$22:$A$26,0))+N($I353),IF($D353="Late cancel",INDEX(Properties!$I$5:$I$104,MATCH($B353,Properties!$A$5:$A$104,0))*Settings!$B$10,0))),0))</f>
        <v/>
      </c>
      <c r="O353" s="28" t="str">
        <f aca="false">IF($B353="","",IFERROR(IF($D353="Completed",INDEX(Properties!$L$5:$L$104,MATCH($B353,Properties!$A$5:$A$104,0))+IF($G353="Y",INDEX(Properties!$I$5:$I$104,MATCH($B353,Properties!$A$5:$A$104,0))*Settings!$B$8*Settings!$B$9,0)+IF($H353="Y",Settings!$B$7*Settings!$B$9,0)+N($I353)*Settings!$B$9,IF($D353="Deep clean",INDEX(Settings!$E$22:$E$26,MATCH(MIN(INDEX(Properties!$E$5:$E$104,MATCH($B353,Properties!$A$5:$A$104,0)),4),Settings!$A$22:$A$26,0))*Settings!$B$19+N($I353)*Settings!$B$9,IF($D353="Late cancel",INDEX(Properties!$L$5:$L$104,MATCH($B353,Properties!$A$5:$A$104,0))*Settings!$B$11,0))),0))</f>
        <v/>
      </c>
      <c r="P353" s="28" t="str">
        <f aca="false">IF($B353="","",$N353-$O353)</f>
        <v/>
      </c>
      <c r="Q353" s="29" t="str">
        <f aca="false">IF($A353="","",DATE(YEAR($A353),MONTH($A353),1))</f>
        <v/>
      </c>
      <c r="R353" s="30" t="str">
        <f aca="false">IF($A353="","",$A353+MOD(6-WEEKDAY($A353),7))</f>
        <v/>
      </c>
      <c r="S353" s="31" t="str">
        <f aca="false">IF($B353="","",IF(AND($M353='Invoice Builder'!$C$5,$Q353='Invoice Builder'!$C$6,N($N353)&gt;0),COUNTIFS($M$5:$M353,'Invoice Builder'!$C$5,$Q$5:$Q353,'Invoice Builder'!$C$6,$N$5:$N353,"&gt;0"),""))</f>
        <v/>
      </c>
      <c r="T353" s="27" t="str">
        <f aca="false">IF($A353="","",IF($A353&gt;=DATE(YEAR($A353),4,6),YEAR($A353)&amp;"/"&amp;RIGHT(YEAR($A353)+1,2),YEAR($A353)-1&amp;"/"&amp;RIGHT(YEAR($A353),2)))</f>
        <v/>
      </c>
    </row>
    <row r="354" customFormat="false" ht="15" hidden="false" customHeight="false" outlineLevel="0" collapsed="false">
      <c r="A354" s="22"/>
      <c r="B354" s="23"/>
      <c r="C354" s="23"/>
      <c r="D354" s="23"/>
      <c r="E354" s="24"/>
      <c r="F354" s="24"/>
      <c r="G354" s="23"/>
      <c r="H354" s="23"/>
      <c r="I354" s="25"/>
      <c r="J354" s="23"/>
      <c r="K354" s="23"/>
      <c r="L354" s="26" t="str">
        <f aca="false">IF(OR($E354="",$F354=""),"",MOD($F354-$E354,1)*24)</f>
        <v/>
      </c>
      <c r="M354" s="27" t="str">
        <f aca="false">IF($B354="","",IFERROR(INDEX(Properties!$D$5:$D$104,MATCH($B354,Properties!$A$5:$A$104,0)),"?"))</f>
        <v/>
      </c>
      <c r="N354" s="28" t="str">
        <f aca="false">IF($B354="","",IFERROR(IF($D354="Completed",INDEX(Properties!$I$5:$I$104,MATCH($B354,Properties!$A$5:$A$104,0))*(1+IF($G354="Y",Settings!$B$8,0))+IF($H354="Y",Settings!$B$7,0)+N($I354),IF($D354="Deep clean",INDEX(Settings!$E$22:$E$26,MATCH(MIN(INDEX(Properties!$E$5:$E$104,MATCH($B354,Properties!$A$5:$A$104,0)),4),Settings!$A$22:$A$26,0))+N($I354),IF($D354="Late cancel",INDEX(Properties!$I$5:$I$104,MATCH($B354,Properties!$A$5:$A$104,0))*Settings!$B$10,0))),0))</f>
        <v/>
      </c>
      <c r="O354" s="28" t="str">
        <f aca="false">IF($B354="","",IFERROR(IF($D354="Completed",INDEX(Properties!$L$5:$L$104,MATCH($B354,Properties!$A$5:$A$104,0))+IF($G354="Y",INDEX(Properties!$I$5:$I$104,MATCH($B354,Properties!$A$5:$A$104,0))*Settings!$B$8*Settings!$B$9,0)+IF($H354="Y",Settings!$B$7*Settings!$B$9,0)+N($I354)*Settings!$B$9,IF($D354="Deep clean",INDEX(Settings!$E$22:$E$26,MATCH(MIN(INDEX(Properties!$E$5:$E$104,MATCH($B354,Properties!$A$5:$A$104,0)),4),Settings!$A$22:$A$26,0))*Settings!$B$19+N($I354)*Settings!$B$9,IF($D354="Late cancel",INDEX(Properties!$L$5:$L$104,MATCH($B354,Properties!$A$5:$A$104,0))*Settings!$B$11,0))),0))</f>
        <v/>
      </c>
      <c r="P354" s="28" t="str">
        <f aca="false">IF($B354="","",$N354-$O354)</f>
        <v/>
      </c>
      <c r="Q354" s="29" t="str">
        <f aca="false">IF($A354="","",DATE(YEAR($A354),MONTH($A354),1))</f>
        <v/>
      </c>
      <c r="R354" s="30" t="str">
        <f aca="false">IF($A354="","",$A354+MOD(6-WEEKDAY($A354),7))</f>
        <v/>
      </c>
      <c r="S354" s="31" t="str">
        <f aca="false">IF($B354="","",IF(AND($M354='Invoice Builder'!$C$5,$Q354='Invoice Builder'!$C$6,N($N354)&gt;0),COUNTIFS($M$5:$M354,'Invoice Builder'!$C$5,$Q$5:$Q354,'Invoice Builder'!$C$6,$N$5:$N354,"&gt;0"),""))</f>
        <v/>
      </c>
      <c r="T354" s="27" t="str">
        <f aca="false">IF($A354="","",IF($A354&gt;=DATE(YEAR($A354),4,6),YEAR($A354)&amp;"/"&amp;RIGHT(YEAR($A354)+1,2),YEAR($A354)-1&amp;"/"&amp;RIGHT(YEAR($A354),2)))</f>
        <v/>
      </c>
    </row>
    <row r="355" customFormat="false" ht="15" hidden="false" customHeight="false" outlineLevel="0" collapsed="false">
      <c r="A355" s="22"/>
      <c r="B355" s="23"/>
      <c r="C355" s="23"/>
      <c r="D355" s="23"/>
      <c r="E355" s="24"/>
      <c r="F355" s="24"/>
      <c r="G355" s="23"/>
      <c r="H355" s="23"/>
      <c r="I355" s="25"/>
      <c r="J355" s="23"/>
      <c r="K355" s="23"/>
      <c r="L355" s="26" t="str">
        <f aca="false">IF(OR($E355="",$F355=""),"",MOD($F355-$E355,1)*24)</f>
        <v/>
      </c>
      <c r="M355" s="27" t="str">
        <f aca="false">IF($B355="","",IFERROR(INDEX(Properties!$D$5:$D$104,MATCH($B355,Properties!$A$5:$A$104,0)),"?"))</f>
        <v/>
      </c>
      <c r="N355" s="28" t="str">
        <f aca="false">IF($B355="","",IFERROR(IF($D355="Completed",INDEX(Properties!$I$5:$I$104,MATCH($B355,Properties!$A$5:$A$104,0))*(1+IF($G355="Y",Settings!$B$8,0))+IF($H355="Y",Settings!$B$7,0)+N($I355),IF($D355="Deep clean",INDEX(Settings!$E$22:$E$26,MATCH(MIN(INDEX(Properties!$E$5:$E$104,MATCH($B355,Properties!$A$5:$A$104,0)),4),Settings!$A$22:$A$26,0))+N($I355),IF($D355="Late cancel",INDEX(Properties!$I$5:$I$104,MATCH($B355,Properties!$A$5:$A$104,0))*Settings!$B$10,0))),0))</f>
        <v/>
      </c>
      <c r="O355" s="28" t="str">
        <f aca="false">IF($B355="","",IFERROR(IF($D355="Completed",INDEX(Properties!$L$5:$L$104,MATCH($B355,Properties!$A$5:$A$104,0))+IF($G355="Y",INDEX(Properties!$I$5:$I$104,MATCH($B355,Properties!$A$5:$A$104,0))*Settings!$B$8*Settings!$B$9,0)+IF($H355="Y",Settings!$B$7*Settings!$B$9,0)+N($I355)*Settings!$B$9,IF($D355="Deep clean",INDEX(Settings!$E$22:$E$26,MATCH(MIN(INDEX(Properties!$E$5:$E$104,MATCH($B355,Properties!$A$5:$A$104,0)),4),Settings!$A$22:$A$26,0))*Settings!$B$19+N($I355)*Settings!$B$9,IF($D355="Late cancel",INDEX(Properties!$L$5:$L$104,MATCH($B355,Properties!$A$5:$A$104,0))*Settings!$B$11,0))),0))</f>
        <v/>
      </c>
      <c r="P355" s="28" t="str">
        <f aca="false">IF($B355="","",$N355-$O355)</f>
        <v/>
      </c>
      <c r="Q355" s="29" t="str">
        <f aca="false">IF($A355="","",DATE(YEAR($A355),MONTH($A355),1))</f>
        <v/>
      </c>
      <c r="R355" s="30" t="str">
        <f aca="false">IF($A355="","",$A355+MOD(6-WEEKDAY($A355),7))</f>
        <v/>
      </c>
      <c r="S355" s="31" t="str">
        <f aca="false">IF($B355="","",IF(AND($M355='Invoice Builder'!$C$5,$Q355='Invoice Builder'!$C$6,N($N355)&gt;0),COUNTIFS($M$5:$M355,'Invoice Builder'!$C$5,$Q$5:$Q355,'Invoice Builder'!$C$6,$N$5:$N355,"&gt;0"),""))</f>
        <v/>
      </c>
      <c r="T355" s="27" t="str">
        <f aca="false">IF($A355="","",IF($A355&gt;=DATE(YEAR($A355),4,6),YEAR($A355)&amp;"/"&amp;RIGHT(YEAR($A355)+1,2),YEAR($A355)-1&amp;"/"&amp;RIGHT(YEAR($A355),2)))</f>
        <v/>
      </c>
    </row>
    <row r="356" customFormat="false" ht="15" hidden="false" customHeight="false" outlineLevel="0" collapsed="false">
      <c r="A356" s="22"/>
      <c r="B356" s="23"/>
      <c r="C356" s="23"/>
      <c r="D356" s="23"/>
      <c r="E356" s="24"/>
      <c r="F356" s="24"/>
      <c r="G356" s="23"/>
      <c r="H356" s="23"/>
      <c r="I356" s="25"/>
      <c r="J356" s="23"/>
      <c r="K356" s="23"/>
      <c r="L356" s="26" t="str">
        <f aca="false">IF(OR($E356="",$F356=""),"",MOD($F356-$E356,1)*24)</f>
        <v/>
      </c>
      <c r="M356" s="27" t="str">
        <f aca="false">IF($B356="","",IFERROR(INDEX(Properties!$D$5:$D$104,MATCH($B356,Properties!$A$5:$A$104,0)),"?"))</f>
        <v/>
      </c>
      <c r="N356" s="28" t="str">
        <f aca="false">IF($B356="","",IFERROR(IF($D356="Completed",INDEX(Properties!$I$5:$I$104,MATCH($B356,Properties!$A$5:$A$104,0))*(1+IF($G356="Y",Settings!$B$8,0))+IF($H356="Y",Settings!$B$7,0)+N($I356),IF($D356="Deep clean",INDEX(Settings!$E$22:$E$26,MATCH(MIN(INDEX(Properties!$E$5:$E$104,MATCH($B356,Properties!$A$5:$A$104,0)),4),Settings!$A$22:$A$26,0))+N($I356),IF($D356="Late cancel",INDEX(Properties!$I$5:$I$104,MATCH($B356,Properties!$A$5:$A$104,0))*Settings!$B$10,0))),0))</f>
        <v/>
      </c>
      <c r="O356" s="28" t="str">
        <f aca="false">IF($B356="","",IFERROR(IF($D356="Completed",INDEX(Properties!$L$5:$L$104,MATCH($B356,Properties!$A$5:$A$104,0))+IF($G356="Y",INDEX(Properties!$I$5:$I$104,MATCH($B356,Properties!$A$5:$A$104,0))*Settings!$B$8*Settings!$B$9,0)+IF($H356="Y",Settings!$B$7*Settings!$B$9,0)+N($I356)*Settings!$B$9,IF($D356="Deep clean",INDEX(Settings!$E$22:$E$26,MATCH(MIN(INDEX(Properties!$E$5:$E$104,MATCH($B356,Properties!$A$5:$A$104,0)),4),Settings!$A$22:$A$26,0))*Settings!$B$19+N($I356)*Settings!$B$9,IF($D356="Late cancel",INDEX(Properties!$L$5:$L$104,MATCH($B356,Properties!$A$5:$A$104,0))*Settings!$B$11,0))),0))</f>
        <v/>
      </c>
      <c r="P356" s="28" t="str">
        <f aca="false">IF($B356="","",$N356-$O356)</f>
        <v/>
      </c>
      <c r="Q356" s="29" t="str">
        <f aca="false">IF($A356="","",DATE(YEAR($A356),MONTH($A356),1))</f>
        <v/>
      </c>
      <c r="R356" s="30" t="str">
        <f aca="false">IF($A356="","",$A356+MOD(6-WEEKDAY($A356),7))</f>
        <v/>
      </c>
      <c r="S356" s="31" t="str">
        <f aca="false">IF($B356="","",IF(AND($M356='Invoice Builder'!$C$5,$Q356='Invoice Builder'!$C$6,N($N356)&gt;0),COUNTIFS($M$5:$M356,'Invoice Builder'!$C$5,$Q$5:$Q356,'Invoice Builder'!$C$6,$N$5:$N356,"&gt;0"),""))</f>
        <v/>
      </c>
      <c r="T356" s="27" t="str">
        <f aca="false">IF($A356="","",IF($A356&gt;=DATE(YEAR($A356),4,6),YEAR($A356)&amp;"/"&amp;RIGHT(YEAR($A356)+1,2),YEAR($A356)-1&amp;"/"&amp;RIGHT(YEAR($A356),2)))</f>
        <v/>
      </c>
    </row>
    <row r="357" customFormat="false" ht="15" hidden="false" customHeight="false" outlineLevel="0" collapsed="false">
      <c r="A357" s="22"/>
      <c r="B357" s="23"/>
      <c r="C357" s="23"/>
      <c r="D357" s="23"/>
      <c r="E357" s="24"/>
      <c r="F357" s="24"/>
      <c r="G357" s="23"/>
      <c r="H357" s="23"/>
      <c r="I357" s="25"/>
      <c r="J357" s="23"/>
      <c r="K357" s="23"/>
      <c r="L357" s="26" t="str">
        <f aca="false">IF(OR($E357="",$F357=""),"",MOD($F357-$E357,1)*24)</f>
        <v/>
      </c>
      <c r="M357" s="27" t="str">
        <f aca="false">IF($B357="","",IFERROR(INDEX(Properties!$D$5:$D$104,MATCH($B357,Properties!$A$5:$A$104,0)),"?"))</f>
        <v/>
      </c>
      <c r="N357" s="28" t="str">
        <f aca="false">IF($B357="","",IFERROR(IF($D357="Completed",INDEX(Properties!$I$5:$I$104,MATCH($B357,Properties!$A$5:$A$104,0))*(1+IF($G357="Y",Settings!$B$8,0))+IF($H357="Y",Settings!$B$7,0)+N($I357),IF($D357="Deep clean",INDEX(Settings!$E$22:$E$26,MATCH(MIN(INDEX(Properties!$E$5:$E$104,MATCH($B357,Properties!$A$5:$A$104,0)),4),Settings!$A$22:$A$26,0))+N($I357),IF($D357="Late cancel",INDEX(Properties!$I$5:$I$104,MATCH($B357,Properties!$A$5:$A$104,0))*Settings!$B$10,0))),0))</f>
        <v/>
      </c>
      <c r="O357" s="28" t="str">
        <f aca="false">IF($B357="","",IFERROR(IF($D357="Completed",INDEX(Properties!$L$5:$L$104,MATCH($B357,Properties!$A$5:$A$104,0))+IF($G357="Y",INDEX(Properties!$I$5:$I$104,MATCH($B357,Properties!$A$5:$A$104,0))*Settings!$B$8*Settings!$B$9,0)+IF($H357="Y",Settings!$B$7*Settings!$B$9,0)+N($I357)*Settings!$B$9,IF($D357="Deep clean",INDEX(Settings!$E$22:$E$26,MATCH(MIN(INDEX(Properties!$E$5:$E$104,MATCH($B357,Properties!$A$5:$A$104,0)),4),Settings!$A$22:$A$26,0))*Settings!$B$19+N($I357)*Settings!$B$9,IF($D357="Late cancel",INDEX(Properties!$L$5:$L$104,MATCH($B357,Properties!$A$5:$A$104,0))*Settings!$B$11,0))),0))</f>
        <v/>
      </c>
      <c r="P357" s="28" t="str">
        <f aca="false">IF($B357="","",$N357-$O357)</f>
        <v/>
      </c>
      <c r="Q357" s="29" t="str">
        <f aca="false">IF($A357="","",DATE(YEAR($A357),MONTH($A357),1))</f>
        <v/>
      </c>
      <c r="R357" s="30" t="str">
        <f aca="false">IF($A357="","",$A357+MOD(6-WEEKDAY($A357),7))</f>
        <v/>
      </c>
      <c r="S357" s="31" t="str">
        <f aca="false">IF($B357="","",IF(AND($M357='Invoice Builder'!$C$5,$Q357='Invoice Builder'!$C$6,N($N357)&gt;0),COUNTIFS($M$5:$M357,'Invoice Builder'!$C$5,$Q$5:$Q357,'Invoice Builder'!$C$6,$N$5:$N357,"&gt;0"),""))</f>
        <v/>
      </c>
      <c r="T357" s="27" t="str">
        <f aca="false">IF($A357="","",IF($A357&gt;=DATE(YEAR($A357),4,6),YEAR($A357)&amp;"/"&amp;RIGHT(YEAR($A357)+1,2),YEAR($A357)-1&amp;"/"&amp;RIGHT(YEAR($A357),2)))</f>
        <v/>
      </c>
    </row>
    <row r="358" customFormat="false" ht="15" hidden="false" customHeight="false" outlineLevel="0" collapsed="false">
      <c r="A358" s="22"/>
      <c r="B358" s="23"/>
      <c r="C358" s="23"/>
      <c r="D358" s="23"/>
      <c r="E358" s="24"/>
      <c r="F358" s="24"/>
      <c r="G358" s="23"/>
      <c r="H358" s="23"/>
      <c r="I358" s="25"/>
      <c r="J358" s="23"/>
      <c r="K358" s="23"/>
      <c r="L358" s="26" t="str">
        <f aca="false">IF(OR($E358="",$F358=""),"",MOD($F358-$E358,1)*24)</f>
        <v/>
      </c>
      <c r="M358" s="27" t="str">
        <f aca="false">IF($B358="","",IFERROR(INDEX(Properties!$D$5:$D$104,MATCH($B358,Properties!$A$5:$A$104,0)),"?"))</f>
        <v/>
      </c>
      <c r="N358" s="28" t="str">
        <f aca="false">IF($B358="","",IFERROR(IF($D358="Completed",INDEX(Properties!$I$5:$I$104,MATCH($B358,Properties!$A$5:$A$104,0))*(1+IF($G358="Y",Settings!$B$8,0))+IF($H358="Y",Settings!$B$7,0)+N($I358),IF($D358="Deep clean",INDEX(Settings!$E$22:$E$26,MATCH(MIN(INDEX(Properties!$E$5:$E$104,MATCH($B358,Properties!$A$5:$A$104,0)),4),Settings!$A$22:$A$26,0))+N($I358),IF($D358="Late cancel",INDEX(Properties!$I$5:$I$104,MATCH($B358,Properties!$A$5:$A$104,0))*Settings!$B$10,0))),0))</f>
        <v/>
      </c>
      <c r="O358" s="28" t="str">
        <f aca="false">IF($B358="","",IFERROR(IF($D358="Completed",INDEX(Properties!$L$5:$L$104,MATCH($B358,Properties!$A$5:$A$104,0))+IF($G358="Y",INDEX(Properties!$I$5:$I$104,MATCH($B358,Properties!$A$5:$A$104,0))*Settings!$B$8*Settings!$B$9,0)+IF($H358="Y",Settings!$B$7*Settings!$B$9,0)+N($I358)*Settings!$B$9,IF($D358="Deep clean",INDEX(Settings!$E$22:$E$26,MATCH(MIN(INDEX(Properties!$E$5:$E$104,MATCH($B358,Properties!$A$5:$A$104,0)),4),Settings!$A$22:$A$26,0))*Settings!$B$19+N($I358)*Settings!$B$9,IF($D358="Late cancel",INDEX(Properties!$L$5:$L$104,MATCH($B358,Properties!$A$5:$A$104,0))*Settings!$B$11,0))),0))</f>
        <v/>
      </c>
      <c r="P358" s="28" t="str">
        <f aca="false">IF($B358="","",$N358-$O358)</f>
        <v/>
      </c>
      <c r="Q358" s="29" t="str">
        <f aca="false">IF($A358="","",DATE(YEAR($A358),MONTH($A358),1))</f>
        <v/>
      </c>
      <c r="R358" s="30" t="str">
        <f aca="false">IF($A358="","",$A358+MOD(6-WEEKDAY($A358),7))</f>
        <v/>
      </c>
      <c r="S358" s="31" t="str">
        <f aca="false">IF($B358="","",IF(AND($M358='Invoice Builder'!$C$5,$Q358='Invoice Builder'!$C$6,N($N358)&gt;0),COUNTIFS($M$5:$M358,'Invoice Builder'!$C$5,$Q$5:$Q358,'Invoice Builder'!$C$6,$N$5:$N358,"&gt;0"),""))</f>
        <v/>
      </c>
      <c r="T358" s="27" t="str">
        <f aca="false">IF($A358="","",IF($A358&gt;=DATE(YEAR($A358),4,6),YEAR($A358)&amp;"/"&amp;RIGHT(YEAR($A358)+1,2),YEAR($A358)-1&amp;"/"&amp;RIGHT(YEAR($A358),2)))</f>
        <v/>
      </c>
    </row>
    <row r="359" customFormat="false" ht="15" hidden="false" customHeight="false" outlineLevel="0" collapsed="false">
      <c r="A359" s="22"/>
      <c r="B359" s="23"/>
      <c r="C359" s="23"/>
      <c r="D359" s="23"/>
      <c r="E359" s="24"/>
      <c r="F359" s="24"/>
      <c r="G359" s="23"/>
      <c r="H359" s="23"/>
      <c r="I359" s="25"/>
      <c r="J359" s="23"/>
      <c r="K359" s="23"/>
      <c r="L359" s="26" t="str">
        <f aca="false">IF(OR($E359="",$F359=""),"",MOD($F359-$E359,1)*24)</f>
        <v/>
      </c>
      <c r="M359" s="27" t="str">
        <f aca="false">IF($B359="","",IFERROR(INDEX(Properties!$D$5:$D$104,MATCH($B359,Properties!$A$5:$A$104,0)),"?"))</f>
        <v/>
      </c>
      <c r="N359" s="28" t="str">
        <f aca="false">IF($B359="","",IFERROR(IF($D359="Completed",INDEX(Properties!$I$5:$I$104,MATCH($B359,Properties!$A$5:$A$104,0))*(1+IF($G359="Y",Settings!$B$8,0))+IF($H359="Y",Settings!$B$7,0)+N($I359),IF($D359="Deep clean",INDEX(Settings!$E$22:$E$26,MATCH(MIN(INDEX(Properties!$E$5:$E$104,MATCH($B359,Properties!$A$5:$A$104,0)),4),Settings!$A$22:$A$26,0))+N($I359),IF($D359="Late cancel",INDEX(Properties!$I$5:$I$104,MATCH($B359,Properties!$A$5:$A$104,0))*Settings!$B$10,0))),0))</f>
        <v/>
      </c>
      <c r="O359" s="28" t="str">
        <f aca="false">IF($B359="","",IFERROR(IF($D359="Completed",INDEX(Properties!$L$5:$L$104,MATCH($B359,Properties!$A$5:$A$104,0))+IF($G359="Y",INDEX(Properties!$I$5:$I$104,MATCH($B359,Properties!$A$5:$A$104,0))*Settings!$B$8*Settings!$B$9,0)+IF($H359="Y",Settings!$B$7*Settings!$B$9,0)+N($I359)*Settings!$B$9,IF($D359="Deep clean",INDEX(Settings!$E$22:$E$26,MATCH(MIN(INDEX(Properties!$E$5:$E$104,MATCH($B359,Properties!$A$5:$A$104,0)),4),Settings!$A$22:$A$26,0))*Settings!$B$19+N($I359)*Settings!$B$9,IF($D359="Late cancel",INDEX(Properties!$L$5:$L$104,MATCH($B359,Properties!$A$5:$A$104,0))*Settings!$B$11,0))),0))</f>
        <v/>
      </c>
      <c r="P359" s="28" t="str">
        <f aca="false">IF($B359="","",$N359-$O359)</f>
        <v/>
      </c>
      <c r="Q359" s="29" t="str">
        <f aca="false">IF($A359="","",DATE(YEAR($A359),MONTH($A359),1))</f>
        <v/>
      </c>
      <c r="R359" s="30" t="str">
        <f aca="false">IF($A359="","",$A359+MOD(6-WEEKDAY($A359),7))</f>
        <v/>
      </c>
      <c r="S359" s="31" t="str">
        <f aca="false">IF($B359="","",IF(AND($M359='Invoice Builder'!$C$5,$Q359='Invoice Builder'!$C$6,N($N359)&gt;0),COUNTIFS($M$5:$M359,'Invoice Builder'!$C$5,$Q$5:$Q359,'Invoice Builder'!$C$6,$N$5:$N359,"&gt;0"),""))</f>
        <v/>
      </c>
      <c r="T359" s="27" t="str">
        <f aca="false">IF($A359="","",IF($A359&gt;=DATE(YEAR($A359),4,6),YEAR($A359)&amp;"/"&amp;RIGHT(YEAR($A359)+1,2),YEAR($A359)-1&amp;"/"&amp;RIGHT(YEAR($A359),2)))</f>
        <v/>
      </c>
    </row>
    <row r="360" customFormat="false" ht="15" hidden="false" customHeight="false" outlineLevel="0" collapsed="false">
      <c r="A360" s="22"/>
      <c r="B360" s="23"/>
      <c r="C360" s="23"/>
      <c r="D360" s="23"/>
      <c r="E360" s="24"/>
      <c r="F360" s="24"/>
      <c r="G360" s="23"/>
      <c r="H360" s="23"/>
      <c r="I360" s="25"/>
      <c r="J360" s="23"/>
      <c r="K360" s="23"/>
      <c r="L360" s="26" t="str">
        <f aca="false">IF(OR($E360="",$F360=""),"",MOD($F360-$E360,1)*24)</f>
        <v/>
      </c>
      <c r="M360" s="27" t="str">
        <f aca="false">IF($B360="","",IFERROR(INDEX(Properties!$D$5:$D$104,MATCH($B360,Properties!$A$5:$A$104,0)),"?"))</f>
        <v/>
      </c>
      <c r="N360" s="28" t="str">
        <f aca="false">IF($B360="","",IFERROR(IF($D360="Completed",INDEX(Properties!$I$5:$I$104,MATCH($B360,Properties!$A$5:$A$104,0))*(1+IF($G360="Y",Settings!$B$8,0))+IF($H360="Y",Settings!$B$7,0)+N($I360),IF($D360="Deep clean",INDEX(Settings!$E$22:$E$26,MATCH(MIN(INDEX(Properties!$E$5:$E$104,MATCH($B360,Properties!$A$5:$A$104,0)),4),Settings!$A$22:$A$26,0))+N($I360),IF($D360="Late cancel",INDEX(Properties!$I$5:$I$104,MATCH($B360,Properties!$A$5:$A$104,0))*Settings!$B$10,0))),0))</f>
        <v/>
      </c>
      <c r="O360" s="28" t="str">
        <f aca="false">IF($B360="","",IFERROR(IF($D360="Completed",INDEX(Properties!$L$5:$L$104,MATCH($B360,Properties!$A$5:$A$104,0))+IF($G360="Y",INDEX(Properties!$I$5:$I$104,MATCH($B360,Properties!$A$5:$A$104,0))*Settings!$B$8*Settings!$B$9,0)+IF($H360="Y",Settings!$B$7*Settings!$B$9,0)+N($I360)*Settings!$B$9,IF($D360="Deep clean",INDEX(Settings!$E$22:$E$26,MATCH(MIN(INDEX(Properties!$E$5:$E$104,MATCH($B360,Properties!$A$5:$A$104,0)),4),Settings!$A$22:$A$26,0))*Settings!$B$19+N($I360)*Settings!$B$9,IF($D360="Late cancel",INDEX(Properties!$L$5:$L$104,MATCH($B360,Properties!$A$5:$A$104,0))*Settings!$B$11,0))),0))</f>
        <v/>
      </c>
      <c r="P360" s="28" t="str">
        <f aca="false">IF($B360="","",$N360-$O360)</f>
        <v/>
      </c>
      <c r="Q360" s="29" t="str">
        <f aca="false">IF($A360="","",DATE(YEAR($A360),MONTH($A360),1))</f>
        <v/>
      </c>
      <c r="R360" s="30" t="str">
        <f aca="false">IF($A360="","",$A360+MOD(6-WEEKDAY($A360),7))</f>
        <v/>
      </c>
      <c r="S360" s="31" t="str">
        <f aca="false">IF($B360="","",IF(AND($M360='Invoice Builder'!$C$5,$Q360='Invoice Builder'!$C$6,N($N360)&gt;0),COUNTIFS($M$5:$M360,'Invoice Builder'!$C$5,$Q$5:$Q360,'Invoice Builder'!$C$6,$N$5:$N360,"&gt;0"),""))</f>
        <v/>
      </c>
      <c r="T360" s="27" t="str">
        <f aca="false">IF($A360="","",IF($A360&gt;=DATE(YEAR($A360),4,6),YEAR($A360)&amp;"/"&amp;RIGHT(YEAR($A360)+1,2),YEAR($A360)-1&amp;"/"&amp;RIGHT(YEAR($A360),2)))</f>
        <v/>
      </c>
    </row>
    <row r="361" customFormat="false" ht="15" hidden="false" customHeight="false" outlineLevel="0" collapsed="false">
      <c r="A361" s="22"/>
      <c r="B361" s="23"/>
      <c r="C361" s="23"/>
      <c r="D361" s="23"/>
      <c r="E361" s="24"/>
      <c r="F361" s="24"/>
      <c r="G361" s="23"/>
      <c r="H361" s="23"/>
      <c r="I361" s="25"/>
      <c r="J361" s="23"/>
      <c r="K361" s="23"/>
      <c r="L361" s="26" t="str">
        <f aca="false">IF(OR($E361="",$F361=""),"",MOD($F361-$E361,1)*24)</f>
        <v/>
      </c>
      <c r="M361" s="27" t="str">
        <f aca="false">IF($B361="","",IFERROR(INDEX(Properties!$D$5:$D$104,MATCH($B361,Properties!$A$5:$A$104,0)),"?"))</f>
        <v/>
      </c>
      <c r="N361" s="28" t="str">
        <f aca="false">IF($B361="","",IFERROR(IF($D361="Completed",INDEX(Properties!$I$5:$I$104,MATCH($B361,Properties!$A$5:$A$104,0))*(1+IF($G361="Y",Settings!$B$8,0))+IF($H361="Y",Settings!$B$7,0)+N($I361),IF($D361="Deep clean",INDEX(Settings!$E$22:$E$26,MATCH(MIN(INDEX(Properties!$E$5:$E$104,MATCH($B361,Properties!$A$5:$A$104,0)),4),Settings!$A$22:$A$26,0))+N($I361),IF($D361="Late cancel",INDEX(Properties!$I$5:$I$104,MATCH($B361,Properties!$A$5:$A$104,0))*Settings!$B$10,0))),0))</f>
        <v/>
      </c>
      <c r="O361" s="28" t="str">
        <f aca="false">IF($B361="","",IFERROR(IF($D361="Completed",INDEX(Properties!$L$5:$L$104,MATCH($B361,Properties!$A$5:$A$104,0))+IF($G361="Y",INDEX(Properties!$I$5:$I$104,MATCH($B361,Properties!$A$5:$A$104,0))*Settings!$B$8*Settings!$B$9,0)+IF($H361="Y",Settings!$B$7*Settings!$B$9,0)+N($I361)*Settings!$B$9,IF($D361="Deep clean",INDEX(Settings!$E$22:$E$26,MATCH(MIN(INDEX(Properties!$E$5:$E$104,MATCH($B361,Properties!$A$5:$A$104,0)),4),Settings!$A$22:$A$26,0))*Settings!$B$19+N($I361)*Settings!$B$9,IF($D361="Late cancel",INDEX(Properties!$L$5:$L$104,MATCH($B361,Properties!$A$5:$A$104,0))*Settings!$B$11,0))),0))</f>
        <v/>
      </c>
      <c r="P361" s="28" t="str">
        <f aca="false">IF($B361="","",$N361-$O361)</f>
        <v/>
      </c>
      <c r="Q361" s="29" t="str">
        <f aca="false">IF($A361="","",DATE(YEAR($A361),MONTH($A361),1))</f>
        <v/>
      </c>
      <c r="R361" s="30" t="str">
        <f aca="false">IF($A361="","",$A361+MOD(6-WEEKDAY($A361),7))</f>
        <v/>
      </c>
      <c r="S361" s="31" t="str">
        <f aca="false">IF($B361="","",IF(AND($M361='Invoice Builder'!$C$5,$Q361='Invoice Builder'!$C$6,N($N361)&gt;0),COUNTIFS($M$5:$M361,'Invoice Builder'!$C$5,$Q$5:$Q361,'Invoice Builder'!$C$6,$N$5:$N361,"&gt;0"),""))</f>
        <v/>
      </c>
      <c r="T361" s="27" t="str">
        <f aca="false">IF($A361="","",IF($A361&gt;=DATE(YEAR($A361),4,6),YEAR($A361)&amp;"/"&amp;RIGHT(YEAR($A361)+1,2),YEAR($A361)-1&amp;"/"&amp;RIGHT(YEAR($A361),2)))</f>
        <v/>
      </c>
    </row>
    <row r="362" customFormat="false" ht="15" hidden="false" customHeight="false" outlineLevel="0" collapsed="false">
      <c r="A362" s="22"/>
      <c r="B362" s="23"/>
      <c r="C362" s="23"/>
      <c r="D362" s="23"/>
      <c r="E362" s="24"/>
      <c r="F362" s="24"/>
      <c r="G362" s="23"/>
      <c r="H362" s="23"/>
      <c r="I362" s="25"/>
      <c r="J362" s="23"/>
      <c r="K362" s="23"/>
      <c r="L362" s="26" t="str">
        <f aca="false">IF(OR($E362="",$F362=""),"",MOD($F362-$E362,1)*24)</f>
        <v/>
      </c>
      <c r="M362" s="27" t="str">
        <f aca="false">IF($B362="","",IFERROR(INDEX(Properties!$D$5:$D$104,MATCH($B362,Properties!$A$5:$A$104,0)),"?"))</f>
        <v/>
      </c>
      <c r="N362" s="28" t="str">
        <f aca="false">IF($B362="","",IFERROR(IF($D362="Completed",INDEX(Properties!$I$5:$I$104,MATCH($B362,Properties!$A$5:$A$104,0))*(1+IF($G362="Y",Settings!$B$8,0))+IF($H362="Y",Settings!$B$7,0)+N($I362),IF($D362="Deep clean",INDEX(Settings!$E$22:$E$26,MATCH(MIN(INDEX(Properties!$E$5:$E$104,MATCH($B362,Properties!$A$5:$A$104,0)),4),Settings!$A$22:$A$26,0))+N($I362),IF($D362="Late cancel",INDEX(Properties!$I$5:$I$104,MATCH($B362,Properties!$A$5:$A$104,0))*Settings!$B$10,0))),0))</f>
        <v/>
      </c>
      <c r="O362" s="28" t="str">
        <f aca="false">IF($B362="","",IFERROR(IF($D362="Completed",INDEX(Properties!$L$5:$L$104,MATCH($B362,Properties!$A$5:$A$104,0))+IF($G362="Y",INDEX(Properties!$I$5:$I$104,MATCH($B362,Properties!$A$5:$A$104,0))*Settings!$B$8*Settings!$B$9,0)+IF($H362="Y",Settings!$B$7*Settings!$B$9,0)+N($I362)*Settings!$B$9,IF($D362="Deep clean",INDEX(Settings!$E$22:$E$26,MATCH(MIN(INDEX(Properties!$E$5:$E$104,MATCH($B362,Properties!$A$5:$A$104,0)),4),Settings!$A$22:$A$26,0))*Settings!$B$19+N($I362)*Settings!$B$9,IF($D362="Late cancel",INDEX(Properties!$L$5:$L$104,MATCH($B362,Properties!$A$5:$A$104,0))*Settings!$B$11,0))),0))</f>
        <v/>
      </c>
      <c r="P362" s="28" t="str">
        <f aca="false">IF($B362="","",$N362-$O362)</f>
        <v/>
      </c>
      <c r="Q362" s="29" t="str">
        <f aca="false">IF($A362="","",DATE(YEAR($A362),MONTH($A362),1))</f>
        <v/>
      </c>
      <c r="R362" s="30" t="str">
        <f aca="false">IF($A362="","",$A362+MOD(6-WEEKDAY($A362),7))</f>
        <v/>
      </c>
      <c r="S362" s="31" t="str">
        <f aca="false">IF($B362="","",IF(AND($M362='Invoice Builder'!$C$5,$Q362='Invoice Builder'!$C$6,N($N362)&gt;0),COUNTIFS($M$5:$M362,'Invoice Builder'!$C$5,$Q$5:$Q362,'Invoice Builder'!$C$6,$N$5:$N362,"&gt;0"),""))</f>
        <v/>
      </c>
      <c r="T362" s="27" t="str">
        <f aca="false">IF($A362="","",IF($A362&gt;=DATE(YEAR($A362),4,6),YEAR($A362)&amp;"/"&amp;RIGHT(YEAR($A362)+1,2),YEAR($A362)-1&amp;"/"&amp;RIGHT(YEAR($A362),2)))</f>
        <v/>
      </c>
    </row>
    <row r="363" customFormat="false" ht="15" hidden="false" customHeight="false" outlineLevel="0" collapsed="false">
      <c r="A363" s="22"/>
      <c r="B363" s="23"/>
      <c r="C363" s="23"/>
      <c r="D363" s="23"/>
      <c r="E363" s="24"/>
      <c r="F363" s="24"/>
      <c r="G363" s="23"/>
      <c r="H363" s="23"/>
      <c r="I363" s="25"/>
      <c r="J363" s="23"/>
      <c r="K363" s="23"/>
      <c r="L363" s="26" t="str">
        <f aca="false">IF(OR($E363="",$F363=""),"",MOD($F363-$E363,1)*24)</f>
        <v/>
      </c>
      <c r="M363" s="27" t="str">
        <f aca="false">IF($B363="","",IFERROR(INDEX(Properties!$D$5:$D$104,MATCH($B363,Properties!$A$5:$A$104,0)),"?"))</f>
        <v/>
      </c>
      <c r="N363" s="28" t="str">
        <f aca="false">IF($B363="","",IFERROR(IF($D363="Completed",INDEX(Properties!$I$5:$I$104,MATCH($B363,Properties!$A$5:$A$104,0))*(1+IF($G363="Y",Settings!$B$8,0))+IF($H363="Y",Settings!$B$7,0)+N($I363),IF($D363="Deep clean",INDEX(Settings!$E$22:$E$26,MATCH(MIN(INDEX(Properties!$E$5:$E$104,MATCH($B363,Properties!$A$5:$A$104,0)),4),Settings!$A$22:$A$26,0))+N($I363),IF($D363="Late cancel",INDEX(Properties!$I$5:$I$104,MATCH($B363,Properties!$A$5:$A$104,0))*Settings!$B$10,0))),0))</f>
        <v/>
      </c>
      <c r="O363" s="28" t="str">
        <f aca="false">IF($B363="","",IFERROR(IF($D363="Completed",INDEX(Properties!$L$5:$L$104,MATCH($B363,Properties!$A$5:$A$104,0))+IF($G363="Y",INDEX(Properties!$I$5:$I$104,MATCH($B363,Properties!$A$5:$A$104,0))*Settings!$B$8*Settings!$B$9,0)+IF($H363="Y",Settings!$B$7*Settings!$B$9,0)+N($I363)*Settings!$B$9,IF($D363="Deep clean",INDEX(Settings!$E$22:$E$26,MATCH(MIN(INDEX(Properties!$E$5:$E$104,MATCH($B363,Properties!$A$5:$A$104,0)),4),Settings!$A$22:$A$26,0))*Settings!$B$19+N($I363)*Settings!$B$9,IF($D363="Late cancel",INDEX(Properties!$L$5:$L$104,MATCH($B363,Properties!$A$5:$A$104,0))*Settings!$B$11,0))),0))</f>
        <v/>
      </c>
      <c r="P363" s="28" t="str">
        <f aca="false">IF($B363="","",$N363-$O363)</f>
        <v/>
      </c>
      <c r="Q363" s="29" t="str">
        <f aca="false">IF($A363="","",DATE(YEAR($A363),MONTH($A363),1))</f>
        <v/>
      </c>
      <c r="R363" s="30" t="str">
        <f aca="false">IF($A363="","",$A363+MOD(6-WEEKDAY($A363),7))</f>
        <v/>
      </c>
      <c r="S363" s="31" t="str">
        <f aca="false">IF($B363="","",IF(AND($M363='Invoice Builder'!$C$5,$Q363='Invoice Builder'!$C$6,N($N363)&gt;0),COUNTIFS($M$5:$M363,'Invoice Builder'!$C$5,$Q$5:$Q363,'Invoice Builder'!$C$6,$N$5:$N363,"&gt;0"),""))</f>
        <v/>
      </c>
      <c r="T363" s="27" t="str">
        <f aca="false">IF($A363="","",IF($A363&gt;=DATE(YEAR($A363),4,6),YEAR($A363)&amp;"/"&amp;RIGHT(YEAR($A363)+1,2),YEAR($A363)-1&amp;"/"&amp;RIGHT(YEAR($A363),2)))</f>
        <v/>
      </c>
    </row>
    <row r="364" customFormat="false" ht="15" hidden="false" customHeight="false" outlineLevel="0" collapsed="false">
      <c r="A364" s="22"/>
      <c r="B364" s="23"/>
      <c r="C364" s="23"/>
      <c r="D364" s="23"/>
      <c r="E364" s="24"/>
      <c r="F364" s="24"/>
      <c r="G364" s="23"/>
      <c r="H364" s="23"/>
      <c r="I364" s="25"/>
      <c r="J364" s="23"/>
      <c r="K364" s="23"/>
      <c r="L364" s="26" t="str">
        <f aca="false">IF(OR($E364="",$F364=""),"",MOD($F364-$E364,1)*24)</f>
        <v/>
      </c>
      <c r="M364" s="27" t="str">
        <f aca="false">IF($B364="","",IFERROR(INDEX(Properties!$D$5:$D$104,MATCH($B364,Properties!$A$5:$A$104,0)),"?"))</f>
        <v/>
      </c>
      <c r="N364" s="28" t="str">
        <f aca="false">IF($B364="","",IFERROR(IF($D364="Completed",INDEX(Properties!$I$5:$I$104,MATCH($B364,Properties!$A$5:$A$104,0))*(1+IF($G364="Y",Settings!$B$8,0))+IF($H364="Y",Settings!$B$7,0)+N($I364),IF($D364="Deep clean",INDEX(Settings!$E$22:$E$26,MATCH(MIN(INDEX(Properties!$E$5:$E$104,MATCH($B364,Properties!$A$5:$A$104,0)),4),Settings!$A$22:$A$26,0))+N($I364),IF($D364="Late cancel",INDEX(Properties!$I$5:$I$104,MATCH($B364,Properties!$A$5:$A$104,0))*Settings!$B$10,0))),0))</f>
        <v/>
      </c>
      <c r="O364" s="28" t="str">
        <f aca="false">IF($B364="","",IFERROR(IF($D364="Completed",INDEX(Properties!$L$5:$L$104,MATCH($B364,Properties!$A$5:$A$104,0))+IF($G364="Y",INDEX(Properties!$I$5:$I$104,MATCH($B364,Properties!$A$5:$A$104,0))*Settings!$B$8*Settings!$B$9,0)+IF($H364="Y",Settings!$B$7*Settings!$B$9,0)+N($I364)*Settings!$B$9,IF($D364="Deep clean",INDEX(Settings!$E$22:$E$26,MATCH(MIN(INDEX(Properties!$E$5:$E$104,MATCH($B364,Properties!$A$5:$A$104,0)),4),Settings!$A$22:$A$26,0))*Settings!$B$19+N($I364)*Settings!$B$9,IF($D364="Late cancel",INDEX(Properties!$L$5:$L$104,MATCH($B364,Properties!$A$5:$A$104,0))*Settings!$B$11,0))),0))</f>
        <v/>
      </c>
      <c r="P364" s="28" t="str">
        <f aca="false">IF($B364="","",$N364-$O364)</f>
        <v/>
      </c>
      <c r="Q364" s="29" t="str">
        <f aca="false">IF($A364="","",DATE(YEAR($A364),MONTH($A364),1))</f>
        <v/>
      </c>
      <c r="R364" s="30" t="str">
        <f aca="false">IF($A364="","",$A364+MOD(6-WEEKDAY($A364),7))</f>
        <v/>
      </c>
      <c r="S364" s="31" t="str">
        <f aca="false">IF($B364="","",IF(AND($M364='Invoice Builder'!$C$5,$Q364='Invoice Builder'!$C$6,N($N364)&gt;0),COUNTIFS($M$5:$M364,'Invoice Builder'!$C$5,$Q$5:$Q364,'Invoice Builder'!$C$6,$N$5:$N364,"&gt;0"),""))</f>
        <v/>
      </c>
      <c r="T364" s="27" t="str">
        <f aca="false">IF($A364="","",IF($A364&gt;=DATE(YEAR($A364),4,6),YEAR($A364)&amp;"/"&amp;RIGHT(YEAR($A364)+1,2),YEAR($A364)-1&amp;"/"&amp;RIGHT(YEAR($A364),2)))</f>
        <v/>
      </c>
    </row>
    <row r="365" customFormat="false" ht="15" hidden="false" customHeight="false" outlineLevel="0" collapsed="false">
      <c r="A365" s="22"/>
      <c r="B365" s="23"/>
      <c r="C365" s="23"/>
      <c r="D365" s="23"/>
      <c r="E365" s="24"/>
      <c r="F365" s="24"/>
      <c r="G365" s="23"/>
      <c r="H365" s="23"/>
      <c r="I365" s="25"/>
      <c r="J365" s="23"/>
      <c r="K365" s="23"/>
      <c r="L365" s="26" t="str">
        <f aca="false">IF(OR($E365="",$F365=""),"",MOD($F365-$E365,1)*24)</f>
        <v/>
      </c>
      <c r="M365" s="27" t="str">
        <f aca="false">IF($B365="","",IFERROR(INDEX(Properties!$D$5:$D$104,MATCH($B365,Properties!$A$5:$A$104,0)),"?"))</f>
        <v/>
      </c>
      <c r="N365" s="28" t="str">
        <f aca="false">IF($B365="","",IFERROR(IF($D365="Completed",INDEX(Properties!$I$5:$I$104,MATCH($B365,Properties!$A$5:$A$104,0))*(1+IF($G365="Y",Settings!$B$8,0))+IF($H365="Y",Settings!$B$7,0)+N($I365),IF($D365="Deep clean",INDEX(Settings!$E$22:$E$26,MATCH(MIN(INDEX(Properties!$E$5:$E$104,MATCH($B365,Properties!$A$5:$A$104,0)),4),Settings!$A$22:$A$26,0))+N($I365),IF($D365="Late cancel",INDEX(Properties!$I$5:$I$104,MATCH($B365,Properties!$A$5:$A$104,0))*Settings!$B$10,0))),0))</f>
        <v/>
      </c>
      <c r="O365" s="28" t="str">
        <f aca="false">IF($B365="","",IFERROR(IF($D365="Completed",INDEX(Properties!$L$5:$L$104,MATCH($B365,Properties!$A$5:$A$104,0))+IF($G365="Y",INDEX(Properties!$I$5:$I$104,MATCH($B365,Properties!$A$5:$A$104,0))*Settings!$B$8*Settings!$B$9,0)+IF($H365="Y",Settings!$B$7*Settings!$B$9,0)+N($I365)*Settings!$B$9,IF($D365="Deep clean",INDEX(Settings!$E$22:$E$26,MATCH(MIN(INDEX(Properties!$E$5:$E$104,MATCH($B365,Properties!$A$5:$A$104,0)),4),Settings!$A$22:$A$26,0))*Settings!$B$19+N($I365)*Settings!$B$9,IF($D365="Late cancel",INDEX(Properties!$L$5:$L$104,MATCH($B365,Properties!$A$5:$A$104,0))*Settings!$B$11,0))),0))</f>
        <v/>
      </c>
      <c r="P365" s="28" t="str">
        <f aca="false">IF($B365="","",$N365-$O365)</f>
        <v/>
      </c>
      <c r="Q365" s="29" t="str">
        <f aca="false">IF($A365="","",DATE(YEAR($A365),MONTH($A365),1))</f>
        <v/>
      </c>
      <c r="R365" s="30" t="str">
        <f aca="false">IF($A365="","",$A365+MOD(6-WEEKDAY($A365),7))</f>
        <v/>
      </c>
      <c r="S365" s="31" t="str">
        <f aca="false">IF($B365="","",IF(AND($M365='Invoice Builder'!$C$5,$Q365='Invoice Builder'!$C$6,N($N365)&gt;0),COUNTIFS($M$5:$M365,'Invoice Builder'!$C$5,$Q$5:$Q365,'Invoice Builder'!$C$6,$N$5:$N365,"&gt;0"),""))</f>
        <v/>
      </c>
      <c r="T365" s="27" t="str">
        <f aca="false">IF($A365="","",IF($A365&gt;=DATE(YEAR($A365),4,6),YEAR($A365)&amp;"/"&amp;RIGHT(YEAR($A365)+1,2),YEAR($A365)-1&amp;"/"&amp;RIGHT(YEAR($A365),2)))</f>
        <v/>
      </c>
    </row>
    <row r="366" customFormat="false" ht="15" hidden="false" customHeight="false" outlineLevel="0" collapsed="false">
      <c r="A366" s="22"/>
      <c r="B366" s="23"/>
      <c r="C366" s="23"/>
      <c r="D366" s="23"/>
      <c r="E366" s="24"/>
      <c r="F366" s="24"/>
      <c r="G366" s="23"/>
      <c r="H366" s="23"/>
      <c r="I366" s="25"/>
      <c r="J366" s="23"/>
      <c r="K366" s="23"/>
      <c r="L366" s="26" t="str">
        <f aca="false">IF(OR($E366="",$F366=""),"",MOD($F366-$E366,1)*24)</f>
        <v/>
      </c>
      <c r="M366" s="27" t="str">
        <f aca="false">IF($B366="","",IFERROR(INDEX(Properties!$D$5:$D$104,MATCH($B366,Properties!$A$5:$A$104,0)),"?"))</f>
        <v/>
      </c>
      <c r="N366" s="28" t="str">
        <f aca="false">IF($B366="","",IFERROR(IF($D366="Completed",INDEX(Properties!$I$5:$I$104,MATCH($B366,Properties!$A$5:$A$104,0))*(1+IF($G366="Y",Settings!$B$8,0))+IF($H366="Y",Settings!$B$7,0)+N($I366),IF($D366="Deep clean",INDEX(Settings!$E$22:$E$26,MATCH(MIN(INDEX(Properties!$E$5:$E$104,MATCH($B366,Properties!$A$5:$A$104,0)),4),Settings!$A$22:$A$26,0))+N($I366),IF($D366="Late cancel",INDEX(Properties!$I$5:$I$104,MATCH($B366,Properties!$A$5:$A$104,0))*Settings!$B$10,0))),0))</f>
        <v/>
      </c>
      <c r="O366" s="28" t="str">
        <f aca="false">IF($B366="","",IFERROR(IF($D366="Completed",INDEX(Properties!$L$5:$L$104,MATCH($B366,Properties!$A$5:$A$104,0))+IF($G366="Y",INDEX(Properties!$I$5:$I$104,MATCH($B366,Properties!$A$5:$A$104,0))*Settings!$B$8*Settings!$B$9,0)+IF($H366="Y",Settings!$B$7*Settings!$B$9,0)+N($I366)*Settings!$B$9,IF($D366="Deep clean",INDEX(Settings!$E$22:$E$26,MATCH(MIN(INDEX(Properties!$E$5:$E$104,MATCH($B366,Properties!$A$5:$A$104,0)),4),Settings!$A$22:$A$26,0))*Settings!$B$19+N($I366)*Settings!$B$9,IF($D366="Late cancel",INDEX(Properties!$L$5:$L$104,MATCH($B366,Properties!$A$5:$A$104,0))*Settings!$B$11,0))),0))</f>
        <v/>
      </c>
      <c r="P366" s="28" t="str">
        <f aca="false">IF($B366="","",$N366-$O366)</f>
        <v/>
      </c>
      <c r="Q366" s="29" t="str">
        <f aca="false">IF($A366="","",DATE(YEAR($A366),MONTH($A366),1))</f>
        <v/>
      </c>
      <c r="R366" s="30" t="str">
        <f aca="false">IF($A366="","",$A366+MOD(6-WEEKDAY($A366),7))</f>
        <v/>
      </c>
      <c r="S366" s="31" t="str">
        <f aca="false">IF($B366="","",IF(AND($M366='Invoice Builder'!$C$5,$Q366='Invoice Builder'!$C$6,N($N366)&gt;0),COUNTIFS($M$5:$M366,'Invoice Builder'!$C$5,$Q$5:$Q366,'Invoice Builder'!$C$6,$N$5:$N366,"&gt;0"),""))</f>
        <v/>
      </c>
      <c r="T366" s="27" t="str">
        <f aca="false">IF($A366="","",IF($A366&gt;=DATE(YEAR($A366),4,6),YEAR($A366)&amp;"/"&amp;RIGHT(YEAR($A366)+1,2),YEAR($A366)-1&amp;"/"&amp;RIGHT(YEAR($A366),2)))</f>
        <v/>
      </c>
    </row>
    <row r="367" customFormat="false" ht="15" hidden="false" customHeight="false" outlineLevel="0" collapsed="false">
      <c r="A367" s="22"/>
      <c r="B367" s="23"/>
      <c r="C367" s="23"/>
      <c r="D367" s="23"/>
      <c r="E367" s="24"/>
      <c r="F367" s="24"/>
      <c r="G367" s="23"/>
      <c r="H367" s="23"/>
      <c r="I367" s="25"/>
      <c r="J367" s="23"/>
      <c r="K367" s="23"/>
      <c r="L367" s="26" t="str">
        <f aca="false">IF(OR($E367="",$F367=""),"",MOD($F367-$E367,1)*24)</f>
        <v/>
      </c>
      <c r="M367" s="27" t="str">
        <f aca="false">IF($B367="","",IFERROR(INDEX(Properties!$D$5:$D$104,MATCH($B367,Properties!$A$5:$A$104,0)),"?"))</f>
        <v/>
      </c>
      <c r="N367" s="28" t="str">
        <f aca="false">IF($B367="","",IFERROR(IF($D367="Completed",INDEX(Properties!$I$5:$I$104,MATCH($B367,Properties!$A$5:$A$104,0))*(1+IF($G367="Y",Settings!$B$8,0))+IF($H367="Y",Settings!$B$7,0)+N($I367),IF($D367="Deep clean",INDEX(Settings!$E$22:$E$26,MATCH(MIN(INDEX(Properties!$E$5:$E$104,MATCH($B367,Properties!$A$5:$A$104,0)),4),Settings!$A$22:$A$26,0))+N($I367),IF($D367="Late cancel",INDEX(Properties!$I$5:$I$104,MATCH($B367,Properties!$A$5:$A$104,0))*Settings!$B$10,0))),0))</f>
        <v/>
      </c>
      <c r="O367" s="28" t="str">
        <f aca="false">IF($B367="","",IFERROR(IF($D367="Completed",INDEX(Properties!$L$5:$L$104,MATCH($B367,Properties!$A$5:$A$104,0))+IF($G367="Y",INDEX(Properties!$I$5:$I$104,MATCH($B367,Properties!$A$5:$A$104,0))*Settings!$B$8*Settings!$B$9,0)+IF($H367="Y",Settings!$B$7*Settings!$B$9,0)+N($I367)*Settings!$B$9,IF($D367="Deep clean",INDEX(Settings!$E$22:$E$26,MATCH(MIN(INDEX(Properties!$E$5:$E$104,MATCH($B367,Properties!$A$5:$A$104,0)),4),Settings!$A$22:$A$26,0))*Settings!$B$19+N($I367)*Settings!$B$9,IF($D367="Late cancel",INDEX(Properties!$L$5:$L$104,MATCH($B367,Properties!$A$5:$A$104,0))*Settings!$B$11,0))),0))</f>
        <v/>
      </c>
      <c r="P367" s="28" t="str">
        <f aca="false">IF($B367="","",$N367-$O367)</f>
        <v/>
      </c>
      <c r="Q367" s="29" t="str">
        <f aca="false">IF($A367="","",DATE(YEAR($A367),MONTH($A367),1))</f>
        <v/>
      </c>
      <c r="R367" s="30" t="str">
        <f aca="false">IF($A367="","",$A367+MOD(6-WEEKDAY($A367),7))</f>
        <v/>
      </c>
      <c r="S367" s="31" t="str">
        <f aca="false">IF($B367="","",IF(AND($M367='Invoice Builder'!$C$5,$Q367='Invoice Builder'!$C$6,N($N367)&gt;0),COUNTIFS($M$5:$M367,'Invoice Builder'!$C$5,$Q$5:$Q367,'Invoice Builder'!$C$6,$N$5:$N367,"&gt;0"),""))</f>
        <v/>
      </c>
      <c r="T367" s="27" t="str">
        <f aca="false">IF($A367="","",IF($A367&gt;=DATE(YEAR($A367),4,6),YEAR($A367)&amp;"/"&amp;RIGHT(YEAR($A367)+1,2),YEAR($A367)-1&amp;"/"&amp;RIGHT(YEAR($A367),2)))</f>
        <v/>
      </c>
    </row>
    <row r="368" customFormat="false" ht="15" hidden="false" customHeight="false" outlineLevel="0" collapsed="false">
      <c r="A368" s="22"/>
      <c r="B368" s="23"/>
      <c r="C368" s="23"/>
      <c r="D368" s="23"/>
      <c r="E368" s="24"/>
      <c r="F368" s="24"/>
      <c r="G368" s="23"/>
      <c r="H368" s="23"/>
      <c r="I368" s="25"/>
      <c r="J368" s="23"/>
      <c r="K368" s="23"/>
      <c r="L368" s="26" t="str">
        <f aca="false">IF(OR($E368="",$F368=""),"",MOD($F368-$E368,1)*24)</f>
        <v/>
      </c>
      <c r="M368" s="27" t="str">
        <f aca="false">IF($B368="","",IFERROR(INDEX(Properties!$D$5:$D$104,MATCH($B368,Properties!$A$5:$A$104,0)),"?"))</f>
        <v/>
      </c>
      <c r="N368" s="28" t="str">
        <f aca="false">IF($B368="","",IFERROR(IF($D368="Completed",INDEX(Properties!$I$5:$I$104,MATCH($B368,Properties!$A$5:$A$104,0))*(1+IF($G368="Y",Settings!$B$8,0))+IF($H368="Y",Settings!$B$7,0)+N($I368),IF($D368="Deep clean",INDEX(Settings!$E$22:$E$26,MATCH(MIN(INDEX(Properties!$E$5:$E$104,MATCH($B368,Properties!$A$5:$A$104,0)),4),Settings!$A$22:$A$26,0))+N($I368),IF($D368="Late cancel",INDEX(Properties!$I$5:$I$104,MATCH($B368,Properties!$A$5:$A$104,0))*Settings!$B$10,0))),0))</f>
        <v/>
      </c>
      <c r="O368" s="28" t="str">
        <f aca="false">IF($B368="","",IFERROR(IF($D368="Completed",INDEX(Properties!$L$5:$L$104,MATCH($B368,Properties!$A$5:$A$104,0))+IF($G368="Y",INDEX(Properties!$I$5:$I$104,MATCH($B368,Properties!$A$5:$A$104,0))*Settings!$B$8*Settings!$B$9,0)+IF($H368="Y",Settings!$B$7*Settings!$B$9,0)+N($I368)*Settings!$B$9,IF($D368="Deep clean",INDEX(Settings!$E$22:$E$26,MATCH(MIN(INDEX(Properties!$E$5:$E$104,MATCH($B368,Properties!$A$5:$A$104,0)),4),Settings!$A$22:$A$26,0))*Settings!$B$19+N($I368)*Settings!$B$9,IF($D368="Late cancel",INDEX(Properties!$L$5:$L$104,MATCH($B368,Properties!$A$5:$A$104,0))*Settings!$B$11,0))),0))</f>
        <v/>
      </c>
      <c r="P368" s="28" t="str">
        <f aca="false">IF($B368="","",$N368-$O368)</f>
        <v/>
      </c>
      <c r="Q368" s="29" t="str">
        <f aca="false">IF($A368="","",DATE(YEAR($A368),MONTH($A368),1))</f>
        <v/>
      </c>
      <c r="R368" s="30" t="str">
        <f aca="false">IF($A368="","",$A368+MOD(6-WEEKDAY($A368),7))</f>
        <v/>
      </c>
      <c r="S368" s="31" t="str">
        <f aca="false">IF($B368="","",IF(AND($M368='Invoice Builder'!$C$5,$Q368='Invoice Builder'!$C$6,N($N368)&gt;0),COUNTIFS($M$5:$M368,'Invoice Builder'!$C$5,$Q$5:$Q368,'Invoice Builder'!$C$6,$N$5:$N368,"&gt;0"),""))</f>
        <v/>
      </c>
      <c r="T368" s="27" t="str">
        <f aca="false">IF($A368="","",IF($A368&gt;=DATE(YEAR($A368),4,6),YEAR($A368)&amp;"/"&amp;RIGHT(YEAR($A368)+1,2),YEAR($A368)-1&amp;"/"&amp;RIGHT(YEAR($A368),2)))</f>
        <v/>
      </c>
    </row>
    <row r="369" customFormat="false" ht="15" hidden="false" customHeight="false" outlineLevel="0" collapsed="false">
      <c r="A369" s="22"/>
      <c r="B369" s="23"/>
      <c r="C369" s="23"/>
      <c r="D369" s="23"/>
      <c r="E369" s="24"/>
      <c r="F369" s="24"/>
      <c r="G369" s="23"/>
      <c r="H369" s="23"/>
      <c r="I369" s="25"/>
      <c r="J369" s="23"/>
      <c r="K369" s="23"/>
      <c r="L369" s="26" t="str">
        <f aca="false">IF(OR($E369="",$F369=""),"",MOD($F369-$E369,1)*24)</f>
        <v/>
      </c>
      <c r="M369" s="27" t="str">
        <f aca="false">IF($B369="","",IFERROR(INDEX(Properties!$D$5:$D$104,MATCH($B369,Properties!$A$5:$A$104,0)),"?"))</f>
        <v/>
      </c>
      <c r="N369" s="28" t="str">
        <f aca="false">IF($B369="","",IFERROR(IF($D369="Completed",INDEX(Properties!$I$5:$I$104,MATCH($B369,Properties!$A$5:$A$104,0))*(1+IF($G369="Y",Settings!$B$8,0))+IF($H369="Y",Settings!$B$7,0)+N($I369),IF($D369="Deep clean",INDEX(Settings!$E$22:$E$26,MATCH(MIN(INDEX(Properties!$E$5:$E$104,MATCH($B369,Properties!$A$5:$A$104,0)),4),Settings!$A$22:$A$26,0))+N($I369),IF($D369="Late cancel",INDEX(Properties!$I$5:$I$104,MATCH($B369,Properties!$A$5:$A$104,0))*Settings!$B$10,0))),0))</f>
        <v/>
      </c>
      <c r="O369" s="28" t="str">
        <f aca="false">IF($B369="","",IFERROR(IF($D369="Completed",INDEX(Properties!$L$5:$L$104,MATCH($B369,Properties!$A$5:$A$104,0))+IF($G369="Y",INDEX(Properties!$I$5:$I$104,MATCH($B369,Properties!$A$5:$A$104,0))*Settings!$B$8*Settings!$B$9,0)+IF($H369="Y",Settings!$B$7*Settings!$B$9,0)+N($I369)*Settings!$B$9,IF($D369="Deep clean",INDEX(Settings!$E$22:$E$26,MATCH(MIN(INDEX(Properties!$E$5:$E$104,MATCH($B369,Properties!$A$5:$A$104,0)),4),Settings!$A$22:$A$26,0))*Settings!$B$19+N($I369)*Settings!$B$9,IF($D369="Late cancel",INDEX(Properties!$L$5:$L$104,MATCH($B369,Properties!$A$5:$A$104,0))*Settings!$B$11,0))),0))</f>
        <v/>
      </c>
      <c r="P369" s="28" t="str">
        <f aca="false">IF($B369="","",$N369-$O369)</f>
        <v/>
      </c>
      <c r="Q369" s="29" t="str">
        <f aca="false">IF($A369="","",DATE(YEAR($A369),MONTH($A369),1))</f>
        <v/>
      </c>
      <c r="R369" s="30" t="str">
        <f aca="false">IF($A369="","",$A369+MOD(6-WEEKDAY($A369),7))</f>
        <v/>
      </c>
      <c r="S369" s="31" t="str">
        <f aca="false">IF($B369="","",IF(AND($M369='Invoice Builder'!$C$5,$Q369='Invoice Builder'!$C$6,N($N369)&gt;0),COUNTIFS($M$5:$M369,'Invoice Builder'!$C$5,$Q$5:$Q369,'Invoice Builder'!$C$6,$N$5:$N369,"&gt;0"),""))</f>
        <v/>
      </c>
      <c r="T369" s="27" t="str">
        <f aca="false">IF($A369="","",IF($A369&gt;=DATE(YEAR($A369),4,6),YEAR($A369)&amp;"/"&amp;RIGHT(YEAR($A369)+1,2),YEAR($A369)-1&amp;"/"&amp;RIGHT(YEAR($A369),2)))</f>
        <v/>
      </c>
    </row>
    <row r="370" customFormat="false" ht="15" hidden="false" customHeight="false" outlineLevel="0" collapsed="false">
      <c r="A370" s="22"/>
      <c r="B370" s="23"/>
      <c r="C370" s="23"/>
      <c r="D370" s="23"/>
      <c r="E370" s="24"/>
      <c r="F370" s="24"/>
      <c r="G370" s="23"/>
      <c r="H370" s="23"/>
      <c r="I370" s="25"/>
      <c r="J370" s="23"/>
      <c r="K370" s="23"/>
      <c r="L370" s="26" t="str">
        <f aca="false">IF(OR($E370="",$F370=""),"",MOD($F370-$E370,1)*24)</f>
        <v/>
      </c>
      <c r="M370" s="27" t="str">
        <f aca="false">IF($B370="","",IFERROR(INDEX(Properties!$D$5:$D$104,MATCH($B370,Properties!$A$5:$A$104,0)),"?"))</f>
        <v/>
      </c>
      <c r="N370" s="28" t="str">
        <f aca="false">IF($B370="","",IFERROR(IF($D370="Completed",INDEX(Properties!$I$5:$I$104,MATCH($B370,Properties!$A$5:$A$104,0))*(1+IF($G370="Y",Settings!$B$8,0))+IF($H370="Y",Settings!$B$7,0)+N($I370),IF($D370="Deep clean",INDEX(Settings!$E$22:$E$26,MATCH(MIN(INDEX(Properties!$E$5:$E$104,MATCH($B370,Properties!$A$5:$A$104,0)),4),Settings!$A$22:$A$26,0))+N($I370),IF($D370="Late cancel",INDEX(Properties!$I$5:$I$104,MATCH($B370,Properties!$A$5:$A$104,0))*Settings!$B$10,0))),0))</f>
        <v/>
      </c>
      <c r="O370" s="28" t="str">
        <f aca="false">IF($B370="","",IFERROR(IF($D370="Completed",INDEX(Properties!$L$5:$L$104,MATCH($B370,Properties!$A$5:$A$104,0))+IF($G370="Y",INDEX(Properties!$I$5:$I$104,MATCH($B370,Properties!$A$5:$A$104,0))*Settings!$B$8*Settings!$B$9,0)+IF($H370="Y",Settings!$B$7*Settings!$B$9,0)+N($I370)*Settings!$B$9,IF($D370="Deep clean",INDEX(Settings!$E$22:$E$26,MATCH(MIN(INDEX(Properties!$E$5:$E$104,MATCH($B370,Properties!$A$5:$A$104,0)),4),Settings!$A$22:$A$26,0))*Settings!$B$19+N($I370)*Settings!$B$9,IF($D370="Late cancel",INDEX(Properties!$L$5:$L$104,MATCH($B370,Properties!$A$5:$A$104,0))*Settings!$B$11,0))),0))</f>
        <v/>
      </c>
      <c r="P370" s="28" t="str">
        <f aca="false">IF($B370="","",$N370-$O370)</f>
        <v/>
      </c>
      <c r="Q370" s="29" t="str">
        <f aca="false">IF($A370="","",DATE(YEAR($A370),MONTH($A370),1))</f>
        <v/>
      </c>
      <c r="R370" s="30" t="str">
        <f aca="false">IF($A370="","",$A370+MOD(6-WEEKDAY($A370),7))</f>
        <v/>
      </c>
      <c r="S370" s="31" t="str">
        <f aca="false">IF($B370="","",IF(AND($M370='Invoice Builder'!$C$5,$Q370='Invoice Builder'!$C$6,N($N370)&gt;0),COUNTIFS($M$5:$M370,'Invoice Builder'!$C$5,$Q$5:$Q370,'Invoice Builder'!$C$6,$N$5:$N370,"&gt;0"),""))</f>
        <v/>
      </c>
      <c r="T370" s="27" t="str">
        <f aca="false">IF($A370="","",IF($A370&gt;=DATE(YEAR($A370),4,6),YEAR($A370)&amp;"/"&amp;RIGHT(YEAR($A370)+1,2),YEAR($A370)-1&amp;"/"&amp;RIGHT(YEAR($A370),2)))</f>
        <v/>
      </c>
    </row>
    <row r="371" customFormat="false" ht="15" hidden="false" customHeight="false" outlineLevel="0" collapsed="false">
      <c r="A371" s="22"/>
      <c r="B371" s="23"/>
      <c r="C371" s="23"/>
      <c r="D371" s="23"/>
      <c r="E371" s="24"/>
      <c r="F371" s="24"/>
      <c r="G371" s="23"/>
      <c r="H371" s="23"/>
      <c r="I371" s="25"/>
      <c r="J371" s="23"/>
      <c r="K371" s="23"/>
      <c r="L371" s="26" t="str">
        <f aca="false">IF(OR($E371="",$F371=""),"",MOD($F371-$E371,1)*24)</f>
        <v/>
      </c>
      <c r="M371" s="27" t="str">
        <f aca="false">IF($B371="","",IFERROR(INDEX(Properties!$D$5:$D$104,MATCH($B371,Properties!$A$5:$A$104,0)),"?"))</f>
        <v/>
      </c>
      <c r="N371" s="28" t="str">
        <f aca="false">IF($B371="","",IFERROR(IF($D371="Completed",INDEX(Properties!$I$5:$I$104,MATCH($B371,Properties!$A$5:$A$104,0))*(1+IF($G371="Y",Settings!$B$8,0))+IF($H371="Y",Settings!$B$7,0)+N($I371),IF($D371="Deep clean",INDEX(Settings!$E$22:$E$26,MATCH(MIN(INDEX(Properties!$E$5:$E$104,MATCH($B371,Properties!$A$5:$A$104,0)),4),Settings!$A$22:$A$26,0))+N($I371),IF($D371="Late cancel",INDEX(Properties!$I$5:$I$104,MATCH($B371,Properties!$A$5:$A$104,0))*Settings!$B$10,0))),0))</f>
        <v/>
      </c>
      <c r="O371" s="28" t="str">
        <f aca="false">IF($B371="","",IFERROR(IF($D371="Completed",INDEX(Properties!$L$5:$L$104,MATCH($B371,Properties!$A$5:$A$104,0))+IF($G371="Y",INDEX(Properties!$I$5:$I$104,MATCH($B371,Properties!$A$5:$A$104,0))*Settings!$B$8*Settings!$B$9,0)+IF($H371="Y",Settings!$B$7*Settings!$B$9,0)+N($I371)*Settings!$B$9,IF($D371="Deep clean",INDEX(Settings!$E$22:$E$26,MATCH(MIN(INDEX(Properties!$E$5:$E$104,MATCH($B371,Properties!$A$5:$A$104,0)),4),Settings!$A$22:$A$26,0))*Settings!$B$19+N($I371)*Settings!$B$9,IF($D371="Late cancel",INDEX(Properties!$L$5:$L$104,MATCH($B371,Properties!$A$5:$A$104,0))*Settings!$B$11,0))),0))</f>
        <v/>
      </c>
      <c r="P371" s="28" t="str">
        <f aca="false">IF($B371="","",$N371-$O371)</f>
        <v/>
      </c>
      <c r="Q371" s="29" t="str">
        <f aca="false">IF($A371="","",DATE(YEAR($A371),MONTH($A371),1))</f>
        <v/>
      </c>
      <c r="R371" s="30" t="str">
        <f aca="false">IF($A371="","",$A371+MOD(6-WEEKDAY($A371),7))</f>
        <v/>
      </c>
      <c r="S371" s="31" t="str">
        <f aca="false">IF($B371="","",IF(AND($M371='Invoice Builder'!$C$5,$Q371='Invoice Builder'!$C$6,N($N371)&gt;0),COUNTIFS($M$5:$M371,'Invoice Builder'!$C$5,$Q$5:$Q371,'Invoice Builder'!$C$6,$N$5:$N371,"&gt;0"),""))</f>
        <v/>
      </c>
      <c r="T371" s="27" t="str">
        <f aca="false">IF($A371="","",IF($A371&gt;=DATE(YEAR($A371),4,6),YEAR($A371)&amp;"/"&amp;RIGHT(YEAR($A371)+1,2),YEAR($A371)-1&amp;"/"&amp;RIGHT(YEAR($A371),2)))</f>
        <v/>
      </c>
    </row>
    <row r="372" customFormat="false" ht="15" hidden="false" customHeight="false" outlineLevel="0" collapsed="false">
      <c r="A372" s="22"/>
      <c r="B372" s="23"/>
      <c r="C372" s="23"/>
      <c r="D372" s="23"/>
      <c r="E372" s="24"/>
      <c r="F372" s="24"/>
      <c r="G372" s="23"/>
      <c r="H372" s="23"/>
      <c r="I372" s="25"/>
      <c r="J372" s="23"/>
      <c r="K372" s="23"/>
      <c r="L372" s="26" t="str">
        <f aca="false">IF(OR($E372="",$F372=""),"",MOD($F372-$E372,1)*24)</f>
        <v/>
      </c>
      <c r="M372" s="27" t="str">
        <f aca="false">IF($B372="","",IFERROR(INDEX(Properties!$D$5:$D$104,MATCH($B372,Properties!$A$5:$A$104,0)),"?"))</f>
        <v/>
      </c>
      <c r="N372" s="28" t="str">
        <f aca="false">IF($B372="","",IFERROR(IF($D372="Completed",INDEX(Properties!$I$5:$I$104,MATCH($B372,Properties!$A$5:$A$104,0))*(1+IF($G372="Y",Settings!$B$8,0))+IF($H372="Y",Settings!$B$7,0)+N($I372),IF($D372="Deep clean",INDEX(Settings!$E$22:$E$26,MATCH(MIN(INDEX(Properties!$E$5:$E$104,MATCH($B372,Properties!$A$5:$A$104,0)),4),Settings!$A$22:$A$26,0))+N($I372),IF($D372="Late cancel",INDEX(Properties!$I$5:$I$104,MATCH($B372,Properties!$A$5:$A$104,0))*Settings!$B$10,0))),0))</f>
        <v/>
      </c>
      <c r="O372" s="28" t="str">
        <f aca="false">IF($B372="","",IFERROR(IF($D372="Completed",INDEX(Properties!$L$5:$L$104,MATCH($B372,Properties!$A$5:$A$104,0))+IF($G372="Y",INDEX(Properties!$I$5:$I$104,MATCH($B372,Properties!$A$5:$A$104,0))*Settings!$B$8*Settings!$B$9,0)+IF($H372="Y",Settings!$B$7*Settings!$B$9,0)+N($I372)*Settings!$B$9,IF($D372="Deep clean",INDEX(Settings!$E$22:$E$26,MATCH(MIN(INDEX(Properties!$E$5:$E$104,MATCH($B372,Properties!$A$5:$A$104,0)),4),Settings!$A$22:$A$26,0))*Settings!$B$19+N($I372)*Settings!$B$9,IF($D372="Late cancel",INDEX(Properties!$L$5:$L$104,MATCH($B372,Properties!$A$5:$A$104,0))*Settings!$B$11,0))),0))</f>
        <v/>
      </c>
      <c r="P372" s="28" t="str">
        <f aca="false">IF($B372="","",$N372-$O372)</f>
        <v/>
      </c>
      <c r="Q372" s="29" t="str">
        <f aca="false">IF($A372="","",DATE(YEAR($A372),MONTH($A372),1))</f>
        <v/>
      </c>
      <c r="R372" s="30" t="str">
        <f aca="false">IF($A372="","",$A372+MOD(6-WEEKDAY($A372),7))</f>
        <v/>
      </c>
      <c r="S372" s="31" t="str">
        <f aca="false">IF($B372="","",IF(AND($M372='Invoice Builder'!$C$5,$Q372='Invoice Builder'!$C$6,N($N372)&gt;0),COUNTIFS($M$5:$M372,'Invoice Builder'!$C$5,$Q$5:$Q372,'Invoice Builder'!$C$6,$N$5:$N372,"&gt;0"),""))</f>
        <v/>
      </c>
      <c r="T372" s="27" t="str">
        <f aca="false">IF($A372="","",IF($A372&gt;=DATE(YEAR($A372),4,6),YEAR($A372)&amp;"/"&amp;RIGHT(YEAR($A372)+1,2),YEAR($A372)-1&amp;"/"&amp;RIGHT(YEAR($A372),2)))</f>
        <v/>
      </c>
    </row>
    <row r="373" customFormat="false" ht="15" hidden="false" customHeight="false" outlineLevel="0" collapsed="false">
      <c r="A373" s="22"/>
      <c r="B373" s="23"/>
      <c r="C373" s="23"/>
      <c r="D373" s="23"/>
      <c r="E373" s="24"/>
      <c r="F373" s="24"/>
      <c r="G373" s="23"/>
      <c r="H373" s="23"/>
      <c r="I373" s="25"/>
      <c r="J373" s="23"/>
      <c r="K373" s="23"/>
      <c r="L373" s="26" t="str">
        <f aca="false">IF(OR($E373="",$F373=""),"",MOD($F373-$E373,1)*24)</f>
        <v/>
      </c>
      <c r="M373" s="27" t="str">
        <f aca="false">IF($B373="","",IFERROR(INDEX(Properties!$D$5:$D$104,MATCH($B373,Properties!$A$5:$A$104,0)),"?"))</f>
        <v/>
      </c>
      <c r="N373" s="28" t="str">
        <f aca="false">IF($B373="","",IFERROR(IF($D373="Completed",INDEX(Properties!$I$5:$I$104,MATCH($B373,Properties!$A$5:$A$104,0))*(1+IF($G373="Y",Settings!$B$8,0))+IF($H373="Y",Settings!$B$7,0)+N($I373),IF($D373="Deep clean",INDEX(Settings!$E$22:$E$26,MATCH(MIN(INDEX(Properties!$E$5:$E$104,MATCH($B373,Properties!$A$5:$A$104,0)),4),Settings!$A$22:$A$26,0))+N($I373),IF($D373="Late cancel",INDEX(Properties!$I$5:$I$104,MATCH($B373,Properties!$A$5:$A$104,0))*Settings!$B$10,0))),0))</f>
        <v/>
      </c>
      <c r="O373" s="28" t="str">
        <f aca="false">IF($B373="","",IFERROR(IF($D373="Completed",INDEX(Properties!$L$5:$L$104,MATCH($B373,Properties!$A$5:$A$104,0))+IF($G373="Y",INDEX(Properties!$I$5:$I$104,MATCH($B373,Properties!$A$5:$A$104,0))*Settings!$B$8*Settings!$B$9,0)+IF($H373="Y",Settings!$B$7*Settings!$B$9,0)+N($I373)*Settings!$B$9,IF($D373="Deep clean",INDEX(Settings!$E$22:$E$26,MATCH(MIN(INDEX(Properties!$E$5:$E$104,MATCH($B373,Properties!$A$5:$A$104,0)),4),Settings!$A$22:$A$26,0))*Settings!$B$19+N($I373)*Settings!$B$9,IF($D373="Late cancel",INDEX(Properties!$L$5:$L$104,MATCH($B373,Properties!$A$5:$A$104,0))*Settings!$B$11,0))),0))</f>
        <v/>
      </c>
      <c r="P373" s="28" t="str">
        <f aca="false">IF($B373="","",$N373-$O373)</f>
        <v/>
      </c>
      <c r="Q373" s="29" t="str">
        <f aca="false">IF($A373="","",DATE(YEAR($A373),MONTH($A373),1))</f>
        <v/>
      </c>
      <c r="R373" s="30" t="str">
        <f aca="false">IF($A373="","",$A373+MOD(6-WEEKDAY($A373),7))</f>
        <v/>
      </c>
      <c r="S373" s="31" t="str">
        <f aca="false">IF($B373="","",IF(AND($M373='Invoice Builder'!$C$5,$Q373='Invoice Builder'!$C$6,N($N373)&gt;0),COUNTIFS($M$5:$M373,'Invoice Builder'!$C$5,$Q$5:$Q373,'Invoice Builder'!$C$6,$N$5:$N373,"&gt;0"),""))</f>
        <v/>
      </c>
      <c r="T373" s="27" t="str">
        <f aca="false">IF($A373="","",IF($A373&gt;=DATE(YEAR($A373),4,6),YEAR($A373)&amp;"/"&amp;RIGHT(YEAR($A373)+1,2),YEAR($A373)-1&amp;"/"&amp;RIGHT(YEAR($A373),2)))</f>
        <v/>
      </c>
    </row>
    <row r="374" customFormat="false" ht="15" hidden="false" customHeight="false" outlineLevel="0" collapsed="false">
      <c r="A374" s="22"/>
      <c r="B374" s="23"/>
      <c r="C374" s="23"/>
      <c r="D374" s="23"/>
      <c r="E374" s="24"/>
      <c r="F374" s="24"/>
      <c r="G374" s="23"/>
      <c r="H374" s="23"/>
      <c r="I374" s="25"/>
      <c r="J374" s="23"/>
      <c r="K374" s="23"/>
      <c r="L374" s="26" t="str">
        <f aca="false">IF(OR($E374="",$F374=""),"",MOD($F374-$E374,1)*24)</f>
        <v/>
      </c>
      <c r="M374" s="27" t="str">
        <f aca="false">IF($B374="","",IFERROR(INDEX(Properties!$D$5:$D$104,MATCH($B374,Properties!$A$5:$A$104,0)),"?"))</f>
        <v/>
      </c>
      <c r="N374" s="28" t="str">
        <f aca="false">IF($B374="","",IFERROR(IF($D374="Completed",INDEX(Properties!$I$5:$I$104,MATCH($B374,Properties!$A$5:$A$104,0))*(1+IF($G374="Y",Settings!$B$8,0))+IF($H374="Y",Settings!$B$7,0)+N($I374),IF($D374="Deep clean",INDEX(Settings!$E$22:$E$26,MATCH(MIN(INDEX(Properties!$E$5:$E$104,MATCH($B374,Properties!$A$5:$A$104,0)),4),Settings!$A$22:$A$26,0))+N($I374),IF($D374="Late cancel",INDEX(Properties!$I$5:$I$104,MATCH($B374,Properties!$A$5:$A$104,0))*Settings!$B$10,0))),0))</f>
        <v/>
      </c>
      <c r="O374" s="28" t="str">
        <f aca="false">IF($B374="","",IFERROR(IF($D374="Completed",INDEX(Properties!$L$5:$L$104,MATCH($B374,Properties!$A$5:$A$104,0))+IF($G374="Y",INDEX(Properties!$I$5:$I$104,MATCH($B374,Properties!$A$5:$A$104,0))*Settings!$B$8*Settings!$B$9,0)+IF($H374="Y",Settings!$B$7*Settings!$B$9,0)+N($I374)*Settings!$B$9,IF($D374="Deep clean",INDEX(Settings!$E$22:$E$26,MATCH(MIN(INDEX(Properties!$E$5:$E$104,MATCH($B374,Properties!$A$5:$A$104,0)),4),Settings!$A$22:$A$26,0))*Settings!$B$19+N($I374)*Settings!$B$9,IF($D374="Late cancel",INDEX(Properties!$L$5:$L$104,MATCH($B374,Properties!$A$5:$A$104,0))*Settings!$B$11,0))),0))</f>
        <v/>
      </c>
      <c r="P374" s="28" t="str">
        <f aca="false">IF($B374="","",$N374-$O374)</f>
        <v/>
      </c>
      <c r="Q374" s="29" t="str">
        <f aca="false">IF($A374="","",DATE(YEAR($A374),MONTH($A374),1))</f>
        <v/>
      </c>
      <c r="R374" s="30" t="str">
        <f aca="false">IF($A374="","",$A374+MOD(6-WEEKDAY($A374),7))</f>
        <v/>
      </c>
      <c r="S374" s="31" t="str">
        <f aca="false">IF($B374="","",IF(AND($M374='Invoice Builder'!$C$5,$Q374='Invoice Builder'!$C$6,N($N374)&gt;0),COUNTIFS($M$5:$M374,'Invoice Builder'!$C$5,$Q$5:$Q374,'Invoice Builder'!$C$6,$N$5:$N374,"&gt;0"),""))</f>
        <v/>
      </c>
      <c r="T374" s="27" t="str">
        <f aca="false">IF($A374="","",IF($A374&gt;=DATE(YEAR($A374),4,6),YEAR($A374)&amp;"/"&amp;RIGHT(YEAR($A374)+1,2),YEAR($A374)-1&amp;"/"&amp;RIGHT(YEAR($A374),2)))</f>
        <v/>
      </c>
    </row>
    <row r="375" customFormat="false" ht="15" hidden="false" customHeight="false" outlineLevel="0" collapsed="false">
      <c r="A375" s="22"/>
      <c r="B375" s="23"/>
      <c r="C375" s="23"/>
      <c r="D375" s="23"/>
      <c r="E375" s="24"/>
      <c r="F375" s="24"/>
      <c r="G375" s="23"/>
      <c r="H375" s="23"/>
      <c r="I375" s="25"/>
      <c r="J375" s="23"/>
      <c r="K375" s="23"/>
      <c r="L375" s="26" t="str">
        <f aca="false">IF(OR($E375="",$F375=""),"",MOD($F375-$E375,1)*24)</f>
        <v/>
      </c>
      <c r="M375" s="27" t="str">
        <f aca="false">IF($B375="","",IFERROR(INDEX(Properties!$D$5:$D$104,MATCH($B375,Properties!$A$5:$A$104,0)),"?"))</f>
        <v/>
      </c>
      <c r="N375" s="28" t="str">
        <f aca="false">IF($B375="","",IFERROR(IF($D375="Completed",INDEX(Properties!$I$5:$I$104,MATCH($B375,Properties!$A$5:$A$104,0))*(1+IF($G375="Y",Settings!$B$8,0))+IF($H375="Y",Settings!$B$7,0)+N($I375),IF($D375="Deep clean",INDEX(Settings!$E$22:$E$26,MATCH(MIN(INDEX(Properties!$E$5:$E$104,MATCH($B375,Properties!$A$5:$A$104,0)),4),Settings!$A$22:$A$26,0))+N($I375),IF($D375="Late cancel",INDEX(Properties!$I$5:$I$104,MATCH($B375,Properties!$A$5:$A$104,0))*Settings!$B$10,0))),0))</f>
        <v/>
      </c>
      <c r="O375" s="28" t="str">
        <f aca="false">IF($B375="","",IFERROR(IF($D375="Completed",INDEX(Properties!$L$5:$L$104,MATCH($B375,Properties!$A$5:$A$104,0))+IF($G375="Y",INDEX(Properties!$I$5:$I$104,MATCH($B375,Properties!$A$5:$A$104,0))*Settings!$B$8*Settings!$B$9,0)+IF($H375="Y",Settings!$B$7*Settings!$B$9,0)+N($I375)*Settings!$B$9,IF($D375="Deep clean",INDEX(Settings!$E$22:$E$26,MATCH(MIN(INDEX(Properties!$E$5:$E$104,MATCH($B375,Properties!$A$5:$A$104,0)),4),Settings!$A$22:$A$26,0))*Settings!$B$19+N($I375)*Settings!$B$9,IF($D375="Late cancel",INDEX(Properties!$L$5:$L$104,MATCH($B375,Properties!$A$5:$A$104,0))*Settings!$B$11,0))),0))</f>
        <v/>
      </c>
      <c r="P375" s="28" t="str">
        <f aca="false">IF($B375="","",$N375-$O375)</f>
        <v/>
      </c>
      <c r="Q375" s="29" t="str">
        <f aca="false">IF($A375="","",DATE(YEAR($A375),MONTH($A375),1))</f>
        <v/>
      </c>
      <c r="R375" s="30" t="str">
        <f aca="false">IF($A375="","",$A375+MOD(6-WEEKDAY($A375),7))</f>
        <v/>
      </c>
      <c r="S375" s="31" t="str">
        <f aca="false">IF($B375="","",IF(AND($M375='Invoice Builder'!$C$5,$Q375='Invoice Builder'!$C$6,N($N375)&gt;0),COUNTIFS($M$5:$M375,'Invoice Builder'!$C$5,$Q$5:$Q375,'Invoice Builder'!$C$6,$N$5:$N375,"&gt;0"),""))</f>
        <v/>
      </c>
      <c r="T375" s="27" t="str">
        <f aca="false">IF($A375="","",IF($A375&gt;=DATE(YEAR($A375),4,6),YEAR($A375)&amp;"/"&amp;RIGHT(YEAR($A375)+1,2),YEAR($A375)-1&amp;"/"&amp;RIGHT(YEAR($A375),2)))</f>
        <v/>
      </c>
    </row>
    <row r="376" customFormat="false" ht="15" hidden="false" customHeight="false" outlineLevel="0" collapsed="false">
      <c r="A376" s="22"/>
      <c r="B376" s="23"/>
      <c r="C376" s="23"/>
      <c r="D376" s="23"/>
      <c r="E376" s="24"/>
      <c r="F376" s="24"/>
      <c r="G376" s="23"/>
      <c r="H376" s="23"/>
      <c r="I376" s="25"/>
      <c r="J376" s="23"/>
      <c r="K376" s="23"/>
      <c r="L376" s="26" t="str">
        <f aca="false">IF(OR($E376="",$F376=""),"",MOD($F376-$E376,1)*24)</f>
        <v/>
      </c>
      <c r="M376" s="27" t="str">
        <f aca="false">IF($B376="","",IFERROR(INDEX(Properties!$D$5:$D$104,MATCH($B376,Properties!$A$5:$A$104,0)),"?"))</f>
        <v/>
      </c>
      <c r="N376" s="28" t="str">
        <f aca="false">IF($B376="","",IFERROR(IF($D376="Completed",INDEX(Properties!$I$5:$I$104,MATCH($B376,Properties!$A$5:$A$104,0))*(1+IF($G376="Y",Settings!$B$8,0))+IF($H376="Y",Settings!$B$7,0)+N($I376),IF($D376="Deep clean",INDEX(Settings!$E$22:$E$26,MATCH(MIN(INDEX(Properties!$E$5:$E$104,MATCH($B376,Properties!$A$5:$A$104,0)),4),Settings!$A$22:$A$26,0))+N($I376),IF($D376="Late cancel",INDEX(Properties!$I$5:$I$104,MATCH($B376,Properties!$A$5:$A$104,0))*Settings!$B$10,0))),0))</f>
        <v/>
      </c>
      <c r="O376" s="28" t="str">
        <f aca="false">IF($B376="","",IFERROR(IF($D376="Completed",INDEX(Properties!$L$5:$L$104,MATCH($B376,Properties!$A$5:$A$104,0))+IF($G376="Y",INDEX(Properties!$I$5:$I$104,MATCH($B376,Properties!$A$5:$A$104,0))*Settings!$B$8*Settings!$B$9,0)+IF($H376="Y",Settings!$B$7*Settings!$B$9,0)+N($I376)*Settings!$B$9,IF($D376="Deep clean",INDEX(Settings!$E$22:$E$26,MATCH(MIN(INDEX(Properties!$E$5:$E$104,MATCH($B376,Properties!$A$5:$A$104,0)),4),Settings!$A$22:$A$26,0))*Settings!$B$19+N($I376)*Settings!$B$9,IF($D376="Late cancel",INDEX(Properties!$L$5:$L$104,MATCH($B376,Properties!$A$5:$A$104,0))*Settings!$B$11,0))),0))</f>
        <v/>
      </c>
      <c r="P376" s="28" t="str">
        <f aca="false">IF($B376="","",$N376-$O376)</f>
        <v/>
      </c>
      <c r="Q376" s="29" t="str">
        <f aca="false">IF($A376="","",DATE(YEAR($A376),MONTH($A376),1))</f>
        <v/>
      </c>
      <c r="R376" s="30" t="str">
        <f aca="false">IF($A376="","",$A376+MOD(6-WEEKDAY($A376),7))</f>
        <v/>
      </c>
      <c r="S376" s="31" t="str">
        <f aca="false">IF($B376="","",IF(AND($M376='Invoice Builder'!$C$5,$Q376='Invoice Builder'!$C$6,N($N376)&gt;0),COUNTIFS($M$5:$M376,'Invoice Builder'!$C$5,$Q$5:$Q376,'Invoice Builder'!$C$6,$N$5:$N376,"&gt;0"),""))</f>
        <v/>
      </c>
      <c r="T376" s="27" t="str">
        <f aca="false">IF($A376="","",IF($A376&gt;=DATE(YEAR($A376),4,6),YEAR($A376)&amp;"/"&amp;RIGHT(YEAR($A376)+1,2),YEAR($A376)-1&amp;"/"&amp;RIGHT(YEAR($A376),2)))</f>
        <v/>
      </c>
    </row>
    <row r="377" customFormat="false" ht="15" hidden="false" customHeight="false" outlineLevel="0" collapsed="false">
      <c r="A377" s="22"/>
      <c r="B377" s="23"/>
      <c r="C377" s="23"/>
      <c r="D377" s="23"/>
      <c r="E377" s="24"/>
      <c r="F377" s="24"/>
      <c r="G377" s="23"/>
      <c r="H377" s="23"/>
      <c r="I377" s="25"/>
      <c r="J377" s="23"/>
      <c r="K377" s="23"/>
      <c r="L377" s="26" t="str">
        <f aca="false">IF(OR($E377="",$F377=""),"",MOD($F377-$E377,1)*24)</f>
        <v/>
      </c>
      <c r="M377" s="27" t="str">
        <f aca="false">IF($B377="","",IFERROR(INDEX(Properties!$D$5:$D$104,MATCH($B377,Properties!$A$5:$A$104,0)),"?"))</f>
        <v/>
      </c>
      <c r="N377" s="28" t="str">
        <f aca="false">IF($B377="","",IFERROR(IF($D377="Completed",INDEX(Properties!$I$5:$I$104,MATCH($B377,Properties!$A$5:$A$104,0))*(1+IF($G377="Y",Settings!$B$8,0))+IF($H377="Y",Settings!$B$7,0)+N($I377),IF($D377="Deep clean",INDEX(Settings!$E$22:$E$26,MATCH(MIN(INDEX(Properties!$E$5:$E$104,MATCH($B377,Properties!$A$5:$A$104,0)),4),Settings!$A$22:$A$26,0))+N($I377),IF($D377="Late cancel",INDEX(Properties!$I$5:$I$104,MATCH($B377,Properties!$A$5:$A$104,0))*Settings!$B$10,0))),0))</f>
        <v/>
      </c>
      <c r="O377" s="28" t="str">
        <f aca="false">IF($B377="","",IFERROR(IF($D377="Completed",INDEX(Properties!$L$5:$L$104,MATCH($B377,Properties!$A$5:$A$104,0))+IF($G377="Y",INDEX(Properties!$I$5:$I$104,MATCH($B377,Properties!$A$5:$A$104,0))*Settings!$B$8*Settings!$B$9,0)+IF($H377="Y",Settings!$B$7*Settings!$B$9,0)+N($I377)*Settings!$B$9,IF($D377="Deep clean",INDEX(Settings!$E$22:$E$26,MATCH(MIN(INDEX(Properties!$E$5:$E$104,MATCH($B377,Properties!$A$5:$A$104,0)),4),Settings!$A$22:$A$26,0))*Settings!$B$19+N($I377)*Settings!$B$9,IF($D377="Late cancel",INDEX(Properties!$L$5:$L$104,MATCH($B377,Properties!$A$5:$A$104,0))*Settings!$B$11,0))),0))</f>
        <v/>
      </c>
      <c r="P377" s="28" t="str">
        <f aca="false">IF($B377="","",$N377-$O377)</f>
        <v/>
      </c>
      <c r="Q377" s="29" t="str">
        <f aca="false">IF($A377="","",DATE(YEAR($A377),MONTH($A377),1))</f>
        <v/>
      </c>
      <c r="R377" s="30" t="str">
        <f aca="false">IF($A377="","",$A377+MOD(6-WEEKDAY($A377),7))</f>
        <v/>
      </c>
      <c r="S377" s="31" t="str">
        <f aca="false">IF($B377="","",IF(AND($M377='Invoice Builder'!$C$5,$Q377='Invoice Builder'!$C$6,N($N377)&gt;0),COUNTIFS($M$5:$M377,'Invoice Builder'!$C$5,$Q$5:$Q377,'Invoice Builder'!$C$6,$N$5:$N377,"&gt;0"),""))</f>
        <v/>
      </c>
      <c r="T377" s="27" t="str">
        <f aca="false">IF($A377="","",IF($A377&gt;=DATE(YEAR($A377),4,6),YEAR($A377)&amp;"/"&amp;RIGHT(YEAR($A377)+1,2),YEAR($A377)-1&amp;"/"&amp;RIGHT(YEAR($A377),2)))</f>
        <v/>
      </c>
    </row>
    <row r="378" customFormat="false" ht="15" hidden="false" customHeight="false" outlineLevel="0" collapsed="false">
      <c r="A378" s="22"/>
      <c r="B378" s="23"/>
      <c r="C378" s="23"/>
      <c r="D378" s="23"/>
      <c r="E378" s="24"/>
      <c r="F378" s="24"/>
      <c r="G378" s="23"/>
      <c r="H378" s="23"/>
      <c r="I378" s="25"/>
      <c r="J378" s="23"/>
      <c r="K378" s="23"/>
      <c r="L378" s="26" t="str">
        <f aca="false">IF(OR($E378="",$F378=""),"",MOD($F378-$E378,1)*24)</f>
        <v/>
      </c>
      <c r="M378" s="27" t="str">
        <f aca="false">IF($B378="","",IFERROR(INDEX(Properties!$D$5:$D$104,MATCH($B378,Properties!$A$5:$A$104,0)),"?"))</f>
        <v/>
      </c>
      <c r="N378" s="28" t="str">
        <f aca="false">IF($B378="","",IFERROR(IF($D378="Completed",INDEX(Properties!$I$5:$I$104,MATCH($B378,Properties!$A$5:$A$104,0))*(1+IF($G378="Y",Settings!$B$8,0))+IF($H378="Y",Settings!$B$7,0)+N($I378),IF($D378="Deep clean",INDEX(Settings!$E$22:$E$26,MATCH(MIN(INDEX(Properties!$E$5:$E$104,MATCH($B378,Properties!$A$5:$A$104,0)),4),Settings!$A$22:$A$26,0))+N($I378),IF($D378="Late cancel",INDEX(Properties!$I$5:$I$104,MATCH($B378,Properties!$A$5:$A$104,0))*Settings!$B$10,0))),0))</f>
        <v/>
      </c>
      <c r="O378" s="28" t="str">
        <f aca="false">IF($B378="","",IFERROR(IF($D378="Completed",INDEX(Properties!$L$5:$L$104,MATCH($B378,Properties!$A$5:$A$104,0))+IF($G378="Y",INDEX(Properties!$I$5:$I$104,MATCH($B378,Properties!$A$5:$A$104,0))*Settings!$B$8*Settings!$B$9,0)+IF($H378="Y",Settings!$B$7*Settings!$B$9,0)+N($I378)*Settings!$B$9,IF($D378="Deep clean",INDEX(Settings!$E$22:$E$26,MATCH(MIN(INDEX(Properties!$E$5:$E$104,MATCH($B378,Properties!$A$5:$A$104,0)),4),Settings!$A$22:$A$26,0))*Settings!$B$19+N($I378)*Settings!$B$9,IF($D378="Late cancel",INDEX(Properties!$L$5:$L$104,MATCH($B378,Properties!$A$5:$A$104,0))*Settings!$B$11,0))),0))</f>
        <v/>
      </c>
      <c r="P378" s="28" t="str">
        <f aca="false">IF($B378="","",$N378-$O378)</f>
        <v/>
      </c>
      <c r="Q378" s="29" t="str">
        <f aca="false">IF($A378="","",DATE(YEAR($A378),MONTH($A378),1))</f>
        <v/>
      </c>
      <c r="R378" s="30" t="str">
        <f aca="false">IF($A378="","",$A378+MOD(6-WEEKDAY($A378),7))</f>
        <v/>
      </c>
      <c r="S378" s="31" t="str">
        <f aca="false">IF($B378="","",IF(AND($M378='Invoice Builder'!$C$5,$Q378='Invoice Builder'!$C$6,N($N378)&gt;0),COUNTIFS($M$5:$M378,'Invoice Builder'!$C$5,$Q$5:$Q378,'Invoice Builder'!$C$6,$N$5:$N378,"&gt;0"),""))</f>
        <v/>
      </c>
      <c r="T378" s="27" t="str">
        <f aca="false">IF($A378="","",IF($A378&gt;=DATE(YEAR($A378),4,6),YEAR($A378)&amp;"/"&amp;RIGHT(YEAR($A378)+1,2),YEAR($A378)-1&amp;"/"&amp;RIGHT(YEAR($A378),2)))</f>
        <v/>
      </c>
    </row>
    <row r="379" customFormat="false" ht="15" hidden="false" customHeight="false" outlineLevel="0" collapsed="false">
      <c r="A379" s="22"/>
      <c r="B379" s="23"/>
      <c r="C379" s="23"/>
      <c r="D379" s="23"/>
      <c r="E379" s="24"/>
      <c r="F379" s="24"/>
      <c r="G379" s="23"/>
      <c r="H379" s="23"/>
      <c r="I379" s="25"/>
      <c r="J379" s="23"/>
      <c r="K379" s="23"/>
      <c r="L379" s="26" t="str">
        <f aca="false">IF(OR($E379="",$F379=""),"",MOD($F379-$E379,1)*24)</f>
        <v/>
      </c>
      <c r="M379" s="27" t="str">
        <f aca="false">IF($B379="","",IFERROR(INDEX(Properties!$D$5:$D$104,MATCH($B379,Properties!$A$5:$A$104,0)),"?"))</f>
        <v/>
      </c>
      <c r="N379" s="28" t="str">
        <f aca="false">IF($B379="","",IFERROR(IF($D379="Completed",INDEX(Properties!$I$5:$I$104,MATCH($B379,Properties!$A$5:$A$104,0))*(1+IF($G379="Y",Settings!$B$8,0))+IF($H379="Y",Settings!$B$7,0)+N($I379),IF($D379="Deep clean",INDEX(Settings!$E$22:$E$26,MATCH(MIN(INDEX(Properties!$E$5:$E$104,MATCH($B379,Properties!$A$5:$A$104,0)),4),Settings!$A$22:$A$26,0))+N($I379),IF($D379="Late cancel",INDEX(Properties!$I$5:$I$104,MATCH($B379,Properties!$A$5:$A$104,0))*Settings!$B$10,0))),0))</f>
        <v/>
      </c>
      <c r="O379" s="28" t="str">
        <f aca="false">IF($B379="","",IFERROR(IF($D379="Completed",INDEX(Properties!$L$5:$L$104,MATCH($B379,Properties!$A$5:$A$104,0))+IF($G379="Y",INDEX(Properties!$I$5:$I$104,MATCH($B379,Properties!$A$5:$A$104,0))*Settings!$B$8*Settings!$B$9,0)+IF($H379="Y",Settings!$B$7*Settings!$B$9,0)+N($I379)*Settings!$B$9,IF($D379="Deep clean",INDEX(Settings!$E$22:$E$26,MATCH(MIN(INDEX(Properties!$E$5:$E$104,MATCH($B379,Properties!$A$5:$A$104,0)),4),Settings!$A$22:$A$26,0))*Settings!$B$19+N($I379)*Settings!$B$9,IF($D379="Late cancel",INDEX(Properties!$L$5:$L$104,MATCH($B379,Properties!$A$5:$A$104,0))*Settings!$B$11,0))),0))</f>
        <v/>
      </c>
      <c r="P379" s="28" t="str">
        <f aca="false">IF($B379="","",$N379-$O379)</f>
        <v/>
      </c>
      <c r="Q379" s="29" t="str">
        <f aca="false">IF($A379="","",DATE(YEAR($A379),MONTH($A379),1))</f>
        <v/>
      </c>
      <c r="R379" s="30" t="str">
        <f aca="false">IF($A379="","",$A379+MOD(6-WEEKDAY($A379),7))</f>
        <v/>
      </c>
      <c r="S379" s="31" t="str">
        <f aca="false">IF($B379="","",IF(AND($M379='Invoice Builder'!$C$5,$Q379='Invoice Builder'!$C$6,N($N379)&gt;0),COUNTIFS($M$5:$M379,'Invoice Builder'!$C$5,$Q$5:$Q379,'Invoice Builder'!$C$6,$N$5:$N379,"&gt;0"),""))</f>
        <v/>
      </c>
      <c r="T379" s="27" t="str">
        <f aca="false">IF($A379="","",IF($A379&gt;=DATE(YEAR($A379),4,6),YEAR($A379)&amp;"/"&amp;RIGHT(YEAR($A379)+1,2),YEAR($A379)-1&amp;"/"&amp;RIGHT(YEAR($A379),2)))</f>
        <v/>
      </c>
    </row>
    <row r="380" customFormat="false" ht="15" hidden="false" customHeight="false" outlineLevel="0" collapsed="false">
      <c r="A380" s="22"/>
      <c r="B380" s="23"/>
      <c r="C380" s="23"/>
      <c r="D380" s="23"/>
      <c r="E380" s="24"/>
      <c r="F380" s="24"/>
      <c r="G380" s="23"/>
      <c r="H380" s="23"/>
      <c r="I380" s="25"/>
      <c r="J380" s="23"/>
      <c r="K380" s="23"/>
      <c r="L380" s="26" t="str">
        <f aca="false">IF(OR($E380="",$F380=""),"",MOD($F380-$E380,1)*24)</f>
        <v/>
      </c>
      <c r="M380" s="27" t="str">
        <f aca="false">IF($B380="","",IFERROR(INDEX(Properties!$D$5:$D$104,MATCH($B380,Properties!$A$5:$A$104,0)),"?"))</f>
        <v/>
      </c>
      <c r="N380" s="28" t="str">
        <f aca="false">IF($B380="","",IFERROR(IF($D380="Completed",INDEX(Properties!$I$5:$I$104,MATCH($B380,Properties!$A$5:$A$104,0))*(1+IF($G380="Y",Settings!$B$8,0))+IF($H380="Y",Settings!$B$7,0)+N($I380),IF($D380="Deep clean",INDEX(Settings!$E$22:$E$26,MATCH(MIN(INDEX(Properties!$E$5:$E$104,MATCH($B380,Properties!$A$5:$A$104,0)),4),Settings!$A$22:$A$26,0))+N($I380),IF($D380="Late cancel",INDEX(Properties!$I$5:$I$104,MATCH($B380,Properties!$A$5:$A$104,0))*Settings!$B$10,0))),0))</f>
        <v/>
      </c>
      <c r="O380" s="28" t="str">
        <f aca="false">IF($B380="","",IFERROR(IF($D380="Completed",INDEX(Properties!$L$5:$L$104,MATCH($B380,Properties!$A$5:$A$104,0))+IF($G380="Y",INDEX(Properties!$I$5:$I$104,MATCH($B380,Properties!$A$5:$A$104,0))*Settings!$B$8*Settings!$B$9,0)+IF($H380="Y",Settings!$B$7*Settings!$B$9,0)+N($I380)*Settings!$B$9,IF($D380="Deep clean",INDEX(Settings!$E$22:$E$26,MATCH(MIN(INDEX(Properties!$E$5:$E$104,MATCH($B380,Properties!$A$5:$A$104,0)),4),Settings!$A$22:$A$26,0))*Settings!$B$19+N($I380)*Settings!$B$9,IF($D380="Late cancel",INDEX(Properties!$L$5:$L$104,MATCH($B380,Properties!$A$5:$A$104,0))*Settings!$B$11,0))),0))</f>
        <v/>
      </c>
      <c r="P380" s="28" t="str">
        <f aca="false">IF($B380="","",$N380-$O380)</f>
        <v/>
      </c>
      <c r="Q380" s="29" t="str">
        <f aca="false">IF($A380="","",DATE(YEAR($A380),MONTH($A380),1))</f>
        <v/>
      </c>
      <c r="R380" s="30" t="str">
        <f aca="false">IF($A380="","",$A380+MOD(6-WEEKDAY($A380),7))</f>
        <v/>
      </c>
      <c r="S380" s="31" t="str">
        <f aca="false">IF($B380="","",IF(AND($M380='Invoice Builder'!$C$5,$Q380='Invoice Builder'!$C$6,N($N380)&gt;0),COUNTIFS($M$5:$M380,'Invoice Builder'!$C$5,$Q$5:$Q380,'Invoice Builder'!$C$6,$N$5:$N380,"&gt;0"),""))</f>
        <v/>
      </c>
      <c r="T380" s="27" t="str">
        <f aca="false">IF($A380="","",IF($A380&gt;=DATE(YEAR($A380),4,6),YEAR($A380)&amp;"/"&amp;RIGHT(YEAR($A380)+1,2),YEAR($A380)-1&amp;"/"&amp;RIGHT(YEAR($A380),2)))</f>
        <v/>
      </c>
    </row>
    <row r="381" customFormat="false" ht="15" hidden="false" customHeight="false" outlineLevel="0" collapsed="false">
      <c r="A381" s="22"/>
      <c r="B381" s="23"/>
      <c r="C381" s="23"/>
      <c r="D381" s="23"/>
      <c r="E381" s="24"/>
      <c r="F381" s="24"/>
      <c r="G381" s="23"/>
      <c r="H381" s="23"/>
      <c r="I381" s="25"/>
      <c r="J381" s="23"/>
      <c r="K381" s="23"/>
      <c r="L381" s="26" t="str">
        <f aca="false">IF(OR($E381="",$F381=""),"",MOD($F381-$E381,1)*24)</f>
        <v/>
      </c>
      <c r="M381" s="27" t="str">
        <f aca="false">IF($B381="","",IFERROR(INDEX(Properties!$D$5:$D$104,MATCH($B381,Properties!$A$5:$A$104,0)),"?"))</f>
        <v/>
      </c>
      <c r="N381" s="28" t="str">
        <f aca="false">IF($B381="","",IFERROR(IF($D381="Completed",INDEX(Properties!$I$5:$I$104,MATCH($B381,Properties!$A$5:$A$104,0))*(1+IF($G381="Y",Settings!$B$8,0))+IF($H381="Y",Settings!$B$7,0)+N($I381),IF($D381="Deep clean",INDEX(Settings!$E$22:$E$26,MATCH(MIN(INDEX(Properties!$E$5:$E$104,MATCH($B381,Properties!$A$5:$A$104,0)),4),Settings!$A$22:$A$26,0))+N($I381),IF($D381="Late cancel",INDEX(Properties!$I$5:$I$104,MATCH($B381,Properties!$A$5:$A$104,0))*Settings!$B$10,0))),0))</f>
        <v/>
      </c>
      <c r="O381" s="28" t="str">
        <f aca="false">IF($B381="","",IFERROR(IF($D381="Completed",INDEX(Properties!$L$5:$L$104,MATCH($B381,Properties!$A$5:$A$104,0))+IF($G381="Y",INDEX(Properties!$I$5:$I$104,MATCH($B381,Properties!$A$5:$A$104,0))*Settings!$B$8*Settings!$B$9,0)+IF($H381="Y",Settings!$B$7*Settings!$B$9,0)+N($I381)*Settings!$B$9,IF($D381="Deep clean",INDEX(Settings!$E$22:$E$26,MATCH(MIN(INDEX(Properties!$E$5:$E$104,MATCH($B381,Properties!$A$5:$A$104,0)),4),Settings!$A$22:$A$26,0))*Settings!$B$19+N($I381)*Settings!$B$9,IF($D381="Late cancel",INDEX(Properties!$L$5:$L$104,MATCH($B381,Properties!$A$5:$A$104,0))*Settings!$B$11,0))),0))</f>
        <v/>
      </c>
      <c r="P381" s="28" t="str">
        <f aca="false">IF($B381="","",$N381-$O381)</f>
        <v/>
      </c>
      <c r="Q381" s="29" t="str">
        <f aca="false">IF($A381="","",DATE(YEAR($A381),MONTH($A381),1))</f>
        <v/>
      </c>
      <c r="R381" s="30" t="str">
        <f aca="false">IF($A381="","",$A381+MOD(6-WEEKDAY($A381),7))</f>
        <v/>
      </c>
      <c r="S381" s="31" t="str">
        <f aca="false">IF($B381="","",IF(AND($M381='Invoice Builder'!$C$5,$Q381='Invoice Builder'!$C$6,N($N381)&gt;0),COUNTIFS($M$5:$M381,'Invoice Builder'!$C$5,$Q$5:$Q381,'Invoice Builder'!$C$6,$N$5:$N381,"&gt;0"),""))</f>
        <v/>
      </c>
      <c r="T381" s="27" t="str">
        <f aca="false">IF($A381="","",IF($A381&gt;=DATE(YEAR($A381),4,6),YEAR($A381)&amp;"/"&amp;RIGHT(YEAR($A381)+1,2),YEAR($A381)-1&amp;"/"&amp;RIGHT(YEAR($A381),2)))</f>
        <v/>
      </c>
    </row>
    <row r="382" customFormat="false" ht="15" hidden="false" customHeight="false" outlineLevel="0" collapsed="false">
      <c r="A382" s="22"/>
      <c r="B382" s="23"/>
      <c r="C382" s="23"/>
      <c r="D382" s="23"/>
      <c r="E382" s="24"/>
      <c r="F382" s="24"/>
      <c r="G382" s="23"/>
      <c r="H382" s="23"/>
      <c r="I382" s="25"/>
      <c r="J382" s="23"/>
      <c r="K382" s="23"/>
      <c r="L382" s="26" t="str">
        <f aca="false">IF(OR($E382="",$F382=""),"",MOD($F382-$E382,1)*24)</f>
        <v/>
      </c>
      <c r="M382" s="27" t="str">
        <f aca="false">IF($B382="","",IFERROR(INDEX(Properties!$D$5:$D$104,MATCH($B382,Properties!$A$5:$A$104,0)),"?"))</f>
        <v/>
      </c>
      <c r="N382" s="28" t="str">
        <f aca="false">IF($B382="","",IFERROR(IF($D382="Completed",INDEX(Properties!$I$5:$I$104,MATCH($B382,Properties!$A$5:$A$104,0))*(1+IF($G382="Y",Settings!$B$8,0))+IF($H382="Y",Settings!$B$7,0)+N($I382),IF($D382="Deep clean",INDEX(Settings!$E$22:$E$26,MATCH(MIN(INDEX(Properties!$E$5:$E$104,MATCH($B382,Properties!$A$5:$A$104,0)),4),Settings!$A$22:$A$26,0))+N($I382),IF($D382="Late cancel",INDEX(Properties!$I$5:$I$104,MATCH($B382,Properties!$A$5:$A$104,0))*Settings!$B$10,0))),0))</f>
        <v/>
      </c>
      <c r="O382" s="28" t="str">
        <f aca="false">IF($B382="","",IFERROR(IF($D382="Completed",INDEX(Properties!$L$5:$L$104,MATCH($B382,Properties!$A$5:$A$104,0))+IF($G382="Y",INDEX(Properties!$I$5:$I$104,MATCH($B382,Properties!$A$5:$A$104,0))*Settings!$B$8*Settings!$B$9,0)+IF($H382="Y",Settings!$B$7*Settings!$B$9,0)+N($I382)*Settings!$B$9,IF($D382="Deep clean",INDEX(Settings!$E$22:$E$26,MATCH(MIN(INDEX(Properties!$E$5:$E$104,MATCH($B382,Properties!$A$5:$A$104,0)),4),Settings!$A$22:$A$26,0))*Settings!$B$19+N($I382)*Settings!$B$9,IF($D382="Late cancel",INDEX(Properties!$L$5:$L$104,MATCH($B382,Properties!$A$5:$A$104,0))*Settings!$B$11,0))),0))</f>
        <v/>
      </c>
      <c r="P382" s="28" t="str">
        <f aca="false">IF($B382="","",$N382-$O382)</f>
        <v/>
      </c>
      <c r="Q382" s="29" t="str">
        <f aca="false">IF($A382="","",DATE(YEAR($A382),MONTH($A382),1))</f>
        <v/>
      </c>
      <c r="R382" s="30" t="str">
        <f aca="false">IF($A382="","",$A382+MOD(6-WEEKDAY($A382),7))</f>
        <v/>
      </c>
      <c r="S382" s="31" t="str">
        <f aca="false">IF($B382="","",IF(AND($M382='Invoice Builder'!$C$5,$Q382='Invoice Builder'!$C$6,N($N382)&gt;0),COUNTIFS($M$5:$M382,'Invoice Builder'!$C$5,$Q$5:$Q382,'Invoice Builder'!$C$6,$N$5:$N382,"&gt;0"),""))</f>
        <v/>
      </c>
      <c r="T382" s="27" t="str">
        <f aca="false">IF($A382="","",IF($A382&gt;=DATE(YEAR($A382),4,6),YEAR($A382)&amp;"/"&amp;RIGHT(YEAR($A382)+1,2),YEAR($A382)-1&amp;"/"&amp;RIGHT(YEAR($A382),2)))</f>
        <v/>
      </c>
    </row>
    <row r="383" customFormat="false" ht="15" hidden="false" customHeight="false" outlineLevel="0" collapsed="false">
      <c r="A383" s="22"/>
      <c r="B383" s="23"/>
      <c r="C383" s="23"/>
      <c r="D383" s="23"/>
      <c r="E383" s="24"/>
      <c r="F383" s="24"/>
      <c r="G383" s="23"/>
      <c r="H383" s="23"/>
      <c r="I383" s="25"/>
      <c r="J383" s="23"/>
      <c r="K383" s="23"/>
      <c r="L383" s="26" t="str">
        <f aca="false">IF(OR($E383="",$F383=""),"",MOD($F383-$E383,1)*24)</f>
        <v/>
      </c>
      <c r="M383" s="27" t="str">
        <f aca="false">IF($B383="","",IFERROR(INDEX(Properties!$D$5:$D$104,MATCH($B383,Properties!$A$5:$A$104,0)),"?"))</f>
        <v/>
      </c>
      <c r="N383" s="28" t="str">
        <f aca="false">IF($B383="","",IFERROR(IF($D383="Completed",INDEX(Properties!$I$5:$I$104,MATCH($B383,Properties!$A$5:$A$104,0))*(1+IF($G383="Y",Settings!$B$8,0))+IF($H383="Y",Settings!$B$7,0)+N($I383),IF($D383="Deep clean",INDEX(Settings!$E$22:$E$26,MATCH(MIN(INDEX(Properties!$E$5:$E$104,MATCH($B383,Properties!$A$5:$A$104,0)),4),Settings!$A$22:$A$26,0))+N($I383),IF($D383="Late cancel",INDEX(Properties!$I$5:$I$104,MATCH($B383,Properties!$A$5:$A$104,0))*Settings!$B$10,0))),0))</f>
        <v/>
      </c>
      <c r="O383" s="28" t="str">
        <f aca="false">IF($B383="","",IFERROR(IF($D383="Completed",INDEX(Properties!$L$5:$L$104,MATCH($B383,Properties!$A$5:$A$104,0))+IF($G383="Y",INDEX(Properties!$I$5:$I$104,MATCH($B383,Properties!$A$5:$A$104,0))*Settings!$B$8*Settings!$B$9,0)+IF($H383="Y",Settings!$B$7*Settings!$B$9,0)+N($I383)*Settings!$B$9,IF($D383="Deep clean",INDEX(Settings!$E$22:$E$26,MATCH(MIN(INDEX(Properties!$E$5:$E$104,MATCH($B383,Properties!$A$5:$A$104,0)),4),Settings!$A$22:$A$26,0))*Settings!$B$19+N($I383)*Settings!$B$9,IF($D383="Late cancel",INDEX(Properties!$L$5:$L$104,MATCH($B383,Properties!$A$5:$A$104,0))*Settings!$B$11,0))),0))</f>
        <v/>
      </c>
      <c r="P383" s="28" t="str">
        <f aca="false">IF($B383="","",$N383-$O383)</f>
        <v/>
      </c>
      <c r="Q383" s="29" t="str">
        <f aca="false">IF($A383="","",DATE(YEAR($A383),MONTH($A383),1))</f>
        <v/>
      </c>
      <c r="R383" s="30" t="str">
        <f aca="false">IF($A383="","",$A383+MOD(6-WEEKDAY($A383),7))</f>
        <v/>
      </c>
      <c r="S383" s="31" t="str">
        <f aca="false">IF($B383="","",IF(AND($M383='Invoice Builder'!$C$5,$Q383='Invoice Builder'!$C$6,N($N383)&gt;0),COUNTIFS($M$5:$M383,'Invoice Builder'!$C$5,$Q$5:$Q383,'Invoice Builder'!$C$6,$N$5:$N383,"&gt;0"),""))</f>
        <v/>
      </c>
      <c r="T383" s="27" t="str">
        <f aca="false">IF($A383="","",IF($A383&gt;=DATE(YEAR($A383),4,6),YEAR($A383)&amp;"/"&amp;RIGHT(YEAR($A383)+1,2),YEAR($A383)-1&amp;"/"&amp;RIGHT(YEAR($A383),2)))</f>
        <v/>
      </c>
    </row>
    <row r="384" customFormat="false" ht="15" hidden="false" customHeight="false" outlineLevel="0" collapsed="false">
      <c r="A384" s="22"/>
      <c r="B384" s="23"/>
      <c r="C384" s="23"/>
      <c r="D384" s="23"/>
      <c r="E384" s="24"/>
      <c r="F384" s="24"/>
      <c r="G384" s="23"/>
      <c r="H384" s="23"/>
      <c r="I384" s="25"/>
      <c r="J384" s="23"/>
      <c r="K384" s="23"/>
      <c r="L384" s="26" t="str">
        <f aca="false">IF(OR($E384="",$F384=""),"",MOD($F384-$E384,1)*24)</f>
        <v/>
      </c>
      <c r="M384" s="27" t="str">
        <f aca="false">IF($B384="","",IFERROR(INDEX(Properties!$D$5:$D$104,MATCH($B384,Properties!$A$5:$A$104,0)),"?"))</f>
        <v/>
      </c>
      <c r="N384" s="28" t="str">
        <f aca="false">IF($B384="","",IFERROR(IF($D384="Completed",INDEX(Properties!$I$5:$I$104,MATCH($B384,Properties!$A$5:$A$104,0))*(1+IF($G384="Y",Settings!$B$8,0))+IF($H384="Y",Settings!$B$7,0)+N($I384),IF($D384="Deep clean",INDEX(Settings!$E$22:$E$26,MATCH(MIN(INDEX(Properties!$E$5:$E$104,MATCH($B384,Properties!$A$5:$A$104,0)),4),Settings!$A$22:$A$26,0))+N($I384),IF($D384="Late cancel",INDEX(Properties!$I$5:$I$104,MATCH($B384,Properties!$A$5:$A$104,0))*Settings!$B$10,0))),0))</f>
        <v/>
      </c>
      <c r="O384" s="28" t="str">
        <f aca="false">IF($B384="","",IFERROR(IF($D384="Completed",INDEX(Properties!$L$5:$L$104,MATCH($B384,Properties!$A$5:$A$104,0))+IF($G384="Y",INDEX(Properties!$I$5:$I$104,MATCH($B384,Properties!$A$5:$A$104,0))*Settings!$B$8*Settings!$B$9,0)+IF($H384="Y",Settings!$B$7*Settings!$B$9,0)+N($I384)*Settings!$B$9,IF($D384="Deep clean",INDEX(Settings!$E$22:$E$26,MATCH(MIN(INDEX(Properties!$E$5:$E$104,MATCH($B384,Properties!$A$5:$A$104,0)),4),Settings!$A$22:$A$26,0))*Settings!$B$19+N($I384)*Settings!$B$9,IF($D384="Late cancel",INDEX(Properties!$L$5:$L$104,MATCH($B384,Properties!$A$5:$A$104,0))*Settings!$B$11,0))),0))</f>
        <v/>
      </c>
      <c r="P384" s="28" t="str">
        <f aca="false">IF($B384="","",$N384-$O384)</f>
        <v/>
      </c>
      <c r="Q384" s="29" t="str">
        <f aca="false">IF($A384="","",DATE(YEAR($A384),MONTH($A384),1))</f>
        <v/>
      </c>
      <c r="R384" s="30" t="str">
        <f aca="false">IF($A384="","",$A384+MOD(6-WEEKDAY($A384),7))</f>
        <v/>
      </c>
      <c r="S384" s="31" t="str">
        <f aca="false">IF($B384="","",IF(AND($M384='Invoice Builder'!$C$5,$Q384='Invoice Builder'!$C$6,N($N384)&gt;0),COUNTIFS($M$5:$M384,'Invoice Builder'!$C$5,$Q$5:$Q384,'Invoice Builder'!$C$6,$N$5:$N384,"&gt;0"),""))</f>
        <v/>
      </c>
      <c r="T384" s="27" t="str">
        <f aca="false">IF($A384="","",IF($A384&gt;=DATE(YEAR($A384),4,6),YEAR($A384)&amp;"/"&amp;RIGHT(YEAR($A384)+1,2),YEAR($A384)-1&amp;"/"&amp;RIGHT(YEAR($A384),2)))</f>
        <v/>
      </c>
    </row>
    <row r="385" customFormat="false" ht="15" hidden="false" customHeight="false" outlineLevel="0" collapsed="false">
      <c r="A385" s="22"/>
      <c r="B385" s="23"/>
      <c r="C385" s="23"/>
      <c r="D385" s="23"/>
      <c r="E385" s="24"/>
      <c r="F385" s="24"/>
      <c r="G385" s="23"/>
      <c r="H385" s="23"/>
      <c r="I385" s="25"/>
      <c r="J385" s="23"/>
      <c r="K385" s="23"/>
      <c r="L385" s="26" t="str">
        <f aca="false">IF(OR($E385="",$F385=""),"",MOD($F385-$E385,1)*24)</f>
        <v/>
      </c>
      <c r="M385" s="27" t="str">
        <f aca="false">IF($B385="","",IFERROR(INDEX(Properties!$D$5:$D$104,MATCH($B385,Properties!$A$5:$A$104,0)),"?"))</f>
        <v/>
      </c>
      <c r="N385" s="28" t="str">
        <f aca="false">IF($B385="","",IFERROR(IF($D385="Completed",INDEX(Properties!$I$5:$I$104,MATCH($B385,Properties!$A$5:$A$104,0))*(1+IF($G385="Y",Settings!$B$8,0))+IF($H385="Y",Settings!$B$7,0)+N($I385),IF($D385="Deep clean",INDEX(Settings!$E$22:$E$26,MATCH(MIN(INDEX(Properties!$E$5:$E$104,MATCH($B385,Properties!$A$5:$A$104,0)),4),Settings!$A$22:$A$26,0))+N($I385),IF($D385="Late cancel",INDEX(Properties!$I$5:$I$104,MATCH($B385,Properties!$A$5:$A$104,0))*Settings!$B$10,0))),0))</f>
        <v/>
      </c>
      <c r="O385" s="28" t="str">
        <f aca="false">IF($B385="","",IFERROR(IF($D385="Completed",INDEX(Properties!$L$5:$L$104,MATCH($B385,Properties!$A$5:$A$104,0))+IF($G385="Y",INDEX(Properties!$I$5:$I$104,MATCH($B385,Properties!$A$5:$A$104,0))*Settings!$B$8*Settings!$B$9,0)+IF($H385="Y",Settings!$B$7*Settings!$B$9,0)+N($I385)*Settings!$B$9,IF($D385="Deep clean",INDEX(Settings!$E$22:$E$26,MATCH(MIN(INDEX(Properties!$E$5:$E$104,MATCH($B385,Properties!$A$5:$A$104,0)),4),Settings!$A$22:$A$26,0))*Settings!$B$19+N($I385)*Settings!$B$9,IF($D385="Late cancel",INDEX(Properties!$L$5:$L$104,MATCH($B385,Properties!$A$5:$A$104,0))*Settings!$B$11,0))),0))</f>
        <v/>
      </c>
      <c r="P385" s="28" t="str">
        <f aca="false">IF($B385="","",$N385-$O385)</f>
        <v/>
      </c>
      <c r="Q385" s="29" t="str">
        <f aca="false">IF($A385="","",DATE(YEAR($A385),MONTH($A385),1))</f>
        <v/>
      </c>
      <c r="R385" s="30" t="str">
        <f aca="false">IF($A385="","",$A385+MOD(6-WEEKDAY($A385),7))</f>
        <v/>
      </c>
      <c r="S385" s="31" t="str">
        <f aca="false">IF($B385="","",IF(AND($M385='Invoice Builder'!$C$5,$Q385='Invoice Builder'!$C$6,N($N385)&gt;0),COUNTIFS($M$5:$M385,'Invoice Builder'!$C$5,$Q$5:$Q385,'Invoice Builder'!$C$6,$N$5:$N385,"&gt;0"),""))</f>
        <v/>
      </c>
      <c r="T385" s="27" t="str">
        <f aca="false">IF($A385="","",IF($A385&gt;=DATE(YEAR($A385),4,6),YEAR($A385)&amp;"/"&amp;RIGHT(YEAR($A385)+1,2),YEAR($A385)-1&amp;"/"&amp;RIGHT(YEAR($A385),2)))</f>
        <v/>
      </c>
    </row>
    <row r="386" customFormat="false" ht="15" hidden="false" customHeight="false" outlineLevel="0" collapsed="false">
      <c r="A386" s="22"/>
      <c r="B386" s="23"/>
      <c r="C386" s="23"/>
      <c r="D386" s="23"/>
      <c r="E386" s="24"/>
      <c r="F386" s="24"/>
      <c r="G386" s="23"/>
      <c r="H386" s="23"/>
      <c r="I386" s="25"/>
      <c r="J386" s="23"/>
      <c r="K386" s="23"/>
      <c r="L386" s="26" t="str">
        <f aca="false">IF(OR($E386="",$F386=""),"",MOD($F386-$E386,1)*24)</f>
        <v/>
      </c>
      <c r="M386" s="27" t="str">
        <f aca="false">IF($B386="","",IFERROR(INDEX(Properties!$D$5:$D$104,MATCH($B386,Properties!$A$5:$A$104,0)),"?"))</f>
        <v/>
      </c>
      <c r="N386" s="28" t="str">
        <f aca="false">IF($B386="","",IFERROR(IF($D386="Completed",INDEX(Properties!$I$5:$I$104,MATCH($B386,Properties!$A$5:$A$104,0))*(1+IF($G386="Y",Settings!$B$8,0))+IF($H386="Y",Settings!$B$7,0)+N($I386),IF($D386="Deep clean",INDEX(Settings!$E$22:$E$26,MATCH(MIN(INDEX(Properties!$E$5:$E$104,MATCH($B386,Properties!$A$5:$A$104,0)),4),Settings!$A$22:$A$26,0))+N($I386),IF($D386="Late cancel",INDEX(Properties!$I$5:$I$104,MATCH($B386,Properties!$A$5:$A$104,0))*Settings!$B$10,0))),0))</f>
        <v/>
      </c>
      <c r="O386" s="28" t="str">
        <f aca="false">IF($B386="","",IFERROR(IF($D386="Completed",INDEX(Properties!$L$5:$L$104,MATCH($B386,Properties!$A$5:$A$104,0))+IF($G386="Y",INDEX(Properties!$I$5:$I$104,MATCH($B386,Properties!$A$5:$A$104,0))*Settings!$B$8*Settings!$B$9,0)+IF($H386="Y",Settings!$B$7*Settings!$B$9,0)+N($I386)*Settings!$B$9,IF($D386="Deep clean",INDEX(Settings!$E$22:$E$26,MATCH(MIN(INDEX(Properties!$E$5:$E$104,MATCH($B386,Properties!$A$5:$A$104,0)),4),Settings!$A$22:$A$26,0))*Settings!$B$19+N($I386)*Settings!$B$9,IF($D386="Late cancel",INDEX(Properties!$L$5:$L$104,MATCH($B386,Properties!$A$5:$A$104,0))*Settings!$B$11,0))),0))</f>
        <v/>
      </c>
      <c r="P386" s="28" t="str">
        <f aca="false">IF($B386="","",$N386-$O386)</f>
        <v/>
      </c>
      <c r="Q386" s="29" t="str">
        <f aca="false">IF($A386="","",DATE(YEAR($A386),MONTH($A386),1))</f>
        <v/>
      </c>
      <c r="R386" s="30" t="str">
        <f aca="false">IF($A386="","",$A386+MOD(6-WEEKDAY($A386),7))</f>
        <v/>
      </c>
      <c r="S386" s="31" t="str">
        <f aca="false">IF($B386="","",IF(AND($M386='Invoice Builder'!$C$5,$Q386='Invoice Builder'!$C$6,N($N386)&gt;0),COUNTIFS($M$5:$M386,'Invoice Builder'!$C$5,$Q$5:$Q386,'Invoice Builder'!$C$6,$N$5:$N386,"&gt;0"),""))</f>
        <v/>
      </c>
      <c r="T386" s="27" t="str">
        <f aca="false">IF($A386="","",IF($A386&gt;=DATE(YEAR($A386),4,6),YEAR($A386)&amp;"/"&amp;RIGHT(YEAR($A386)+1,2),YEAR($A386)-1&amp;"/"&amp;RIGHT(YEAR($A386),2)))</f>
        <v/>
      </c>
    </row>
    <row r="387" customFormat="false" ht="15" hidden="false" customHeight="false" outlineLevel="0" collapsed="false">
      <c r="A387" s="22"/>
      <c r="B387" s="23"/>
      <c r="C387" s="23"/>
      <c r="D387" s="23"/>
      <c r="E387" s="24"/>
      <c r="F387" s="24"/>
      <c r="G387" s="23"/>
      <c r="H387" s="23"/>
      <c r="I387" s="25"/>
      <c r="J387" s="23"/>
      <c r="K387" s="23"/>
      <c r="L387" s="26" t="str">
        <f aca="false">IF(OR($E387="",$F387=""),"",MOD($F387-$E387,1)*24)</f>
        <v/>
      </c>
      <c r="M387" s="27" t="str">
        <f aca="false">IF($B387="","",IFERROR(INDEX(Properties!$D$5:$D$104,MATCH($B387,Properties!$A$5:$A$104,0)),"?"))</f>
        <v/>
      </c>
      <c r="N387" s="28" t="str">
        <f aca="false">IF($B387="","",IFERROR(IF($D387="Completed",INDEX(Properties!$I$5:$I$104,MATCH($B387,Properties!$A$5:$A$104,0))*(1+IF($G387="Y",Settings!$B$8,0))+IF($H387="Y",Settings!$B$7,0)+N($I387),IF($D387="Deep clean",INDEX(Settings!$E$22:$E$26,MATCH(MIN(INDEX(Properties!$E$5:$E$104,MATCH($B387,Properties!$A$5:$A$104,0)),4),Settings!$A$22:$A$26,0))+N($I387),IF($D387="Late cancel",INDEX(Properties!$I$5:$I$104,MATCH($B387,Properties!$A$5:$A$104,0))*Settings!$B$10,0))),0))</f>
        <v/>
      </c>
      <c r="O387" s="28" t="str">
        <f aca="false">IF($B387="","",IFERROR(IF($D387="Completed",INDEX(Properties!$L$5:$L$104,MATCH($B387,Properties!$A$5:$A$104,0))+IF($G387="Y",INDEX(Properties!$I$5:$I$104,MATCH($B387,Properties!$A$5:$A$104,0))*Settings!$B$8*Settings!$B$9,0)+IF($H387="Y",Settings!$B$7*Settings!$B$9,0)+N($I387)*Settings!$B$9,IF($D387="Deep clean",INDEX(Settings!$E$22:$E$26,MATCH(MIN(INDEX(Properties!$E$5:$E$104,MATCH($B387,Properties!$A$5:$A$104,0)),4),Settings!$A$22:$A$26,0))*Settings!$B$19+N($I387)*Settings!$B$9,IF($D387="Late cancel",INDEX(Properties!$L$5:$L$104,MATCH($B387,Properties!$A$5:$A$104,0))*Settings!$B$11,0))),0))</f>
        <v/>
      </c>
      <c r="P387" s="28" t="str">
        <f aca="false">IF($B387="","",$N387-$O387)</f>
        <v/>
      </c>
      <c r="Q387" s="29" t="str">
        <f aca="false">IF($A387="","",DATE(YEAR($A387),MONTH($A387),1))</f>
        <v/>
      </c>
      <c r="R387" s="30" t="str">
        <f aca="false">IF($A387="","",$A387+MOD(6-WEEKDAY($A387),7))</f>
        <v/>
      </c>
      <c r="S387" s="31" t="str">
        <f aca="false">IF($B387="","",IF(AND($M387='Invoice Builder'!$C$5,$Q387='Invoice Builder'!$C$6,N($N387)&gt;0),COUNTIFS($M$5:$M387,'Invoice Builder'!$C$5,$Q$5:$Q387,'Invoice Builder'!$C$6,$N$5:$N387,"&gt;0"),""))</f>
        <v/>
      </c>
      <c r="T387" s="27" t="str">
        <f aca="false">IF($A387="","",IF($A387&gt;=DATE(YEAR($A387),4,6),YEAR($A387)&amp;"/"&amp;RIGHT(YEAR($A387)+1,2),YEAR($A387)-1&amp;"/"&amp;RIGHT(YEAR($A387),2)))</f>
        <v/>
      </c>
    </row>
    <row r="388" customFormat="false" ht="15" hidden="false" customHeight="false" outlineLevel="0" collapsed="false">
      <c r="A388" s="22"/>
      <c r="B388" s="23"/>
      <c r="C388" s="23"/>
      <c r="D388" s="23"/>
      <c r="E388" s="24"/>
      <c r="F388" s="24"/>
      <c r="G388" s="23"/>
      <c r="H388" s="23"/>
      <c r="I388" s="25"/>
      <c r="J388" s="23"/>
      <c r="K388" s="23"/>
      <c r="L388" s="26" t="str">
        <f aca="false">IF(OR($E388="",$F388=""),"",MOD($F388-$E388,1)*24)</f>
        <v/>
      </c>
      <c r="M388" s="27" t="str">
        <f aca="false">IF($B388="","",IFERROR(INDEX(Properties!$D$5:$D$104,MATCH($B388,Properties!$A$5:$A$104,0)),"?"))</f>
        <v/>
      </c>
      <c r="N388" s="28" t="str">
        <f aca="false">IF($B388="","",IFERROR(IF($D388="Completed",INDEX(Properties!$I$5:$I$104,MATCH($B388,Properties!$A$5:$A$104,0))*(1+IF($G388="Y",Settings!$B$8,0))+IF($H388="Y",Settings!$B$7,0)+N($I388),IF($D388="Deep clean",INDEX(Settings!$E$22:$E$26,MATCH(MIN(INDEX(Properties!$E$5:$E$104,MATCH($B388,Properties!$A$5:$A$104,0)),4),Settings!$A$22:$A$26,0))+N($I388),IF($D388="Late cancel",INDEX(Properties!$I$5:$I$104,MATCH($B388,Properties!$A$5:$A$104,0))*Settings!$B$10,0))),0))</f>
        <v/>
      </c>
      <c r="O388" s="28" t="str">
        <f aca="false">IF($B388="","",IFERROR(IF($D388="Completed",INDEX(Properties!$L$5:$L$104,MATCH($B388,Properties!$A$5:$A$104,0))+IF($G388="Y",INDEX(Properties!$I$5:$I$104,MATCH($B388,Properties!$A$5:$A$104,0))*Settings!$B$8*Settings!$B$9,0)+IF($H388="Y",Settings!$B$7*Settings!$B$9,0)+N($I388)*Settings!$B$9,IF($D388="Deep clean",INDEX(Settings!$E$22:$E$26,MATCH(MIN(INDEX(Properties!$E$5:$E$104,MATCH($B388,Properties!$A$5:$A$104,0)),4),Settings!$A$22:$A$26,0))*Settings!$B$19+N($I388)*Settings!$B$9,IF($D388="Late cancel",INDEX(Properties!$L$5:$L$104,MATCH($B388,Properties!$A$5:$A$104,0))*Settings!$B$11,0))),0))</f>
        <v/>
      </c>
      <c r="P388" s="28" t="str">
        <f aca="false">IF($B388="","",$N388-$O388)</f>
        <v/>
      </c>
      <c r="Q388" s="29" t="str">
        <f aca="false">IF($A388="","",DATE(YEAR($A388),MONTH($A388),1))</f>
        <v/>
      </c>
      <c r="R388" s="30" t="str">
        <f aca="false">IF($A388="","",$A388+MOD(6-WEEKDAY($A388),7))</f>
        <v/>
      </c>
      <c r="S388" s="31" t="str">
        <f aca="false">IF($B388="","",IF(AND($M388='Invoice Builder'!$C$5,$Q388='Invoice Builder'!$C$6,N($N388)&gt;0),COUNTIFS($M$5:$M388,'Invoice Builder'!$C$5,$Q$5:$Q388,'Invoice Builder'!$C$6,$N$5:$N388,"&gt;0"),""))</f>
        <v/>
      </c>
      <c r="T388" s="27" t="str">
        <f aca="false">IF($A388="","",IF($A388&gt;=DATE(YEAR($A388),4,6),YEAR($A388)&amp;"/"&amp;RIGHT(YEAR($A388)+1,2),YEAR($A388)-1&amp;"/"&amp;RIGHT(YEAR($A388),2)))</f>
        <v/>
      </c>
    </row>
    <row r="389" customFormat="false" ht="15" hidden="false" customHeight="false" outlineLevel="0" collapsed="false">
      <c r="A389" s="22"/>
      <c r="B389" s="23"/>
      <c r="C389" s="23"/>
      <c r="D389" s="23"/>
      <c r="E389" s="24"/>
      <c r="F389" s="24"/>
      <c r="G389" s="23"/>
      <c r="H389" s="23"/>
      <c r="I389" s="25"/>
      <c r="J389" s="23"/>
      <c r="K389" s="23"/>
      <c r="L389" s="26" t="str">
        <f aca="false">IF(OR($E389="",$F389=""),"",MOD($F389-$E389,1)*24)</f>
        <v/>
      </c>
      <c r="M389" s="27" t="str">
        <f aca="false">IF($B389="","",IFERROR(INDEX(Properties!$D$5:$D$104,MATCH($B389,Properties!$A$5:$A$104,0)),"?"))</f>
        <v/>
      </c>
      <c r="N389" s="28" t="str">
        <f aca="false">IF($B389="","",IFERROR(IF($D389="Completed",INDEX(Properties!$I$5:$I$104,MATCH($B389,Properties!$A$5:$A$104,0))*(1+IF($G389="Y",Settings!$B$8,0))+IF($H389="Y",Settings!$B$7,0)+N($I389),IF($D389="Deep clean",INDEX(Settings!$E$22:$E$26,MATCH(MIN(INDEX(Properties!$E$5:$E$104,MATCH($B389,Properties!$A$5:$A$104,0)),4),Settings!$A$22:$A$26,0))+N($I389),IF($D389="Late cancel",INDEX(Properties!$I$5:$I$104,MATCH($B389,Properties!$A$5:$A$104,0))*Settings!$B$10,0))),0))</f>
        <v/>
      </c>
      <c r="O389" s="28" t="str">
        <f aca="false">IF($B389="","",IFERROR(IF($D389="Completed",INDEX(Properties!$L$5:$L$104,MATCH($B389,Properties!$A$5:$A$104,0))+IF($G389="Y",INDEX(Properties!$I$5:$I$104,MATCH($B389,Properties!$A$5:$A$104,0))*Settings!$B$8*Settings!$B$9,0)+IF($H389="Y",Settings!$B$7*Settings!$B$9,0)+N($I389)*Settings!$B$9,IF($D389="Deep clean",INDEX(Settings!$E$22:$E$26,MATCH(MIN(INDEX(Properties!$E$5:$E$104,MATCH($B389,Properties!$A$5:$A$104,0)),4),Settings!$A$22:$A$26,0))*Settings!$B$19+N($I389)*Settings!$B$9,IF($D389="Late cancel",INDEX(Properties!$L$5:$L$104,MATCH($B389,Properties!$A$5:$A$104,0))*Settings!$B$11,0))),0))</f>
        <v/>
      </c>
      <c r="P389" s="28" t="str">
        <f aca="false">IF($B389="","",$N389-$O389)</f>
        <v/>
      </c>
      <c r="Q389" s="29" t="str">
        <f aca="false">IF($A389="","",DATE(YEAR($A389),MONTH($A389),1))</f>
        <v/>
      </c>
      <c r="R389" s="30" t="str">
        <f aca="false">IF($A389="","",$A389+MOD(6-WEEKDAY($A389),7))</f>
        <v/>
      </c>
      <c r="S389" s="31" t="str">
        <f aca="false">IF($B389="","",IF(AND($M389='Invoice Builder'!$C$5,$Q389='Invoice Builder'!$C$6,N($N389)&gt;0),COUNTIFS($M$5:$M389,'Invoice Builder'!$C$5,$Q$5:$Q389,'Invoice Builder'!$C$6,$N$5:$N389,"&gt;0"),""))</f>
        <v/>
      </c>
      <c r="T389" s="27" t="str">
        <f aca="false">IF($A389="","",IF($A389&gt;=DATE(YEAR($A389),4,6),YEAR($A389)&amp;"/"&amp;RIGHT(YEAR($A389)+1,2),YEAR($A389)-1&amp;"/"&amp;RIGHT(YEAR($A389),2)))</f>
        <v/>
      </c>
    </row>
    <row r="390" customFormat="false" ht="15" hidden="false" customHeight="false" outlineLevel="0" collapsed="false">
      <c r="A390" s="22"/>
      <c r="B390" s="23"/>
      <c r="C390" s="23"/>
      <c r="D390" s="23"/>
      <c r="E390" s="24"/>
      <c r="F390" s="24"/>
      <c r="G390" s="23"/>
      <c r="H390" s="23"/>
      <c r="I390" s="25"/>
      <c r="J390" s="23"/>
      <c r="K390" s="23"/>
      <c r="L390" s="26" t="str">
        <f aca="false">IF(OR($E390="",$F390=""),"",MOD($F390-$E390,1)*24)</f>
        <v/>
      </c>
      <c r="M390" s="27" t="str">
        <f aca="false">IF($B390="","",IFERROR(INDEX(Properties!$D$5:$D$104,MATCH($B390,Properties!$A$5:$A$104,0)),"?"))</f>
        <v/>
      </c>
      <c r="N390" s="28" t="str">
        <f aca="false">IF($B390="","",IFERROR(IF($D390="Completed",INDEX(Properties!$I$5:$I$104,MATCH($B390,Properties!$A$5:$A$104,0))*(1+IF($G390="Y",Settings!$B$8,0))+IF($H390="Y",Settings!$B$7,0)+N($I390),IF($D390="Deep clean",INDEX(Settings!$E$22:$E$26,MATCH(MIN(INDEX(Properties!$E$5:$E$104,MATCH($B390,Properties!$A$5:$A$104,0)),4),Settings!$A$22:$A$26,0))+N($I390),IF($D390="Late cancel",INDEX(Properties!$I$5:$I$104,MATCH($B390,Properties!$A$5:$A$104,0))*Settings!$B$10,0))),0))</f>
        <v/>
      </c>
      <c r="O390" s="28" t="str">
        <f aca="false">IF($B390="","",IFERROR(IF($D390="Completed",INDEX(Properties!$L$5:$L$104,MATCH($B390,Properties!$A$5:$A$104,0))+IF($G390="Y",INDEX(Properties!$I$5:$I$104,MATCH($B390,Properties!$A$5:$A$104,0))*Settings!$B$8*Settings!$B$9,0)+IF($H390="Y",Settings!$B$7*Settings!$B$9,0)+N($I390)*Settings!$B$9,IF($D390="Deep clean",INDEX(Settings!$E$22:$E$26,MATCH(MIN(INDEX(Properties!$E$5:$E$104,MATCH($B390,Properties!$A$5:$A$104,0)),4),Settings!$A$22:$A$26,0))*Settings!$B$19+N($I390)*Settings!$B$9,IF($D390="Late cancel",INDEX(Properties!$L$5:$L$104,MATCH($B390,Properties!$A$5:$A$104,0))*Settings!$B$11,0))),0))</f>
        <v/>
      </c>
      <c r="P390" s="28" t="str">
        <f aca="false">IF($B390="","",$N390-$O390)</f>
        <v/>
      </c>
      <c r="Q390" s="29" t="str">
        <f aca="false">IF($A390="","",DATE(YEAR($A390),MONTH($A390),1))</f>
        <v/>
      </c>
      <c r="R390" s="30" t="str">
        <f aca="false">IF($A390="","",$A390+MOD(6-WEEKDAY($A390),7))</f>
        <v/>
      </c>
      <c r="S390" s="31" t="str">
        <f aca="false">IF($B390="","",IF(AND($M390='Invoice Builder'!$C$5,$Q390='Invoice Builder'!$C$6,N($N390)&gt;0),COUNTIFS($M$5:$M390,'Invoice Builder'!$C$5,$Q$5:$Q390,'Invoice Builder'!$C$6,$N$5:$N390,"&gt;0"),""))</f>
        <v/>
      </c>
      <c r="T390" s="27" t="str">
        <f aca="false">IF($A390="","",IF($A390&gt;=DATE(YEAR($A390),4,6),YEAR($A390)&amp;"/"&amp;RIGHT(YEAR($A390)+1,2),YEAR($A390)-1&amp;"/"&amp;RIGHT(YEAR($A390),2)))</f>
        <v/>
      </c>
    </row>
    <row r="391" customFormat="false" ht="15" hidden="false" customHeight="false" outlineLevel="0" collapsed="false">
      <c r="A391" s="22"/>
      <c r="B391" s="23"/>
      <c r="C391" s="23"/>
      <c r="D391" s="23"/>
      <c r="E391" s="24"/>
      <c r="F391" s="24"/>
      <c r="G391" s="23"/>
      <c r="H391" s="23"/>
      <c r="I391" s="25"/>
      <c r="J391" s="23"/>
      <c r="K391" s="23"/>
      <c r="L391" s="26" t="str">
        <f aca="false">IF(OR($E391="",$F391=""),"",MOD($F391-$E391,1)*24)</f>
        <v/>
      </c>
      <c r="M391" s="27" t="str">
        <f aca="false">IF($B391="","",IFERROR(INDEX(Properties!$D$5:$D$104,MATCH($B391,Properties!$A$5:$A$104,0)),"?"))</f>
        <v/>
      </c>
      <c r="N391" s="28" t="str">
        <f aca="false">IF($B391="","",IFERROR(IF($D391="Completed",INDEX(Properties!$I$5:$I$104,MATCH($B391,Properties!$A$5:$A$104,0))*(1+IF($G391="Y",Settings!$B$8,0))+IF($H391="Y",Settings!$B$7,0)+N($I391),IF($D391="Deep clean",INDEX(Settings!$E$22:$E$26,MATCH(MIN(INDEX(Properties!$E$5:$E$104,MATCH($B391,Properties!$A$5:$A$104,0)),4),Settings!$A$22:$A$26,0))+N($I391),IF($D391="Late cancel",INDEX(Properties!$I$5:$I$104,MATCH($B391,Properties!$A$5:$A$104,0))*Settings!$B$10,0))),0))</f>
        <v/>
      </c>
      <c r="O391" s="28" t="str">
        <f aca="false">IF($B391="","",IFERROR(IF($D391="Completed",INDEX(Properties!$L$5:$L$104,MATCH($B391,Properties!$A$5:$A$104,0))+IF($G391="Y",INDEX(Properties!$I$5:$I$104,MATCH($B391,Properties!$A$5:$A$104,0))*Settings!$B$8*Settings!$B$9,0)+IF($H391="Y",Settings!$B$7*Settings!$B$9,0)+N($I391)*Settings!$B$9,IF($D391="Deep clean",INDEX(Settings!$E$22:$E$26,MATCH(MIN(INDEX(Properties!$E$5:$E$104,MATCH($B391,Properties!$A$5:$A$104,0)),4),Settings!$A$22:$A$26,0))*Settings!$B$19+N($I391)*Settings!$B$9,IF($D391="Late cancel",INDEX(Properties!$L$5:$L$104,MATCH($B391,Properties!$A$5:$A$104,0))*Settings!$B$11,0))),0))</f>
        <v/>
      </c>
      <c r="P391" s="28" t="str">
        <f aca="false">IF($B391="","",$N391-$O391)</f>
        <v/>
      </c>
      <c r="Q391" s="29" t="str">
        <f aca="false">IF($A391="","",DATE(YEAR($A391),MONTH($A391),1))</f>
        <v/>
      </c>
      <c r="R391" s="30" t="str">
        <f aca="false">IF($A391="","",$A391+MOD(6-WEEKDAY($A391),7))</f>
        <v/>
      </c>
      <c r="S391" s="31" t="str">
        <f aca="false">IF($B391="","",IF(AND($M391='Invoice Builder'!$C$5,$Q391='Invoice Builder'!$C$6,N($N391)&gt;0),COUNTIFS($M$5:$M391,'Invoice Builder'!$C$5,$Q$5:$Q391,'Invoice Builder'!$C$6,$N$5:$N391,"&gt;0"),""))</f>
        <v/>
      </c>
      <c r="T391" s="27" t="str">
        <f aca="false">IF($A391="","",IF($A391&gt;=DATE(YEAR($A391),4,6),YEAR($A391)&amp;"/"&amp;RIGHT(YEAR($A391)+1,2),YEAR($A391)-1&amp;"/"&amp;RIGHT(YEAR($A391),2)))</f>
        <v/>
      </c>
    </row>
    <row r="392" customFormat="false" ht="15" hidden="false" customHeight="false" outlineLevel="0" collapsed="false">
      <c r="A392" s="22"/>
      <c r="B392" s="23"/>
      <c r="C392" s="23"/>
      <c r="D392" s="23"/>
      <c r="E392" s="24"/>
      <c r="F392" s="24"/>
      <c r="G392" s="23"/>
      <c r="H392" s="23"/>
      <c r="I392" s="25"/>
      <c r="J392" s="23"/>
      <c r="K392" s="23"/>
      <c r="L392" s="26" t="str">
        <f aca="false">IF(OR($E392="",$F392=""),"",MOD($F392-$E392,1)*24)</f>
        <v/>
      </c>
      <c r="M392" s="27" t="str">
        <f aca="false">IF($B392="","",IFERROR(INDEX(Properties!$D$5:$D$104,MATCH($B392,Properties!$A$5:$A$104,0)),"?"))</f>
        <v/>
      </c>
      <c r="N392" s="28" t="str">
        <f aca="false">IF($B392="","",IFERROR(IF($D392="Completed",INDEX(Properties!$I$5:$I$104,MATCH($B392,Properties!$A$5:$A$104,0))*(1+IF($G392="Y",Settings!$B$8,0))+IF($H392="Y",Settings!$B$7,0)+N($I392),IF($D392="Deep clean",INDEX(Settings!$E$22:$E$26,MATCH(MIN(INDEX(Properties!$E$5:$E$104,MATCH($B392,Properties!$A$5:$A$104,0)),4),Settings!$A$22:$A$26,0))+N($I392),IF($D392="Late cancel",INDEX(Properties!$I$5:$I$104,MATCH($B392,Properties!$A$5:$A$104,0))*Settings!$B$10,0))),0))</f>
        <v/>
      </c>
      <c r="O392" s="28" t="str">
        <f aca="false">IF($B392="","",IFERROR(IF($D392="Completed",INDEX(Properties!$L$5:$L$104,MATCH($B392,Properties!$A$5:$A$104,0))+IF($G392="Y",INDEX(Properties!$I$5:$I$104,MATCH($B392,Properties!$A$5:$A$104,0))*Settings!$B$8*Settings!$B$9,0)+IF($H392="Y",Settings!$B$7*Settings!$B$9,0)+N($I392)*Settings!$B$9,IF($D392="Deep clean",INDEX(Settings!$E$22:$E$26,MATCH(MIN(INDEX(Properties!$E$5:$E$104,MATCH($B392,Properties!$A$5:$A$104,0)),4),Settings!$A$22:$A$26,0))*Settings!$B$19+N($I392)*Settings!$B$9,IF($D392="Late cancel",INDEX(Properties!$L$5:$L$104,MATCH($B392,Properties!$A$5:$A$104,0))*Settings!$B$11,0))),0))</f>
        <v/>
      </c>
      <c r="P392" s="28" t="str">
        <f aca="false">IF($B392="","",$N392-$O392)</f>
        <v/>
      </c>
      <c r="Q392" s="29" t="str">
        <f aca="false">IF($A392="","",DATE(YEAR($A392),MONTH($A392),1))</f>
        <v/>
      </c>
      <c r="R392" s="30" t="str">
        <f aca="false">IF($A392="","",$A392+MOD(6-WEEKDAY($A392),7))</f>
        <v/>
      </c>
      <c r="S392" s="31" t="str">
        <f aca="false">IF($B392="","",IF(AND($M392='Invoice Builder'!$C$5,$Q392='Invoice Builder'!$C$6,N($N392)&gt;0),COUNTIFS($M$5:$M392,'Invoice Builder'!$C$5,$Q$5:$Q392,'Invoice Builder'!$C$6,$N$5:$N392,"&gt;0"),""))</f>
        <v/>
      </c>
      <c r="T392" s="27" t="str">
        <f aca="false">IF($A392="","",IF($A392&gt;=DATE(YEAR($A392),4,6),YEAR($A392)&amp;"/"&amp;RIGHT(YEAR($A392)+1,2),YEAR($A392)-1&amp;"/"&amp;RIGHT(YEAR($A392),2)))</f>
        <v/>
      </c>
    </row>
    <row r="393" customFormat="false" ht="15" hidden="false" customHeight="false" outlineLevel="0" collapsed="false">
      <c r="A393" s="22"/>
      <c r="B393" s="23"/>
      <c r="C393" s="23"/>
      <c r="D393" s="23"/>
      <c r="E393" s="24"/>
      <c r="F393" s="24"/>
      <c r="G393" s="23"/>
      <c r="H393" s="23"/>
      <c r="I393" s="25"/>
      <c r="J393" s="23"/>
      <c r="K393" s="23"/>
      <c r="L393" s="26" t="str">
        <f aca="false">IF(OR($E393="",$F393=""),"",MOD($F393-$E393,1)*24)</f>
        <v/>
      </c>
      <c r="M393" s="27" t="str">
        <f aca="false">IF($B393="","",IFERROR(INDEX(Properties!$D$5:$D$104,MATCH($B393,Properties!$A$5:$A$104,0)),"?"))</f>
        <v/>
      </c>
      <c r="N393" s="28" t="str">
        <f aca="false">IF($B393="","",IFERROR(IF($D393="Completed",INDEX(Properties!$I$5:$I$104,MATCH($B393,Properties!$A$5:$A$104,0))*(1+IF($G393="Y",Settings!$B$8,0))+IF($H393="Y",Settings!$B$7,0)+N($I393),IF($D393="Deep clean",INDEX(Settings!$E$22:$E$26,MATCH(MIN(INDEX(Properties!$E$5:$E$104,MATCH($B393,Properties!$A$5:$A$104,0)),4),Settings!$A$22:$A$26,0))+N($I393),IF($D393="Late cancel",INDEX(Properties!$I$5:$I$104,MATCH($B393,Properties!$A$5:$A$104,0))*Settings!$B$10,0))),0))</f>
        <v/>
      </c>
      <c r="O393" s="28" t="str">
        <f aca="false">IF($B393="","",IFERROR(IF($D393="Completed",INDEX(Properties!$L$5:$L$104,MATCH($B393,Properties!$A$5:$A$104,0))+IF($G393="Y",INDEX(Properties!$I$5:$I$104,MATCH($B393,Properties!$A$5:$A$104,0))*Settings!$B$8*Settings!$B$9,0)+IF($H393="Y",Settings!$B$7*Settings!$B$9,0)+N($I393)*Settings!$B$9,IF($D393="Deep clean",INDEX(Settings!$E$22:$E$26,MATCH(MIN(INDEX(Properties!$E$5:$E$104,MATCH($B393,Properties!$A$5:$A$104,0)),4),Settings!$A$22:$A$26,0))*Settings!$B$19+N($I393)*Settings!$B$9,IF($D393="Late cancel",INDEX(Properties!$L$5:$L$104,MATCH($B393,Properties!$A$5:$A$104,0))*Settings!$B$11,0))),0))</f>
        <v/>
      </c>
      <c r="P393" s="28" t="str">
        <f aca="false">IF($B393="","",$N393-$O393)</f>
        <v/>
      </c>
      <c r="Q393" s="29" t="str">
        <f aca="false">IF($A393="","",DATE(YEAR($A393),MONTH($A393),1))</f>
        <v/>
      </c>
      <c r="R393" s="30" t="str">
        <f aca="false">IF($A393="","",$A393+MOD(6-WEEKDAY($A393),7))</f>
        <v/>
      </c>
      <c r="S393" s="31" t="str">
        <f aca="false">IF($B393="","",IF(AND($M393='Invoice Builder'!$C$5,$Q393='Invoice Builder'!$C$6,N($N393)&gt;0),COUNTIFS($M$5:$M393,'Invoice Builder'!$C$5,$Q$5:$Q393,'Invoice Builder'!$C$6,$N$5:$N393,"&gt;0"),""))</f>
        <v/>
      </c>
      <c r="T393" s="27" t="str">
        <f aca="false">IF($A393="","",IF($A393&gt;=DATE(YEAR($A393),4,6),YEAR($A393)&amp;"/"&amp;RIGHT(YEAR($A393)+1,2),YEAR($A393)-1&amp;"/"&amp;RIGHT(YEAR($A393),2)))</f>
        <v/>
      </c>
    </row>
    <row r="394" customFormat="false" ht="15" hidden="false" customHeight="false" outlineLevel="0" collapsed="false">
      <c r="A394" s="22"/>
      <c r="B394" s="23"/>
      <c r="C394" s="23"/>
      <c r="D394" s="23"/>
      <c r="E394" s="24"/>
      <c r="F394" s="24"/>
      <c r="G394" s="23"/>
      <c r="H394" s="23"/>
      <c r="I394" s="25"/>
      <c r="J394" s="23"/>
      <c r="K394" s="23"/>
      <c r="L394" s="26" t="str">
        <f aca="false">IF(OR($E394="",$F394=""),"",MOD($F394-$E394,1)*24)</f>
        <v/>
      </c>
      <c r="M394" s="27" t="str">
        <f aca="false">IF($B394="","",IFERROR(INDEX(Properties!$D$5:$D$104,MATCH($B394,Properties!$A$5:$A$104,0)),"?"))</f>
        <v/>
      </c>
      <c r="N394" s="28" t="str">
        <f aca="false">IF($B394="","",IFERROR(IF($D394="Completed",INDEX(Properties!$I$5:$I$104,MATCH($B394,Properties!$A$5:$A$104,0))*(1+IF($G394="Y",Settings!$B$8,0))+IF($H394="Y",Settings!$B$7,0)+N($I394),IF($D394="Deep clean",INDEX(Settings!$E$22:$E$26,MATCH(MIN(INDEX(Properties!$E$5:$E$104,MATCH($B394,Properties!$A$5:$A$104,0)),4),Settings!$A$22:$A$26,0))+N($I394),IF($D394="Late cancel",INDEX(Properties!$I$5:$I$104,MATCH($B394,Properties!$A$5:$A$104,0))*Settings!$B$10,0))),0))</f>
        <v/>
      </c>
      <c r="O394" s="28" t="str">
        <f aca="false">IF($B394="","",IFERROR(IF($D394="Completed",INDEX(Properties!$L$5:$L$104,MATCH($B394,Properties!$A$5:$A$104,0))+IF($G394="Y",INDEX(Properties!$I$5:$I$104,MATCH($B394,Properties!$A$5:$A$104,0))*Settings!$B$8*Settings!$B$9,0)+IF($H394="Y",Settings!$B$7*Settings!$B$9,0)+N($I394)*Settings!$B$9,IF($D394="Deep clean",INDEX(Settings!$E$22:$E$26,MATCH(MIN(INDEX(Properties!$E$5:$E$104,MATCH($B394,Properties!$A$5:$A$104,0)),4),Settings!$A$22:$A$26,0))*Settings!$B$19+N($I394)*Settings!$B$9,IF($D394="Late cancel",INDEX(Properties!$L$5:$L$104,MATCH($B394,Properties!$A$5:$A$104,0))*Settings!$B$11,0))),0))</f>
        <v/>
      </c>
      <c r="P394" s="28" t="str">
        <f aca="false">IF($B394="","",$N394-$O394)</f>
        <v/>
      </c>
      <c r="Q394" s="29" t="str">
        <f aca="false">IF($A394="","",DATE(YEAR($A394),MONTH($A394),1))</f>
        <v/>
      </c>
      <c r="R394" s="30" t="str">
        <f aca="false">IF($A394="","",$A394+MOD(6-WEEKDAY($A394),7))</f>
        <v/>
      </c>
      <c r="S394" s="31" t="str">
        <f aca="false">IF($B394="","",IF(AND($M394='Invoice Builder'!$C$5,$Q394='Invoice Builder'!$C$6,N($N394)&gt;0),COUNTIFS($M$5:$M394,'Invoice Builder'!$C$5,$Q$5:$Q394,'Invoice Builder'!$C$6,$N$5:$N394,"&gt;0"),""))</f>
        <v/>
      </c>
      <c r="T394" s="27" t="str">
        <f aca="false">IF($A394="","",IF($A394&gt;=DATE(YEAR($A394),4,6),YEAR($A394)&amp;"/"&amp;RIGHT(YEAR($A394)+1,2),YEAR($A394)-1&amp;"/"&amp;RIGHT(YEAR($A394),2)))</f>
        <v/>
      </c>
    </row>
    <row r="395" customFormat="false" ht="15" hidden="false" customHeight="false" outlineLevel="0" collapsed="false">
      <c r="A395" s="22"/>
      <c r="B395" s="23"/>
      <c r="C395" s="23"/>
      <c r="D395" s="23"/>
      <c r="E395" s="24"/>
      <c r="F395" s="24"/>
      <c r="G395" s="23"/>
      <c r="H395" s="23"/>
      <c r="I395" s="25"/>
      <c r="J395" s="23"/>
      <c r="K395" s="23"/>
      <c r="L395" s="26" t="str">
        <f aca="false">IF(OR($E395="",$F395=""),"",MOD($F395-$E395,1)*24)</f>
        <v/>
      </c>
      <c r="M395" s="27" t="str">
        <f aca="false">IF($B395="","",IFERROR(INDEX(Properties!$D$5:$D$104,MATCH($B395,Properties!$A$5:$A$104,0)),"?"))</f>
        <v/>
      </c>
      <c r="N395" s="28" t="str">
        <f aca="false">IF($B395="","",IFERROR(IF($D395="Completed",INDEX(Properties!$I$5:$I$104,MATCH($B395,Properties!$A$5:$A$104,0))*(1+IF($G395="Y",Settings!$B$8,0))+IF($H395="Y",Settings!$B$7,0)+N($I395),IF($D395="Deep clean",INDEX(Settings!$E$22:$E$26,MATCH(MIN(INDEX(Properties!$E$5:$E$104,MATCH($B395,Properties!$A$5:$A$104,0)),4),Settings!$A$22:$A$26,0))+N($I395),IF($D395="Late cancel",INDEX(Properties!$I$5:$I$104,MATCH($B395,Properties!$A$5:$A$104,0))*Settings!$B$10,0))),0))</f>
        <v/>
      </c>
      <c r="O395" s="28" t="str">
        <f aca="false">IF($B395="","",IFERROR(IF($D395="Completed",INDEX(Properties!$L$5:$L$104,MATCH($B395,Properties!$A$5:$A$104,0))+IF($G395="Y",INDEX(Properties!$I$5:$I$104,MATCH($B395,Properties!$A$5:$A$104,0))*Settings!$B$8*Settings!$B$9,0)+IF($H395="Y",Settings!$B$7*Settings!$B$9,0)+N($I395)*Settings!$B$9,IF($D395="Deep clean",INDEX(Settings!$E$22:$E$26,MATCH(MIN(INDEX(Properties!$E$5:$E$104,MATCH($B395,Properties!$A$5:$A$104,0)),4),Settings!$A$22:$A$26,0))*Settings!$B$19+N($I395)*Settings!$B$9,IF($D395="Late cancel",INDEX(Properties!$L$5:$L$104,MATCH($B395,Properties!$A$5:$A$104,0))*Settings!$B$11,0))),0))</f>
        <v/>
      </c>
      <c r="P395" s="28" t="str">
        <f aca="false">IF($B395="","",$N395-$O395)</f>
        <v/>
      </c>
      <c r="Q395" s="29" t="str">
        <f aca="false">IF($A395="","",DATE(YEAR($A395),MONTH($A395),1))</f>
        <v/>
      </c>
      <c r="R395" s="30" t="str">
        <f aca="false">IF($A395="","",$A395+MOD(6-WEEKDAY($A395),7))</f>
        <v/>
      </c>
      <c r="S395" s="31" t="str">
        <f aca="false">IF($B395="","",IF(AND($M395='Invoice Builder'!$C$5,$Q395='Invoice Builder'!$C$6,N($N395)&gt;0),COUNTIFS($M$5:$M395,'Invoice Builder'!$C$5,$Q$5:$Q395,'Invoice Builder'!$C$6,$N$5:$N395,"&gt;0"),""))</f>
        <v/>
      </c>
      <c r="T395" s="27" t="str">
        <f aca="false">IF($A395="","",IF($A395&gt;=DATE(YEAR($A395),4,6),YEAR($A395)&amp;"/"&amp;RIGHT(YEAR($A395)+1,2),YEAR($A395)-1&amp;"/"&amp;RIGHT(YEAR($A395),2)))</f>
        <v/>
      </c>
    </row>
    <row r="396" customFormat="false" ht="15" hidden="false" customHeight="false" outlineLevel="0" collapsed="false">
      <c r="A396" s="22"/>
      <c r="B396" s="23"/>
      <c r="C396" s="23"/>
      <c r="D396" s="23"/>
      <c r="E396" s="24"/>
      <c r="F396" s="24"/>
      <c r="G396" s="23"/>
      <c r="H396" s="23"/>
      <c r="I396" s="25"/>
      <c r="J396" s="23"/>
      <c r="K396" s="23"/>
      <c r="L396" s="26" t="str">
        <f aca="false">IF(OR($E396="",$F396=""),"",MOD($F396-$E396,1)*24)</f>
        <v/>
      </c>
      <c r="M396" s="27" t="str">
        <f aca="false">IF($B396="","",IFERROR(INDEX(Properties!$D$5:$D$104,MATCH($B396,Properties!$A$5:$A$104,0)),"?"))</f>
        <v/>
      </c>
      <c r="N396" s="28" t="str">
        <f aca="false">IF($B396="","",IFERROR(IF($D396="Completed",INDEX(Properties!$I$5:$I$104,MATCH($B396,Properties!$A$5:$A$104,0))*(1+IF($G396="Y",Settings!$B$8,0))+IF($H396="Y",Settings!$B$7,0)+N($I396),IF($D396="Deep clean",INDEX(Settings!$E$22:$E$26,MATCH(MIN(INDEX(Properties!$E$5:$E$104,MATCH($B396,Properties!$A$5:$A$104,0)),4),Settings!$A$22:$A$26,0))+N($I396),IF($D396="Late cancel",INDEX(Properties!$I$5:$I$104,MATCH($B396,Properties!$A$5:$A$104,0))*Settings!$B$10,0))),0))</f>
        <v/>
      </c>
      <c r="O396" s="28" t="str">
        <f aca="false">IF($B396="","",IFERROR(IF($D396="Completed",INDEX(Properties!$L$5:$L$104,MATCH($B396,Properties!$A$5:$A$104,0))+IF($G396="Y",INDEX(Properties!$I$5:$I$104,MATCH($B396,Properties!$A$5:$A$104,0))*Settings!$B$8*Settings!$B$9,0)+IF($H396="Y",Settings!$B$7*Settings!$B$9,0)+N($I396)*Settings!$B$9,IF($D396="Deep clean",INDEX(Settings!$E$22:$E$26,MATCH(MIN(INDEX(Properties!$E$5:$E$104,MATCH($B396,Properties!$A$5:$A$104,0)),4),Settings!$A$22:$A$26,0))*Settings!$B$19+N($I396)*Settings!$B$9,IF($D396="Late cancel",INDEX(Properties!$L$5:$L$104,MATCH($B396,Properties!$A$5:$A$104,0))*Settings!$B$11,0))),0))</f>
        <v/>
      </c>
      <c r="P396" s="28" t="str">
        <f aca="false">IF($B396="","",$N396-$O396)</f>
        <v/>
      </c>
      <c r="Q396" s="29" t="str">
        <f aca="false">IF($A396="","",DATE(YEAR($A396),MONTH($A396),1))</f>
        <v/>
      </c>
      <c r="R396" s="30" t="str">
        <f aca="false">IF($A396="","",$A396+MOD(6-WEEKDAY($A396),7))</f>
        <v/>
      </c>
      <c r="S396" s="31" t="str">
        <f aca="false">IF($B396="","",IF(AND($M396='Invoice Builder'!$C$5,$Q396='Invoice Builder'!$C$6,N($N396)&gt;0),COUNTIFS($M$5:$M396,'Invoice Builder'!$C$5,$Q$5:$Q396,'Invoice Builder'!$C$6,$N$5:$N396,"&gt;0"),""))</f>
        <v/>
      </c>
      <c r="T396" s="27" t="str">
        <f aca="false">IF($A396="","",IF($A396&gt;=DATE(YEAR($A396),4,6),YEAR($A396)&amp;"/"&amp;RIGHT(YEAR($A396)+1,2),YEAR($A396)-1&amp;"/"&amp;RIGHT(YEAR($A396),2)))</f>
        <v/>
      </c>
    </row>
    <row r="397" customFormat="false" ht="15" hidden="false" customHeight="false" outlineLevel="0" collapsed="false">
      <c r="A397" s="22"/>
      <c r="B397" s="23"/>
      <c r="C397" s="23"/>
      <c r="D397" s="23"/>
      <c r="E397" s="24"/>
      <c r="F397" s="24"/>
      <c r="G397" s="23"/>
      <c r="H397" s="23"/>
      <c r="I397" s="25"/>
      <c r="J397" s="23"/>
      <c r="K397" s="23"/>
      <c r="L397" s="26" t="str">
        <f aca="false">IF(OR($E397="",$F397=""),"",MOD($F397-$E397,1)*24)</f>
        <v/>
      </c>
      <c r="M397" s="27" t="str">
        <f aca="false">IF($B397="","",IFERROR(INDEX(Properties!$D$5:$D$104,MATCH($B397,Properties!$A$5:$A$104,0)),"?"))</f>
        <v/>
      </c>
      <c r="N397" s="28" t="str">
        <f aca="false">IF($B397="","",IFERROR(IF($D397="Completed",INDEX(Properties!$I$5:$I$104,MATCH($B397,Properties!$A$5:$A$104,0))*(1+IF($G397="Y",Settings!$B$8,0))+IF($H397="Y",Settings!$B$7,0)+N($I397),IF($D397="Deep clean",INDEX(Settings!$E$22:$E$26,MATCH(MIN(INDEX(Properties!$E$5:$E$104,MATCH($B397,Properties!$A$5:$A$104,0)),4),Settings!$A$22:$A$26,0))+N($I397),IF($D397="Late cancel",INDEX(Properties!$I$5:$I$104,MATCH($B397,Properties!$A$5:$A$104,0))*Settings!$B$10,0))),0))</f>
        <v/>
      </c>
      <c r="O397" s="28" t="str">
        <f aca="false">IF($B397="","",IFERROR(IF($D397="Completed",INDEX(Properties!$L$5:$L$104,MATCH($B397,Properties!$A$5:$A$104,0))+IF($G397="Y",INDEX(Properties!$I$5:$I$104,MATCH($B397,Properties!$A$5:$A$104,0))*Settings!$B$8*Settings!$B$9,0)+IF($H397="Y",Settings!$B$7*Settings!$B$9,0)+N($I397)*Settings!$B$9,IF($D397="Deep clean",INDEX(Settings!$E$22:$E$26,MATCH(MIN(INDEX(Properties!$E$5:$E$104,MATCH($B397,Properties!$A$5:$A$104,0)),4),Settings!$A$22:$A$26,0))*Settings!$B$19+N($I397)*Settings!$B$9,IF($D397="Late cancel",INDEX(Properties!$L$5:$L$104,MATCH($B397,Properties!$A$5:$A$104,0))*Settings!$B$11,0))),0))</f>
        <v/>
      </c>
      <c r="P397" s="28" t="str">
        <f aca="false">IF($B397="","",$N397-$O397)</f>
        <v/>
      </c>
      <c r="Q397" s="29" t="str">
        <f aca="false">IF($A397="","",DATE(YEAR($A397),MONTH($A397),1))</f>
        <v/>
      </c>
      <c r="R397" s="30" t="str">
        <f aca="false">IF($A397="","",$A397+MOD(6-WEEKDAY($A397),7))</f>
        <v/>
      </c>
      <c r="S397" s="31" t="str">
        <f aca="false">IF($B397="","",IF(AND($M397='Invoice Builder'!$C$5,$Q397='Invoice Builder'!$C$6,N($N397)&gt;0),COUNTIFS($M$5:$M397,'Invoice Builder'!$C$5,$Q$5:$Q397,'Invoice Builder'!$C$6,$N$5:$N397,"&gt;0"),""))</f>
        <v/>
      </c>
      <c r="T397" s="27" t="str">
        <f aca="false">IF($A397="","",IF($A397&gt;=DATE(YEAR($A397),4,6),YEAR($A397)&amp;"/"&amp;RIGHT(YEAR($A397)+1,2),YEAR($A397)-1&amp;"/"&amp;RIGHT(YEAR($A397),2)))</f>
        <v/>
      </c>
    </row>
    <row r="398" customFormat="false" ht="15" hidden="false" customHeight="false" outlineLevel="0" collapsed="false">
      <c r="A398" s="22"/>
      <c r="B398" s="23"/>
      <c r="C398" s="23"/>
      <c r="D398" s="23"/>
      <c r="E398" s="24"/>
      <c r="F398" s="24"/>
      <c r="G398" s="23"/>
      <c r="H398" s="23"/>
      <c r="I398" s="25"/>
      <c r="J398" s="23"/>
      <c r="K398" s="23"/>
      <c r="L398" s="26" t="str">
        <f aca="false">IF(OR($E398="",$F398=""),"",MOD($F398-$E398,1)*24)</f>
        <v/>
      </c>
      <c r="M398" s="27" t="str">
        <f aca="false">IF($B398="","",IFERROR(INDEX(Properties!$D$5:$D$104,MATCH($B398,Properties!$A$5:$A$104,0)),"?"))</f>
        <v/>
      </c>
      <c r="N398" s="28" t="str">
        <f aca="false">IF($B398="","",IFERROR(IF($D398="Completed",INDEX(Properties!$I$5:$I$104,MATCH($B398,Properties!$A$5:$A$104,0))*(1+IF($G398="Y",Settings!$B$8,0))+IF($H398="Y",Settings!$B$7,0)+N($I398),IF($D398="Deep clean",INDEX(Settings!$E$22:$E$26,MATCH(MIN(INDEX(Properties!$E$5:$E$104,MATCH($B398,Properties!$A$5:$A$104,0)),4),Settings!$A$22:$A$26,0))+N($I398),IF($D398="Late cancel",INDEX(Properties!$I$5:$I$104,MATCH($B398,Properties!$A$5:$A$104,0))*Settings!$B$10,0))),0))</f>
        <v/>
      </c>
      <c r="O398" s="28" t="str">
        <f aca="false">IF($B398="","",IFERROR(IF($D398="Completed",INDEX(Properties!$L$5:$L$104,MATCH($B398,Properties!$A$5:$A$104,0))+IF($G398="Y",INDEX(Properties!$I$5:$I$104,MATCH($B398,Properties!$A$5:$A$104,0))*Settings!$B$8*Settings!$B$9,0)+IF($H398="Y",Settings!$B$7*Settings!$B$9,0)+N($I398)*Settings!$B$9,IF($D398="Deep clean",INDEX(Settings!$E$22:$E$26,MATCH(MIN(INDEX(Properties!$E$5:$E$104,MATCH($B398,Properties!$A$5:$A$104,0)),4),Settings!$A$22:$A$26,0))*Settings!$B$19+N($I398)*Settings!$B$9,IF($D398="Late cancel",INDEX(Properties!$L$5:$L$104,MATCH($B398,Properties!$A$5:$A$104,0))*Settings!$B$11,0))),0))</f>
        <v/>
      </c>
      <c r="P398" s="28" t="str">
        <f aca="false">IF($B398="","",$N398-$O398)</f>
        <v/>
      </c>
      <c r="Q398" s="29" t="str">
        <f aca="false">IF($A398="","",DATE(YEAR($A398),MONTH($A398),1))</f>
        <v/>
      </c>
      <c r="R398" s="30" t="str">
        <f aca="false">IF($A398="","",$A398+MOD(6-WEEKDAY($A398),7))</f>
        <v/>
      </c>
      <c r="S398" s="31" t="str">
        <f aca="false">IF($B398="","",IF(AND($M398='Invoice Builder'!$C$5,$Q398='Invoice Builder'!$C$6,N($N398)&gt;0),COUNTIFS($M$5:$M398,'Invoice Builder'!$C$5,$Q$5:$Q398,'Invoice Builder'!$C$6,$N$5:$N398,"&gt;0"),""))</f>
        <v/>
      </c>
      <c r="T398" s="27" t="str">
        <f aca="false">IF($A398="","",IF($A398&gt;=DATE(YEAR($A398),4,6),YEAR($A398)&amp;"/"&amp;RIGHT(YEAR($A398)+1,2),YEAR($A398)-1&amp;"/"&amp;RIGHT(YEAR($A398),2)))</f>
        <v/>
      </c>
    </row>
    <row r="399" customFormat="false" ht="15" hidden="false" customHeight="false" outlineLevel="0" collapsed="false">
      <c r="A399" s="22"/>
      <c r="B399" s="23"/>
      <c r="C399" s="23"/>
      <c r="D399" s="23"/>
      <c r="E399" s="24"/>
      <c r="F399" s="24"/>
      <c r="G399" s="23"/>
      <c r="H399" s="23"/>
      <c r="I399" s="25"/>
      <c r="J399" s="23"/>
      <c r="K399" s="23"/>
      <c r="L399" s="26" t="str">
        <f aca="false">IF(OR($E399="",$F399=""),"",MOD($F399-$E399,1)*24)</f>
        <v/>
      </c>
      <c r="M399" s="27" t="str">
        <f aca="false">IF($B399="","",IFERROR(INDEX(Properties!$D$5:$D$104,MATCH($B399,Properties!$A$5:$A$104,0)),"?"))</f>
        <v/>
      </c>
      <c r="N399" s="28" t="str">
        <f aca="false">IF($B399="","",IFERROR(IF($D399="Completed",INDEX(Properties!$I$5:$I$104,MATCH($B399,Properties!$A$5:$A$104,0))*(1+IF($G399="Y",Settings!$B$8,0))+IF($H399="Y",Settings!$B$7,0)+N($I399),IF($D399="Deep clean",INDEX(Settings!$E$22:$E$26,MATCH(MIN(INDEX(Properties!$E$5:$E$104,MATCH($B399,Properties!$A$5:$A$104,0)),4),Settings!$A$22:$A$26,0))+N($I399),IF($D399="Late cancel",INDEX(Properties!$I$5:$I$104,MATCH($B399,Properties!$A$5:$A$104,0))*Settings!$B$10,0))),0))</f>
        <v/>
      </c>
      <c r="O399" s="28" t="str">
        <f aca="false">IF($B399="","",IFERROR(IF($D399="Completed",INDEX(Properties!$L$5:$L$104,MATCH($B399,Properties!$A$5:$A$104,0))+IF($G399="Y",INDEX(Properties!$I$5:$I$104,MATCH($B399,Properties!$A$5:$A$104,0))*Settings!$B$8*Settings!$B$9,0)+IF($H399="Y",Settings!$B$7*Settings!$B$9,0)+N($I399)*Settings!$B$9,IF($D399="Deep clean",INDEX(Settings!$E$22:$E$26,MATCH(MIN(INDEX(Properties!$E$5:$E$104,MATCH($B399,Properties!$A$5:$A$104,0)),4),Settings!$A$22:$A$26,0))*Settings!$B$19+N($I399)*Settings!$B$9,IF($D399="Late cancel",INDEX(Properties!$L$5:$L$104,MATCH($B399,Properties!$A$5:$A$104,0))*Settings!$B$11,0))),0))</f>
        <v/>
      </c>
      <c r="P399" s="28" t="str">
        <f aca="false">IF($B399="","",$N399-$O399)</f>
        <v/>
      </c>
      <c r="Q399" s="29" t="str">
        <f aca="false">IF($A399="","",DATE(YEAR($A399),MONTH($A399),1))</f>
        <v/>
      </c>
      <c r="R399" s="30" t="str">
        <f aca="false">IF($A399="","",$A399+MOD(6-WEEKDAY($A399),7))</f>
        <v/>
      </c>
      <c r="S399" s="31" t="str">
        <f aca="false">IF($B399="","",IF(AND($M399='Invoice Builder'!$C$5,$Q399='Invoice Builder'!$C$6,N($N399)&gt;0),COUNTIFS($M$5:$M399,'Invoice Builder'!$C$5,$Q$5:$Q399,'Invoice Builder'!$C$6,$N$5:$N399,"&gt;0"),""))</f>
        <v/>
      </c>
      <c r="T399" s="27" t="str">
        <f aca="false">IF($A399="","",IF($A399&gt;=DATE(YEAR($A399),4,6),YEAR($A399)&amp;"/"&amp;RIGHT(YEAR($A399)+1,2),YEAR($A399)-1&amp;"/"&amp;RIGHT(YEAR($A399),2)))</f>
        <v/>
      </c>
    </row>
    <row r="400" customFormat="false" ht="15" hidden="false" customHeight="false" outlineLevel="0" collapsed="false">
      <c r="A400" s="22"/>
      <c r="B400" s="23"/>
      <c r="C400" s="23"/>
      <c r="D400" s="23"/>
      <c r="E400" s="24"/>
      <c r="F400" s="24"/>
      <c r="G400" s="23"/>
      <c r="H400" s="23"/>
      <c r="I400" s="25"/>
      <c r="J400" s="23"/>
      <c r="K400" s="23"/>
      <c r="L400" s="26" t="str">
        <f aca="false">IF(OR($E400="",$F400=""),"",MOD($F400-$E400,1)*24)</f>
        <v/>
      </c>
      <c r="M400" s="27" t="str">
        <f aca="false">IF($B400="","",IFERROR(INDEX(Properties!$D$5:$D$104,MATCH($B400,Properties!$A$5:$A$104,0)),"?"))</f>
        <v/>
      </c>
      <c r="N400" s="28" t="str">
        <f aca="false">IF($B400="","",IFERROR(IF($D400="Completed",INDEX(Properties!$I$5:$I$104,MATCH($B400,Properties!$A$5:$A$104,0))*(1+IF($G400="Y",Settings!$B$8,0))+IF($H400="Y",Settings!$B$7,0)+N($I400),IF($D400="Deep clean",INDEX(Settings!$E$22:$E$26,MATCH(MIN(INDEX(Properties!$E$5:$E$104,MATCH($B400,Properties!$A$5:$A$104,0)),4),Settings!$A$22:$A$26,0))+N($I400),IF($D400="Late cancel",INDEX(Properties!$I$5:$I$104,MATCH($B400,Properties!$A$5:$A$104,0))*Settings!$B$10,0))),0))</f>
        <v/>
      </c>
      <c r="O400" s="28" t="str">
        <f aca="false">IF($B400="","",IFERROR(IF($D400="Completed",INDEX(Properties!$L$5:$L$104,MATCH($B400,Properties!$A$5:$A$104,0))+IF($G400="Y",INDEX(Properties!$I$5:$I$104,MATCH($B400,Properties!$A$5:$A$104,0))*Settings!$B$8*Settings!$B$9,0)+IF($H400="Y",Settings!$B$7*Settings!$B$9,0)+N($I400)*Settings!$B$9,IF($D400="Deep clean",INDEX(Settings!$E$22:$E$26,MATCH(MIN(INDEX(Properties!$E$5:$E$104,MATCH($B400,Properties!$A$5:$A$104,0)),4),Settings!$A$22:$A$26,0))*Settings!$B$19+N($I400)*Settings!$B$9,IF($D400="Late cancel",INDEX(Properties!$L$5:$L$104,MATCH($B400,Properties!$A$5:$A$104,0))*Settings!$B$11,0))),0))</f>
        <v/>
      </c>
      <c r="P400" s="28" t="str">
        <f aca="false">IF($B400="","",$N400-$O400)</f>
        <v/>
      </c>
      <c r="Q400" s="29" t="str">
        <f aca="false">IF($A400="","",DATE(YEAR($A400),MONTH($A400),1))</f>
        <v/>
      </c>
      <c r="R400" s="30" t="str">
        <f aca="false">IF($A400="","",$A400+MOD(6-WEEKDAY($A400),7))</f>
        <v/>
      </c>
      <c r="S400" s="31" t="str">
        <f aca="false">IF($B400="","",IF(AND($M400='Invoice Builder'!$C$5,$Q400='Invoice Builder'!$C$6,N($N400)&gt;0),COUNTIFS($M$5:$M400,'Invoice Builder'!$C$5,$Q$5:$Q400,'Invoice Builder'!$C$6,$N$5:$N400,"&gt;0"),""))</f>
        <v/>
      </c>
      <c r="T400" s="27" t="str">
        <f aca="false">IF($A400="","",IF($A400&gt;=DATE(YEAR($A400),4,6),YEAR($A400)&amp;"/"&amp;RIGHT(YEAR($A400)+1,2),YEAR($A400)-1&amp;"/"&amp;RIGHT(YEAR($A400),2)))</f>
        <v/>
      </c>
    </row>
    <row r="401" customFormat="false" ht="15" hidden="false" customHeight="false" outlineLevel="0" collapsed="false">
      <c r="A401" s="22"/>
      <c r="B401" s="23"/>
      <c r="C401" s="23"/>
      <c r="D401" s="23"/>
      <c r="E401" s="24"/>
      <c r="F401" s="24"/>
      <c r="G401" s="23"/>
      <c r="H401" s="23"/>
      <c r="I401" s="25"/>
      <c r="J401" s="23"/>
      <c r="K401" s="23"/>
      <c r="L401" s="26" t="str">
        <f aca="false">IF(OR($E401="",$F401=""),"",MOD($F401-$E401,1)*24)</f>
        <v/>
      </c>
      <c r="M401" s="27" t="str">
        <f aca="false">IF($B401="","",IFERROR(INDEX(Properties!$D$5:$D$104,MATCH($B401,Properties!$A$5:$A$104,0)),"?"))</f>
        <v/>
      </c>
      <c r="N401" s="28" t="str">
        <f aca="false">IF($B401="","",IFERROR(IF($D401="Completed",INDEX(Properties!$I$5:$I$104,MATCH($B401,Properties!$A$5:$A$104,0))*(1+IF($G401="Y",Settings!$B$8,0))+IF($H401="Y",Settings!$B$7,0)+N($I401),IF($D401="Deep clean",INDEX(Settings!$E$22:$E$26,MATCH(MIN(INDEX(Properties!$E$5:$E$104,MATCH($B401,Properties!$A$5:$A$104,0)),4),Settings!$A$22:$A$26,0))+N($I401),IF($D401="Late cancel",INDEX(Properties!$I$5:$I$104,MATCH($B401,Properties!$A$5:$A$104,0))*Settings!$B$10,0))),0))</f>
        <v/>
      </c>
      <c r="O401" s="28" t="str">
        <f aca="false">IF($B401="","",IFERROR(IF($D401="Completed",INDEX(Properties!$L$5:$L$104,MATCH($B401,Properties!$A$5:$A$104,0))+IF($G401="Y",INDEX(Properties!$I$5:$I$104,MATCH($B401,Properties!$A$5:$A$104,0))*Settings!$B$8*Settings!$B$9,0)+IF($H401="Y",Settings!$B$7*Settings!$B$9,0)+N($I401)*Settings!$B$9,IF($D401="Deep clean",INDEX(Settings!$E$22:$E$26,MATCH(MIN(INDEX(Properties!$E$5:$E$104,MATCH($B401,Properties!$A$5:$A$104,0)),4),Settings!$A$22:$A$26,0))*Settings!$B$19+N($I401)*Settings!$B$9,IF($D401="Late cancel",INDEX(Properties!$L$5:$L$104,MATCH($B401,Properties!$A$5:$A$104,0))*Settings!$B$11,0))),0))</f>
        <v/>
      </c>
      <c r="P401" s="28" t="str">
        <f aca="false">IF($B401="","",$N401-$O401)</f>
        <v/>
      </c>
      <c r="Q401" s="29" t="str">
        <f aca="false">IF($A401="","",DATE(YEAR($A401),MONTH($A401),1))</f>
        <v/>
      </c>
      <c r="R401" s="30" t="str">
        <f aca="false">IF($A401="","",$A401+MOD(6-WEEKDAY($A401),7))</f>
        <v/>
      </c>
      <c r="S401" s="31" t="str">
        <f aca="false">IF($B401="","",IF(AND($M401='Invoice Builder'!$C$5,$Q401='Invoice Builder'!$C$6,N($N401)&gt;0),COUNTIFS($M$5:$M401,'Invoice Builder'!$C$5,$Q$5:$Q401,'Invoice Builder'!$C$6,$N$5:$N401,"&gt;0"),""))</f>
        <v/>
      </c>
      <c r="T401" s="27" t="str">
        <f aca="false">IF($A401="","",IF($A401&gt;=DATE(YEAR($A401),4,6),YEAR($A401)&amp;"/"&amp;RIGHT(YEAR($A401)+1,2),YEAR($A401)-1&amp;"/"&amp;RIGHT(YEAR($A401),2)))</f>
        <v/>
      </c>
    </row>
    <row r="402" customFormat="false" ht="15" hidden="false" customHeight="false" outlineLevel="0" collapsed="false">
      <c r="A402" s="22"/>
      <c r="B402" s="23"/>
      <c r="C402" s="23"/>
      <c r="D402" s="23"/>
      <c r="E402" s="24"/>
      <c r="F402" s="24"/>
      <c r="G402" s="23"/>
      <c r="H402" s="23"/>
      <c r="I402" s="25"/>
      <c r="J402" s="23"/>
      <c r="K402" s="23"/>
      <c r="L402" s="26" t="str">
        <f aca="false">IF(OR($E402="",$F402=""),"",MOD($F402-$E402,1)*24)</f>
        <v/>
      </c>
      <c r="M402" s="27" t="str">
        <f aca="false">IF($B402="","",IFERROR(INDEX(Properties!$D$5:$D$104,MATCH($B402,Properties!$A$5:$A$104,0)),"?"))</f>
        <v/>
      </c>
      <c r="N402" s="28" t="str">
        <f aca="false">IF($B402="","",IFERROR(IF($D402="Completed",INDEX(Properties!$I$5:$I$104,MATCH($B402,Properties!$A$5:$A$104,0))*(1+IF($G402="Y",Settings!$B$8,0))+IF($H402="Y",Settings!$B$7,0)+N($I402),IF($D402="Deep clean",INDEX(Settings!$E$22:$E$26,MATCH(MIN(INDEX(Properties!$E$5:$E$104,MATCH($B402,Properties!$A$5:$A$104,0)),4),Settings!$A$22:$A$26,0))+N($I402),IF($D402="Late cancel",INDEX(Properties!$I$5:$I$104,MATCH($B402,Properties!$A$5:$A$104,0))*Settings!$B$10,0))),0))</f>
        <v/>
      </c>
      <c r="O402" s="28" t="str">
        <f aca="false">IF($B402="","",IFERROR(IF($D402="Completed",INDEX(Properties!$L$5:$L$104,MATCH($B402,Properties!$A$5:$A$104,0))+IF($G402="Y",INDEX(Properties!$I$5:$I$104,MATCH($B402,Properties!$A$5:$A$104,0))*Settings!$B$8*Settings!$B$9,0)+IF($H402="Y",Settings!$B$7*Settings!$B$9,0)+N($I402)*Settings!$B$9,IF($D402="Deep clean",INDEX(Settings!$E$22:$E$26,MATCH(MIN(INDEX(Properties!$E$5:$E$104,MATCH($B402,Properties!$A$5:$A$104,0)),4),Settings!$A$22:$A$26,0))*Settings!$B$19+N($I402)*Settings!$B$9,IF($D402="Late cancel",INDEX(Properties!$L$5:$L$104,MATCH($B402,Properties!$A$5:$A$104,0))*Settings!$B$11,0))),0))</f>
        <v/>
      </c>
      <c r="P402" s="28" t="str">
        <f aca="false">IF($B402="","",$N402-$O402)</f>
        <v/>
      </c>
      <c r="Q402" s="29" t="str">
        <f aca="false">IF($A402="","",DATE(YEAR($A402),MONTH($A402),1))</f>
        <v/>
      </c>
      <c r="R402" s="30" t="str">
        <f aca="false">IF($A402="","",$A402+MOD(6-WEEKDAY($A402),7))</f>
        <v/>
      </c>
      <c r="S402" s="31" t="str">
        <f aca="false">IF($B402="","",IF(AND($M402='Invoice Builder'!$C$5,$Q402='Invoice Builder'!$C$6,N($N402)&gt;0),COUNTIFS($M$5:$M402,'Invoice Builder'!$C$5,$Q$5:$Q402,'Invoice Builder'!$C$6,$N$5:$N402,"&gt;0"),""))</f>
        <v/>
      </c>
      <c r="T402" s="27" t="str">
        <f aca="false">IF($A402="","",IF($A402&gt;=DATE(YEAR($A402),4,6),YEAR($A402)&amp;"/"&amp;RIGHT(YEAR($A402)+1,2),YEAR($A402)-1&amp;"/"&amp;RIGHT(YEAR($A402),2)))</f>
        <v/>
      </c>
    </row>
    <row r="403" customFormat="false" ht="15" hidden="false" customHeight="false" outlineLevel="0" collapsed="false">
      <c r="A403" s="22"/>
      <c r="B403" s="23"/>
      <c r="C403" s="23"/>
      <c r="D403" s="23"/>
      <c r="E403" s="24"/>
      <c r="F403" s="24"/>
      <c r="G403" s="23"/>
      <c r="H403" s="23"/>
      <c r="I403" s="25"/>
      <c r="J403" s="23"/>
      <c r="K403" s="23"/>
      <c r="L403" s="26" t="str">
        <f aca="false">IF(OR($E403="",$F403=""),"",MOD($F403-$E403,1)*24)</f>
        <v/>
      </c>
      <c r="M403" s="27" t="str">
        <f aca="false">IF($B403="","",IFERROR(INDEX(Properties!$D$5:$D$104,MATCH($B403,Properties!$A$5:$A$104,0)),"?"))</f>
        <v/>
      </c>
      <c r="N403" s="28" t="str">
        <f aca="false">IF($B403="","",IFERROR(IF($D403="Completed",INDEX(Properties!$I$5:$I$104,MATCH($B403,Properties!$A$5:$A$104,0))*(1+IF($G403="Y",Settings!$B$8,0))+IF($H403="Y",Settings!$B$7,0)+N($I403),IF($D403="Deep clean",INDEX(Settings!$E$22:$E$26,MATCH(MIN(INDEX(Properties!$E$5:$E$104,MATCH($B403,Properties!$A$5:$A$104,0)),4),Settings!$A$22:$A$26,0))+N($I403),IF($D403="Late cancel",INDEX(Properties!$I$5:$I$104,MATCH($B403,Properties!$A$5:$A$104,0))*Settings!$B$10,0))),0))</f>
        <v/>
      </c>
      <c r="O403" s="28" t="str">
        <f aca="false">IF($B403="","",IFERROR(IF($D403="Completed",INDEX(Properties!$L$5:$L$104,MATCH($B403,Properties!$A$5:$A$104,0))+IF($G403="Y",INDEX(Properties!$I$5:$I$104,MATCH($B403,Properties!$A$5:$A$104,0))*Settings!$B$8*Settings!$B$9,0)+IF($H403="Y",Settings!$B$7*Settings!$B$9,0)+N($I403)*Settings!$B$9,IF($D403="Deep clean",INDEX(Settings!$E$22:$E$26,MATCH(MIN(INDEX(Properties!$E$5:$E$104,MATCH($B403,Properties!$A$5:$A$104,0)),4),Settings!$A$22:$A$26,0))*Settings!$B$19+N($I403)*Settings!$B$9,IF($D403="Late cancel",INDEX(Properties!$L$5:$L$104,MATCH($B403,Properties!$A$5:$A$104,0))*Settings!$B$11,0))),0))</f>
        <v/>
      </c>
      <c r="P403" s="28" t="str">
        <f aca="false">IF($B403="","",$N403-$O403)</f>
        <v/>
      </c>
      <c r="Q403" s="29" t="str">
        <f aca="false">IF($A403="","",DATE(YEAR($A403),MONTH($A403),1))</f>
        <v/>
      </c>
      <c r="R403" s="30" t="str">
        <f aca="false">IF($A403="","",$A403+MOD(6-WEEKDAY($A403),7))</f>
        <v/>
      </c>
      <c r="S403" s="31" t="str">
        <f aca="false">IF($B403="","",IF(AND($M403='Invoice Builder'!$C$5,$Q403='Invoice Builder'!$C$6,N($N403)&gt;0),COUNTIFS($M$5:$M403,'Invoice Builder'!$C$5,$Q$5:$Q403,'Invoice Builder'!$C$6,$N$5:$N403,"&gt;0"),""))</f>
        <v/>
      </c>
      <c r="T403" s="27" t="str">
        <f aca="false">IF($A403="","",IF($A403&gt;=DATE(YEAR($A403),4,6),YEAR($A403)&amp;"/"&amp;RIGHT(YEAR($A403)+1,2),YEAR($A403)-1&amp;"/"&amp;RIGHT(YEAR($A403),2)))</f>
        <v/>
      </c>
    </row>
    <row r="404" customFormat="false" ht="15" hidden="false" customHeight="false" outlineLevel="0" collapsed="false">
      <c r="A404" s="22"/>
      <c r="B404" s="23"/>
      <c r="C404" s="23"/>
      <c r="D404" s="23"/>
      <c r="E404" s="24"/>
      <c r="F404" s="24"/>
      <c r="G404" s="23"/>
      <c r="H404" s="23"/>
      <c r="I404" s="25"/>
      <c r="J404" s="23"/>
      <c r="K404" s="23"/>
      <c r="L404" s="26" t="str">
        <f aca="false">IF(OR($E404="",$F404=""),"",MOD($F404-$E404,1)*24)</f>
        <v/>
      </c>
      <c r="M404" s="27" t="str">
        <f aca="false">IF($B404="","",IFERROR(INDEX(Properties!$D$5:$D$104,MATCH($B404,Properties!$A$5:$A$104,0)),"?"))</f>
        <v/>
      </c>
      <c r="N404" s="28" t="str">
        <f aca="false">IF($B404="","",IFERROR(IF($D404="Completed",INDEX(Properties!$I$5:$I$104,MATCH($B404,Properties!$A$5:$A$104,0))*(1+IF($G404="Y",Settings!$B$8,0))+IF($H404="Y",Settings!$B$7,0)+N($I404),IF($D404="Deep clean",INDEX(Settings!$E$22:$E$26,MATCH(MIN(INDEX(Properties!$E$5:$E$104,MATCH($B404,Properties!$A$5:$A$104,0)),4),Settings!$A$22:$A$26,0))+N($I404),IF($D404="Late cancel",INDEX(Properties!$I$5:$I$104,MATCH($B404,Properties!$A$5:$A$104,0))*Settings!$B$10,0))),0))</f>
        <v/>
      </c>
      <c r="O404" s="28" t="str">
        <f aca="false">IF($B404="","",IFERROR(IF($D404="Completed",INDEX(Properties!$L$5:$L$104,MATCH($B404,Properties!$A$5:$A$104,0))+IF($G404="Y",INDEX(Properties!$I$5:$I$104,MATCH($B404,Properties!$A$5:$A$104,0))*Settings!$B$8*Settings!$B$9,0)+IF($H404="Y",Settings!$B$7*Settings!$B$9,0)+N($I404)*Settings!$B$9,IF($D404="Deep clean",INDEX(Settings!$E$22:$E$26,MATCH(MIN(INDEX(Properties!$E$5:$E$104,MATCH($B404,Properties!$A$5:$A$104,0)),4),Settings!$A$22:$A$26,0))*Settings!$B$19+N($I404)*Settings!$B$9,IF($D404="Late cancel",INDEX(Properties!$L$5:$L$104,MATCH($B404,Properties!$A$5:$A$104,0))*Settings!$B$11,0))),0))</f>
        <v/>
      </c>
      <c r="P404" s="28" t="str">
        <f aca="false">IF($B404="","",$N404-$O404)</f>
        <v/>
      </c>
      <c r="Q404" s="29" t="str">
        <f aca="false">IF($A404="","",DATE(YEAR($A404),MONTH($A404),1))</f>
        <v/>
      </c>
      <c r="R404" s="30" t="str">
        <f aca="false">IF($A404="","",$A404+MOD(6-WEEKDAY($A404),7))</f>
        <v/>
      </c>
      <c r="S404" s="31" t="str">
        <f aca="false">IF($B404="","",IF(AND($M404='Invoice Builder'!$C$5,$Q404='Invoice Builder'!$C$6,N($N404)&gt;0),COUNTIFS($M$5:$M404,'Invoice Builder'!$C$5,$Q$5:$Q404,'Invoice Builder'!$C$6,$N$5:$N404,"&gt;0"),""))</f>
        <v/>
      </c>
      <c r="T404" s="27" t="str">
        <f aca="false">IF($A404="","",IF($A404&gt;=DATE(YEAR($A404),4,6),YEAR($A404)&amp;"/"&amp;RIGHT(YEAR($A404)+1,2),YEAR($A404)-1&amp;"/"&amp;RIGHT(YEAR($A404),2)))</f>
        <v/>
      </c>
    </row>
    <row r="405" customFormat="false" ht="15" hidden="false" customHeight="false" outlineLevel="0" collapsed="false">
      <c r="A405" s="22"/>
      <c r="B405" s="23"/>
      <c r="C405" s="23"/>
      <c r="D405" s="23"/>
      <c r="E405" s="24"/>
      <c r="F405" s="24"/>
      <c r="G405" s="23"/>
      <c r="H405" s="23"/>
      <c r="I405" s="25"/>
      <c r="J405" s="23"/>
      <c r="K405" s="23"/>
      <c r="L405" s="26" t="str">
        <f aca="false">IF(OR($E405="",$F405=""),"",MOD($F405-$E405,1)*24)</f>
        <v/>
      </c>
      <c r="M405" s="27" t="str">
        <f aca="false">IF($B405="","",IFERROR(INDEX(Properties!$D$5:$D$104,MATCH($B405,Properties!$A$5:$A$104,0)),"?"))</f>
        <v/>
      </c>
      <c r="N405" s="28" t="str">
        <f aca="false">IF($B405="","",IFERROR(IF($D405="Completed",INDEX(Properties!$I$5:$I$104,MATCH($B405,Properties!$A$5:$A$104,0))*(1+IF($G405="Y",Settings!$B$8,0))+IF($H405="Y",Settings!$B$7,0)+N($I405),IF($D405="Deep clean",INDEX(Settings!$E$22:$E$26,MATCH(MIN(INDEX(Properties!$E$5:$E$104,MATCH($B405,Properties!$A$5:$A$104,0)),4),Settings!$A$22:$A$26,0))+N($I405),IF($D405="Late cancel",INDEX(Properties!$I$5:$I$104,MATCH($B405,Properties!$A$5:$A$104,0))*Settings!$B$10,0))),0))</f>
        <v/>
      </c>
      <c r="O405" s="28" t="str">
        <f aca="false">IF($B405="","",IFERROR(IF($D405="Completed",INDEX(Properties!$L$5:$L$104,MATCH($B405,Properties!$A$5:$A$104,0))+IF($G405="Y",INDEX(Properties!$I$5:$I$104,MATCH($B405,Properties!$A$5:$A$104,0))*Settings!$B$8*Settings!$B$9,0)+IF($H405="Y",Settings!$B$7*Settings!$B$9,0)+N($I405)*Settings!$B$9,IF($D405="Deep clean",INDEX(Settings!$E$22:$E$26,MATCH(MIN(INDEX(Properties!$E$5:$E$104,MATCH($B405,Properties!$A$5:$A$104,0)),4),Settings!$A$22:$A$26,0))*Settings!$B$19+N($I405)*Settings!$B$9,IF($D405="Late cancel",INDEX(Properties!$L$5:$L$104,MATCH($B405,Properties!$A$5:$A$104,0))*Settings!$B$11,0))),0))</f>
        <v/>
      </c>
      <c r="P405" s="28" t="str">
        <f aca="false">IF($B405="","",$N405-$O405)</f>
        <v/>
      </c>
      <c r="Q405" s="29" t="str">
        <f aca="false">IF($A405="","",DATE(YEAR($A405),MONTH($A405),1))</f>
        <v/>
      </c>
      <c r="R405" s="30" t="str">
        <f aca="false">IF($A405="","",$A405+MOD(6-WEEKDAY($A405),7))</f>
        <v/>
      </c>
      <c r="S405" s="31" t="str">
        <f aca="false">IF($B405="","",IF(AND($M405='Invoice Builder'!$C$5,$Q405='Invoice Builder'!$C$6,N($N405)&gt;0),COUNTIFS($M$5:$M405,'Invoice Builder'!$C$5,$Q$5:$Q405,'Invoice Builder'!$C$6,$N$5:$N405,"&gt;0"),""))</f>
        <v/>
      </c>
      <c r="T405" s="27" t="str">
        <f aca="false">IF($A405="","",IF($A405&gt;=DATE(YEAR($A405),4,6),YEAR($A405)&amp;"/"&amp;RIGHT(YEAR($A405)+1,2),YEAR($A405)-1&amp;"/"&amp;RIGHT(YEAR($A405),2)))</f>
        <v/>
      </c>
    </row>
    <row r="406" customFormat="false" ht="15" hidden="false" customHeight="false" outlineLevel="0" collapsed="false">
      <c r="A406" s="22"/>
      <c r="B406" s="23"/>
      <c r="C406" s="23"/>
      <c r="D406" s="23"/>
      <c r="E406" s="24"/>
      <c r="F406" s="24"/>
      <c r="G406" s="23"/>
      <c r="H406" s="23"/>
      <c r="I406" s="25"/>
      <c r="J406" s="23"/>
      <c r="K406" s="23"/>
      <c r="L406" s="26" t="str">
        <f aca="false">IF(OR($E406="",$F406=""),"",MOD($F406-$E406,1)*24)</f>
        <v/>
      </c>
      <c r="M406" s="27" t="str">
        <f aca="false">IF($B406="","",IFERROR(INDEX(Properties!$D$5:$D$104,MATCH($B406,Properties!$A$5:$A$104,0)),"?"))</f>
        <v/>
      </c>
      <c r="N406" s="28" t="str">
        <f aca="false">IF($B406="","",IFERROR(IF($D406="Completed",INDEX(Properties!$I$5:$I$104,MATCH($B406,Properties!$A$5:$A$104,0))*(1+IF($G406="Y",Settings!$B$8,0))+IF($H406="Y",Settings!$B$7,0)+N($I406),IF($D406="Deep clean",INDEX(Settings!$E$22:$E$26,MATCH(MIN(INDEX(Properties!$E$5:$E$104,MATCH($B406,Properties!$A$5:$A$104,0)),4),Settings!$A$22:$A$26,0))+N($I406),IF($D406="Late cancel",INDEX(Properties!$I$5:$I$104,MATCH($B406,Properties!$A$5:$A$104,0))*Settings!$B$10,0))),0))</f>
        <v/>
      </c>
      <c r="O406" s="28" t="str">
        <f aca="false">IF($B406="","",IFERROR(IF($D406="Completed",INDEX(Properties!$L$5:$L$104,MATCH($B406,Properties!$A$5:$A$104,0))+IF($G406="Y",INDEX(Properties!$I$5:$I$104,MATCH($B406,Properties!$A$5:$A$104,0))*Settings!$B$8*Settings!$B$9,0)+IF($H406="Y",Settings!$B$7*Settings!$B$9,0)+N($I406)*Settings!$B$9,IF($D406="Deep clean",INDEX(Settings!$E$22:$E$26,MATCH(MIN(INDEX(Properties!$E$5:$E$104,MATCH($B406,Properties!$A$5:$A$104,0)),4),Settings!$A$22:$A$26,0))*Settings!$B$19+N($I406)*Settings!$B$9,IF($D406="Late cancel",INDEX(Properties!$L$5:$L$104,MATCH($B406,Properties!$A$5:$A$104,0))*Settings!$B$11,0))),0))</f>
        <v/>
      </c>
      <c r="P406" s="28" t="str">
        <f aca="false">IF($B406="","",$N406-$O406)</f>
        <v/>
      </c>
      <c r="Q406" s="29" t="str">
        <f aca="false">IF($A406="","",DATE(YEAR($A406),MONTH($A406),1))</f>
        <v/>
      </c>
      <c r="R406" s="30" t="str">
        <f aca="false">IF($A406="","",$A406+MOD(6-WEEKDAY($A406),7))</f>
        <v/>
      </c>
      <c r="S406" s="31" t="str">
        <f aca="false">IF($B406="","",IF(AND($M406='Invoice Builder'!$C$5,$Q406='Invoice Builder'!$C$6,N($N406)&gt;0),COUNTIFS($M$5:$M406,'Invoice Builder'!$C$5,$Q$5:$Q406,'Invoice Builder'!$C$6,$N$5:$N406,"&gt;0"),""))</f>
        <v/>
      </c>
      <c r="T406" s="27" t="str">
        <f aca="false">IF($A406="","",IF($A406&gt;=DATE(YEAR($A406),4,6),YEAR($A406)&amp;"/"&amp;RIGHT(YEAR($A406)+1,2),YEAR($A406)-1&amp;"/"&amp;RIGHT(YEAR($A406),2)))</f>
        <v/>
      </c>
    </row>
    <row r="407" customFormat="false" ht="15" hidden="false" customHeight="false" outlineLevel="0" collapsed="false">
      <c r="A407" s="22"/>
      <c r="B407" s="23"/>
      <c r="C407" s="23"/>
      <c r="D407" s="23"/>
      <c r="E407" s="24"/>
      <c r="F407" s="24"/>
      <c r="G407" s="23"/>
      <c r="H407" s="23"/>
      <c r="I407" s="25"/>
      <c r="J407" s="23"/>
      <c r="K407" s="23"/>
      <c r="L407" s="26" t="str">
        <f aca="false">IF(OR($E407="",$F407=""),"",MOD($F407-$E407,1)*24)</f>
        <v/>
      </c>
      <c r="M407" s="27" t="str">
        <f aca="false">IF($B407="","",IFERROR(INDEX(Properties!$D$5:$D$104,MATCH($B407,Properties!$A$5:$A$104,0)),"?"))</f>
        <v/>
      </c>
      <c r="N407" s="28" t="str">
        <f aca="false">IF($B407="","",IFERROR(IF($D407="Completed",INDEX(Properties!$I$5:$I$104,MATCH($B407,Properties!$A$5:$A$104,0))*(1+IF($G407="Y",Settings!$B$8,0))+IF($H407="Y",Settings!$B$7,0)+N($I407),IF($D407="Deep clean",INDEX(Settings!$E$22:$E$26,MATCH(MIN(INDEX(Properties!$E$5:$E$104,MATCH($B407,Properties!$A$5:$A$104,0)),4),Settings!$A$22:$A$26,0))+N($I407),IF($D407="Late cancel",INDEX(Properties!$I$5:$I$104,MATCH($B407,Properties!$A$5:$A$104,0))*Settings!$B$10,0))),0))</f>
        <v/>
      </c>
      <c r="O407" s="28" t="str">
        <f aca="false">IF($B407="","",IFERROR(IF($D407="Completed",INDEX(Properties!$L$5:$L$104,MATCH($B407,Properties!$A$5:$A$104,0))+IF($G407="Y",INDEX(Properties!$I$5:$I$104,MATCH($B407,Properties!$A$5:$A$104,0))*Settings!$B$8*Settings!$B$9,0)+IF($H407="Y",Settings!$B$7*Settings!$B$9,0)+N($I407)*Settings!$B$9,IF($D407="Deep clean",INDEX(Settings!$E$22:$E$26,MATCH(MIN(INDEX(Properties!$E$5:$E$104,MATCH($B407,Properties!$A$5:$A$104,0)),4),Settings!$A$22:$A$26,0))*Settings!$B$19+N($I407)*Settings!$B$9,IF($D407="Late cancel",INDEX(Properties!$L$5:$L$104,MATCH($B407,Properties!$A$5:$A$104,0))*Settings!$B$11,0))),0))</f>
        <v/>
      </c>
      <c r="P407" s="28" t="str">
        <f aca="false">IF($B407="","",$N407-$O407)</f>
        <v/>
      </c>
      <c r="Q407" s="29" t="str">
        <f aca="false">IF($A407="","",DATE(YEAR($A407),MONTH($A407),1))</f>
        <v/>
      </c>
      <c r="R407" s="30" t="str">
        <f aca="false">IF($A407="","",$A407+MOD(6-WEEKDAY($A407),7))</f>
        <v/>
      </c>
      <c r="S407" s="31" t="str">
        <f aca="false">IF($B407="","",IF(AND($M407='Invoice Builder'!$C$5,$Q407='Invoice Builder'!$C$6,N($N407)&gt;0),COUNTIFS($M$5:$M407,'Invoice Builder'!$C$5,$Q$5:$Q407,'Invoice Builder'!$C$6,$N$5:$N407,"&gt;0"),""))</f>
        <v/>
      </c>
      <c r="T407" s="27" t="str">
        <f aca="false">IF($A407="","",IF($A407&gt;=DATE(YEAR($A407),4,6),YEAR($A407)&amp;"/"&amp;RIGHT(YEAR($A407)+1,2),YEAR($A407)-1&amp;"/"&amp;RIGHT(YEAR($A407),2)))</f>
        <v/>
      </c>
    </row>
    <row r="408" customFormat="false" ht="15" hidden="false" customHeight="false" outlineLevel="0" collapsed="false">
      <c r="A408" s="22"/>
      <c r="B408" s="23"/>
      <c r="C408" s="23"/>
      <c r="D408" s="23"/>
      <c r="E408" s="24"/>
      <c r="F408" s="24"/>
      <c r="G408" s="23"/>
      <c r="H408" s="23"/>
      <c r="I408" s="25"/>
      <c r="J408" s="23"/>
      <c r="K408" s="23"/>
      <c r="L408" s="26" t="str">
        <f aca="false">IF(OR($E408="",$F408=""),"",MOD($F408-$E408,1)*24)</f>
        <v/>
      </c>
      <c r="M408" s="27" t="str">
        <f aca="false">IF($B408="","",IFERROR(INDEX(Properties!$D$5:$D$104,MATCH($B408,Properties!$A$5:$A$104,0)),"?"))</f>
        <v/>
      </c>
      <c r="N408" s="28" t="str">
        <f aca="false">IF($B408="","",IFERROR(IF($D408="Completed",INDEX(Properties!$I$5:$I$104,MATCH($B408,Properties!$A$5:$A$104,0))*(1+IF($G408="Y",Settings!$B$8,0))+IF($H408="Y",Settings!$B$7,0)+N($I408),IF($D408="Deep clean",INDEX(Settings!$E$22:$E$26,MATCH(MIN(INDEX(Properties!$E$5:$E$104,MATCH($B408,Properties!$A$5:$A$104,0)),4),Settings!$A$22:$A$26,0))+N($I408),IF($D408="Late cancel",INDEX(Properties!$I$5:$I$104,MATCH($B408,Properties!$A$5:$A$104,0))*Settings!$B$10,0))),0))</f>
        <v/>
      </c>
      <c r="O408" s="28" t="str">
        <f aca="false">IF($B408="","",IFERROR(IF($D408="Completed",INDEX(Properties!$L$5:$L$104,MATCH($B408,Properties!$A$5:$A$104,0))+IF($G408="Y",INDEX(Properties!$I$5:$I$104,MATCH($B408,Properties!$A$5:$A$104,0))*Settings!$B$8*Settings!$B$9,0)+IF($H408="Y",Settings!$B$7*Settings!$B$9,0)+N($I408)*Settings!$B$9,IF($D408="Deep clean",INDEX(Settings!$E$22:$E$26,MATCH(MIN(INDEX(Properties!$E$5:$E$104,MATCH($B408,Properties!$A$5:$A$104,0)),4),Settings!$A$22:$A$26,0))*Settings!$B$19+N($I408)*Settings!$B$9,IF($D408="Late cancel",INDEX(Properties!$L$5:$L$104,MATCH($B408,Properties!$A$5:$A$104,0))*Settings!$B$11,0))),0))</f>
        <v/>
      </c>
      <c r="P408" s="28" t="str">
        <f aca="false">IF($B408="","",$N408-$O408)</f>
        <v/>
      </c>
      <c r="Q408" s="29" t="str">
        <f aca="false">IF($A408="","",DATE(YEAR($A408),MONTH($A408),1))</f>
        <v/>
      </c>
      <c r="R408" s="30" t="str">
        <f aca="false">IF($A408="","",$A408+MOD(6-WEEKDAY($A408),7))</f>
        <v/>
      </c>
      <c r="S408" s="31" t="str">
        <f aca="false">IF($B408="","",IF(AND($M408='Invoice Builder'!$C$5,$Q408='Invoice Builder'!$C$6,N($N408)&gt;0),COUNTIFS($M$5:$M408,'Invoice Builder'!$C$5,$Q$5:$Q408,'Invoice Builder'!$C$6,$N$5:$N408,"&gt;0"),""))</f>
        <v/>
      </c>
      <c r="T408" s="27" t="str">
        <f aca="false">IF($A408="","",IF($A408&gt;=DATE(YEAR($A408),4,6),YEAR($A408)&amp;"/"&amp;RIGHT(YEAR($A408)+1,2),YEAR($A408)-1&amp;"/"&amp;RIGHT(YEAR($A408),2)))</f>
        <v/>
      </c>
    </row>
    <row r="409" customFormat="false" ht="15" hidden="false" customHeight="false" outlineLevel="0" collapsed="false">
      <c r="A409" s="22"/>
      <c r="B409" s="23"/>
      <c r="C409" s="23"/>
      <c r="D409" s="23"/>
      <c r="E409" s="24"/>
      <c r="F409" s="24"/>
      <c r="G409" s="23"/>
      <c r="H409" s="23"/>
      <c r="I409" s="25"/>
      <c r="J409" s="23"/>
      <c r="K409" s="23"/>
      <c r="L409" s="26" t="str">
        <f aca="false">IF(OR($E409="",$F409=""),"",MOD($F409-$E409,1)*24)</f>
        <v/>
      </c>
      <c r="M409" s="27" t="str">
        <f aca="false">IF($B409="","",IFERROR(INDEX(Properties!$D$5:$D$104,MATCH($B409,Properties!$A$5:$A$104,0)),"?"))</f>
        <v/>
      </c>
      <c r="N409" s="28" t="str">
        <f aca="false">IF($B409="","",IFERROR(IF($D409="Completed",INDEX(Properties!$I$5:$I$104,MATCH($B409,Properties!$A$5:$A$104,0))*(1+IF($G409="Y",Settings!$B$8,0))+IF($H409="Y",Settings!$B$7,0)+N($I409),IF($D409="Deep clean",INDEX(Settings!$E$22:$E$26,MATCH(MIN(INDEX(Properties!$E$5:$E$104,MATCH($B409,Properties!$A$5:$A$104,0)),4),Settings!$A$22:$A$26,0))+N($I409),IF($D409="Late cancel",INDEX(Properties!$I$5:$I$104,MATCH($B409,Properties!$A$5:$A$104,0))*Settings!$B$10,0))),0))</f>
        <v/>
      </c>
      <c r="O409" s="28" t="str">
        <f aca="false">IF($B409="","",IFERROR(IF($D409="Completed",INDEX(Properties!$L$5:$L$104,MATCH($B409,Properties!$A$5:$A$104,0))+IF($G409="Y",INDEX(Properties!$I$5:$I$104,MATCH($B409,Properties!$A$5:$A$104,0))*Settings!$B$8*Settings!$B$9,0)+IF($H409="Y",Settings!$B$7*Settings!$B$9,0)+N($I409)*Settings!$B$9,IF($D409="Deep clean",INDEX(Settings!$E$22:$E$26,MATCH(MIN(INDEX(Properties!$E$5:$E$104,MATCH($B409,Properties!$A$5:$A$104,0)),4),Settings!$A$22:$A$26,0))*Settings!$B$19+N($I409)*Settings!$B$9,IF($D409="Late cancel",INDEX(Properties!$L$5:$L$104,MATCH($B409,Properties!$A$5:$A$104,0))*Settings!$B$11,0))),0))</f>
        <v/>
      </c>
      <c r="P409" s="28" t="str">
        <f aca="false">IF($B409="","",$N409-$O409)</f>
        <v/>
      </c>
      <c r="Q409" s="29" t="str">
        <f aca="false">IF($A409="","",DATE(YEAR($A409),MONTH($A409),1))</f>
        <v/>
      </c>
      <c r="R409" s="30" t="str">
        <f aca="false">IF($A409="","",$A409+MOD(6-WEEKDAY($A409),7))</f>
        <v/>
      </c>
      <c r="S409" s="31" t="str">
        <f aca="false">IF($B409="","",IF(AND($M409='Invoice Builder'!$C$5,$Q409='Invoice Builder'!$C$6,N($N409)&gt;0),COUNTIFS($M$5:$M409,'Invoice Builder'!$C$5,$Q$5:$Q409,'Invoice Builder'!$C$6,$N$5:$N409,"&gt;0"),""))</f>
        <v/>
      </c>
      <c r="T409" s="27" t="str">
        <f aca="false">IF($A409="","",IF($A409&gt;=DATE(YEAR($A409),4,6),YEAR($A409)&amp;"/"&amp;RIGHT(YEAR($A409)+1,2),YEAR($A409)-1&amp;"/"&amp;RIGHT(YEAR($A409),2)))</f>
        <v/>
      </c>
    </row>
    <row r="410" customFormat="false" ht="15" hidden="false" customHeight="false" outlineLevel="0" collapsed="false">
      <c r="A410" s="22"/>
      <c r="B410" s="23"/>
      <c r="C410" s="23"/>
      <c r="D410" s="23"/>
      <c r="E410" s="24"/>
      <c r="F410" s="24"/>
      <c r="G410" s="23"/>
      <c r="H410" s="23"/>
      <c r="I410" s="25"/>
      <c r="J410" s="23"/>
      <c r="K410" s="23"/>
      <c r="L410" s="26" t="str">
        <f aca="false">IF(OR($E410="",$F410=""),"",MOD($F410-$E410,1)*24)</f>
        <v/>
      </c>
      <c r="M410" s="27" t="str">
        <f aca="false">IF($B410="","",IFERROR(INDEX(Properties!$D$5:$D$104,MATCH($B410,Properties!$A$5:$A$104,0)),"?"))</f>
        <v/>
      </c>
      <c r="N410" s="28" t="str">
        <f aca="false">IF($B410="","",IFERROR(IF($D410="Completed",INDEX(Properties!$I$5:$I$104,MATCH($B410,Properties!$A$5:$A$104,0))*(1+IF($G410="Y",Settings!$B$8,0))+IF($H410="Y",Settings!$B$7,0)+N($I410),IF($D410="Deep clean",INDEX(Settings!$E$22:$E$26,MATCH(MIN(INDEX(Properties!$E$5:$E$104,MATCH($B410,Properties!$A$5:$A$104,0)),4),Settings!$A$22:$A$26,0))+N($I410),IF($D410="Late cancel",INDEX(Properties!$I$5:$I$104,MATCH($B410,Properties!$A$5:$A$104,0))*Settings!$B$10,0))),0))</f>
        <v/>
      </c>
      <c r="O410" s="28" t="str">
        <f aca="false">IF($B410="","",IFERROR(IF($D410="Completed",INDEX(Properties!$L$5:$L$104,MATCH($B410,Properties!$A$5:$A$104,0))+IF($G410="Y",INDEX(Properties!$I$5:$I$104,MATCH($B410,Properties!$A$5:$A$104,0))*Settings!$B$8*Settings!$B$9,0)+IF($H410="Y",Settings!$B$7*Settings!$B$9,0)+N($I410)*Settings!$B$9,IF($D410="Deep clean",INDEX(Settings!$E$22:$E$26,MATCH(MIN(INDEX(Properties!$E$5:$E$104,MATCH($B410,Properties!$A$5:$A$104,0)),4),Settings!$A$22:$A$26,0))*Settings!$B$19+N($I410)*Settings!$B$9,IF($D410="Late cancel",INDEX(Properties!$L$5:$L$104,MATCH($B410,Properties!$A$5:$A$104,0))*Settings!$B$11,0))),0))</f>
        <v/>
      </c>
      <c r="P410" s="28" t="str">
        <f aca="false">IF($B410="","",$N410-$O410)</f>
        <v/>
      </c>
      <c r="Q410" s="29" t="str">
        <f aca="false">IF($A410="","",DATE(YEAR($A410),MONTH($A410),1))</f>
        <v/>
      </c>
      <c r="R410" s="30" t="str">
        <f aca="false">IF($A410="","",$A410+MOD(6-WEEKDAY($A410),7))</f>
        <v/>
      </c>
      <c r="S410" s="31" t="str">
        <f aca="false">IF($B410="","",IF(AND($M410='Invoice Builder'!$C$5,$Q410='Invoice Builder'!$C$6,N($N410)&gt;0),COUNTIFS($M$5:$M410,'Invoice Builder'!$C$5,$Q$5:$Q410,'Invoice Builder'!$C$6,$N$5:$N410,"&gt;0"),""))</f>
        <v/>
      </c>
      <c r="T410" s="27" t="str">
        <f aca="false">IF($A410="","",IF($A410&gt;=DATE(YEAR($A410),4,6),YEAR($A410)&amp;"/"&amp;RIGHT(YEAR($A410)+1,2),YEAR($A410)-1&amp;"/"&amp;RIGHT(YEAR($A410),2)))</f>
        <v/>
      </c>
    </row>
    <row r="411" customFormat="false" ht="15" hidden="false" customHeight="false" outlineLevel="0" collapsed="false">
      <c r="A411" s="22"/>
      <c r="B411" s="23"/>
      <c r="C411" s="23"/>
      <c r="D411" s="23"/>
      <c r="E411" s="24"/>
      <c r="F411" s="24"/>
      <c r="G411" s="23"/>
      <c r="H411" s="23"/>
      <c r="I411" s="25"/>
      <c r="J411" s="23"/>
      <c r="K411" s="23"/>
      <c r="L411" s="26" t="str">
        <f aca="false">IF(OR($E411="",$F411=""),"",MOD($F411-$E411,1)*24)</f>
        <v/>
      </c>
      <c r="M411" s="27" t="str">
        <f aca="false">IF($B411="","",IFERROR(INDEX(Properties!$D$5:$D$104,MATCH($B411,Properties!$A$5:$A$104,0)),"?"))</f>
        <v/>
      </c>
      <c r="N411" s="28" t="str">
        <f aca="false">IF($B411="","",IFERROR(IF($D411="Completed",INDEX(Properties!$I$5:$I$104,MATCH($B411,Properties!$A$5:$A$104,0))*(1+IF($G411="Y",Settings!$B$8,0))+IF($H411="Y",Settings!$B$7,0)+N($I411),IF($D411="Deep clean",INDEX(Settings!$E$22:$E$26,MATCH(MIN(INDEX(Properties!$E$5:$E$104,MATCH($B411,Properties!$A$5:$A$104,0)),4),Settings!$A$22:$A$26,0))+N($I411),IF($D411="Late cancel",INDEX(Properties!$I$5:$I$104,MATCH($B411,Properties!$A$5:$A$104,0))*Settings!$B$10,0))),0))</f>
        <v/>
      </c>
      <c r="O411" s="28" t="str">
        <f aca="false">IF($B411="","",IFERROR(IF($D411="Completed",INDEX(Properties!$L$5:$L$104,MATCH($B411,Properties!$A$5:$A$104,0))+IF($G411="Y",INDEX(Properties!$I$5:$I$104,MATCH($B411,Properties!$A$5:$A$104,0))*Settings!$B$8*Settings!$B$9,0)+IF($H411="Y",Settings!$B$7*Settings!$B$9,0)+N($I411)*Settings!$B$9,IF($D411="Deep clean",INDEX(Settings!$E$22:$E$26,MATCH(MIN(INDEX(Properties!$E$5:$E$104,MATCH($B411,Properties!$A$5:$A$104,0)),4),Settings!$A$22:$A$26,0))*Settings!$B$19+N($I411)*Settings!$B$9,IF($D411="Late cancel",INDEX(Properties!$L$5:$L$104,MATCH($B411,Properties!$A$5:$A$104,0))*Settings!$B$11,0))),0))</f>
        <v/>
      </c>
      <c r="P411" s="28" t="str">
        <f aca="false">IF($B411="","",$N411-$O411)</f>
        <v/>
      </c>
      <c r="Q411" s="29" t="str">
        <f aca="false">IF($A411="","",DATE(YEAR($A411),MONTH($A411),1))</f>
        <v/>
      </c>
      <c r="R411" s="30" t="str">
        <f aca="false">IF($A411="","",$A411+MOD(6-WEEKDAY($A411),7))</f>
        <v/>
      </c>
      <c r="S411" s="31" t="str">
        <f aca="false">IF($B411="","",IF(AND($M411='Invoice Builder'!$C$5,$Q411='Invoice Builder'!$C$6,N($N411)&gt;0),COUNTIFS($M$5:$M411,'Invoice Builder'!$C$5,$Q$5:$Q411,'Invoice Builder'!$C$6,$N$5:$N411,"&gt;0"),""))</f>
        <v/>
      </c>
      <c r="T411" s="27" t="str">
        <f aca="false">IF($A411="","",IF($A411&gt;=DATE(YEAR($A411),4,6),YEAR($A411)&amp;"/"&amp;RIGHT(YEAR($A411)+1,2),YEAR($A411)-1&amp;"/"&amp;RIGHT(YEAR($A411),2)))</f>
        <v/>
      </c>
    </row>
    <row r="412" customFormat="false" ht="15" hidden="false" customHeight="false" outlineLevel="0" collapsed="false">
      <c r="A412" s="22"/>
      <c r="B412" s="23"/>
      <c r="C412" s="23"/>
      <c r="D412" s="23"/>
      <c r="E412" s="24"/>
      <c r="F412" s="24"/>
      <c r="G412" s="23"/>
      <c r="H412" s="23"/>
      <c r="I412" s="25"/>
      <c r="J412" s="23"/>
      <c r="K412" s="23"/>
      <c r="L412" s="26" t="str">
        <f aca="false">IF(OR($E412="",$F412=""),"",MOD($F412-$E412,1)*24)</f>
        <v/>
      </c>
      <c r="M412" s="27" t="str">
        <f aca="false">IF($B412="","",IFERROR(INDEX(Properties!$D$5:$D$104,MATCH($B412,Properties!$A$5:$A$104,0)),"?"))</f>
        <v/>
      </c>
      <c r="N412" s="28" t="str">
        <f aca="false">IF($B412="","",IFERROR(IF($D412="Completed",INDEX(Properties!$I$5:$I$104,MATCH($B412,Properties!$A$5:$A$104,0))*(1+IF($G412="Y",Settings!$B$8,0))+IF($H412="Y",Settings!$B$7,0)+N($I412),IF($D412="Deep clean",INDEX(Settings!$E$22:$E$26,MATCH(MIN(INDEX(Properties!$E$5:$E$104,MATCH($B412,Properties!$A$5:$A$104,0)),4),Settings!$A$22:$A$26,0))+N($I412),IF($D412="Late cancel",INDEX(Properties!$I$5:$I$104,MATCH($B412,Properties!$A$5:$A$104,0))*Settings!$B$10,0))),0))</f>
        <v/>
      </c>
      <c r="O412" s="28" t="str">
        <f aca="false">IF($B412="","",IFERROR(IF($D412="Completed",INDEX(Properties!$L$5:$L$104,MATCH($B412,Properties!$A$5:$A$104,0))+IF($G412="Y",INDEX(Properties!$I$5:$I$104,MATCH($B412,Properties!$A$5:$A$104,0))*Settings!$B$8*Settings!$B$9,0)+IF($H412="Y",Settings!$B$7*Settings!$B$9,0)+N($I412)*Settings!$B$9,IF($D412="Deep clean",INDEX(Settings!$E$22:$E$26,MATCH(MIN(INDEX(Properties!$E$5:$E$104,MATCH($B412,Properties!$A$5:$A$104,0)),4),Settings!$A$22:$A$26,0))*Settings!$B$19+N($I412)*Settings!$B$9,IF($D412="Late cancel",INDEX(Properties!$L$5:$L$104,MATCH($B412,Properties!$A$5:$A$104,0))*Settings!$B$11,0))),0))</f>
        <v/>
      </c>
      <c r="P412" s="28" t="str">
        <f aca="false">IF($B412="","",$N412-$O412)</f>
        <v/>
      </c>
      <c r="Q412" s="29" t="str">
        <f aca="false">IF($A412="","",DATE(YEAR($A412),MONTH($A412),1))</f>
        <v/>
      </c>
      <c r="R412" s="30" t="str">
        <f aca="false">IF($A412="","",$A412+MOD(6-WEEKDAY($A412),7))</f>
        <v/>
      </c>
      <c r="S412" s="31" t="str">
        <f aca="false">IF($B412="","",IF(AND($M412='Invoice Builder'!$C$5,$Q412='Invoice Builder'!$C$6,N($N412)&gt;0),COUNTIFS($M$5:$M412,'Invoice Builder'!$C$5,$Q$5:$Q412,'Invoice Builder'!$C$6,$N$5:$N412,"&gt;0"),""))</f>
        <v/>
      </c>
      <c r="T412" s="27" t="str">
        <f aca="false">IF($A412="","",IF($A412&gt;=DATE(YEAR($A412),4,6),YEAR($A412)&amp;"/"&amp;RIGHT(YEAR($A412)+1,2),YEAR($A412)-1&amp;"/"&amp;RIGHT(YEAR($A412),2)))</f>
        <v/>
      </c>
    </row>
    <row r="413" customFormat="false" ht="15" hidden="false" customHeight="false" outlineLevel="0" collapsed="false">
      <c r="A413" s="22"/>
      <c r="B413" s="23"/>
      <c r="C413" s="23"/>
      <c r="D413" s="23"/>
      <c r="E413" s="24"/>
      <c r="F413" s="24"/>
      <c r="G413" s="23"/>
      <c r="H413" s="23"/>
      <c r="I413" s="25"/>
      <c r="J413" s="23"/>
      <c r="K413" s="23"/>
      <c r="L413" s="26" t="str">
        <f aca="false">IF(OR($E413="",$F413=""),"",MOD($F413-$E413,1)*24)</f>
        <v/>
      </c>
      <c r="M413" s="27" t="str">
        <f aca="false">IF($B413="","",IFERROR(INDEX(Properties!$D$5:$D$104,MATCH($B413,Properties!$A$5:$A$104,0)),"?"))</f>
        <v/>
      </c>
      <c r="N413" s="28" t="str">
        <f aca="false">IF($B413="","",IFERROR(IF($D413="Completed",INDEX(Properties!$I$5:$I$104,MATCH($B413,Properties!$A$5:$A$104,0))*(1+IF($G413="Y",Settings!$B$8,0))+IF($H413="Y",Settings!$B$7,0)+N($I413),IF($D413="Deep clean",INDEX(Settings!$E$22:$E$26,MATCH(MIN(INDEX(Properties!$E$5:$E$104,MATCH($B413,Properties!$A$5:$A$104,0)),4),Settings!$A$22:$A$26,0))+N($I413),IF($D413="Late cancel",INDEX(Properties!$I$5:$I$104,MATCH($B413,Properties!$A$5:$A$104,0))*Settings!$B$10,0))),0))</f>
        <v/>
      </c>
      <c r="O413" s="28" t="str">
        <f aca="false">IF($B413="","",IFERROR(IF($D413="Completed",INDEX(Properties!$L$5:$L$104,MATCH($B413,Properties!$A$5:$A$104,0))+IF($G413="Y",INDEX(Properties!$I$5:$I$104,MATCH($B413,Properties!$A$5:$A$104,0))*Settings!$B$8*Settings!$B$9,0)+IF($H413="Y",Settings!$B$7*Settings!$B$9,0)+N($I413)*Settings!$B$9,IF($D413="Deep clean",INDEX(Settings!$E$22:$E$26,MATCH(MIN(INDEX(Properties!$E$5:$E$104,MATCH($B413,Properties!$A$5:$A$104,0)),4),Settings!$A$22:$A$26,0))*Settings!$B$19+N($I413)*Settings!$B$9,IF($D413="Late cancel",INDEX(Properties!$L$5:$L$104,MATCH($B413,Properties!$A$5:$A$104,0))*Settings!$B$11,0))),0))</f>
        <v/>
      </c>
      <c r="P413" s="28" t="str">
        <f aca="false">IF($B413="","",$N413-$O413)</f>
        <v/>
      </c>
      <c r="Q413" s="29" t="str">
        <f aca="false">IF($A413="","",DATE(YEAR($A413),MONTH($A413),1))</f>
        <v/>
      </c>
      <c r="R413" s="30" t="str">
        <f aca="false">IF($A413="","",$A413+MOD(6-WEEKDAY($A413),7))</f>
        <v/>
      </c>
      <c r="S413" s="31" t="str">
        <f aca="false">IF($B413="","",IF(AND($M413='Invoice Builder'!$C$5,$Q413='Invoice Builder'!$C$6,N($N413)&gt;0),COUNTIFS($M$5:$M413,'Invoice Builder'!$C$5,$Q$5:$Q413,'Invoice Builder'!$C$6,$N$5:$N413,"&gt;0"),""))</f>
        <v/>
      </c>
      <c r="T413" s="27" t="str">
        <f aca="false">IF($A413="","",IF($A413&gt;=DATE(YEAR($A413),4,6),YEAR($A413)&amp;"/"&amp;RIGHT(YEAR($A413)+1,2),YEAR($A413)-1&amp;"/"&amp;RIGHT(YEAR($A413),2)))</f>
        <v/>
      </c>
    </row>
    <row r="414" customFormat="false" ht="15" hidden="false" customHeight="false" outlineLevel="0" collapsed="false">
      <c r="A414" s="22"/>
      <c r="B414" s="23"/>
      <c r="C414" s="23"/>
      <c r="D414" s="23"/>
      <c r="E414" s="24"/>
      <c r="F414" s="24"/>
      <c r="G414" s="23"/>
      <c r="H414" s="23"/>
      <c r="I414" s="25"/>
      <c r="J414" s="23"/>
      <c r="K414" s="23"/>
      <c r="L414" s="26" t="str">
        <f aca="false">IF(OR($E414="",$F414=""),"",MOD($F414-$E414,1)*24)</f>
        <v/>
      </c>
      <c r="M414" s="27" t="str">
        <f aca="false">IF($B414="","",IFERROR(INDEX(Properties!$D$5:$D$104,MATCH($B414,Properties!$A$5:$A$104,0)),"?"))</f>
        <v/>
      </c>
      <c r="N414" s="28" t="str">
        <f aca="false">IF($B414="","",IFERROR(IF($D414="Completed",INDEX(Properties!$I$5:$I$104,MATCH($B414,Properties!$A$5:$A$104,0))*(1+IF($G414="Y",Settings!$B$8,0))+IF($H414="Y",Settings!$B$7,0)+N($I414),IF($D414="Deep clean",INDEX(Settings!$E$22:$E$26,MATCH(MIN(INDEX(Properties!$E$5:$E$104,MATCH($B414,Properties!$A$5:$A$104,0)),4),Settings!$A$22:$A$26,0))+N($I414),IF($D414="Late cancel",INDEX(Properties!$I$5:$I$104,MATCH($B414,Properties!$A$5:$A$104,0))*Settings!$B$10,0))),0))</f>
        <v/>
      </c>
      <c r="O414" s="28" t="str">
        <f aca="false">IF($B414="","",IFERROR(IF($D414="Completed",INDEX(Properties!$L$5:$L$104,MATCH($B414,Properties!$A$5:$A$104,0))+IF($G414="Y",INDEX(Properties!$I$5:$I$104,MATCH($B414,Properties!$A$5:$A$104,0))*Settings!$B$8*Settings!$B$9,0)+IF($H414="Y",Settings!$B$7*Settings!$B$9,0)+N($I414)*Settings!$B$9,IF($D414="Deep clean",INDEX(Settings!$E$22:$E$26,MATCH(MIN(INDEX(Properties!$E$5:$E$104,MATCH($B414,Properties!$A$5:$A$104,0)),4),Settings!$A$22:$A$26,0))*Settings!$B$19+N($I414)*Settings!$B$9,IF($D414="Late cancel",INDEX(Properties!$L$5:$L$104,MATCH($B414,Properties!$A$5:$A$104,0))*Settings!$B$11,0))),0))</f>
        <v/>
      </c>
      <c r="P414" s="28" t="str">
        <f aca="false">IF($B414="","",$N414-$O414)</f>
        <v/>
      </c>
      <c r="Q414" s="29" t="str">
        <f aca="false">IF($A414="","",DATE(YEAR($A414),MONTH($A414),1))</f>
        <v/>
      </c>
      <c r="R414" s="30" t="str">
        <f aca="false">IF($A414="","",$A414+MOD(6-WEEKDAY($A414),7))</f>
        <v/>
      </c>
      <c r="S414" s="31" t="str">
        <f aca="false">IF($B414="","",IF(AND($M414='Invoice Builder'!$C$5,$Q414='Invoice Builder'!$C$6,N($N414)&gt;0),COUNTIFS($M$5:$M414,'Invoice Builder'!$C$5,$Q$5:$Q414,'Invoice Builder'!$C$6,$N$5:$N414,"&gt;0"),""))</f>
        <v/>
      </c>
      <c r="T414" s="27" t="str">
        <f aca="false">IF($A414="","",IF($A414&gt;=DATE(YEAR($A414),4,6),YEAR($A414)&amp;"/"&amp;RIGHT(YEAR($A414)+1,2),YEAR($A414)-1&amp;"/"&amp;RIGHT(YEAR($A414),2)))</f>
        <v/>
      </c>
    </row>
    <row r="415" customFormat="false" ht="15" hidden="false" customHeight="false" outlineLevel="0" collapsed="false">
      <c r="A415" s="22"/>
      <c r="B415" s="23"/>
      <c r="C415" s="23"/>
      <c r="D415" s="23"/>
      <c r="E415" s="24"/>
      <c r="F415" s="24"/>
      <c r="G415" s="23"/>
      <c r="H415" s="23"/>
      <c r="I415" s="25"/>
      <c r="J415" s="23"/>
      <c r="K415" s="23"/>
      <c r="L415" s="26" t="str">
        <f aca="false">IF(OR($E415="",$F415=""),"",MOD($F415-$E415,1)*24)</f>
        <v/>
      </c>
      <c r="M415" s="27" t="str">
        <f aca="false">IF($B415="","",IFERROR(INDEX(Properties!$D$5:$D$104,MATCH($B415,Properties!$A$5:$A$104,0)),"?"))</f>
        <v/>
      </c>
      <c r="N415" s="28" t="str">
        <f aca="false">IF($B415="","",IFERROR(IF($D415="Completed",INDEX(Properties!$I$5:$I$104,MATCH($B415,Properties!$A$5:$A$104,0))*(1+IF($G415="Y",Settings!$B$8,0))+IF($H415="Y",Settings!$B$7,0)+N($I415),IF($D415="Deep clean",INDEX(Settings!$E$22:$E$26,MATCH(MIN(INDEX(Properties!$E$5:$E$104,MATCH($B415,Properties!$A$5:$A$104,0)),4),Settings!$A$22:$A$26,0))+N($I415),IF($D415="Late cancel",INDEX(Properties!$I$5:$I$104,MATCH($B415,Properties!$A$5:$A$104,0))*Settings!$B$10,0))),0))</f>
        <v/>
      </c>
      <c r="O415" s="28" t="str">
        <f aca="false">IF($B415="","",IFERROR(IF($D415="Completed",INDEX(Properties!$L$5:$L$104,MATCH($B415,Properties!$A$5:$A$104,0))+IF($G415="Y",INDEX(Properties!$I$5:$I$104,MATCH($B415,Properties!$A$5:$A$104,0))*Settings!$B$8*Settings!$B$9,0)+IF($H415="Y",Settings!$B$7*Settings!$B$9,0)+N($I415)*Settings!$B$9,IF($D415="Deep clean",INDEX(Settings!$E$22:$E$26,MATCH(MIN(INDEX(Properties!$E$5:$E$104,MATCH($B415,Properties!$A$5:$A$104,0)),4),Settings!$A$22:$A$26,0))*Settings!$B$19+N($I415)*Settings!$B$9,IF($D415="Late cancel",INDEX(Properties!$L$5:$L$104,MATCH($B415,Properties!$A$5:$A$104,0))*Settings!$B$11,0))),0))</f>
        <v/>
      </c>
      <c r="P415" s="28" t="str">
        <f aca="false">IF($B415="","",$N415-$O415)</f>
        <v/>
      </c>
      <c r="Q415" s="29" t="str">
        <f aca="false">IF($A415="","",DATE(YEAR($A415),MONTH($A415),1))</f>
        <v/>
      </c>
      <c r="R415" s="30" t="str">
        <f aca="false">IF($A415="","",$A415+MOD(6-WEEKDAY($A415),7))</f>
        <v/>
      </c>
      <c r="S415" s="31" t="str">
        <f aca="false">IF($B415="","",IF(AND($M415='Invoice Builder'!$C$5,$Q415='Invoice Builder'!$C$6,N($N415)&gt;0),COUNTIFS($M$5:$M415,'Invoice Builder'!$C$5,$Q$5:$Q415,'Invoice Builder'!$C$6,$N$5:$N415,"&gt;0"),""))</f>
        <v/>
      </c>
      <c r="T415" s="27" t="str">
        <f aca="false">IF($A415="","",IF($A415&gt;=DATE(YEAR($A415),4,6),YEAR($A415)&amp;"/"&amp;RIGHT(YEAR($A415)+1,2),YEAR($A415)-1&amp;"/"&amp;RIGHT(YEAR($A415),2)))</f>
        <v/>
      </c>
    </row>
    <row r="416" customFormat="false" ht="15" hidden="false" customHeight="false" outlineLevel="0" collapsed="false">
      <c r="A416" s="22"/>
      <c r="B416" s="23"/>
      <c r="C416" s="23"/>
      <c r="D416" s="23"/>
      <c r="E416" s="24"/>
      <c r="F416" s="24"/>
      <c r="G416" s="23"/>
      <c r="H416" s="23"/>
      <c r="I416" s="25"/>
      <c r="J416" s="23"/>
      <c r="K416" s="23"/>
      <c r="L416" s="26" t="str">
        <f aca="false">IF(OR($E416="",$F416=""),"",MOD($F416-$E416,1)*24)</f>
        <v/>
      </c>
      <c r="M416" s="27" t="str">
        <f aca="false">IF($B416="","",IFERROR(INDEX(Properties!$D$5:$D$104,MATCH($B416,Properties!$A$5:$A$104,0)),"?"))</f>
        <v/>
      </c>
      <c r="N416" s="28" t="str">
        <f aca="false">IF($B416="","",IFERROR(IF($D416="Completed",INDEX(Properties!$I$5:$I$104,MATCH($B416,Properties!$A$5:$A$104,0))*(1+IF($G416="Y",Settings!$B$8,0))+IF($H416="Y",Settings!$B$7,0)+N($I416),IF($D416="Deep clean",INDEX(Settings!$E$22:$E$26,MATCH(MIN(INDEX(Properties!$E$5:$E$104,MATCH($B416,Properties!$A$5:$A$104,0)),4),Settings!$A$22:$A$26,0))+N($I416),IF($D416="Late cancel",INDEX(Properties!$I$5:$I$104,MATCH($B416,Properties!$A$5:$A$104,0))*Settings!$B$10,0))),0))</f>
        <v/>
      </c>
      <c r="O416" s="28" t="str">
        <f aca="false">IF($B416="","",IFERROR(IF($D416="Completed",INDEX(Properties!$L$5:$L$104,MATCH($B416,Properties!$A$5:$A$104,0))+IF($G416="Y",INDEX(Properties!$I$5:$I$104,MATCH($B416,Properties!$A$5:$A$104,0))*Settings!$B$8*Settings!$B$9,0)+IF($H416="Y",Settings!$B$7*Settings!$B$9,0)+N($I416)*Settings!$B$9,IF($D416="Deep clean",INDEX(Settings!$E$22:$E$26,MATCH(MIN(INDEX(Properties!$E$5:$E$104,MATCH($B416,Properties!$A$5:$A$104,0)),4),Settings!$A$22:$A$26,0))*Settings!$B$19+N($I416)*Settings!$B$9,IF($D416="Late cancel",INDEX(Properties!$L$5:$L$104,MATCH($B416,Properties!$A$5:$A$104,0))*Settings!$B$11,0))),0))</f>
        <v/>
      </c>
      <c r="P416" s="28" t="str">
        <f aca="false">IF($B416="","",$N416-$O416)</f>
        <v/>
      </c>
      <c r="Q416" s="29" t="str">
        <f aca="false">IF($A416="","",DATE(YEAR($A416),MONTH($A416),1))</f>
        <v/>
      </c>
      <c r="R416" s="30" t="str">
        <f aca="false">IF($A416="","",$A416+MOD(6-WEEKDAY($A416),7))</f>
        <v/>
      </c>
      <c r="S416" s="31" t="str">
        <f aca="false">IF($B416="","",IF(AND($M416='Invoice Builder'!$C$5,$Q416='Invoice Builder'!$C$6,N($N416)&gt;0),COUNTIFS($M$5:$M416,'Invoice Builder'!$C$5,$Q$5:$Q416,'Invoice Builder'!$C$6,$N$5:$N416,"&gt;0"),""))</f>
        <v/>
      </c>
      <c r="T416" s="27" t="str">
        <f aca="false">IF($A416="","",IF($A416&gt;=DATE(YEAR($A416),4,6),YEAR($A416)&amp;"/"&amp;RIGHT(YEAR($A416)+1,2),YEAR($A416)-1&amp;"/"&amp;RIGHT(YEAR($A416),2)))</f>
        <v/>
      </c>
    </row>
    <row r="417" customFormat="false" ht="15" hidden="false" customHeight="false" outlineLevel="0" collapsed="false">
      <c r="A417" s="22"/>
      <c r="B417" s="23"/>
      <c r="C417" s="23"/>
      <c r="D417" s="23"/>
      <c r="E417" s="24"/>
      <c r="F417" s="24"/>
      <c r="G417" s="23"/>
      <c r="H417" s="23"/>
      <c r="I417" s="25"/>
      <c r="J417" s="23"/>
      <c r="K417" s="23"/>
      <c r="L417" s="26" t="str">
        <f aca="false">IF(OR($E417="",$F417=""),"",MOD($F417-$E417,1)*24)</f>
        <v/>
      </c>
      <c r="M417" s="27" t="str">
        <f aca="false">IF($B417="","",IFERROR(INDEX(Properties!$D$5:$D$104,MATCH($B417,Properties!$A$5:$A$104,0)),"?"))</f>
        <v/>
      </c>
      <c r="N417" s="28" t="str">
        <f aca="false">IF($B417="","",IFERROR(IF($D417="Completed",INDEX(Properties!$I$5:$I$104,MATCH($B417,Properties!$A$5:$A$104,0))*(1+IF($G417="Y",Settings!$B$8,0))+IF($H417="Y",Settings!$B$7,0)+N($I417),IF($D417="Deep clean",INDEX(Settings!$E$22:$E$26,MATCH(MIN(INDEX(Properties!$E$5:$E$104,MATCH($B417,Properties!$A$5:$A$104,0)),4),Settings!$A$22:$A$26,0))+N($I417),IF($D417="Late cancel",INDEX(Properties!$I$5:$I$104,MATCH($B417,Properties!$A$5:$A$104,0))*Settings!$B$10,0))),0))</f>
        <v/>
      </c>
      <c r="O417" s="28" t="str">
        <f aca="false">IF($B417="","",IFERROR(IF($D417="Completed",INDEX(Properties!$L$5:$L$104,MATCH($B417,Properties!$A$5:$A$104,0))+IF($G417="Y",INDEX(Properties!$I$5:$I$104,MATCH($B417,Properties!$A$5:$A$104,0))*Settings!$B$8*Settings!$B$9,0)+IF($H417="Y",Settings!$B$7*Settings!$B$9,0)+N($I417)*Settings!$B$9,IF($D417="Deep clean",INDEX(Settings!$E$22:$E$26,MATCH(MIN(INDEX(Properties!$E$5:$E$104,MATCH($B417,Properties!$A$5:$A$104,0)),4),Settings!$A$22:$A$26,0))*Settings!$B$19+N($I417)*Settings!$B$9,IF($D417="Late cancel",INDEX(Properties!$L$5:$L$104,MATCH($B417,Properties!$A$5:$A$104,0))*Settings!$B$11,0))),0))</f>
        <v/>
      </c>
      <c r="P417" s="28" t="str">
        <f aca="false">IF($B417="","",$N417-$O417)</f>
        <v/>
      </c>
      <c r="Q417" s="29" t="str">
        <f aca="false">IF($A417="","",DATE(YEAR($A417),MONTH($A417),1))</f>
        <v/>
      </c>
      <c r="R417" s="30" t="str">
        <f aca="false">IF($A417="","",$A417+MOD(6-WEEKDAY($A417),7))</f>
        <v/>
      </c>
      <c r="S417" s="31" t="str">
        <f aca="false">IF($B417="","",IF(AND($M417='Invoice Builder'!$C$5,$Q417='Invoice Builder'!$C$6,N($N417)&gt;0),COUNTIFS($M$5:$M417,'Invoice Builder'!$C$5,$Q$5:$Q417,'Invoice Builder'!$C$6,$N$5:$N417,"&gt;0"),""))</f>
        <v/>
      </c>
      <c r="T417" s="27" t="str">
        <f aca="false">IF($A417="","",IF($A417&gt;=DATE(YEAR($A417),4,6),YEAR($A417)&amp;"/"&amp;RIGHT(YEAR($A417)+1,2),YEAR($A417)-1&amp;"/"&amp;RIGHT(YEAR($A417),2)))</f>
        <v/>
      </c>
    </row>
    <row r="418" customFormat="false" ht="15" hidden="false" customHeight="false" outlineLevel="0" collapsed="false">
      <c r="A418" s="22"/>
      <c r="B418" s="23"/>
      <c r="C418" s="23"/>
      <c r="D418" s="23"/>
      <c r="E418" s="24"/>
      <c r="F418" s="24"/>
      <c r="G418" s="23"/>
      <c r="H418" s="23"/>
      <c r="I418" s="25"/>
      <c r="J418" s="23"/>
      <c r="K418" s="23"/>
      <c r="L418" s="26" t="str">
        <f aca="false">IF(OR($E418="",$F418=""),"",MOD($F418-$E418,1)*24)</f>
        <v/>
      </c>
      <c r="M418" s="27" t="str">
        <f aca="false">IF($B418="","",IFERROR(INDEX(Properties!$D$5:$D$104,MATCH($B418,Properties!$A$5:$A$104,0)),"?"))</f>
        <v/>
      </c>
      <c r="N418" s="28" t="str">
        <f aca="false">IF($B418="","",IFERROR(IF($D418="Completed",INDEX(Properties!$I$5:$I$104,MATCH($B418,Properties!$A$5:$A$104,0))*(1+IF($G418="Y",Settings!$B$8,0))+IF($H418="Y",Settings!$B$7,0)+N($I418),IF($D418="Deep clean",INDEX(Settings!$E$22:$E$26,MATCH(MIN(INDEX(Properties!$E$5:$E$104,MATCH($B418,Properties!$A$5:$A$104,0)),4),Settings!$A$22:$A$26,0))+N($I418),IF($D418="Late cancel",INDEX(Properties!$I$5:$I$104,MATCH($B418,Properties!$A$5:$A$104,0))*Settings!$B$10,0))),0))</f>
        <v/>
      </c>
      <c r="O418" s="28" t="str">
        <f aca="false">IF($B418="","",IFERROR(IF($D418="Completed",INDEX(Properties!$L$5:$L$104,MATCH($B418,Properties!$A$5:$A$104,0))+IF($G418="Y",INDEX(Properties!$I$5:$I$104,MATCH($B418,Properties!$A$5:$A$104,0))*Settings!$B$8*Settings!$B$9,0)+IF($H418="Y",Settings!$B$7*Settings!$B$9,0)+N($I418)*Settings!$B$9,IF($D418="Deep clean",INDEX(Settings!$E$22:$E$26,MATCH(MIN(INDEX(Properties!$E$5:$E$104,MATCH($B418,Properties!$A$5:$A$104,0)),4),Settings!$A$22:$A$26,0))*Settings!$B$19+N($I418)*Settings!$B$9,IF($D418="Late cancel",INDEX(Properties!$L$5:$L$104,MATCH($B418,Properties!$A$5:$A$104,0))*Settings!$B$11,0))),0))</f>
        <v/>
      </c>
      <c r="P418" s="28" t="str">
        <f aca="false">IF($B418="","",$N418-$O418)</f>
        <v/>
      </c>
      <c r="Q418" s="29" t="str">
        <f aca="false">IF($A418="","",DATE(YEAR($A418),MONTH($A418),1))</f>
        <v/>
      </c>
      <c r="R418" s="30" t="str">
        <f aca="false">IF($A418="","",$A418+MOD(6-WEEKDAY($A418),7))</f>
        <v/>
      </c>
      <c r="S418" s="31" t="str">
        <f aca="false">IF($B418="","",IF(AND($M418='Invoice Builder'!$C$5,$Q418='Invoice Builder'!$C$6,N($N418)&gt;0),COUNTIFS($M$5:$M418,'Invoice Builder'!$C$5,$Q$5:$Q418,'Invoice Builder'!$C$6,$N$5:$N418,"&gt;0"),""))</f>
        <v/>
      </c>
      <c r="T418" s="27" t="str">
        <f aca="false">IF($A418="","",IF($A418&gt;=DATE(YEAR($A418),4,6),YEAR($A418)&amp;"/"&amp;RIGHT(YEAR($A418)+1,2),YEAR($A418)-1&amp;"/"&amp;RIGHT(YEAR($A418),2)))</f>
        <v/>
      </c>
    </row>
    <row r="419" customFormat="false" ht="15" hidden="false" customHeight="false" outlineLevel="0" collapsed="false">
      <c r="A419" s="22"/>
      <c r="B419" s="23"/>
      <c r="C419" s="23"/>
      <c r="D419" s="23"/>
      <c r="E419" s="24"/>
      <c r="F419" s="24"/>
      <c r="G419" s="23"/>
      <c r="H419" s="23"/>
      <c r="I419" s="25"/>
      <c r="J419" s="23"/>
      <c r="K419" s="23"/>
      <c r="L419" s="26" t="str">
        <f aca="false">IF(OR($E419="",$F419=""),"",MOD($F419-$E419,1)*24)</f>
        <v/>
      </c>
      <c r="M419" s="27" t="str">
        <f aca="false">IF($B419="","",IFERROR(INDEX(Properties!$D$5:$D$104,MATCH($B419,Properties!$A$5:$A$104,0)),"?"))</f>
        <v/>
      </c>
      <c r="N419" s="28" t="str">
        <f aca="false">IF($B419="","",IFERROR(IF($D419="Completed",INDEX(Properties!$I$5:$I$104,MATCH($B419,Properties!$A$5:$A$104,0))*(1+IF($G419="Y",Settings!$B$8,0))+IF($H419="Y",Settings!$B$7,0)+N($I419),IF($D419="Deep clean",INDEX(Settings!$E$22:$E$26,MATCH(MIN(INDEX(Properties!$E$5:$E$104,MATCH($B419,Properties!$A$5:$A$104,0)),4),Settings!$A$22:$A$26,0))+N($I419),IF($D419="Late cancel",INDEX(Properties!$I$5:$I$104,MATCH($B419,Properties!$A$5:$A$104,0))*Settings!$B$10,0))),0))</f>
        <v/>
      </c>
      <c r="O419" s="28" t="str">
        <f aca="false">IF($B419="","",IFERROR(IF($D419="Completed",INDEX(Properties!$L$5:$L$104,MATCH($B419,Properties!$A$5:$A$104,0))+IF($G419="Y",INDEX(Properties!$I$5:$I$104,MATCH($B419,Properties!$A$5:$A$104,0))*Settings!$B$8*Settings!$B$9,0)+IF($H419="Y",Settings!$B$7*Settings!$B$9,0)+N($I419)*Settings!$B$9,IF($D419="Deep clean",INDEX(Settings!$E$22:$E$26,MATCH(MIN(INDEX(Properties!$E$5:$E$104,MATCH($B419,Properties!$A$5:$A$104,0)),4),Settings!$A$22:$A$26,0))*Settings!$B$19+N($I419)*Settings!$B$9,IF($D419="Late cancel",INDEX(Properties!$L$5:$L$104,MATCH($B419,Properties!$A$5:$A$104,0))*Settings!$B$11,0))),0))</f>
        <v/>
      </c>
      <c r="P419" s="28" t="str">
        <f aca="false">IF($B419="","",$N419-$O419)</f>
        <v/>
      </c>
      <c r="Q419" s="29" t="str">
        <f aca="false">IF($A419="","",DATE(YEAR($A419),MONTH($A419),1))</f>
        <v/>
      </c>
      <c r="R419" s="30" t="str">
        <f aca="false">IF($A419="","",$A419+MOD(6-WEEKDAY($A419),7))</f>
        <v/>
      </c>
      <c r="S419" s="31" t="str">
        <f aca="false">IF($B419="","",IF(AND($M419='Invoice Builder'!$C$5,$Q419='Invoice Builder'!$C$6,N($N419)&gt;0),COUNTIFS($M$5:$M419,'Invoice Builder'!$C$5,$Q$5:$Q419,'Invoice Builder'!$C$6,$N$5:$N419,"&gt;0"),""))</f>
        <v/>
      </c>
      <c r="T419" s="27" t="str">
        <f aca="false">IF($A419="","",IF($A419&gt;=DATE(YEAR($A419),4,6),YEAR($A419)&amp;"/"&amp;RIGHT(YEAR($A419)+1,2),YEAR($A419)-1&amp;"/"&amp;RIGHT(YEAR($A419),2)))</f>
        <v/>
      </c>
    </row>
    <row r="420" customFormat="false" ht="15" hidden="false" customHeight="false" outlineLevel="0" collapsed="false">
      <c r="A420" s="22"/>
      <c r="B420" s="23"/>
      <c r="C420" s="23"/>
      <c r="D420" s="23"/>
      <c r="E420" s="24"/>
      <c r="F420" s="24"/>
      <c r="G420" s="23"/>
      <c r="H420" s="23"/>
      <c r="I420" s="25"/>
      <c r="J420" s="23"/>
      <c r="K420" s="23"/>
      <c r="L420" s="26" t="str">
        <f aca="false">IF(OR($E420="",$F420=""),"",MOD($F420-$E420,1)*24)</f>
        <v/>
      </c>
      <c r="M420" s="27" t="str">
        <f aca="false">IF($B420="","",IFERROR(INDEX(Properties!$D$5:$D$104,MATCH($B420,Properties!$A$5:$A$104,0)),"?"))</f>
        <v/>
      </c>
      <c r="N420" s="28" t="str">
        <f aca="false">IF($B420="","",IFERROR(IF($D420="Completed",INDEX(Properties!$I$5:$I$104,MATCH($B420,Properties!$A$5:$A$104,0))*(1+IF($G420="Y",Settings!$B$8,0))+IF($H420="Y",Settings!$B$7,0)+N($I420),IF($D420="Deep clean",INDEX(Settings!$E$22:$E$26,MATCH(MIN(INDEX(Properties!$E$5:$E$104,MATCH($B420,Properties!$A$5:$A$104,0)),4),Settings!$A$22:$A$26,0))+N($I420),IF($D420="Late cancel",INDEX(Properties!$I$5:$I$104,MATCH($B420,Properties!$A$5:$A$104,0))*Settings!$B$10,0))),0))</f>
        <v/>
      </c>
      <c r="O420" s="28" t="str">
        <f aca="false">IF($B420="","",IFERROR(IF($D420="Completed",INDEX(Properties!$L$5:$L$104,MATCH($B420,Properties!$A$5:$A$104,0))+IF($G420="Y",INDEX(Properties!$I$5:$I$104,MATCH($B420,Properties!$A$5:$A$104,0))*Settings!$B$8*Settings!$B$9,0)+IF($H420="Y",Settings!$B$7*Settings!$B$9,0)+N($I420)*Settings!$B$9,IF($D420="Deep clean",INDEX(Settings!$E$22:$E$26,MATCH(MIN(INDEX(Properties!$E$5:$E$104,MATCH($B420,Properties!$A$5:$A$104,0)),4),Settings!$A$22:$A$26,0))*Settings!$B$19+N($I420)*Settings!$B$9,IF($D420="Late cancel",INDEX(Properties!$L$5:$L$104,MATCH($B420,Properties!$A$5:$A$104,0))*Settings!$B$11,0))),0))</f>
        <v/>
      </c>
      <c r="P420" s="28" t="str">
        <f aca="false">IF($B420="","",$N420-$O420)</f>
        <v/>
      </c>
      <c r="Q420" s="29" t="str">
        <f aca="false">IF($A420="","",DATE(YEAR($A420),MONTH($A420),1))</f>
        <v/>
      </c>
      <c r="R420" s="30" t="str">
        <f aca="false">IF($A420="","",$A420+MOD(6-WEEKDAY($A420),7))</f>
        <v/>
      </c>
      <c r="S420" s="31" t="str">
        <f aca="false">IF($B420="","",IF(AND($M420='Invoice Builder'!$C$5,$Q420='Invoice Builder'!$C$6,N($N420)&gt;0),COUNTIFS($M$5:$M420,'Invoice Builder'!$C$5,$Q$5:$Q420,'Invoice Builder'!$C$6,$N$5:$N420,"&gt;0"),""))</f>
        <v/>
      </c>
      <c r="T420" s="27" t="str">
        <f aca="false">IF($A420="","",IF($A420&gt;=DATE(YEAR($A420),4,6),YEAR($A420)&amp;"/"&amp;RIGHT(YEAR($A420)+1,2),YEAR($A420)-1&amp;"/"&amp;RIGHT(YEAR($A420),2)))</f>
        <v/>
      </c>
    </row>
    <row r="421" customFormat="false" ht="15" hidden="false" customHeight="false" outlineLevel="0" collapsed="false">
      <c r="A421" s="22"/>
      <c r="B421" s="23"/>
      <c r="C421" s="23"/>
      <c r="D421" s="23"/>
      <c r="E421" s="24"/>
      <c r="F421" s="24"/>
      <c r="G421" s="23"/>
      <c r="H421" s="23"/>
      <c r="I421" s="25"/>
      <c r="J421" s="23"/>
      <c r="K421" s="23"/>
      <c r="L421" s="26" t="str">
        <f aca="false">IF(OR($E421="",$F421=""),"",MOD($F421-$E421,1)*24)</f>
        <v/>
      </c>
      <c r="M421" s="27" t="str">
        <f aca="false">IF($B421="","",IFERROR(INDEX(Properties!$D$5:$D$104,MATCH($B421,Properties!$A$5:$A$104,0)),"?"))</f>
        <v/>
      </c>
      <c r="N421" s="28" t="str">
        <f aca="false">IF($B421="","",IFERROR(IF($D421="Completed",INDEX(Properties!$I$5:$I$104,MATCH($B421,Properties!$A$5:$A$104,0))*(1+IF($G421="Y",Settings!$B$8,0))+IF($H421="Y",Settings!$B$7,0)+N($I421),IF($D421="Deep clean",INDEX(Settings!$E$22:$E$26,MATCH(MIN(INDEX(Properties!$E$5:$E$104,MATCH($B421,Properties!$A$5:$A$104,0)),4),Settings!$A$22:$A$26,0))+N($I421),IF($D421="Late cancel",INDEX(Properties!$I$5:$I$104,MATCH($B421,Properties!$A$5:$A$104,0))*Settings!$B$10,0))),0))</f>
        <v/>
      </c>
      <c r="O421" s="28" t="str">
        <f aca="false">IF($B421="","",IFERROR(IF($D421="Completed",INDEX(Properties!$L$5:$L$104,MATCH($B421,Properties!$A$5:$A$104,0))+IF($G421="Y",INDEX(Properties!$I$5:$I$104,MATCH($B421,Properties!$A$5:$A$104,0))*Settings!$B$8*Settings!$B$9,0)+IF($H421="Y",Settings!$B$7*Settings!$B$9,0)+N($I421)*Settings!$B$9,IF($D421="Deep clean",INDEX(Settings!$E$22:$E$26,MATCH(MIN(INDEX(Properties!$E$5:$E$104,MATCH($B421,Properties!$A$5:$A$104,0)),4),Settings!$A$22:$A$26,0))*Settings!$B$19+N($I421)*Settings!$B$9,IF($D421="Late cancel",INDEX(Properties!$L$5:$L$104,MATCH($B421,Properties!$A$5:$A$104,0))*Settings!$B$11,0))),0))</f>
        <v/>
      </c>
      <c r="P421" s="28" t="str">
        <f aca="false">IF($B421="","",$N421-$O421)</f>
        <v/>
      </c>
      <c r="Q421" s="29" t="str">
        <f aca="false">IF($A421="","",DATE(YEAR($A421),MONTH($A421),1))</f>
        <v/>
      </c>
      <c r="R421" s="30" t="str">
        <f aca="false">IF($A421="","",$A421+MOD(6-WEEKDAY($A421),7))</f>
        <v/>
      </c>
      <c r="S421" s="31" t="str">
        <f aca="false">IF($B421="","",IF(AND($M421='Invoice Builder'!$C$5,$Q421='Invoice Builder'!$C$6,N($N421)&gt;0),COUNTIFS($M$5:$M421,'Invoice Builder'!$C$5,$Q$5:$Q421,'Invoice Builder'!$C$6,$N$5:$N421,"&gt;0"),""))</f>
        <v/>
      </c>
      <c r="T421" s="27" t="str">
        <f aca="false">IF($A421="","",IF($A421&gt;=DATE(YEAR($A421),4,6),YEAR($A421)&amp;"/"&amp;RIGHT(YEAR($A421)+1,2),YEAR($A421)-1&amp;"/"&amp;RIGHT(YEAR($A421),2)))</f>
        <v/>
      </c>
    </row>
    <row r="422" customFormat="false" ht="15" hidden="false" customHeight="false" outlineLevel="0" collapsed="false">
      <c r="A422" s="22"/>
      <c r="B422" s="23"/>
      <c r="C422" s="23"/>
      <c r="D422" s="23"/>
      <c r="E422" s="24"/>
      <c r="F422" s="24"/>
      <c r="G422" s="23"/>
      <c r="H422" s="23"/>
      <c r="I422" s="25"/>
      <c r="J422" s="23"/>
      <c r="K422" s="23"/>
      <c r="L422" s="26" t="str">
        <f aca="false">IF(OR($E422="",$F422=""),"",MOD($F422-$E422,1)*24)</f>
        <v/>
      </c>
      <c r="M422" s="27" t="str">
        <f aca="false">IF($B422="","",IFERROR(INDEX(Properties!$D$5:$D$104,MATCH($B422,Properties!$A$5:$A$104,0)),"?"))</f>
        <v/>
      </c>
      <c r="N422" s="28" t="str">
        <f aca="false">IF($B422="","",IFERROR(IF($D422="Completed",INDEX(Properties!$I$5:$I$104,MATCH($B422,Properties!$A$5:$A$104,0))*(1+IF($G422="Y",Settings!$B$8,0))+IF($H422="Y",Settings!$B$7,0)+N($I422),IF($D422="Deep clean",INDEX(Settings!$E$22:$E$26,MATCH(MIN(INDEX(Properties!$E$5:$E$104,MATCH($B422,Properties!$A$5:$A$104,0)),4),Settings!$A$22:$A$26,0))+N($I422),IF($D422="Late cancel",INDEX(Properties!$I$5:$I$104,MATCH($B422,Properties!$A$5:$A$104,0))*Settings!$B$10,0))),0))</f>
        <v/>
      </c>
      <c r="O422" s="28" t="str">
        <f aca="false">IF($B422="","",IFERROR(IF($D422="Completed",INDEX(Properties!$L$5:$L$104,MATCH($B422,Properties!$A$5:$A$104,0))+IF($G422="Y",INDEX(Properties!$I$5:$I$104,MATCH($B422,Properties!$A$5:$A$104,0))*Settings!$B$8*Settings!$B$9,0)+IF($H422="Y",Settings!$B$7*Settings!$B$9,0)+N($I422)*Settings!$B$9,IF($D422="Deep clean",INDEX(Settings!$E$22:$E$26,MATCH(MIN(INDEX(Properties!$E$5:$E$104,MATCH($B422,Properties!$A$5:$A$104,0)),4),Settings!$A$22:$A$26,0))*Settings!$B$19+N($I422)*Settings!$B$9,IF($D422="Late cancel",INDEX(Properties!$L$5:$L$104,MATCH($B422,Properties!$A$5:$A$104,0))*Settings!$B$11,0))),0))</f>
        <v/>
      </c>
      <c r="P422" s="28" t="str">
        <f aca="false">IF($B422="","",$N422-$O422)</f>
        <v/>
      </c>
      <c r="Q422" s="29" t="str">
        <f aca="false">IF($A422="","",DATE(YEAR($A422),MONTH($A422),1))</f>
        <v/>
      </c>
      <c r="R422" s="30" t="str">
        <f aca="false">IF($A422="","",$A422+MOD(6-WEEKDAY($A422),7))</f>
        <v/>
      </c>
      <c r="S422" s="31" t="str">
        <f aca="false">IF($B422="","",IF(AND($M422='Invoice Builder'!$C$5,$Q422='Invoice Builder'!$C$6,N($N422)&gt;0),COUNTIFS($M$5:$M422,'Invoice Builder'!$C$5,$Q$5:$Q422,'Invoice Builder'!$C$6,$N$5:$N422,"&gt;0"),""))</f>
        <v/>
      </c>
      <c r="T422" s="27" t="str">
        <f aca="false">IF($A422="","",IF($A422&gt;=DATE(YEAR($A422),4,6),YEAR($A422)&amp;"/"&amp;RIGHT(YEAR($A422)+1,2),YEAR($A422)-1&amp;"/"&amp;RIGHT(YEAR($A422),2)))</f>
        <v/>
      </c>
    </row>
    <row r="423" customFormat="false" ht="15" hidden="false" customHeight="false" outlineLevel="0" collapsed="false">
      <c r="A423" s="22"/>
      <c r="B423" s="23"/>
      <c r="C423" s="23"/>
      <c r="D423" s="23"/>
      <c r="E423" s="24"/>
      <c r="F423" s="24"/>
      <c r="G423" s="23"/>
      <c r="H423" s="23"/>
      <c r="I423" s="25"/>
      <c r="J423" s="23"/>
      <c r="K423" s="23"/>
      <c r="L423" s="26" t="str">
        <f aca="false">IF(OR($E423="",$F423=""),"",MOD($F423-$E423,1)*24)</f>
        <v/>
      </c>
      <c r="M423" s="27" t="str">
        <f aca="false">IF($B423="","",IFERROR(INDEX(Properties!$D$5:$D$104,MATCH($B423,Properties!$A$5:$A$104,0)),"?"))</f>
        <v/>
      </c>
      <c r="N423" s="28" t="str">
        <f aca="false">IF($B423="","",IFERROR(IF($D423="Completed",INDEX(Properties!$I$5:$I$104,MATCH($B423,Properties!$A$5:$A$104,0))*(1+IF($G423="Y",Settings!$B$8,0))+IF($H423="Y",Settings!$B$7,0)+N($I423),IF($D423="Deep clean",INDEX(Settings!$E$22:$E$26,MATCH(MIN(INDEX(Properties!$E$5:$E$104,MATCH($B423,Properties!$A$5:$A$104,0)),4),Settings!$A$22:$A$26,0))+N($I423),IF($D423="Late cancel",INDEX(Properties!$I$5:$I$104,MATCH($B423,Properties!$A$5:$A$104,0))*Settings!$B$10,0))),0))</f>
        <v/>
      </c>
      <c r="O423" s="28" t="str">
        <f aca="false">IF($B423="","",IFERROR(IF($D423="Completed",INDEX(Properties!$L$5:$L$104,MATCH($B423,Properties!$A$5:$A$104,0))+IF($G423="Y",INDEX(Properties!$I$5:$I$104,MATCH($B423,Properties!$A$5:$A$104,0))*Settings!$B$8*Settings!$B$9,0)+IF($H423="Y",Settings!$B$7*Settings!$B$9,0)+N($I423)*Settings!$B$9,IF($D423="Deep clean",INDEX(Settings!$E$22:$E$26,MATCH(MIN(INDEX(Properties!$E$5:$E$104,MATCH($B423,Properties!$A$5:$A$104,0)),4),Settings!$A$22:$A$26,0))*Settings!$B$19+N($I423)*Settings!$B$9,IF($D423="Late cancel",INDEX(Properties!$L$5:$L$104,MATCH($B423,Properties!$A$5:$A$104,0))*Settings!$B$11,0))),0))</f>
        <v/>
      </c>
      <c r="P423" s="28" t="str">
        <f aca="false">IF($B423="","",$N423-$O423)</f>
        <v/>
      </c>
      <c r="Q423" s="29" t="str">
        <f aca="false">IF($A423="","",DATE(YEAR($A423),MONTH($A423),1))</f>
        <v/>
      </c>
      <c r="R423" s="30" t="str">
        <f aca="false">IF($A423="","",$A423+MOD(6-WEEKDAY($A423),7))</f>
        <v/>
      </c>
      <c r="S423" s="31" t="str">
        <f aca="false">IF($B423="","",IF(AND($M423='Invoice Builder'!$C$5,$Q423='Invoice Builder'!$C$6,N($N423)&gt;0),COUNTIFS($M$5:$M423,'Invoice Builder'!$C$5,$Q$5:$Q423,'Invoice Builder'!$C$6,$N$5:$N423,"&gt;0"),""))</f>
        <v/>
      </c>
      <c r="T423" s="27" t="str">
        <f aca="false">IF($A423="","",IF($A423&gt;=DATE(YEAR($A423),4,6),YEAR($A423)&amp;"/"&amp;RIGHT(YEAR($A423)+1,2),YEAR($A423)-1&amp;"/"&amp;RIGHT(YEAR($A423),2)))</f>
        <v/>
      </c>
    </row>
    <row r="424" customFormat="false" ht="15" hidden="false" customHeight="false" outlineLevel="0" collapsed="false">
      <c r="A424" s="22"/>
      <c r="B424" s="23"/>
      <c r="C424" s="23"/>
      <c r="D424" s="23"/>
      <c r="E424" s="24"/>
      <c r="F424" s="24"/>
      <c r="G424" s="23"/>
      <c r="H424" s="23"/>
      <c r="I424" s="25"/>
      <c r="J424" s="23"/>
      <c r="K424" s="23"/>
      <c r="L424" s="26" t="str">
        <f aca="false">IF(OR($E424="",$F424=""),"",MOD($F424-$E424,1)*24)</f>
        <v/>
      </c>
      <c r="M424" s="27" t="str">
        <f aca="false">IF($B424="","",IFERROR(INDEX(Properties!$D$5:$D$104,MATCH($B424,Properties!$A$5:$A$104,0)),"?"))</f>
        <v/>
      </c>
      <c r="N424" s="28" t="str">
        <f aca="false">IF($B424="","",IFERROR(IF($D424="Completed",INDEX(Properties!$I$5:$I$104,MATCH($B424,Properties!$A$5:$A$104,0))*(1+IF($G424="Y",Settings!$B$8,0))+IF($H424="Y",Settings!$B$7,0)+N($I424),IF($D424="Deep clean",INDEX(Settings!$E$22:$E$26,MATCH(MIN(INDEX(Properties!$E$5:$E$104,MATCH($B424,Properties!$A$5:$A$104,0)),4),Settings!$A$22:$A$26,0))+N($I424),IF($D424="Late cancel",INDEX(Properties!$I$5:$I$104,MATCH($B424,Properties!$A$5:$A$104,0))*Settings!$B$10,0))),0))</f>
        <v/>
      </c>
      <c r="O424" s="28" t="str">
        <f aca="false">IF($B424="","",IFERROR(IF($D424="Completed",INDEX(Properties!$L$5:$L$104,MATCH($B424,Properties!$A$5:$A$104,0))+IF($G424="Y",INDEX(Properties!$I$5:$I$104,MATCH($B424,Properties!$A$5:$A$104,0))*Settings!$B$8*Settings!$B$9,0)+IF($H424="Y",Settings!$B$7*Settings!$B$9,0)+N($I424)*Settings!$B$9,IF($D424="Deep clean",INDEX(Settings!$E$22:$E$26,MATCH(MIN(INDEX(Properties!$E$5:$E$104,MATCH($B424,Properties!$A$5:$A$104,0)),4),Settings!$A$22:$A$26,0))*Settings!$B$19+N($I424)*Settings!$B$9,IF($D424="Late cancel",INDEX(Properties!$L$5:$L$104,MATCH($B424,Properties!$A$5:$A$104,0))*Settings!$B$11,0))),0))</f>
        <v/>
      </c>
      <c r="P424" s="28" t="str">
        <f aca="false">IF($B424="","",$N424-$O424)</f>
        <v/>
      </c>
      <c r="Q424" s="29" t="str">
        <f aca="false">IF($A424="","",DATE(YEAR($A424),MONTH($A424),1))</f>
        <v/>
      </c>
      <c r="R424" s="30" t="str">
        <f aca="false">IF($A424="","",$A424+MOD(6-WEEKDAY($A424),7))</f>
        <v/>
      </c>
      <c r="S424" s="31" t="str">
        <f aca="false">IF($B424="","",IF(AND($M424='Invoice Builder'!$C$5,$Q424='Invoice Builder'!$C$6,N($N424)&gt;0),COUNTIFS($M$5:$M424,'Invoice Builder'!$C$5,$Q$5:$Q424,'Invoice Builder'!$C$6,$N$5:$N424,"&gt;0"),""))</f>
        <v/>
      </c>
      <c r="T424" s="27" t="str">
        <f aca="false">IF($A424="","",IF($A424&gt;=DATE(YEAR($A424),4,6),YEAR($A424)&amp;"/"&amp;RIGHT(YEAR($A424)+1,2),YEAR($A424)-1&amp;"/"&amp;RIGHT(YEAR($A424),2)))</f>
        <v/>
      </c>
    </row>
    <row r="425" customFormat="false" ht="15" hidden="false" customHeight="false" outlineLevel="0" collapsed="false">
      <c r="A425" s="22"/>
      <c r="B425" s="23"/>
      <c r="C425" s="23"/>
      <c r="D425" s="23"/>
      <c r="E425" s="24"/>
      <c r="F425" s="24"/>
      <c r="G425" s="23"/>
      <c r="H425" s="23"/>
      <c r="I425" s="25"/>
      <c r="J425" s="23"/>
      <c r="K425" s="23"/>
      <c r="L425" s="26" t="str">
        <f aca="false">IF(OR($E425="",$F425=""),"",MOD($F425-$E425,1)*24)</f>
        <v/>
      </c>
      <c r="M425" s="27" t="str">
        <f aca="false">IF($B425="","",IFERROR(INDEX(Properties!$D$5:$D$104,MATCH($B425,Properties!$A$5:$A$104,0)),"?"))</f>
        <v/>
      </c>
      <c r="N425" s="28" t="str">
        <f aca="false">IF($B425="","",IFERROR(IF($D425="Completed",INDEX(Properties!$I$5:$I$104,MATCH($B425,Properties!$A$5:$A$104,0))*(1+IF($G425="Y",Settings!$B$8,0))+IF($H425="Y",Settings!$B$7,0)+N($I425),IF($D425="Deep clean",INDEX(Settings!$E$22:$E$26,MATCH(MIN(INDEX(Properties!$E$5:$E$104,MATCH($B425,Properties!$A$5:$A$104,0)),4),Settings!$A$22:$A$26,0))+N($I425),IF($D425="Late cancel",INDEX(Properties!$I$5:$I$104,MATCH($B425,Properties!$A$5:$A$104,0))*Settings!$B$10,0))),0))</f>
        <v/>
      </c>
      <c r="O425" s="28" t="str">
        <f aca="false">IF($B425="","",IFERROR(IF($D425="Completed",INDEX(Properties!$L$5:$L$104,MATCH($B425,Properties!$A$5:$A$104,0))+IF($G425="Y",INDEX(Properties!$I$5:$I$104,MATCH($B425,Properties!$A$5:$A$104,0))*Settings!$B$8*Settings!$B$9,0)+IF($H425="Y",Settings!$B$7*Settings!$B$9,0)+N($I425)*Settings!$B$9,IF($D425="Deep clean",INDEX(Settings!$E$22:$E$26,MATCH(MIN(INDEX(Properties!$E$5:$E$104,MATCH($B425,Properties!$A$5:$A$104,0)),4),Settings!$A$22:$A$26,0))*Settings!$B$19+N($I425)*Settings!$B$9,IF($D425="Late cancel",INDEX(Properties!$L$5:$L$104,MATCH($B425,Properties!$A$5:$A$104,0))*Settings!$B$11,0))),0))</f>
        <v/>
      </c>
      <c r="P425" s="28" t="str">
        <f aca="false">IF($B425="","",$N425-$O425)</f>
        <v/>
      </c>
      <c r="Q425" s="29" t="str">
        <f aca="false">IF($A425="","",DATE(YEAR($A425),MONTH($A425),1))</f>
        <v/>
      </c>
      <c r="R425" s="30" t="str">
        <f aca="false">IF($A425="","",$A425+MOD(6-WEEKDAY($A425),7))</f>
        <v/>
      </c>
      <c r="S425" s="31" t="str">
        <f aca="false">IF($B425="","",IF(AND($M425='Invoice Builder'!$C$5,$Q425='Invoice Builder'!$C$6,N($N425)&gt;0),COUNTIFS($M$5:$M425,'Invoice Builder'!$C$5,$Q$5:$Q425,'Invoice Builder'!$C$6,$N$5:$N425,"&gt;0"),""))</f>
        <v/>
      </c>
      <c r="T425" s="27" t="str">
        <f aca="false">IF($A425="","",IF($A425&gt;=DATE(YEAR($A425),4,6),YEAR($A425)&amp;"/"&amp;RIGHT(YEAR($A425)+1,2),YEAR($A425)-1&amp;"/"&amp;RIGHT(YEAR($A425),2)))</f>
        <v/>
      </c>
    </row>
    <row r="426" customFormat="false" ht="15" hidden="false" customHeight="false" outlineLevel="0" collapsed="false">
      <c r="A426" s="22"/>
      <c r="B426" s="23"/>
      <c r="C426" s="23"/>
      <c r="D426" s="23"/>
      <c r="E426" s="24"/>
      <c r="F426" s="24"/>
      <c r="G426" s="23"/>
      <c r="H426" s="23"/>
      <c r="I426" s="25"/>
      <c r="J426" s="23"/>
      <c r="K426" s="23"/>
      <c r="L426" s="26" t="str">
        <f aca="false">IF(OR($E426="",$F426=""),"",MOD($F426-$E426,1)*24)</f>
        <v/>
      </c>
      <c r="M426" s="27" t="str">
        <f aca="false">IF($B426="","",IFERROR(INDEX(Properties!$D$5:$D$104,MATCH($B426,Properties!$A$5:$A$104,0)),"?"))</f>
        <v/>
      </c>
      <c r="N426" s="28" t="str">
        <f aca="false">IF($B426="","",IFERROR(IF($D426="Completed",INDEX(Properties!$I$5:$I$104,MATCH($B426,Properties!$A$5:$A$104,0))*(1+IF($G426="Y",Settings!$B$8,0))+IF($H426="Y",Settings!$B$7,0)+N($I426),IF($D426="Deep clean",INDEX(Settings!$E$22:$E$26,MATCH(MIN(INDEX(Properties!$E$5:$E$104,MATCH($B426,Properties!$A$5:$A$104,0)),4),Settings!$A$22:$A$26,0))+N($I426),IF($D426="Late cancel",INDEX(Properties!$I$5:$I$104,MATCH($B426,Properties!$A$5:$A$104,0))*Settings!$B$10,0))),0))</f>
        <v/>
      </c>
      <c r="O426" s="28" t="str">
        <f aca="false">IF($B426="","",IFERROR(IF($D426="Completed",INDEX(Properties!$L$5:$L$104,MATCH($B426,Properties!$A$5:$A$104,0))+IF($G426="Y",INDEX(Properties!$I$5:$I$104,MATCH($B426,Properties!$A$5:$A$104,0))*Settings!$B$8*Settings!$B$9,0)+IF($H426="Y",Settings!$B$7*Settings!$B$9,0)+N($I426)*Settings!$B$9,IF($D426="Deep clean",INDEX(Settings!$E$22:$E$26,MATCH(MIN(INDEX(Properties!$E$5:$E$104,MATCH($B426,Properties!$A$5:$A$104,0)),4),Settings!$A$22:$A$26,0))*Settings!$B$19+N($I426)*Settings!$B$9,IF($D426="Late cancel",INDEX(Properties!$L$5:$L$104,MATCH($B426,Properties!$A$5:$A$104,0))*Settings!$B$11,0))),0))</f>
        <v/>
      </c>
      <c r="P426" s="28" t="str">
        <f aca="false">IF($B426="","",$N426-$O426)</f>
        <v/>
      </c>
      <c r="Q426" s="29" t="str">
        <f aca="false">IF($A426="","",DATE(YEAR($A426),MONTH($A426),1))</f>
        <v/>
      </c>
      <c r="R426" s="30" t="str">
        <f aca="false">IF($A426="","",$A426+MOD(6-WEEKDAY($A426),7))</f>
        <v/>
      </c>
      <c r="S426" s="31" t="str">
        <f aca="false">IF($B426="","",IF(AND($M426='Invoice Builder'!$C$5,$Q426='Invoice Builder'!$C$6,N($N426)&gt;0),COUNTIFS($M$5:$M426,'Invoice Builder'!$C$5,$Q$5:$Q426,'Invoice Builder'!$C$6,$N$5:$N426,"&gt;0"),""))</f>
        <v/>
      </c>
      <c r="T426" s="27" t="str">
        <f aca="false">IF($A426="","",IF($A426&gt;=DATE(YEAR($A426),4,6),YEAR($A426)&amp;"/"&amp;RIGHT(YEAR($A426)+1,2),YEAR($A426)-1&amp;"/"&amp;RIGHT(YEAR($A426),2)))</f>
        <v/>
      </c>
    </row>
    <row r="427" customFormat="false" ht="15" hidden="false" customHeight="false" outlineLevel="0" collapsed="false">
      <c r="A427" s="22"/>
      <c r="B427" s="23"/>
      <c r="C427" s="23"/>
      <c r="D427" s="23"/>
      <c r="E427" s="24"/>
      <c r="F427" s="24"/>
      <c r="G427" s="23"/>
      <c r="H427" s="23"/>
      <c r="I427" s="25"/>
      <c r="J427" s="23"/>
      <c r="K427" s="23"/>
      <c r="L427" s="26" t="str">
        <f aca="false">IF(OR($E427="",$F427=""),"",MOD($F427-$E427,1)*24)</f>
        <v/>
      </c>
      <c r="M427" s="27" t="str">
        <f aca="false">IF($B427="","",IFERROR(INDEX(Properties!$D$5:$D$104,MATCH($B427,Properties!$A$5:$A$104,0)),"?"))</f>
        <v/>
      </c>
      <c r="N427" s="28" t="str">
        <f aca="false">IF($B427="","",IFERROR(IF($D427="Completed",INDEX(Properties!$I$5:$I$104,MATCH($B427,Properties!$A$5:$A$104,0))*(1+IF($G427="Y",Settings!$B$8,0))+IF($H427="Y",Settings!$B$7,0)+N($I427),IF($D427="Deep clean",INDEX(Settings!$E$22:$E$26,MATCH(MIN(INDEX(Properties!$E$5:$E$104,MATCH($B427,Properties!$A$5:$A$104,0)),4),Settings!$A$22:$A$26,0))+N($I427),IF($D427="Late cancel",INDEX(Properties!$I$5:$I$104,MATCH($B427,Properties!$A$5:$A$104,0))*Settings!$B$10,0))),0))</f>
        <v/>
      </c>
      <c r="O427" s="28" t="str">
        <f aca="false">IF($B427="","",IFERROR(IF($D427="Completed",INDEX(Properties!$L$5:$L$104,MATCH($B427,Properties!$A$5:$A$104,0))+IF($G427="Y",INDEX(Properties!$I$5:$I$104,MATCH($B427,Properties!$A$5:$A$104,0))*Settings!$B$8*Settings!$B$9,0)+IF($H427="Y",Settings!$B$7*Settings!$B$9,0)+N($I427)*Settings!$B$9,IF($D427="Deep clean",INDEX(Settings!$E$22:$E$26,MATCH(MIN(INDEX(Properties!$E$5:$E$104,MATCH($B427,Properties!$A$5:$A$104,0)),4),Settings!$A$22:$A$26,0))*Settings!$B$19+N($I427)*Settings!$B$9,IF($D427="Late cancel",INDEX(Properties!$L$5:$L$104,MATCH($B427,Properties!$A$5:$A$104,0))*Settings!$B$11,0))),0))</f>
        <v/>
      </c>
      <c r="P427" s="28" t="str">
        <f aca="false">IF($B427="","",$N427-$O427)</f>
        <v/>
      </c>
      <c r="Q427" s="29" t="str">
        <f aca="false">IF($A427="","",DATE(YEAR($A427),MONTH($A427),1))</f>
        <v/>
      </c>
      <c r="R427" s="30" t="str">
        <f aca="false">IF($A427="","",$A427+MOD(6-WEEKDAY($A427),7))</f>
        <v/>
      </c>
      <c r="S427" s="31" t="str">
        <f aca="false">IF($B427="","",IF(AND($M427='Invoice Builder'!$C$5,$Q427='Invoice Builder'!$C$6,N($N427)&gt;0),COUNTIFS($M$5:$M427,'Invoice Builder'!$C$5,$Q$5:$Q427,'Invoice Builder'!$C$6,$N$5:$N427,"&gt;0"),""))</f>
        <v/>
      </c>
      <c r="T427" s="27" t="str">
        <f aca="false">IF($A427="","",IF($A427&gt;=DATE(YEAR($A427),4,6),YEAR($A427)&amp;"/"&amp;RIGHT(YEAR($A427)+1,2),YEAR($A427)-1&amp;"/"&amp;RIGHT(YEAR($A427),2)))</f>
        <v/>
      </c>
    </row>
    <row r="428" customFormat="false" ht="15" hidden="false" customHeight="false" outlineLevel="0" collapsed="false">
      <c r="A428" s="22"/>
      <c r="B428" s="23"/>
      <c r="C428" s="23"/>
      <c r="D428" s="23"/>
      <c r="E428" s="24"/>
      <c r="F428" s="24"/>
      <c r="G428" s="23"/>
      <c r="H428" s="23"/>
      <c r="I428" s="25"/>
      <c r="J428" s="23"/>
      <c r="K428" s="23"/>
      <c r="L428" s="26" t="str">
        <f aca="false">IF(OR($E428="",$F428=""),"",MOD($F428-$E428,1)*24)</f>
        <v/>
      </c>
      <c r="M428" s="27" t="str">
        <f aca="false">IF($B428="","",IFERROR(INDEX(Properties!$D$5:$D$104,MATCH($B428,Properties!$A$5:$A$104,0)),"?"))</f>
        <v/>
      </c>
      <c r="N428" s="28" t="str">
        <f aca="false">IF($B428="","",IFERROR(IF($D428="Completed",INDEX(Properties!$I$5:$I$104,MATCH($B428,Properties!$A$5:$A$104,0))*(1+IF($G428="Y",Settings!$B$8,0))+IF($H428="Y",Settings!$B$7,0)+N($I428),IF($D428="Deep clean",INDEX(Settings!$E$22:$E$26,MATCH(MIN(INDEX(Properties!$E$5:$E$104,MATCH($B428,Properties!$A$5:$A$104,0)),4),Settings!$A$22:$A$26,0))+N($I428),IF($D428="Late cancel",INDEX(Properties!$I$5:$I$104,MATCH($B428,Properties!$A$5:$A$104,0))*Settings!$B$10,0))),0))</f>
        <v/>
      </c>
      <c r="O428" s="28" t="str">
        <f aca="false">IF($B428="","",IFERROR(IF($D428="Completed",INDEX(Properties!$L$5:$L$104,MATCH($B428,Properties!$A$5:$A$104,0))+IF($G428="Y",INDEX(Properties!$I$5:$I$104,MATCH($B428,Properties!$A$5:$A$104,0))*Settings!$B$8*Settings!$B$9,0)+IF($H428="Y",Settings!$B$7*Settings!$B$9,0)+N($I428)*Settings!$B$9,IF($D428="Deep clean",INDEX(Settings!$E$22:$E$26,MATCH(MIN(INDEX(Properties!$E$5:$E$104,MATCH($B428,Properties!$A$5:$A$104,0)),4),Settings!$A$22:$A$26,0))*Settings!$B$19+N($I428)*Settings!$B$9,IF($D428="Late cancel",INDEX(Properties!$L$5:$L$104,MATCH($B428,Properties!$A$5:$A$104,0))*Settings!$B$11,0))),0))</f>
        <v/>
      </c>
      <c r="P428" s="28" t="str">
        <f aca="false">IF($B428="","",$N428-$O428)</f>
        <v/>
      </c>
      <c r="Q428" s="29" t="str">
        <f aca="false">IF($A428="","",DATE(YEAR($A428),MONTH($A428),1))</f>
        <v/>
      </c>
      <c r="R428" s="30" t="str">
        <f aca="false">IF($A428="","",$A428+MOD(6-WEEKDAY($A428),7))</f>
        <v/>
      </c>
      <c r="S428" s="31" t="str">
        <f aca="false">IF($B428="","",IF(AND($M428='Invoice Builder'!$C$5,$Q428='Invoice Builder'!$C$6,N($N428)&gt;0),COUNTIFS($M$5:$M428,'Invoice Builder'!$C$5,$Q$5:$Q428,'Invoice Builder'!$C$6,$N$5:$N428,"&gt;0"),""))</f>
        <v/>
      </c>
      <c r="T428" s="27" t="str">
        <f aca="false">IF($A428="","",IF($A428&gt;=DATE(YEAR($A428),4,6),YEAR($A428)&amp;"/"&amp;RIGHT(YEAR($A428)+1,2),YEAR($A428)-1&amp;"/"&amp;RIGHT(YEAR($A428),2)))</f>
        <v/>
      </c>
    </row>
    <row r="429" customFormat="false" ht="15" hidden="false" customHeight="false" outlineLevel="0" collapsed="false">
      <c r="A429" s="22"/>
      <c r="B429" s="23"/>
      <c r="C429" s="23"/>
      <c r="D429" s="23"/>
      <c r="E429" s="24"/>
      <c r="F429" s="24"/>
      <c r="G429" s="23"/>
      <c r="H429" s="23"/>
      <c r="I429" s="25"/>
      <c r="J429" s="23"/>
      <c r="K429" s="23"/>
      <c r="L429" s="26" t="str">
        <f aca="false">IF(OR($E429="",$F429=""),"",MOD($F429-$E429,1)*24)</f>
        <v/>
      </c>
      <c r="M429" s="27" t="str">
        <f aca="false">IF($B429="","",IFERROR(INDEX(Properties!$D$5:$D$104,MATCH($B429,Properties!$A$5:$A$104,0)),"?"))</f>
        <v/>
      </c>
      <c r="N429" s="28" t="str">
        <f aca="false">IF($B429="","",IFERROR(IF($D429="Completed",INDEX(Properties!$I$5:$I$104,MATCH($B429,Properties!$A$5:$A$104,0))*(1+IF($G429="Y",Settings!$B$8,0))+IF($H429="Y",Settings!$B$7,0)+N($I429),IF($D429="Deep clean",INDEX(Settings!$E$22:$E$26,MATCH(MIN(INDEX(Properties!$E$5:$E$104,MATCH($B429,Properties!$A$5:$A$104,0)),4),Settings!$A$22:$A$26,0))+N($I429),IF($D429="Late cancel",INDEX(Properties!$I$5:$I$104,MATCH($B429,Properties!$A$5:$A$104,0))*Settings!$B$10,0))),0))</f>
        <v/>
      </c>
      <c r="O429" s="28" t="str">
        <f aca="false">IF($B429="","",IFERROR(IF($D429="Completed",INDEX(Properties!$L$5:$L$104,MATCH($B429,Properties!$A$5:$A$104,0))+IF($G429="Y",INDEX(Properties!$I$5:$I$104,MATCH($B429,Properties!$A$5:$A$104,0))*Settings!$B$8*Settings!$B$9,0)+IF($H429="Y",Settings!$B$7*Settings!$B$9,0)+N($I429)*Settings!$B$9,IF($D429="Deep clean",INDEX(Settings!$E$22:$E$26,MATCH(MIN(INDEX(Properties!$E$5:$E$104,MATCH($B429,Properties!$A$5:$A$104,0)),4),Settings!$A$22:$A$26,0))*Settings!$B$19+N($I429)*Settings!$B$9,IF($D429="Late cancel",INDEX(Properties!$L$5:$L$104,MATCH($B429,Properties!$A$5:$A$104,0))*Settings!$B$11,0))),0))</f>
        <v/>
      </c>
      <c r="P429" s="28" t="str">
        <f aca="false">IF($B429="","",$N429-$O429)</f>
        <v/>
      </c>
      <c r="Q429" s="29" t="str">
        <f aca="false">IF($A429="","",DATE(YEAR($A429),MONTH($A429),1))</f>
        <v/>
      </c>
      <c r="R429" s="30" t="str">
        <f aca="false">IF($A429="","",$A429+MOD(6-WEEKDAY($A429),7))</f>
        <v/>
      </c>
      <c r="S429" s="31" t="str">
        <f aca="false">IF($B429="","",IF(AND($M429='Invoice Builder'!$C$5,$Q429='Invoice Builder'!$C$6,N($N429)&gt;0),COUNTIFS($M$5:$M429,'Invoice Builder'!$C$5,$Q$5:$Q429,'Invoice Builder'!$C$6,$N$5:$N429,"&gt;0"),""))</f>
        <v/>
      </c>
      <c r="T429" s="27" t="str">
        <f aca="false">IF($A429="","",IF($A429&gt;=DATE(YEAR($A429),4,6),YEAR($A429)&amp;"/"&amp;RIGHT(YEAR($A429)+1,2),YEAR($A429)-1&amp;"/"&amp;RIGHT(YEAR($A429),2)))</f>
        <v/>
      </c>
    </row>
    <row r="430" customFormat="false" ht="15" hidden="false" customHeight="false" outlineLevel="0" collapsed="false">
      <c r="A430" s="22"/>
      <c r="B430" s="23"/>
      <c r="C430" s="23"/>
      <c r="D430" s="23"/>
      <c r="E430" s="24"/>
      <c r="F430" s="24"/>
      <c r="G430" s="23"/>
      <c r="H430" s="23"/>
      <c r="I430" s="25"/>
      <c r="J430" s="23"/>
      <c r="K430" s="23"/>
      <c r="L430" s="26" t="str">
        <f aca="false">IF(OR($E430="",$F430=""),"",MOD($F430-$E430,1)*24)</f>
        <v/>
      </c>
      <c r="M430" s="27" t="str">
        <f aca="false">IF($B430="","",IFERROR(INDEX(Properties!$D$5:$D$104,MATCH($B430,Properties!$A$5:$A$104,0)),"?"))</f>
        <v/>
      </c>
      <c r="N430" s="28" t="str">
        <f aca="false">IF($B430="","",IFERROR(IF($D430="Completed",INDEX(Properties!$I$5:$I$104,MATCH($B430,Properties!$A$5:$A$104,0))*(1+IF($G430="Y",Settings!$B$8,0))+IF($H430="Y",Settings!$B$7,0)+N($I430),IF($D430="Deep clean",INDEX(Settings!$E$22:$E$26,MATCH(MIN(INDEX(Properties!$E$5:$E$104,MATCH($B430,Properties!$A$5:$A$104,0)),4),Settings!$A$22:$A$26,0))+N($I430),IF($D430="Late cancel",INDEX(Properties!$I$5:$I$104,MATCH($B430,Properties!$A$5:$A$104,0))*Settings!$B$10,0))),0))</f>
        <v/>
      </c>
      <c r="O430" s="28" t="str">
        <f aca="false">IF($B430="","",IFERROR(IF($D430="Completed",INDEX(Properties!$L$5:$L$104,MATCH($B430,Properties!$A$5:$A$104,0))+IF($G430="Y",INDEX(Properties!$I$5:$I$104,MATCH($B430,Properties!$A$5:$A$104,0))*Settings!$B$8*Settings!$B$9,0)+IF($H430="Y",Settings!$B$7*Settings!$B$9,0)+N($I430)*Settings!$B$9,IF($D430="Deep clean",INDEX(Settings!$E$22:$E$26,MATCH(MIN(INDEX(Properties!$E$5:$E$104,MATCH($B430,Properties!$A$5:$A$104,0)),4),Settings!$A$22:$A$26,0))*Settings!$B$19+N($I430)*Settings!$B$9,IF($D430="Late cancel",INDEX(Properties!$L$5:$L$104,MATCH($B430,Properties!$A$5:$A$104,0))*Settings!$B$11,0))),0))</f>
        <v/>
      </c>
      <c r="P430" s="28" t="str">
        <f aca="false">IF($B430="","",$N430-$O430)</f>
        <v/>
      </c>
      <c r="Q430" s="29" t="str">
        <f aca="false">IF($A430="","",DATE(YEAR($A430),MONTH($A430),1))</f>
        <v/>
      </c>
      <c r="R430" s="30" t="str">
        <f aca="false">IF($A430="","",$A430+MOD(6-WEEKDAY($A430),7))</f>
        <v/>
      </c>
      <c r="S430" s="31" t="str">
        <f aca="false">IF($B430="","",IF(AND($M430='Invoice Builder'!$C$5,$Q430='Invoice Builder'!$C$6,N($N430)&gt;0),COUNTIFS($M$5:$M430,'Invoice Builder'!$C$5,$Q$5:$Q430,'Invoice Builder'!$C$6,$N$5:$N430,"&gt;0"),""))</f>
        <v/>
      </c>
      <c r="T430" s="27" t="str">
        <f aca="false">IF($A430="","",IF($A430&gt;=DATE(YEAR($A430),4,6),YEAR($A430)&amp;"/"&amp;RIGHT(YEAR($A430)+1,2),YEAR($A430)-1&amp;"/"&amp;RIGHT(YEAR($A430),2)))</f>
        <v/>
      </c>
    </row>
    <row r="431" customFormat="false" ht="15" hidden="false" customHeight="false" outlineLevel="0" collapsed="false">
      <c r="A431" s="22"/>
      <c r="B431" s="23"/>
      <c r="C431" s="23"/>
      <c r="D431" s="23"/>
      <c r="E431" s="24"/>
      <c r="F431" s="24"/>
      <c r="G431" s="23"/>
      <c r="H431" s="23"/>
      <c r="I431" s="25"/>
      <c r="J431" s="23"/>
      <c r="K431" s="23"/>
      <c r="L431" s="26" t="str">
        <f aca="false">IF(OR($E431="",$F431=""),"",MOD($F431-$E431,1)*24)</f>
        <v/>
      </c>
      <c r="M431" s="27" t="str">
        <f aca="false">IF($B431="","",IFERROR(INDEX(Properties!$D$5:$D$104,MATCH($B431,Properties!$A$5:$A$104,0)),"?"))</f>
        <v/>
      </c>
      <c r="N431" s="28" t="str">
        <f aca="false">IF($B431="","",IFERROR(IF($D431="Completed",INDEX(Properties!$I$5:$I$104,MATCH($B431,Properties!$A$5:$A$104,0))*(1+IF($G431="Y",Settings!$B$8,0))+IF($H431="Y",Settings!$B$7,0)+N($I431),IF($D431="Deep clean",INDEX(Settings!$E$22:$E$26,MATCH(MIN(INDEX(Properties!$E$5:$E$104,MATCH($B431,Properties!$A$5:$A$104,0)),4),Settings!$A$22:$A$26,0))+N($I431),IF($D431="Late cancel",INDEX(Properties!$I$5:$I$104,MATCH($B431,Properties!$A$5:$A$104,0))*Settings!$B$10,0))),0))</f>
        <v/>
      </c>
      <c r="O431" s="28" t="str">
        <f aca="false">IF($B431="","",IFERROR(IF($D431="Completed",INDEX(Properties!$L$5:$L$104,MATCH($B431,Properties!$A$5:$A$104,0))+IF($G431="Y",INDEX(Properties!$I$5:$I$104,MATCH($B431,Properties!$A$5:$A$104,0))*Settings!$B$8*Settings!$B$9,0)+IF($H431="Y",Settings!$B$7*Settings!$B$9,0)+N($I431)*Settings!$B$9,IF($D431="Deep clean",INDEX(Settings!$E$22:$E$26,MATCH(MIN(INDEX(Properties!$E$5:$E$104,MATCH($B431,Properties!$A$5:$A$104,0)),4),Settings!$A$22:$A$26,0))*Settings!$B$19+N($I431)*Settings!$B$9,IF($D431="Late cancel",INDEX(Properties!$L$5:$L$104,MATCH($B431,Properties!$A$5:$A$104,0))*Settings!$B$11,0))),0))</f>
        <v/>
      </c>
      <c r="P431" s="28" t="str">
        <f aca="false">IF($B431="","",$N431-$O431)</f>
        <v/>
      </c>
      <c r="Q431" s="29" t="str">
        <f aca="false">IF($A431="","",DATE(YEAR($A431),MONTH($A431),1))</f>
        <v/>
      </c>
      <c r="R431" s="30" t="str">
        <f aca="false">IF($A431="","",$A431+MOD(6-WEEKDAY($A431),7))</f>
        <v/>
      </c>
      <c r="S431" s="31" t="str">
        <f aca="false">IF($B431="","",IF(AND($M431='Invoice Builder'!$C$5,$Q431='Invoice Builder'!$C$6,N($N431)&gt;0),COUNTIFS($M$5:$M431,'Invoice Builder'!$C$5,$Q$5:$Q431,'Invoice Builder'!$C$6,$N$5:$N431,"&gt;0"),""))</f>
        <v/>
      </c>
      <c r="T431" s="27" t="str">
        <f aca="false">IF($A431="","",IF($A431&gt;=DATE(YEAR($A431),4,6),YEAR($A431)&amp;"/"&amp;RIGHT(YEAR($A431)+1,2),YEAR($A431)-1&amp;"/"&amp;RIGHT(YEAR($A431),2)))</f>
        <v/>
      </c>
    </row>
    <row r="432" customFormat="false" ht="15" hidden="false" customHeight="false" outlineLevel="0" collapsed="false">
      <c r="A432" s="22"/>
      <c r="B432" s="23"/>
      <c r="C432" s="23"/>
      <c r="D432" s="23"/>
      <c r="E432" s="24"/>
      <c r="F432" s="24"/>
      <c r="G432" s="23"/>
      <c r="H432" s="23"/>
      <c r="I432" s="25"/>
      <c r="J432" s="23"/>
      <c r="K432" s="23"/>
      <c r="L432" s="26" t="str">
        <f aca="false">IF(OR($E432="",$F432=""),"",MOD($F432-$E432,1)*24)</f>
        <v/>
      </c>
      <c r="M432" s="27" t="str">
        <f aca="false">IF($B432="","",IFERROR(INDEX(Properties!$D$5:$D$104,MATCH($B432,Properties!$A$5:$A$104,0)),"?"))</f>
        <v/>
      </c>
      <c r="N432" s="28" t="str">
        <f aca="false">IF($B432="","",IFERROR(IF($D432="Completed",INDEX(Properties!$I$5:$I$104,MATCH($B432,Properties!$A$5:$A$104,0))*(1+IF($G432="Y",Settings!$B$8,0))+IF($H432="Y",Settings!$B$7,0)+N($I432),IF($D432="Deep clean",INDEX(Settings!$E$22:$E$26,MATCH(MIN(INDEX(Properties!$E$5:$E$104,MATCH($B432,Properties!$A$5:$A$104,0)),4),Settings!$A$22:$A$26,0))+N($I432),IF($D432="Late cancel",INDEX(Properties!$I$5:$I$104,MATCH($B432,Properties!$A$5:$A$104,0))*Settings!$B$10,0))),0))</f>
        <v/>
      </c>
      <c r="O432" s="28" t="str">
        <f aca="false">IF($B432="","",IFERROR(IF($D432="Completed",INDEX(Properties!$L$5:$L$104,MATCH($B432,Properties!$A$5:$A$104,0))+IF($G432="Y",INDEX(Properties!$I$5:$I$104,MATCH($B432,Properties!$A$5:$A$104,0))*Settings!$B$8*Settings!$B$9,0)+IF($H432="Y",Settings!$B$7*Settings!$B$9,0)+N($I432)*Settings!$B$9,IF($D432="Deep clean",INDEX(Settings!$E$22:$E$26,MATCH(MIN(INDEX(Properties!$E$5:$E$104,MATCH($B432,Properties!$A$5:$A$104,0)),4),Settings!$A$22:$A$26,0))*Settings!$B$19+N($I432)*Settings!$B$9,IF($D432="Late cancel",INDEX(Properties!$L$5:$L$104,MATCH($B432,Properties!$A$5:$A$104,0))*Settings!$B$11,0))),0))</f>
        <v/>
      </c>
      <c r="P432" s="28" t="str">
        <f aca="false">IF($B432="","",$N432-$O432)</f>
        <v/>
      </c>
      <c r="Q432" s="29" t="str">
        <f aca="false">IF($A432="","",DATE(YEAR($A432),MONTH($A432),1))</f>
        <v/>
      </c>
      <c r="R432" s="30" t="str">
        <f aca="false">IF($A432="","",$A432+MOD(6-WEEKDAY($A432),7))</f>
        <v/>
      </c>
      <c r="S432" s="31" t="str">
        <f aca="false">IF($B432="","",IF(AND($M432='Invoice Builder'!$C$5,$Q432='Invoice Builder'!$C$6,N($N432)&gt;0),COUNTIFS($M$5:$M432,'Invoice Builder'!$C$5,$Q$5:$Q432,'Invoice Builder'!$C$6,$N$5:$N432,"&gt;0"),""))</f>
        <v/>
      </c>
      <c r="T432" s="27" t="str">
        <f aca="false">IF($A432="","",IF($A432&gt;=DATE(YEAR($A432),4,6),YEAR($A432)&amp;"/"&amp;RIGHT(YEAR($A432)+1,2),YEAR($A432)-1&amp;"/"&amp;RIGHT(YEAR($A432),2)))</f>
        <v/>
      </c>
    </row>
    <row r="433" customFormat="false" ht="15" hidden="false" customHeight="false" outlineLevel="0" collapsed="false">
      <c r="A433" s="22"/>
      <c r="B433" s="23"/>
      <c r="C433" s="23"/>
      <c r="D433" s="23"/>
      <c r="E433" s="24"/>
      <c r="F433" s="24"/>
      <c r="G433" s="23"/>
      <c r="H433" s="23"/>
      <c r="I433" s="25"/>
      <c r="J433" s="23"/>
      <c r="K433" s="23"/>
      <c r="L433" s="26" t="str">
        <f aca="false">IF(OR($E433="",$F433=""),"",MOD($F433-$E433,1)*24)</f>
        <v/>
      </c>
      <c r="M433" s="27" t="str">
        <f aca="false">IF($B433="","",IFERROR(INDEX(Properties!$D$5:$D$104,MATCH($B433,Properties!$A$5:$A$104,0)),"?"))</f>
        <v/>
      </c>
      <c r="N433" s="28" t="str">
        <f aca="false">IF($B433="","",IFERROR(IF($D433="Completed",INDEX(Properties!$I$5:$I$104,MATCH($B433,Properties!$A$5:$A$104,0))*(1+IF($G433="Y",Settings!$B$8,0))+IF($H433="Y",Settings!$B$7,0)+N($I433),IF($D433="Deep clean",INDEX(Settings!$E$22:$E$26,MATCH(MIN(INDEX(Properties!$E$5:$E$104,MATCH($B433,Properties!$A$5:$A$104,0)),4),Settings!$A$22:$A$26,0))+N($I433),IF($D433="Late cancel",INDEX(Properties!$I$5:$I$104,MATCH($B433,Properties!$A$5:$A$104,0))*Settings!$B$10,0))),0))</f>
        <v/>
      </c>
      <c r="O433" s="28" t="str">
        <f aca="false">IF($B433="","",IFERROR(IF($D433="Completed",INDEX(Properties!$L$5:$L$104,MATCH($B433,Properties!$A$5:$A$104,0))+IF($G433="Y",INDEX(Properties!$I$5:$I$104,MATCH($B433,Properties!$A$5:$A$104,0))*Settings!$B$8*Settings!$B$9,0)+IF($H433="Y",Settings!$B$7*Settings!$B$9,0)+N($I433)*Settings!$B$9,IF($D433="Deep clean",INDEX(Settings!$E$22:$E$26,MATCH(MIN(INDEX(Properties!$E$5:$E$104,MATCH($B433,Properties!$A$5:$A$104,0)),4),Settings!$A$22:$A$26,0))*Settings!$B$19+N($I433)*Settings!$B$9,IF($D433="Late cancel",INDEX(Properties!$L$5:$L$104,MATCH($B433,Properties!$A$5:$A$104,0))*Settings!$B$11,0))),0))</f>
        <v/>
      </c>
      <c r="P433" s="28" t="str">
        <f aca="false">IF($B433="","",$N433-$O433)</f>
        <v/>
      </c>
      <c r="Q433" s="29" t="str">
        <f aca="false">IF($A433="","",DATE(YEAR($A433),MONTH($A433),1))</f>
        <v/>
      </c>
      <c r="R433" s="30" t="str">
        <f aca="false">IF($A433="","",$A433+MOD(6-WEEKDAY($A433),7))</f>
        <v/>
      </c>
      <c r="S433" s="31" t="str">
        <f aca="false">IF($B433="","",IF(AND($M433='Invoice Builder'!$C$5,$Q433='Invoice Builder'!$C$6,N($N433)&gt;0),COUNTIFS($M$5:$M433,'Invoice Builder'!$C$5,$Q$5:$Q433,'Invoice Builder'!$C$6,$N$5:$N433,"&gt;0"),""))</f>
        <v/>
      </c>
      <c r="T433" s="27" t="str">
        <f aca="false">IF($A433="","",IF($A433&gt;=DATE(YEAR($A433),4,6),YEAR($A433)&amp;"/"&amp;RIGHT(YEAR($A433)+1,2),YEAR($A433)-1&amp;"/"&amp;RIGHT(YEAR($A433),2)))</f>
        <v/>
      </c>
    </row>
    <row r="434" customFormat="false" ht="15" hidden="false" customHeight="false" outlineLevel="0" collapsed="false">
      <c r="A434" s="22"/>
      <c r="B434" s="23"/>
      <c r="C434" s="23"/>
      <c r="D434" s="23"/>
      <c r="E434" s="24"/>
      <c r="F434" s="24"/>
      <c r="G434" s="23"/>
      <c r="H434" s="23"/>
      <c r="I434" s="25"/>
      <c r="J434" s="23"/>
      <c r="K434" s="23"/>
      <c r="L434" s="26" t="str">
        <f aca="false">IF(OR($E434="",$F434=""),"",MOD($F434-$E434,1)*24)</f>
        <v/>
      </c>
      <c r="M434" s="27" t="str">
        <f aca="false">IF($B434="","",IFERROR(INDEX(Properties!$D$5:$D$104,MATCH($B434,Properties!$A$5:$A$104,0)),"?"))</f>
        <v/>
      </c>
      <c r="N434" s="28" t="str">
        <f aca="false">IF($B434="","",IFERROR(IF($D434="Completed",INDEX(Properties!$I$5:$I$104,MATCH($B434,Properties!$A$5:$A$104,0))*(1+IF($G434="Y",Settings!$B$8,0))+IF($H434="Y",Settings!$B$7,0)+N($I434),IF($D434="Deep clean",INDEX(Settings!$E$22:$E$26,MATCH(MIN(INDEX(Properties!$E$5:$E$104,MATCH($B434,Properties!$A$5:$A$104,0)),4),Settings!$A$22:$A$26,0))+N($I434),IF($D434="Late cancel",INDEX(Properties!$I$5:$I$104,MATCH($B434,Properties!$A$5:$A$104,0))*Settings!$B$10,0))),0))</f>
        <v/>
      </c>
      <c r="O434" s="28" t="str">
        <f aca="false">IF($B434="","",IFERROR(IF($D434="Completed",INDEX(Properties!$L$5:$L$104,MATCH($B434,Properties!$A$5:$A$104,0))+IF($G434="Y",INDEX(Properties!$I$5:$I$104,MATCH($B434,Properties!$A$5:$A$104,0))*Settings!$B$8*Settings!$B$9,0)+IF($H434="Y",Settings!$B$7*Settings!$B$9,0)+N($I434)*Settings!$B$9,IF($D434="Deep clean",INDEX(Settings!$E$22:$E$26,MATCH(MIN(INDEX(Properties!$E$5:$E$104,MATCH($B434,Properties!$A$5:$A$104,0)),4),Settings!$A$22:$A$26,0))*Settings!$B$19+N($I434)*Settings!$B$9,IF($D434="Late cancel",INDEX(Properties!$L$5:$L$104,MATCH($B434,Properties!$A$5:$A$104,0))*Settings!$B$11,0))),0))</f>
        <v/>
      </c>
      <c r="P434" s="28" t="str">
        <f aca="false">IF($B434="","",$N434-$O434)</f>
        <v/>
      </c>
      <c r="Q434" s="29" t="str">
        <f aca="false">IF($A434="","",DATE(YEAR($A434),MONTH($A434),1))</f>
        <v/>
      </c>
      <c r="R434" s="30" t="str">
        <f aca="false">IF($A434="","",$A434+MOD(6-WEEKDAY($A434),7))</f>
        <v/>
      </c>
      <c r="S434" s="31" t="str">
        <f aca="false">IF($B434="","",IF(AND($M434='Invoice Builder'!$C$5,$Q434='Invoice Builder'!$C$6,N($N434)&gt;0),COUNTIFS($M$5:$M434,'Invoice Builder'!$C$5,$Q$5:$Q434,'Invoice Builder'!$C$6,$N$5:$N434,"&gt;0"),""))</f>
        <v/>
      </c>
      <c r="T434" s="27" t="str">
        <f aca="false">IF($A434="","",IF($A434&gt;=DATE(YEAR($A434),4,6),YEAR($A434)&amp;"/"&amp;RIGHT(YEAR($A434)+1,2),YEAR($A434)-1&amp;"/"&amp;RIGHT(YEAR($A434),2)))</f>
        <v/>
      </c>
    </row>
    <row r="435" customFormat="false" ht="15" hidden="false" customHeight="false" outlineLevel="0" collapsed="false">
      <c r="A435" s="22"/>
      <c r="B435" s="23"/>
      <c r="C435" s="23"/>
      <c r="D435" s="23"/>
      <c r="E435" s="24"/>
      <c r="F435" s="24"/>
      <c r="G435" s="23"/>
      <c r="H435" s="23"/>
      <c r="I435" s="25"/>
      <c r="J435" s="23"/>
      <c r="K435" s="23"/>
      <c r="L435" s="26" t="str">
        <f aca="false">IF(OR($E435="",$F435=""),"",MOD($F435-$E435,1)*24)</f>
        <v/>
      </c>
      <c r="M435" s="27" t="str">
        <f aca="false">IF($B435="","",IFERROR(INDEX(Properties!$D$5:$D$104,MATCH($B435,Properties!$A$5:$A$104,0)),"?"))</f>
        <v/>
      </c>
      <c r="N435" s="28" t="str">
        <f aca="false">IF($B435="","",IFERROR(IF($D435="Completed",INDEX(Properties!$I$5:$I$104,MATCH($B435,Properties!$A$5:$A$104,0))*(1+IF($G435="Y",Settings!$B$8,0))+IF($H435="Y",Settings!$B$7,0)+N($I435),IF($D435="Deep clean",INDEX(Settings!$E$22:$E$26,MATCH(MIN(INDEX(Properties!$E$5:$E$104,MATCH($B435,Properties!$A$5:$A$104,0)),4),Settings!$A$22:$A$26,0))+N($I435),IF($D435="Late cancel",INDEX(Properties!$I$5:$I$104,MATCH($B435,Properties!$A$5:$A$104,0))*Settings!$B$10,0))),0))</f>
        <v/>
      </c>
      <c r="O435" s="28" t="str">
        <f aca="false">IF($B435="","",IFERROR(IF($D435="Completed",INDEX(Properties!$L$5:$L$104,MATCH($B435,Properties!$A$5:$A$104,0))+IF($G435="Y",INDEX(Properties!$I$5:$I$104,MATCH($B435,Properties!$A$5:$A$104,0))*Settings!$B$8*Settings!$B$9,0)+IF($H435="Y",Settings!$B$7*Settings!$B$9,0)+N($I435)*Settings!$B$9,IF($D435="Deep clean",INDEX(Settings!$E$22:$E$26,MATCH(MIN(INDEX(Properties!$E$5:$E$104,MATCH($B435,Properties!$A$5:$A$104,0)),4),Settings!$A$22:$A$26,0))*Settings!$B$19+N($I435)*Settings!$B$9,IF($D435="Late cancel",INDEX(Properties!$L$5:$L$104,MATCH($B435,Properties!$A$5:$A$104,0))*Settings!$B$11,0))),0))</f>
        <v/>
      </c>
      <c r="P435" s="28" t="str">
        <f aca="false">IF($B435="","",$N435-$O435)</f>
        <v/>
      </c>
      <c r="Q435" s="29" t="str">
        <f aca="false">IF($A435="","",DATE(YEAR($A435),MONTH($A435),1))</f>
        <v/>
      </c>
      <c r="R435" s="30" t="str">
        <f aca="false">IF($A435="","",$A435+MOD(6-WEEKDAY($A435),7))</f>
        <v/>
      </c>
      <c r="S435" s="31" t="str">
        <f aca="false">IF($B435="","",IF(AND($M435='Invoice Builder'!$C$5,$Q435='Invoice Builder'!$C$6,N($N435)&gt;0),COUNTIFS($M$5:$M435,'Invoice Builder'!$C$5,$Q$5:$Q435,'Invoice Builder'!$C$6,$N$5:$N435,"&gt;0"),""))</f>
        <v/>
      </c>
      <c r="T435" s="27" t="str">
        <f aca="false">IF($A435="","",IF($A435&gt;=DATE(YEAR($A435),4,6),YEAR($A435)&amp;"/"&amp;RIGHT(YEAR($A435)+1,2),YEAR($A435)-1&amp;"/"&amp;RIGHT(YEAR($A435),2)))</f>
        <v/>
      </c>
    </row>
    <row r="436" customFormat="false" ht="15" hidden="false" customHeight="false" outlineLevel="0" collapsed="false">
      <c r="A436" s="22"/>
      <c r="B436" s="23"/>
      <c r="C436" s="23"/>
      <c r="D436" s="23"/>
      <c r="E436" s="24"/>
      <c r="F436" s="24"/>
      <c r="G436" s="23"/>
      <c r="H436" s="23"/>
      <c r="I436" s="25"/>
      <c r="J436" s="23"/>
      <c r="K436" s="23"/>
      <c r="L436" s="26" t="str">
        <f aca="false">IF(OR($E436="",$F436=""),"",MOD($F436-$E436,1)*24)</f>
        <v/>
      </c>
      <c r="M436" s="27" t="str">
        <f aca="false">IF($B436="","",IFERROR(INDEX(Properties!$D$5:$D$104,MATCH($B436,Properties!$A$5:$A$104,0)),"?"))</f>
        <v/>
      </c>
      <c r="N436" s="28" t="str">
        <f aca="false">IF($B436="","",IFERROR(IF($D436="Completed",INDEX(Properties!$I$5:$I$104,MATCH($B436,Properties!$A$5:$A$104,0))*(1+IF($G436="Y",Settings!$B$8,0))+IF($H436="Y",Settings!$B$7,0)+N($I436),IF($D436="Deep clean",INDEX(Settings!$E$22:$E$26,MATCH(MIN(INDEX(Properties!$E$5:$E$104,MATCH($B436,Properties!$A$5:$A$104,0)),4),Settings!$A$22:$A$26,0))+N($I436),IF($D436="Late cancel",INDEX(Properties!$I$5:$I$104,MATCH($B436,Properties!$A$5:$A$104,0))*Settings!$B$10,0))),0))</f>
        <v/>
      </c>
      <c r="O436" s="28" t="str">
        <f aca="false">IF($B436="","",IFERROR(IF($D436="Completed",INDEX(Properties!$L$5:$L$104,MATCH($B436,Properties!$A$5:$A$104,0))+IF($G436="Y",INDEX(Properties!$I$5:$I$104,MATCH($B436,Properties!$A$5:$A$104,0))*Settings!$B$8*Settings!$B$9,0)+IF($H436="Y",Settings!$B$7*Settings!$B$9,0)+N($I436)*Settings!$B$9,IF($D436="Deep clean",INDEX(Settings!$E$22:$E$26,MATCH(MIN(INDEX(Properties!$E$5:$E$104,MATCH($B436,Properties!$A$5:$A$104,0)),4),Settings!$A$22:$A$26,0))*Settings!$B$19+N($I436)*Settings!$B$9,IF($D436="Late cancel",INDEX(Properties!$L$5:$L$104,MATCH($B436,Properties!$A$5:$A$104,0))*Settings!$B$11,0))),0))</f>
        <v/>
      </c>
      <c r="P436" s="28" t="str">
        <f aca="false">IF($B436="","",$N436-$O436)</f>
        <v/>
      </c>
      <c r="Q436" s="29" t="str">
        <f aca="false">IF($A436="","",DATE(YEAR($A436),MONTH($A436),1))</f>
        <v/>
      </c>
      <c r="R436" s="30" t="str">
        <f aca="false">IF($A436="","",$A436+MOD(6-WEEKDAY($A436),7))</f>
        <v/>
      </c>
      <c r="S436" s="31" t="str">
        <f aca="false">IF($B436="","",IF(AND($M436='Invoice Builder'!$C$5,$Q436='Invoice Builder'!$C$6,N($N436)&gt;0),COUNTIFS($M$5:$M436,'Invoice Builder'!$C$5,$Q$5:$Q436,'Invoice Builder'!$C$6,$N$5:$N436,"&gt;0"),""))</f>
        <v/>
      </c>
      <c r="T436" s="27" t="str">
        <f aca="false">IF($A436="","",IF($A436&gt;=DATE(YEAR($A436),4,6),YEAR($A436)&amp;"/"&amp;RIGHT(YEAR($A436)+1,2),YEAR($A436)-1&amp;"/"&amp;RIGHT(YEAR($A436),2)))</f>
        <v/>
      </c>
    </row>
    <row r="437" customFormat="false" ht="15" hidden="false" customHeight="false" outlineLevel="0" collapsed="false">
      <c r="A437" s="22"/>
      <c r="B437" s="23"/>
      <c r="C437" s="23"/>
      <c r="D437" s="23"/>
      <c r="E437" s="24"/>
      <c r="F437" s="24"/>
      <c r="G437" s="23"/>
      <c r="H437" s="23"/>
      <c r="I437" s="25"/>
      <c r="J437" s="23"/>
      <c r="K437" s="23"/>
      <c r="L437" s="26" t="str">
        <f aca="false">IF(OR($E437="",$F437=""),"",MOD($F437-$E437,1)*24)</f>
        <v/>
      </c>
      <c r="M437" s="27" t="str">
        <f aca="false">IF($B437="","",IFERROR(INDEX(Properties!$D$5:$D$104,MATCH($B437,Properties!$A$5:$A$104,0)),"?"))</f>
        <v/>
      </c>
      <c r="N437" s="28" t="str">
        <f aca="false">IF($B437="","",IFERROR(IF($D437="Completed",INDEX(Properties!$I$5:$I$104,MATCH($B437,Properties!$A$5:$A$104,0))*(1+IF($G437="Y",Settings!$B$8,0))+IF($H437="Y",Settings!$B$7,0)+N($I437),IF($D437="Deep clean",INDEX(Settings!$E$22:$E$26,MATCH(MIN(INDEX(Properties!$E$5:$E$104,MATCH($B437,Properties!$A$5:$A$104,0)),4),Settings!$A$22:$A$26,0))+N($I437),IF($D437="Late cancel",INDEX(Properties!$I$5:$I$104,MATCH($B437,Properties!$A$5:$A$104,0))*Settings!$B$10,0))),0))</f>
        <v/>
      </c>
      <c r="O437" s="28" t="str">
        <f aca="false">IF($B437="","",IFERROR(IF($D437="Completed",INDEX(Properties!$L$5:$L$104,MATCH($B437,Properties!$A$5:$A$104,0))+IF($G437="Y",INDEX(Properties!$I$5:$I$104,MATCH($B437,Properties!$A$5:$A$104,0))*Settings!$B$8*Settings!$B$9,0)+IF($H437="Y",Settings!$B$7*Settings!$B$9,0)+N($I437)*Settings!$B$9,IF($D437="Deep clean",INDEX(Settings!$E$22:$E$26,MATCH(MIN(INDEX(Properties!$E$5:$E$104,MATCH($B437,Properties!$A$5:$A$104,0)),4),Settings!$A$22:$A$26,0))*Settings!$B$19+N($I437)*Settings!$B$9,IF($D437="Late cancel",INDEX(Properties!$L$5:$L$104,MATCH($B437,Properties!$A$5:$A$104,0))*Settings!$B$11,0))),0))</f>
        <v/>
      </c>
      <c r="P437" s="28" t="str">
        <f aca="false">IF($B437="","",$N437-$O437)</f>
        <v/>
      </c>
      <c r="Q437" s="29" t="str">
        <f aca="false">IF($A437="","",DATE(YEAR($A437),MONTH($A437),1))</f>
        <v/>
      </c>
      <c r="R437" s="30" t="str">
        <f aca="false">IF($A437="","",$A437+MOD(6-WEEKDAY($A437),7))</f>
        <v/>
      </c>
      <c r="S437" s="31" t="str">
        <f aca="false">IF($B437="","",IF(AND($M437='Invoice Builder'!$C$5,$Q437='Invoice Builder'!$C$6,N($N437)&gt;0),COUNTIFS($M$5:$M437,'Invoice Builder'!$C$5,$Q$5:$Q437,'Invoice Builder'!$C$6,$N$5:$N437,"&gt;0"),""))</f>
        <v/>
      </c>
      <c r="T437" s="27" t="str">
        <f aca="false">IF($A437="","",IF($A437&gt;=DATE(YEAR($A437),4,6),YEAR($A437)&amp;"/"&amp;RIGHT(YEAR($A437)+1,2),YEAR($A437)-1&amp;"/"&amp;RIGHT(YEAR($A437),2)))</f>
        <v/>
      </c>
    </row>
    <row r="438" customFormat="false" ht="15" hidden="false" customHeight="false" outlineLevel="0" collapsed="false">
      <c r="A438" s="22"/>
      <c r="B438" s="23"/>
      <c r="C438" s="23"/>
      <c r="D438" s="23"/>
      <c r="E438" s="24"/>
      <c r="F438" s="24"/>
      <c r="G438" s="23"/>
      <c r="H438" s="23"/>
      <c r="I438" s="25"/>
      <c r="J438" s="23"/>
      <c r="K438" s="23"/>
      <c r="L438" s="26" t="str">
        <f aca="false">IF(OR($E438="",$F438=""),"",MOD($F438-$E438,1)*24)</f>
        <v/>
      </c>
      <c r="M438" s="27" t="str">
        <f aca="false">IF($B438="","",IFERROR(INDEX(Properties!$D$5:$D$104,MATCH($B438,Properties!$A$5:$A$104,0)),"?"))</f>
        <v/>
      </c>
      <c r="N438" s="28" t="str">
        <f aca="false">IF($B438="","",IFERROR(IF($D438="Completed",INDEX(Properties!$I$5:$I$104,MATCH($B438,Properties!$A$5:$A$104,0))*(1+IF($G438="Y",Settings!$B$8,0))+IF($H438="Y",Settings!$B$7,0)+N($I438),IF($D438="Deep clean",INDEX(Settings!$E$22:$E$26,MATCH(MIN(INDEX(Properties!$E$5:$E$104,MATCH($B438,Properties!$A$5:$A$104,0)),4),Settings!$A$22:$A$26,0))+N($I438),IF($D438="Late cancel",INDEX(Properties!$I$5:$I$104,MATCH($B438,Properties!$A$5:$A$104,0))*Settings!$B$10,0))),0))</f>
        <v/>
      </c>
      <c r="O438" s="28" t="str">
        <f aca="false">IF($B438="","",IFERROR(IF($D438="Completed",INDEX(Properties!$L$5:$L$104,MATCH($B438,Properties!$A$5:$A$104,0))+IF($G438="Y",INDEX(Properties!$I$5:$I$104,MATCH($B438,Properties!$A$5:$A$104,0))*Settings!$B$8*Settings!$B$9,0)+IF($H438="Y",Settings!$B$7*Settings!$B$9,0)+N($I438)*Settings!$B$9,IF($D438="Deep clean",INDEX(Settings!$E$22:$E$26,MATCH(MIN(INDEX(Properties!$E$5:$E$104,MATCH($B438,Properties!$A$5:$A$104,0)),4),Settings!$A$22:$A$26,0))*Settings!$B$19+N($I438)*Settings!$B$9,IF($D438="Late cancel",INDEX(Properties!$L$5:$L$104,MATCH($B438,Properties!$A$5:$A$104,0))*Settings!$B$11,0))),0))</f>
        <v/>
      </c>
      <c r="P438" s="28" t="str">
        <f aca="false">IF($B438="","",$N438-$O438)</f>
        <v/>
      </c>
      <c r="Q438" s="29" t="str">
        <f aca="false">IF($A438="","",DATE(YEAR($A438),MONTH($A438),1))</f>
        <v/>
      </c>
      <c r="R438" s="30" t="str">
        <f aca="false">IF($A438="","",$A438+MOD(6-WEEKDAY($A438),7))</f>
        <v/>
      </c>
      <c r="S438" s="31" t="str">
        <f aca="false">IF($B438="","",IF(AND($M438='Invoice Builder'!$C$5,$Q438='Invoice Builder'!$C$6,N($N438)&gt;0),COUNTIFS($M$5:$M438,'Invoice Builder'!$C$5,$Q$5:$Q438,'Invoice Builder'!$C$6,$N$5:$N438,"&gt;0"),""))</f>
        <v/>
      </c>
      <c r="T438" s="27" t="str">
        <f aca="false">IF($A438="","",IF($A438&gt;=DATE(YEAR($A438),4,6),YEAR($A438)&amp;"/"&amp;RIGHT(YEAR($A438)+1,2),YEAR($A438)-1&amp;"/"&amp;RIGHT(YEAR($A438),2)))</f>
        <v/>
      </c>
    </row>
    <row r="439" customFormat="false" ht="15" hidden="false" customHeight="false" outlineLevel="0" collapsed="false">
      <c r="A439" s="22"/>
      <c r="B439" s="23"/>
      <c r="C439" s="23"/>
      <c r="D439" s="23"/>
      <c r="E439" s="24"/>
      <c r="F439" s="24"/>
      <c r="G439" s="23"/>
      <c r="H439" s="23"/>
      <c r="I439" s="25"/>
      <c r="J439" s="23"/>
      <c r="K439" s="23"/>
      <c r="L439" s="26" t="str">
        <f aca="false">IF(OR($E439="",$F439=""),"",MOD($F439-$E439,1)*24)</f>
        <v/>
      </c>
      <c r="M439" s="27" t="str">
        <f aca="false">IF($B439="","",IFERROR(INDEX(Properties!$D$5:$D$104,MATCH($B439,Properties!$A$5:$A$104,0)),"?"))</f>
        <v/>
      </c>
      <c r="N439" s="28" t="str">
        <f aca="false">IF($B439="","",IFERROR(IF($D439="Completed",INDEX(Properties!$I$5:$I$104,MATCH($B439,Properties!$A$5:$A$104,0))*(1+IF($G439="Y",Settings!$B$8,0))+IF($H439="Y",Settings!$B$7,0)+N($I439),IF($D439="Deep clean",INDEX(Settings!$E$22:$E$26,MATCH(MIN(INDEX(Properties!$E$5:$E$104,MATCH($B439,Properties!$A$5:$A$104,0)),4),Settings!$A$22:$A$26,0))+N($I439),IF($D439="Late cancel",INDEX(Properties!$I$5:$I$104,MATCH($B439,Properties!$A$5:$A$104,0))*Settings!$B$10,0))),0))</f>
        <v/>
      </c>
      <c r="O439" s="28" t="str">
        <f aca="false">IF($B439="","",IFERROR(IF($D439="Completed",INDEX(Properties!$L$5:$L$104,MATCH($B439,Properties!$A$5:$A$104,0))+IF($G439="Y",INDEX(Properties!$I$5:$I$104,MATCH($B439,Properties!$A$5:$A$104,0))*Settings!$B$8*Settings!$B$9,0)+IF($H439="Y",Settings!$B$7*Settings!$B$9,0)+N($I439)*Settings!$B$9,IF($D439="Deep clean",INDEX(Settings!$E$22:$E$26,MATCH(MIN(INDEX(Properties!$E$5:$E$104,MATCH($B439,Properties!$A$5:$A$104,0)),4),Settings!$A$22:$A$26,0))*Settings!$B$19+N($I439)*Settings!$B$9,IF($D439="Late cancel",INDEX(Properties!$L$5:$L$104,MATCH($B439,Properties!$A$5:$A$104,0))*Settings!$B$11,0))),0))</f>
        <v/>
      </c>
      <c r="P439" s="28" t="str">
        <f aca="false">IF($B439="","",$N439-$O439)</f>
        <v/>
      </c>
      <c r="Q439" s="29" t="str">
        <f aca="false">IF($A439="","",DATE(YEAR($A439),MONTH($A439),1))</f>
        <v/>
      </c>
      <c r="R439" s="30" t="str">
        <f aca="false">IF($A439="","",$A439+MOD(6-WEEKDAY($A439),7))</f>
        <v/>
      </c>
      <c r="S439" s="31" t="str">
        <f aca="false">IF($B439="","",IF(AND($M439='Invoice Builder'!$C$5,$Q439='Invoice Builder'!$C$6,N($N439)&gt;0),COUNTIFS($M$5:$M439,'Invoice Builder'!$C$5,$Q$5:$Q439,'Invoice Builder'!$C$6,$N$5:$N439,"&gt;0"),""))</f>
        <v/>
      </c>
      <c r="T439" s="27" t="str">
        <f aca="false">IF($A439="","",IF($A439&gt;=DATE(YEAR($A439),4,6),YEAR($A439)&amp;"/"&amp;RIGHT(YEAR($A439)+1,2),YEAR($A439)-1&amp;"/"&amp;RIGHT(YEAR($A439),2)))</f>
        <v/>
      </c>
    </row>
    <row r="440" customFormat="false" ht="15" hidden="false" customHeight="false" outlineLevel="0" collapsed="false">
      <c r="A440" s="22"/>
      <c r="B440" s="23"/>
      <c r="C440" s="23"/>
      <c r="D440" s="23"/>
      <c r="E440" s="24"/>
      <c r="F440" s="24"/>
      <c r="G440" s="23"/>
      <c r="H440" s="23"/>
      <c r="I440" s="25"/>
      <c r="J440" s="23"/>
      <c r="K440" s="23"/>
      <c r="L440" s="26" t="str">
        <f aca="false">IF(OR($E440="",$F440=""),"",MOD($F440-$E440,1)*24)</f>
        <v/>
      </c>
      <c r="M440" s="27" t="str">
        <f aca="false">IF($B440="","",IFERROR(INDEX(Properties!$D$5:$D$104,MATCH($B440,Properties!$A$5:$A$104,0)),"?"))</f>
        <v/>
      </c>
      <c r="N440" s="28" t="str">
        <f aca="false">IF($B440="","",IFERROR(IF($D440="Completed",INDEX(Properties!$I$5:$I$104,MATCH($B440,Properties!$A$5:$A$104,0))*(1+IF($G440="Y",Settings!$B$8,0))+IF($H440="Y",Settings!$B$7,0)+N($I440),IF($D440="Deep clean",INDEX(Settings!$E$22:$E$26,MATCH(MIN(INDEX(Properties!$E$5:$E$104,MATCH($B440,Properties!$A$5:$A$104,0)),4),Settings!$A$22:$A$26,0))+N($I440),IF($D440="Late cancel",INDEX(Properties!$I$5:$I$104,MATCH($B440,Properties!$A$5:$A$104,0))*Settings!$B$10,0))),0))</f>
        <v/>
      </c>
      <c r="O440" s="28" t="str">
        <f aca="false">IF($B440="","",IFERROR(IF($D440="Completed",INDEX(Properties!$L$5:$L$104,MATCH($B440,Properties!$A$5:$A$104,0))+IF($G440="Y",INDEX(Properties!$I$5:$I$104,MATCH($B440,Properties!$A$5:$A$104,0))*Settings!$B$8*Settings!$B$9,0)+IF($H440="Y",Settings!$B$7*Settings!$B$9,0)+N($I440)*Settings!$B$9,IF($D440="Deep clean",INDEX(Settings!$E$22:$E$26,MATCH(MIN(INDEX(Properties!$E$5:$E$104,MATCH($B440,Properties!$A$5:$A$104,0)),4),Settings!$A$22:$A$26,0))*Settings!$B$19+N($I440)*Settings!$B$9,IF($D440="Late cancel",INDEX(Properties!$L$5:$L$104,MATCH($B440,Properties!$A$5:$A$104,0))*Settings!$B$11,0))),0))</f>
        <v/>
      </c>
      <c r="P440" s="28" t="str">
        <f aca="false">IF($B440="","",$N440-$O440)</f>
        <v/>
      </c>
      <c r="Q440" s="29" t="str">
        <f aca="false">IF($A440="","",DATE(YEAR($A440),MONTH($A440),1))</f>
        <v/>
      </c>
      <c r="R440" s="30" t="str">
        <f aca="false">IF($A440="","",$A440+MOD(6-WEEKDAY($A440),7))</f>
        <v/>
      </c>
      <c r="S440" s="31" t="str">
        <f aca="false">IF($B440="","",IF(AND($M440='Invoice Builder'!$C$5,$Q440='Invoice Builder'!$C$6,N($N440)&gt;0),COUNTIFS($M$5:$M440,'Invoice Builder'!$C$5,$Q$5:$Q440,'Invoice Builder'!$C$6,$N$5:$N440,"&gt;0"),""))</f>
        <v/>
      </c>
      <c r="T440" s="27" t="str">
        <f aca="false">IF($A440="","",IF($A440&gt;=DATE(YEAR($A440),4,6),YEAR($A440)&amp;"/"&amp;RIGHT(YEAR($A440)+1,2),YEAR($A440)-1&amp;"/"&amp;RIGHT(YEAR($A440),2)))</f>
        <v/>
      </c>
    </row>
    <row r="441" customFormat="false" ht="15" hidden="false" customHeight="false" outlineLevel="0" collapsed="false">
      <c r="A441" s="22"/>
      <c r="B441" s="23"/>
      <c r="C441" s="23"/>
      <c r="D441" s="23"/>
      <c r="E441" s="24"/>
      <c r="F441" s="24"/>
      <c r="G441" s="23"/>
      <c r="H441" s="23"/>
      <c r="I441" s="25"/>
      <c r="J441" s="23"/>
      <c r="K441" s="23"/>
      <c r="L441" s="26" t="str">
        <f aca="false">IF(OR($E441="",$F441=""),"",MOD($F441-$E441,1)*24)</f>
        <v/>
      </c>
      <c r="M441" s="27" t="str">
        <f aca="false">IF($B441="","",IFERROR(INDEX(Properties!$D$5:$D$104,MATCH($B441,Properties!$A$5:$A$104,0)),"?"))</f>
        <v/>
      </c>
      <c r="N441" s="28" t="str">
        <f aca="false">IF($B441="","",IFERROR(IF($D441="Completed",INDEX(Properties!$I$5:$I$104,MATCH($B441,Properties!$A$5:$A$104,0))*(1+IF($G441="Y",Settings!$B$8,0))+IF($H441="Y",Settings!$B$7,0)+N($I441),IF($D441="Deep clean",INDEX(Settings!$E$22:$E$26,MATCH(MIN(INDEX(Properties!$E$5:$E$104,MATCH($B441,Properties!$A$5:$A$104,0)),4),Settings!$A$22:$A$26,0))+N($I441),IF($D441="Late cancel",INDEX(Properties!$I$5:$I$104,MATCH($B441,Properties!$A$5:$A$104,0))*Settings!$B$10,0))),0))</f>
        <v/>
      </c>
      <c r="O441" s="28" t="str">
        <f aca="false">IF($B441="","",IFERROR(IF($D441="Completed",INDEX(Properties!$L$5:$L$104,MATCH($B441,Properties!$A$5:$A$104,0))+IF($G441="Y",INDEX(Properties!$I$5:$I$104,MATCH($B441,Properties!$A$5:$A$104,0))*Settings!$B$8*Settings!$B$9,0)+IF($H441="Y",Settings!$B$7*Settings!$B$9,0)+N($I441)*Settings!$B$9,IF($D441="Deep clean",INDEX(Settings!$E$22:$E$26,MATCH(MIN(INDEX(Properties!$E$5:$E$104,MATCH($B441,Properties!$A$5:$A$104,0)),4),Settings!$A$22:$A$26,0))*Settings!$B$19+N($I441)*Settings!$B$9,IF($D441="Late cancel",INDEX(Properties!$L$5:$L$104,MATCH($B441,Properties!$A$5:$A$104,0))*Settings!$B$11,0))),0))</f>
        <v/>
      </c>
      <c r="P441" s="28" t="str">
        <f aca="false">IF($B441="","",$N441-$O441)</f>
        <v/>
      </c>
      <c r="Q441" s="29" t="str">
        <f aca="false">IF($A441="","",DATE(YEAR($A441),MONTH($A441),1))</f>
        <v/>
      </c>
      <c r="R441" s="30" t="str">
        <f aca="false">IF($A441="","",$A441+MOD(6-WEEKDAY($A441),7))</f>
        <v/>
      </c>
      <c r="S441" s="31" t="str">
        <f aca="false">IF($B441="","",IF(AND($M441='Invoice Builder'!$C$5,$Q441='Invoice Builder'!$C$6,N($N441)&gt;0),COUNTIFS($M$5:$M441,'Invoice Builder'!$C$5,$Q$5:$Q441,'Invoice Builder'!$C$6,$N$5:$N441,"&gt;0"),""))</f>
        <v/>
      </c>
      <c r="T441" s="27" t="str">
        <f aca="false">IF($A441="","",IF($A441&gt;=DATE(YEAR($A441),4,6),YEAR($A441)&amp;"/"&amp;RIGHT(YEAR($A441)+1,2),YEAR($A441)-1&amp;"/"&amp;RIGHT(YEAR($A441),2)))</f>
        <v/>
      </c>
    </row>
    <row r="442" customFormat="false" ht="15" hidden="false" customHeight="false" outlineLevel="0" collapsed="false">
      <c r="A442" s="22"/>
      <c r="B442" s="23"/>
      <c r="C442" s="23"/>
      <c r="D442" s="23"/>
      <c r="E442" s="24"/>
      <c r="F442" s="24"/>
      <c r="G442" s="23"/>
      <c r="H442" s="23"/>
      <c r="I442" s="25"/>
      <c r="J442" s="23"/>
      <c r="K442" s="23"/>
      <c r="L442" s="26" t="str">
        <f aca="false">IF(OR($E442="",$F442=""),"",MOD($F442-$E442,1)*24)</f>
        <v/>
      </c>
      <c r="M442" s="27" t="str">
        <f aca="false">IF($B442="","",IFERROR(INDEX(Properties!$D$5:$D$104,MATCH($B442,Properties!$A$5:$A$104,0)),"?"))</f>
        <v/>
      </c>
      <c r="N442" s="28" t="str">
        <f aca="false">IF($B442="","",IFERROR(IF($D442="Completed",INDEX(Properties!$I$5:$I$104,MATCH($B442,Properties!$A$5:$A$104,0))*(1+IF($G442="Y",Settings!$B$8,0))+IF($H442="Y",Settings!$B$7,0)+N($I442),IF($D442="Deep clean",INDEX(Settings!$E$22:$E$26,MATCH(MIN(INDEX(Properties!$E$5:$E$104,MATCH($B442,Properties!$A$5:$A$104,0)),4),Settings!$A$22:$A$26,0))+N($I442),IF($D442="Late cancel",INDEX(Properties!$I$5:$I$104,MATCH($B442,Properties!$A$5:$A$104,0))*Settings!$B$10,0))),0))</f>
        <v/>
      </c>
      <c r="O442" s="28" t="str">
        <f aca="false">IF($B442="","",IFERROR(IF($D442="Completed",INDEX(Properties!$L$5:$L$104,MATCH($B442,Properties!$A$5:$A$104,0))+IF($G442="Y",INDEX(Properties!$I$5:$I$104,MATCH($B442,Properties!$A$5:$A$104,0))*Settings!$B$8*Settings!$B$9,0)+IF($H442="Y",Settings!$B$7*Settings!$B$9,0)+N($I442)*Settings!$B$9,IF($D442="Deep clean",INDEX(Settings!$E$22:$E$26,MATCH(MIN(INDEX(Properties!$E$5:$E$104,MATCH($B442,Properties!$A$5:$A$104,0)),4),Settings!$A$22:$A$26,0))*Settings!$B$19+N($I442)*Settings!$B$9,IF($D442="Late cancel",INDEX(Properties!$L$5:$L$104,MATCH($B442,Properties!$A$5:$A$104,0))*Settings!$B$11,0))),0))</f>
        <v/>
      </c>
      <c r="P442" s="28" t="str">
        <f aca="false">IF($B442="","",$N442-$O442)</f>
        <v/>
      </c>
      <c r="Q442" s="29" t="str">
        <f aca="false">IF($A442="","",DATE(YEAR($A442),MONTH($A442),1))</f>
        <v/>
      </c>
      <c r="R442" s="30" t="str">
        <f aca="false">IF($A442="","",$A442+MOD(6-WEEKDAY($A442),7))</f>
        <v/>
      </c>
      <c r="S442" s="31" t="str">
        <f aca="false">IF($B442="","",IF(AND($M442='Invoice Builder'!$C$5,$Q442='Invoice Builder'!$C$6,N($N442)&gt;0),COUNTIFS($M$5:$M442,'Invoice Builder'!$C$5,$Q$5:$Q442,'Invoice Builder'!$C$6,$N$5:$N442,"&gt;0"),""))</f>
        <v/>
      </c>
      <c r="T442" s="27" t="str">
        <f aca="false">IF($A442="","",IF($A442&gt;=DATE(YEAR($A442),4,6),YEAR($A442)&amp;"/"&amp;RIGHT(YEAR($A442)+1,2),YEAR($A442)-1&amp;"/"&amp;RIGHT(YEAR($A442),2)))</f>
        <v/>
      </c>
    </row>
    <row r="443" customFormat="false" ht="15" hidden="false" customHeight="false" outlineLevel="0" collapsed="false">
      <c r="A443" s="22"/>
      <c r="B443" s="23"/>
      <c r="C443" s="23"/>
      <c r="D443" s="23"/>
      <c r="E443" s="24"/>
      <c r="F443" s="24"/>
      <c r="G443" s="23"/>
      <c r="H443" s="23"/>
      <c r="I443" s="25"/>
      <c r="J443" s="23"/>
      <c r="K443" s="23"/>
      <c r="L443" s="26" t="str">
        <f aca="false">IF(OR($E443="",$F443=""),"",MOD($F443-$E443,1)*24)</f>
        <v/>
      </c>
      <c r="M443" s="27" t="str">
        <f aca="false">IF($B443="","",IFERROR(INDEX(Properties!$D$5:$D$104,MATCH($B443,Properties!$A$5:$A$104,0)),"?"))</f>
        <v/>
      </c>
      <c r="N443" s="28" t="str">
        <f aca="false">IF($B443="","",IFERROR(IF($D443="Completed",INDEX(Properties!$I$5:$I$104,MATCH($B443,Properties!$A$5:$A$104,0))*(1+IF($G443="Y",Settings!$B$8,0))+IF($H443="Y",Settings!$B$7,0)+N($I443),IF($D443="Deep clean",INDEX(Settings!$E$22:$E$26,MATCH(MIN(INDEX(Properties!$E$5:$E$104,MATCH($B443,Properties!$A$5:$A$104,0)),4),Settings!$A$22:$A$26,0))+N($I443),IF($D443="Late cancel",INDEX(Properties!$I$5:$I$104,MATCH($B443,Properties!$A$5:$A$104,0))*Settings!$B$10,0))),0))</f>
        <v/>
      </c>
      <c r="O443" s="28" t="str">
        <f aca="false">IF($B443="","",IFERROR(IF($D443="Completed",INDEX(Properties!$L$5:$L$104,MATCH($B443,Properties!$A$5:$A$104,0))+IF($G443="Y",INDEX(Properties!$I$5:$I$104,MATCH($B443,Properties!$A$5:$A$104,0))*Settings!$B$8*Settings!$B$9,0)+IF($H443="Y",Settings!$B$7*Settings!$B$9,0)+N($I443)*Settings!$B$9,IF($D443="Deep clean",INDEX(Settings!$E$22:$E$26,MATCH(MIN(INDEX(Properties!$E$5:$E$104,MATCH($B443,Properties!$A$5:$A$104,0)),4),Settings!$A$22:$A$26,0))*Settings!$B$19+N($I443)*Settings!$B$9,IF($D443="Late cancel",INDEX(Properties!$L$5:$L$104,MATCH($B443,Properties!$A$5:$A$104,0))*Settings!$B$11,0))),0))</f>
        <v/>
      </c>
      <c r="P443" s="28" t="str">
        <f aca="false">IF($B443="","",$N443-$O443)</f>
        <v/>
      </c>
      <c r="Q443" s="29" t="str">
        <f aca="false">IF($A443="","",DATE(YEAR($A443),MONTH($A443),1))</f>
        <v/>
      </c>
      <c r="R443" s="30" t="str">
        <f aca="false">IF($A443="","",$A443+MOD(6-WEEKDAY($A443),7))</f>
        <v/>
      </c>
      <c r="S443" s="31" t="str">
        <f aca="false">IF($B443="","",IF(AND($M443='Invoice Builder'!$C$5,$Q443='Invoice Builder'!$C$6,N($N443)&gt;0),COUNTIFS($M$5:$M443,'Invoice Builder'!$C$5,$Q$5:$Q443,'Invoice Builder'!$C$6,$N$5:$N443,"&gt;0"),""))</f>
        <v/>
      </c>
      <c r="T443" s="27" t="str">
        <f aca="false">IF($A443="","",IF($A443&gt;=DATE(YEAR($A443),4,6),YEAR($A443)&amp;"/"&amp;RIGHT(YEAR($A443)+1,2),YEAR($A443)-1&amp;"/"&amp;RIGHT(YEAR($A443),2)))</f>
        <v/>
      </c>
    </row>
    <row r="444" customFormat="false" ht="15" hidden="false" customHeight="false" outlineLevel="0" collapsed="false">
      <c r="A444" s="22"/>
      <c r="B444" s="23"/>
      <c r="C444" s="23"/>
      <c r="D444" s="23"/>
      <c r="E444" s="24"/>
      <c r="F444" s="24"/>
      <c r="G444" s="23"/>
      <c r="H444" s="23"/>
      <c r="I444" s="25"/>
      <c r="J444" s="23"/>
      <c r="K444" s="23"/>
      <c r="L444" s="26" t="str">
        <f aca="false">IF(OR($E444="",$F444=""),"",MOD($F444-$E444,1)*24)</f>
        <v/>
      </c>
      <c r="M444" s="27" t="str">
        <f aca="false">IF($B444="","",IFERROR(INDEX(Properties!$D$5:$D$104,MATCH($B444,Properties!$A$5:$A$104,0)),"?"))</f>
        <v/>
      </c>
      <c r="N444" s="28" t="str">
        <f aca="false">IF($B444="","",IFERROR(IF($D444="Completed",INDEX(Properties!$I$5:$I$104,MATCH($B444,Properties!$A$5:$A$104,0))*(1+IF($G444="Y",Settings!$B$8,0))+IF($H444="Y",Settings!$B$7,0)+N($I444),IF($D444="Deep clean",INDEX(Settings!$E$22:$E$26,MATCH(MIN(INDEX(Properties!$E$5:$E$104,MATCH($B444,Properties!$A$5:$A$104,0)),4),Settings!$A$22:$A$26,0))+N($I444),IF($D444="Late cancel",INDEX(Properties!$I$5:$I$104,MATCH($B444,Properties!$A$5:$A$104,0))*Settings!$B$10,0))),0))</f>
        <v/>
      </c>
      <c r="O444" s="28" t="str">
        <f aca="false">IF($B444="","",IFERROR(IF($D444="Completed",INDEX(Properties!$L$5:$L$104,MATCH($B444,Properties!$A$5:$A$104,0))+IF($G444="Y",INDEX(Properties!$I$5:$I$104,MATCH($B444,Properties!$A$5:$A$104,0))*Settings!$B$8*Settings!$B$9,0)+IF($H444="Y",Settings!$B$7*Settings!$B$9,0)+N($I444)*Settings!$B$9,IF($D444="Deep clean",INDEX(Settings!$E$22:$E$26,MATCH(MIN(INDEX(Properties!$E$5:$E$104,MATCH($B444,Properties!$A$5:$A$104,0)),4),Settings!$A$22:$A$26,0))*Settings!$B$19+N($I444)*Settings!$B$9,IF($D444="Late cancel",INDEX(Properties!$L$5:$L$104,MATCH($B444,Properties!$A$5:$A$104,0))*Settings!$B$11,0))),0))</f>
        <v/>
      </c>
      <c r="P444" s="28" t="str">
        <f aca="false">IF($B444="","",$N444-$O444)</f>
        <v/>
      </c>
      <c r="Q444" s="29" t="str">
        <f aca="false">IF($A444="","",DATE(YEAR($A444),MONTH($A444),1))</f>
        <v/>
      </c>
      <c r="R444" s="30" t="str">
        <f aca="false">IF($A444="","",$A444+MOD(6-WEEKDAY($A444),7))</f>
        <v/>
      </c>
      <c r="S444" s="31" t="str">
        <f aca="false">IF($B444="","",IF(AND($M444='Invoice Builder'!$C$5,$Q444='Invoice Builder'!$C$6,N($N444)&gt;0),COUNTIFS($M$5:$M444,'Invoice Builder'!$C$5,$Q$5:$Q444,'Invoice Builder'!$C$6,$N$5:$N444,"&gt;0"),""))</f>
        <v/>
      </c>
      <c r="T444" s="27" t="str">
        <f aca="false">IF($A444="","",IF($A444&gt;=DATE(YEAR($A444),4,6),YEAR($A444)&amp;"/"&amp;RIGHT(YEAR($A444)+1,2),YEAR($A444)-1&amp;"/"&amp;RIGHT(YEAR($A444),2)))</f>
        <v/>
      </c>
    </row>
    <row r="445" customFormat="false" ht="15" hidden="false" customHeight="false" outlineLevel="0" collapsed="false">
      <c r="A445" s="22"/>
      <c r="B445" s="23"/>
      <c r="C445" s="23"/>
      <c r="D445" s="23"/>
      <c r="E445" s="24"/>
      <c r="F445" s="24"/>
      <c r="G445" s="23"/>
      <c r="H445" s="23"/>
      <c r="I445" s="25"/>
      <c r="J445" s="23"/>
      <c r="K445" s="23"/>
      <c r="L445" s="26" t="str">
        <f aca="false">IF(OR($E445="",$F445=""),"",MOD($F445-$E445,1)*24)</f>
        <v/>
      </c>
      <c r="M445" s="27" t="str">
        <f aca="false">IF($B445="","",IFERROR(INDEX(Properties!$D$5:$D$104,MATCH($B445,Properties!$A$5:$A$104,0)),"?"))</f>
        <v/>
      </c>
      <c r="N445" s="28" t="str">
        <f aca="false">IF($B445="","",IFERROR(IF($D445="Completed",INDEX(Properties!$I$5:$I$104,MATCH($B445,Properties!$A$5:$A$104,0))*(1+IF($G445="Y",Settings!$B$8,0))+IF($H445="Y",Settings!$B$7,0)+N($I445),IF($D445="Deep clean",INDEX(Settings!$E$22:$E$26,MATCH(MIN(INDEX(Properties!$E$5:$E$104,MATCH($B445,Properties!$A$5:$A$104,0)),4),Settings!$A$22:$A$26,0))+N($I445),IF($D445="Late cancel",INDEX(Properties!$I$5:$I$104,MATCH($B445,Properties!$A$5:$A$104,0))*Settings!$B$10,0))),0))</f>
        <v/>
      </c>
      <c r="O445" s="28" t="str">
        <f aca="false">IF($B445="","",IFERROR(IF($D445="Completed",INDEX(Properties!$L$5:$L$104,MATCH($B445,Properties!$A$5:$A$104,0))+IF($G445="Y",INDEX(Properties!$I$5:$I$104,MATCH($B445,Properties!$A$5:$A$104,0))*Settings!$B$8*Settings!$B$9,0)+IF($H445="Y",Settings!$B$7*Settings!$B$9,0)+N($I445)*Settings!$B$9,IF($D445="Deep clean",INDEX(Settings!$E$22:$E$26,MATCH(MIN(INDEX(Properties!$E$5:$E$104,MATCH($B445,Properties!$A$5:$A$104,0)),4),Settings!$A$22:$A$26,0))*Settings!$B$19+N($I445)*Settings!$B$9,IF($D445="Late cancel",INDEX(Properties!$L$5:$L$104,MATCH($B445,Properties!$A$5:$A$104,0))*Settings!$B$11,0))),0))</f>
        <v/>
      </c>
      <c r="P445" s="28" t="str">
        <f aca="false">IF($B445="","",$N445-$O445)</f>
        <v/>
      </c>
      <c r="Q445" s="29" t="str">
        <f aca="false">IF($A445="","",DATE(YEAR($A445),MONTH($A445),1))</f>
        <v/>
      </c>
      <c r="R445" s="30" t="str">
        <f aca="false">IF($A445="","",$A445+MOD(6-WEEKDAY($A445),7))</f>
        <v/>
      </c>
      <c r="S445" s="31" t="str">
        <f aca="false">IF($B445="","",IF(AND($M445='Invoice Builder'!$C$5,$Q445='Invoice Builder'!$C$6,N($N445)&gt;0),COUNTIFS($M$5:$M445,'Invoice Builder'!$C$5,$Q$5:$Q445,'Invoice Builder'!$C$6,$N$5:$N445,"&gt;0"),""))</f>
        <v/>
      </c>
      <c r="T445" s="27" t="str">
        <f aca="false">IF($A445="","",IF($A445&gt;=DATE(YEAR($A445),4,6),YEAR($A445)&amp;"/"&amp;RIGHT(YEAR($A445)+1,2),YEAR($A445)-1&amp;"/"&amp;RIGHT(YEAR($A445),2)))</f>
        <v/>
      </c>
    </row>
    <row r="446" customFormat="false" ht="15" hidden="false" customHeight="false" outlineLevel="0" collapsed="false">
      <c r="A446" s="22"/>
      <c r="B446" s="23"/>
      <c r="C446" s="23"/>
      <c r="D446" s="23"/>
      <c r="E446" s="24"/>
      <c r="F446" s="24"/>
      <c r="G446" s="23"/>
      <c r="H446" s="23"/>
      <c r="I446" s="25"/>
      <c r="J446" s="23"/>
      <c r="K446" s="23"/>
      <c r="L446" s="26" t="str">
        <f aca="false">IF(OR($E446="",$F446=""),"",MOD($F446-$E446,1)*24)</f>
        <v/>
      </c>
      <c r="M446" s="27" t="str">
        <f aca="false">IF($B446="","",IFERROR(INDEX(Properties!$D$5:$D$104,MATCH($B446,Properties!$A$5:$A$104,0)),"?"))</f>
        <v/>
      </c>
      <c r="N446" s="28" t="str">
        <f aca="false">IF($B446="","",IFERROR(IF($D446="Completed",INDEX(Properties!$I$5:$I$104,MATCH($B446,Properties!$A$5:$A$104,0))*(1+IF($G446="Y",Settings!$B$8,0))+IF($H446="Y",Settings!$B$7,0)+N($I446),IF($D446="Deep clean",INDEX(Settings!$E$22:$E$26,MATCH(MIN(INDEX(Properties!$E$5:$E$104,MATCH($B446,Properties!$A$5:$A$104,0)),4),Settings!$A$22:$A$26,0))+N($I446),IF($D446="Late cancel",INDEX(Properties!$I$5:$I$104,MATCH($B446,Properties!$A$5:$A$104,0))*Settings!$B$10,0))),0))</f>
        <v/>
      </c>
      <c r="O446" s="28" t="str">
        <f aca="false">IF($B446="","",IFERROR(IF($D446="Completed",INDEX(Properties!$L$5:$L$104,MATCH($B446,Properties!$A$5:$A$104,0))+IF($G446="Y",INDEX(Properties!$I$5:$I$104,MATCH($B446,Properties!$A$5:$A$104,0))*Settings!$B$8*Settings!$B$9,0)+IF($H446="Y",Settings!$B$7*Settings!$B$9,0)+N($I446)*Settings!$B$9,IF($D446="Deep clean",INDEX(Settings!$E$22:$E$26,MATCH(MIN(INDEX(Properties!$E$5:$E$104,MATCH($B446,Properties!$A$5:$A$104,0)),4),Settings!$A$22:$A$26,0))*Settings!$B$19+N($I446)*Settings!$B$9,IF($D446="Late cancel",INDEX(Properties!$L$5:$L$104,MATCH($B446,Properties!$A$5:$A$104,0))*Settings!$B$11,0))),0))</f>
        <v/>
      </c>
      <c r="P446" s="28" t="str">
        <f aca="false">IF($B446="","",$N446-$O446)</f>
        <v/>
      </c>
      <c r="Q446" s="29" t="str">
        <f aca="false">IF($A446="","",DATE(YEAR($A446),MONTH($A446),1))</f>
        <v/>
      </c>
      <c r="R446" s="30" t="str">
        <f aca="false">IF($A446="","",$A446+MOD(6-WEEKDAY($A446),7))</f>
        <v/>
      </c>
      <c r="S446" s="31" t="str">
        <f aca="false">IF($B446="","",IF(AND($M446='Invoice Builder'!$C$5,$Q446='Invoice Builder'!$C$6,N($N446)&gt;0),COUNTIFS($M$5:$M446,'Invoice Builder'!$C$5,$Q$5:$Q446,'Invoice Builder'!$C$6,$N$5:$N446,"&gt;0"),""))</f>
        <v/>
      </c>
      <c r="T446" s="27" t="str">
        <f aca="false">IF($A446="","",IF($A446&gt;=DATE(YEAR($A446),4,6),YEAR($A446)&amp;"/"&amp;RIGHT(YEAR($A446)+1,2),YEAR($A446)-1&amp;"/"&amp;RIGHT(YEAR($A446),2)))</f>
        <v/>
      </c>
    </row>
    <row r="447" customFormat="false" ht="15" hidden="false" customHeight="false" outlineLevel="0" collapsed="false">
      <c r="A447" s="22"/>
      <c r="B447" s="23"/>
      <c r="C447" s="23"/>
      <c r="D447" s="23"/>
      <c r="E447" s="24"/>
      <c r="F447" s="24"/>
      <c r="G447" s="23"/>
      <c r="H447" s="23"/>
      <c r="I447" s="25"/>
      <c r="J447" s="23"/>
      <c r="K447" s="23"/>
      <c r="L447" s="26" t="str">
        <f aca="false">IF(OR($E447="",$F447=""),"",MOD($F447-$E447,1)*24)</f>
        <v/>
      </c>
      <c r="M447" s="27" t="str">
        <f aca="false">IF($B447="","",IFERROR(INDEX(Properties!$D$5:$D$104,MATCH($B447,Properties!$A$5:$A$104,0)),"?"))</f>
        <v/>
      </c>
      <c r="N447" s="28" t="str">
        <f aca="false">IF($B447="","",IFERROR(IF($D447="Completed",INDEX(Properties!$I$5:$I$104,MATCH($B447,Properties!$A$5:$A$104,0))*(1+IF($G447="Y",Settings!$B$8,0))+IF($H447="Y",Settings!$B$7,0)+N($I447),IF($D447="Deep clean",INDEX(Settings!$E$22:$E$26,MATCH(MIN(INDEX(Properties!$E$5:$E$104,MATCH($B447,Properties!$A$5:$A$104,0)),4),Settings!$A$22:$A$26,0))+N($I447),IF($D447="Late cancel",INDEX(Properties!$I$5:$I$104,MATCH($B447,Properties!$A$5:$A$104,0))*Settings!$B$10,0))),0))</f>
        <v/>
      </c>
      <c r="O447" s="28" t="str">
        <f aca="false">IF($B447="","",IFERROR(IF($D447="Completed",INDEX(Properties!$L$5:$L$104,MATCH($B447,Properties!$A$5:$A$104,0))+IF($G447="Y",INDEX(Properties!$I$5:$I$104,MATCH($B447,Properties!$A$5:$A$104,0))*Settings!$B$8*Settings!$B$9,0)+IF($H447="Y",Settings!$B$7*Settings!$B$9,0)+N($I447)*Settings!$B$9,IF($D447="Deep clean",INDEX(Settings!$E$22:$E$26,MATCH(MIN(INDEX(Properties!$E$5:$E$104,MATCH($B447,Properties!$A$5:$A$104,0)),4),Settings!$A$22:$A$26,0))*Settings!$B$19+N($I447)*Settings!$B$9,IF($D447="Late cancel",INDEX(Properties!$L$5:$L$104,MATCH($B447,Properties!$A$5:$A$104,0))*Settings!$B$11,0))),0))</f>
        <v/>
      </c>
      <c r="P447" s="28" t="str">
        <f aca="false">IF($B447="","",$N447-$O447)</f>
        <v/>
      </c>
      <c r="Q447" s="29" t="str">
        <f aca="false">IF($A447="","",DATE(YEAR($A447),MONTH($A447),1))</f>
        <v/>
      </c>
      <c r="R447" s="30" t="str">
        <f aca="false">IF($A447="","",$A447+MOD(6-WEEKDAY($A447),7))</f>
        <v/>
      </c>
      <c r="S447" s="31" t="str">
        <f aca="false">IF($B447="","",IF(AND($M447='Invoice Builder'!$C$5,$Q447='Invoice Builder'!$C$6,N($N447)&gt;0),COUNTIFS($M$5:$M447,'Invoice Builder'!$C$5,$Q$5:$Q447,'Invoice Builder'!$C$6,$N$5:$N447,"&gt;0"),""))</f>
        <v/>
      </c>
      <c r="T447" s="27" t="str">
        <f aca="false">IF($A447="","",IF($A447&gt;=DATE(YEAR($A447),4,6),YEAR($A447)&amp;"/"&amp;RIGHT(YEAR($A447)+1,2),YEAR($A447)-1&amp;"/"&amp;RIGHT(YEAR($A447),2)))</f>
        <v/>
      </c>
    </row>
    <row r="448" customFormat="false" ht="15" hidden="false" customHeight="false" outlineLevel="0" collapsed="false">
      <c r="A448" s="22"/>
      <c r="B448" s="23"/>
      <c r="C448" s="23"/>
      <c r="D448" s="23"/>
      <c r="E448" s="24"/>
      <c r="F448" s="24"/>
      <c r="G448" s="23"/>
      <c r="H448" s="23"/>
      <c r="I448" s="25"/>
      <c r="J448" s="23"/>
      <c r="K448" s="23"/>
      <c r="L448" s="26" t="str">
        <f aca="false">IF(OR($E448="",$F448=""),"",MOD($F448-$E448,1)*24)</f>
        <v/>
      </c>
      <c r="M448" s="27" t="str">
        <f aca="false">IF($B448="","",IFERROR(INDEX(Properties!$D$5:$D$104,MATCH($B448,Properties!$A$5:$A$104,0)),"?"))</f>
        <v/>
      </c>
      <c r="N448" s="28" t="str">
        <f aca="false">IF($B448="","",IFERROR(IF($D448="Completed",INDEX(Properties!$I$5:$I$104,MATCH($B448,Properties!$A$5:$A$104,0))*(1+IF($G448="Y",Settings!$B$8,0))+IF($H448="Y",Settings!$B$7,0)+N($I448),IF($D448="Deep clean",INDEX(Settings!$E$22:$E$26,MATCH(MIN(INDEX(Properties!$E$5:$E$104,MATCH($B448,Properties!$A$5:$A$104,0)),4),Settings!$A$22:$A$26,0))+N($I448),IF($D448="Late cancel",INDEX(Properties!$I$5:$I$104,MATCH($B448,Properties!$A$5:$A$104,0))*Settings!$B$10,0))),0))</f>
        <v/>
      </c>
      <c r="O448" s="28" t="str">
        <f aca="false">IF($B448="","",IFERROR(IF($D448="Completed",INDEX(Properties!$L$5:$L$104,MATCH($B448,Properties!$A$5:$A$104,0))+IF($G448="Y",INDEX(Properties!$I$5:$I$104,MATCH($B448,Properties!$A$5:$A$104,0))*Settings!$B$8*Settings!$B$9,0)+IF($H448="Y",Settings!$B$7*Settings!$B$9,0)+N($I448)*Settings!$B$9,IF($D448="Deep clean",INDEX(Settings!$E$22:$E$26,MATCH(MIN(INDEX(Properties!$E$5:$E$104,MATCH($B448,Properties!$A$5:$A$104,0)),4),Settings!$A$22:$A$26,0))*Settings!$B$19+N($I448)*Settings!$B$9,IF($D448="Late cancel",INDEX(Properties!$L$5:$L$104,MATCH($B448,Properties!$A$5:$A$104,0))*Settings!$B$11,0))),0))</f>
        <v/>
      </c>
      <c r="P448" s="28" t="str">
        <f aca="false">IF($B448="","",$N448-$O448)</f>
        <v/>
      </c>
      <c r="Q448" s="29" t="str">
        <f aca="false">IF($A448="","",DATE(YEAR($A448),MONTH($A448),1))</f>
        <v/>
      </c>
      <c r="R448" s="30" t="str">
        <f aca="false">IF($A448="","",$A448+MOD(6-WEEKDAY($A448),7))</f>
        <v/>
      </c>
      <c r="S448" s="31" t="str">
        <f aca="false">IF($B448="","",IF(AND($M448='Invoice Builder'!$C$5,$Q448='Invoice Builder'!$C$6,N($N448)&gt;0),COUNTIFS($M$5:$M448,'Invoice Builder'!$C$5,$Q$5:$Q448,'Invoice Builder'!$C$6,$N$5:$N448,"&gt;0"),""))</f>
        <v/>
      </c>
      <c r="T448" s="27" t="str">
        <f aca="false">IF($A448="","",IF($A448&gt;=DATE(YEAR($A448),4,6),YEAR($A448)&amp;"/"&amp;RIGHT(YEAR($A448)+1,2),YEAR($A448)-1&amp;"/"&amp;RIGHT(YEAR($A448),2)))</f>
        <v/>
      </c>
    </row>
    <row r="449" customFormat="false" ht="15" hidden="false" customHeight="false" outlineLevel="0" collapsed="false">
      <c r="A449" s="22"/>
      <c r="B449" s="23"/>
      <c r="C449" s="23"/>
      <c r="D449" s="23"/>
      <c r="E449" s="24"/>
      <c r="F449" s="24"/>
      <c r="G449" s="23"/>
      <c r="H449" s="23"/>
      <c r="I449" s="25"/>
      <c r="J449" s="23"/>
      <c r="K449" s="23"/>
      <c r="L449" s="26" t="str">
        <f aca="false">IF(OR($E449="",$F449=""),"",MOD($F449-$E449,1)*24)</f>
        <v/>
      </c>
      <c r="M449" s="27" t="str">
        <f aca="false">IF($B449="","",IFERROR(INDEX(Properties!$D$5:$D$104,MATCH($B449,Properties!$A$5:$A$104,0)),"?"))</f>
        <v/>
      </c>
      <c r="N449" s="28" t="str">
        <f aca="false">IF($B449="","",IFERROR(IF($D449="Completed",INDEX(Properties!$I$5:$I$104,MATCH($B449,Properties!$A$5:$A$104,0))*(1+IF($G449="Y",Settings!$B$8,0))+IF($H449="Y",Settings!$B$7,0)+N($I449),IF($D449="Deep clean",INDEX(Settings!$E$22:$E$26,MATCH(MIN(INDEX(Properties!$E$5:$E$104,MATCH($B449,Properties!$A$5:$A$104,0)),4),Settings!$A$22:$A$26,0))+N($I449),IF($D449="Late cancel",INDEX(Properties!$I$5:$I$104,MATCH($B449,Properties!$A$5:$A$104,0))*Settings!$B$10,0))),0))</f>
        <v/>
      </c>
      <c r="O449" s="28" t="str">
        <f aca="false">IF($B449="","",IFERROR(IF($D449="Completed",INDEX(Properties!$L$5:$L$104,MATCH($B449,Properties!$A$5:$A$104,0))+IF($G449="Y",INDEX(Properties!$I$5:$I$104,MATCH($B449,Properties!$A$5:$A$104,0))*Settings!$B$8*Settings!$B$9,0)+IF($H449="Y",Settings!$B$7*Settings!$B$9,0)+N($I449)*Settings!$B$9,IF($D449="Deep clean",INDEX(Settings!$E$22:$E$26,MATCH(MIN(INDEX(Properties!$E$5:$E$104,MATCH($B449,Properties!$A$5:$A$104,0)),4),Settings!$A$22:$A$26,0))*Settings!$B$19+N($I449)*Settings!$B$9,IF($D449="Late cancel",INDEX(Properties!$L$5:$L$104,MATCH($B449,Properties!$A$5:$A$104,0))*Settings!$B$11,0))),0))</f>
        <v/>
      </c>
      <c r="P449" s="28" t="str">
        <f aca="false">IF($B449="","",$N449-$O449)</f>
        <v/>
      </c>
      <c r="Q449" s="29" t="str">
        <f aca="false">IF($A449="","",DATE(YEAR($A449),MONTH($A449),1))</f>
        <v/>
      </c>
      <c r="R449" s="30" t="str">
        <f aca="false">IF($A449="","",$A449+MOD(6-WEEKDAY($A449),7))</f>
        <v/>
      </c>
      <c r="S449" s="31" t="str">
        <f aca="false">IF($B449="","",IF(AND($M449='Invoice Builder'!$C$5,$Q449='Invoice Builder'!$C$6,N($N449)&gt;0),COUNTIFS($M$5:$M449,'Invoice Builder'!$C$5,$Q$5:$Q449,'Invoice Builder'!$C$6,$N$5:$N449,"&gt;0"),""))</f>
        <v/>
      </c>
      <c r="T449" s="27" t="str">
        <f aca="false">IF($A449="","",IF($A449&gt;=DATE(YEAR($A449),4,6),YEAR($A449)&amp;"/"&amp;RIGHT(YEAR($A449)+1,2),YEAR($A449)-1&amp;"/"&amp;RIGHT(YEAR($A449),2)))</f>
        <v/>
      </c>
    </row>
    <row r="450" customFormat="false" ht="15" hidden="false" customHeight="false" outlineLevel="0" collapsed="false">
      <c r="A450" s="22"/>
      <c r="B450" s="23"/>
      <c r="C450" s="23"/>
      <c r="D450" s="23"/>
      <c r="E450" s="24"/>
      <c r="F450" s="24"/>
      <c r="G450" s="23"/>
      <c r="H450" s="23"/>
      <c r="I450" s="25"/>
      <c r="J450" s="23"/>
      <c r="K450" s="23"/>
      <c r="L450" s="26" t="str">
        <f aca="false">IF(OR($E450="",$F450=""),"",MOD($F450-$E450,1)*24)</f>
        <v/>
      </c>
      <c r="M450" s="27" t="str">
        <f aca="false">IF($B450="","",IFERROR(INDEX(Properties!$D$5:$D$104,MATCH($B450,Properties!$A$5:$A$104,0)),"?"))</f>
        <v/>
      </c>
      <c r="N450" s="28" t="str">
        <f aca="false">IF($B450="","",IFERROR(IF($D450="Completed",INDEX(Properties!$I$5:$I$104,MATCH($B450,Properties!$A$5:$A$104,0))*(1+IF($G450="Y",Settings!$B$8,0))+IF($H450="Y",Settings!$B$7,0)+N($I450),IF($D450="Deep clean",INDEX(Settings!$E$22:$E$26,MATCH(MIN(INDEX(Properties!$E$5:$E$104,MATCH($B450,Properties!$A$5:$A$104,0)),4),Settings!$A$22:$A$26,0))+N($I450),IF($D450="Late cancel",INDEX(Properties!$I$5:$I$104,MATCH($B450,Properties!$A$5:$A$104,0))*Settings!$B$10,0))),0))</f>
        <v/>
      </c>
      <c r="O450" s="28" t="str">
        <f aca="false">IF($B450="","",IFERROR(IF($D450="Completed",INDEX(Properties!$L$5:$L$104,MATCH($B450,Properties!$A$5:$A$104,0))+IF($G450="Y",INDEX(Properties!$I$5:$I$104,MATCH($B450,Properties!$A$5:$A$104,0))*Settings!$B$8*Settings!$B$9,0)+IF($H450="Y",Settings!$B$7*Settings!$B$9,0)+N($I450)*Settings!$B$9,IF($D450="Deep clean",INDEX(Settings!$E$22:$E$26,MATCH(MIN(INDEX(Properties!$E$5:$E$104,MATCH($B450,Properties!$A$5:$A$104,0)),4),Settings!$A$22:$A$26,0))*Settings!$B$19+N($I450)*Settings!$B$9,IF($D450="Late cancel",INDEX(Properties!$L$5:$L$104,MATCH($B450,Properties!$A$5:$A$104,0))*Settings!$B$11,0))),0))</f>
        <v/>
      </c>
      <c r="P450" s="28" t="str">
        <f aca="false">IF($B450="","",$N450-$O450)</f>
        <v/>
      </c>
      <c r="Q450" s="29" t="str">
        <f aca="false">IF($A450="","",DATE(YEAR($A450),MONTH($A450),1))</f>
        <v/>
      </c>
      <c r="R450" s="30" t="str">
        <f aca="false">IF($A450="","",$A450+MOD(6-WEEKDAY($A450),7))</f>
        <v/>
      </c>
      <c r="S450" s="31" t="str">
        <f aca="false">IF($B450="","",IF(AND($M450='Invoice Builder'!$C$5,$Q450='Invoice Builder'!$C$6,N($N450)&gt;0),COUNTIFS($M$5:$M450,'Invoice Builder'!$C$5,$Q$5:$Q450,'Invoice Builder'!$C$6,$N$5:$N450,"&gt;0"),""))</f>
        <v/>
      </c>
      <c r="T450" s="27" t="str">
        <f aca="false">IF($A450="","",IF($A450&gt;=DATE(YEAR($A450),4,6),YEAR($A450)&amp;"/"&amp;RIGHT(YEAR($A450)+1,2),YEAR($A450)-1&amp;"/"&amp;RIGHT(YEAR($A450),2)))</f>
        <v/>
      </c>
    </row>
    <row r="451" customFormat="false" ht="15" hidden="false" customHeight="false" outlineLevel="0" collapsed="false">
      <c r="A451" s="22"/>
      <c r="B451" s="23"/>
      <c r="C451" s="23"/>
      <c r="D451" s="23"/>
      <c r="E451" s="24"/>
      <c r="F451" s="24"/>
      <c r="G451" s="23"/>
      <c r="H451" s="23"/>
      <c r="I451" s="25"/>
      <c r="J451" s="23"/>
      <c r="K451" s="23"/>
      <c r="L451" s="26" t="str">
        <f aca="false">IF(OR($E451="",$F451=""),"",MOD($F451-$E451,1)*24)</f>
        <v/>
      </c>
      <c r="M451" s="27" t="str">
        <f aca="false">IF($B451="","",IFERROR(INDEX(Properties!$D$5:$D$104,MATCH($B451,Properties!$A$5:$A$104,0)),"?"))</f>
        <v/>
      </c>
      <c r="N451" s="28" t="str">
        <f aca="false">IF($B451="","",IFERROR(IF($D451="Completed",INDEX(Properties!$I$5:$I$104,MATCH($B451,Properties!$A$5:$A$104,0))*(1+IF($G451="Y",Settings!$B$8,0))+IF($H451="Y",Settings!$B$7,0)+N($I451),IF($D451="Deep clean",INDEX(Settings!$E$22:$E$26,MATCH(MIN(INDEX(Properties!$E$5:$E$104,MATCH($B451,Properties!$A$5:$A$104,0)),4),Settings!$A$22:$A$26,0))+N($I451),IF($D451="Late cancel",INDEX(Properties!$I$5:$I$104,MATCH($B451,Properties!$A$5:$A$104,0))*Settings!$B$10,0))),0))</f>
        <v/>
      </c>
      <c r="O451" s="28" t="str">
        <f aca="false">IF($B451="","",IFERROR(IF($D451="Completed",INDEX(Properties!$L$5:$L$104,MATCH($B451,Properties!$A$5:$A$104,0))+IF($G451="Y",INDEX(Properties!$I$5:$I$104,MATCH($B451,Properties!$A$5:$A$104,0))*Settings!$B$8*Settings!$B$9,0)+IF($H451="Y",Settings!$B$7*Settings!$B$9,0)+N($I451)*Settings!$B$9,IF($D451="Deep clean",INDEX(Settings!$E$22:$E$26,MATCH(MIN(INDEX(Properties!$E$5:$E$104,MATCH($B451,Properties!$A$5:$A$104,0)),4),Settings!$A$22:$A$26,0))*Settings!$B$19+N($I451)*Settings!$B$9,IF($D451="Late cancel",INDEX(Properties!$L$5:$L$104,MATCH($B451,Properties!$A$5:$A$104,0))*Settings!$B$11,0))),0))</f>
        <v/>
      </c>
      <c r="P451" s="28" t="str">
        <f aca="false">IF($B451="","",$N451-$O451)</f>
        <v/>
      </c>
      <c r="Q451" s="29" t="str">
        <f aca="false">IF($A451="","",DATE(YEAR($A451),MONTH($A451),1))</f>
        <v/>
      </c>
      <c r="R451" s="30" t="str">
        <f aca="false">IF($A451="","",$A451+MOD(6-WEEKDAY($A451),7))</f>
        <v/>
      </c>
      <c r="S451" s="31" t="str">
        <f aca="false">IF($B451="","",IF(AND($M451='Invoice Builder'!$C$5,$Q451='Invoice Builder'!$C$6,N($N451)&gt;0),COUNTIFS($M$5:$M451,'Invoice Builder'!$C$5,$Q$5:$Q451,'Invoice Builder'!$C$6,$N$5:$N451,"&gt;0"),""))</f>
        <v/>
      </c>
      <c r="T451" s="27" t="str">
        <f aca="false">IF($A451="","",IF($A451&gt;=DATE(YEAR($A451),4,6),YEAR($A451)&amp;"/"&amp;RIGHT(YEAR($A451)+1,2),YEAR($A451)-1&amp;"/"&amp;RIGHT(YEAR($A451),2)))</f>
        <v/>
      </c>
    </row>
    <row r="452" customFormat="false" ht="15" hidden="false" customHeight="false" outlineLevel="0" collapsed="false">
      <c r="A452" s="22"/>
      <c r="B452" s="23"/>
      <c r="C452" s="23"/>
      <c r="D452" s="23"/>
      <c r="E452" s="24"/>
      <c r="F452" s="24"/>
      <c r="G452" s="23"/>
      <c r="H452" s="23"/>
      <c r="I452" s="25"/>
      <c r="J452" s="23"/>
      <c r="K452" s="23"/>
      <c r="L452" s="26" t="str">
        <f aca="false">IF(OR($E452="",$F452=""),"",MOD($F452-$E452,1)*24)</f>
        <v/>
      </c>
      <c r="M452" s="27" t="str">
        <f aca="false">IF($B452="","",IFERROR(INDEX(Properties!$D$5:$D$104,MATCH($B452,Properties!$A$5:$A$104,0)),"?"))</f>
        <v/>
      </c>
      <c r="N452" s="28" t="str">
        <f aca="false">IF($B452="","",IFERROR(IF($D452="Completed",INDEX(Properties!$I$5:$I$104,MATCH($B452,Properties!$A$5:$A$104,0))*(1+IF($G452="Y",Settings!$B$8,0))+IF($H452="Y",Settings!$B$7,0)+N($I452),IF($D452="Deep clean",INDEX(Settings!$E$22:$E$26,MATCH(MIN(INDEX(Properties!$E$5:$E$104,MATCH($B452,Properties!$A$5:$A$104,0)),4),Settings!$A$22:$A$26,0))+N($I452),IF($D452="Late cancel",INDEX(Properties!$I$5:$I$104,MATCH($B452,Properties!$A$5:$A$104,0))*Settings!$B$10,0))),0))</f>
        <v/>
      </c>
      <c r="O452" s="28" t="str">
        <f aca="false">IF($B452="","",IFERROR(IF($D452="Completed",INDEX(Properties!$L$5:$L$104,MATCH($B452,Properties!$A$5:$A$104,0))+IF($G452="Y",INDEX(Properties!$I$5:$I$104,MATCH($B452,Properties!$A$5:$A$104,0))*Settings!$B$8*Settings!$B$9,0)+IF($H452="Y",Settings!$B$7*Settings!$B$9,0)+N($I452)*Settings!$B$9,IF($D452="Deep clean",INDEX(Settings!$E$22:$E$26,MATCH(MIN(INDEX(Properties!$E$5:$E$104,MATCH($B452,Properties!$A$5:$A$104,0)),4),Settings!$A$22:$A$26,0))*Settings!$B$19+N($I452)*Settings!$B$9,IF($D452="Late cancel",INDEX(Properties!$L$5:$L$104,MATCH($B452,Properties!$A$5:$A$104,0))*Settings!$B$11,0))),0))</f>
        <v/>
      </c>
      <c r="P452" s="28" t="str">
        <f aca="false">IF($B452="","",$N452-$O452)</f>
        <v/>
      </c>
      <c r="Q452" s="29" t="str">
        <f aca="false">IF($A452="","",DATE(YEAR($A452),MONTH($A452),1))</f>
        <v/>
      </c>
      <c r="R452" s="30" t="str">
        <f aca="false">IF($A452="","",$A452+MOD(6-WEEKDAY($A452),7))</f>
        <v/>
      </c>
      <c r="S452" s="31" t="str">
        <f aca="false">IF($B452="","",IF(AND($M452='Invoice Builder'!$C$5,$Q452='Invoice Builder'!$C$6,N($N452)&gt;0),COUNTIFS($M$5:$M452,'Invoice Builder'!$C$5,$Q$5:$Q452,'Invoice Builder'!$C$6,$N$5:$N452,"&gt;0"),""))</f>
        <v/>
      </c>
      <c r="T452" s="27" t="str">
        <f aca="false">IF($A452="","",IF($A452&gt;=DATE(YEAR($A452),4,6),YEAR($A452)&amp;"/"&amp;RIGHT(YEAR($A452)+1,2),YEAR($A452)-1&amp;"/"&amp;RIGHT(YEAR($A452),2)))</f>
        <v/>
      </c>
    </row>
    <row r="453" customFormat="false" ht="15" hidden="false" customHeight="false" outlineLevel="0" collapsed="false">
      <c r="A453" s="22"/>
      <c r="B453" s="23"/>
      <c r="C453" s="23"/>
      <c r="D453" s="23"/>
      <c r="E453" s="24"/>
      <c r="F453" s="24"/>
      <c r="G453" s="23"/>
      <c r="H453" s="23"/>
      <c r="I453" s="25"/>
      <c r="J453" s="23"/>
      <c r="K453" s="23"/>
      <c r="L453" s="26" t="str">
        <f aca="false">IF(OR($E453="",$F453=""),"",MOD($F453-$E453,1)*24)</f>
        <v/>
      </c>
      <c r="M453" s="27" t="str">
        <f aca="false">IF($B453="","",IFERROR(INDEX(Properties!$D$5:$D$104,MATCH($B453,Properties!$A$5:$A$104,0)),"?"))</f>
        <v/>
      </c>
      <c r="N453" s="28" t="str">
        <f aca="false">IF($B453="","",IFERROR(IF($D453="Completed",INDEX(Properties!$I$5:$I$104,MATCH($B453,Properties!$A$5:$A$104,0))*(1+IF($G453="Y",Settings!$B$8,0))+IF($H453="Y",Settings!$B$7,0)+N($I453),IF($D453="Deep clean",INDEX(Settings!$E$22:$E$26,MATCH(MIN(INDEX(Properties!$E$5:$E$104,MATCH($B453,Properties!$A$5:$A$104,0)),4),Settings!$A$22:$A$26,0))+N($I453),IF($D453="Late cancel",INDEX(Properties!$I$5:$I$104,MATCH($B453,Properties!$A$5:$A$104,0))*Settings!$B$10,0))),0))</f>
        <v/>
      </c>
      <c r="O453" s="28" t="str">
        <f aca="false">IF($B453="","",IFERROR(IF($D453="Completed",INDEX(Properties!$L$5:$L$104,MATCH($B453,Properties!$A$5:$A$104,0))+IF($G453="Y",INDEX(Properties!$I$5:$I$104,MATCH($B453,Properties!$A$5:$A$104,0))*Settings!$B$8*Settings!$B$9,0)+IF($H453="Y",Settings!$B$7*Settings!$B$9,0)+N($I453)*Settings!$B$9,IF($D453="Deep clean",INDEX(Settings!$E$22:$E$26,MATCH(MIN(INDEX(Properties!$E$5:$E$104,MATCH($B453,Properties!$A$5:$A$104,0)),4),Settings!$A$22:$A$26,0))*Settings!$B$19+N($I453)*Settings!$B$9,IF($D453="Late cancel",INDEX(Properties!$L$5:$L$104,MATCH($B453,Properties!$A$5:$A$104,0))*Settings!$B$11,0))),0))</f>
        <v/>
      </c>
      <c r="P453" s="28" t="str">
        <f aca="false">IF($B453="","",$N453-$O453)</f>
        <v/>
      </c>
      <c r="Q453" s="29" t="str">
        <f aca="false">IF($A453="","",DATE(YEAR($A453),MONTH($A453),1))</f>
        <v/>
      </c>
      <c r="R453" s="30" t="str">
        <f aca="false">IF($A453="","",$A453+MOD(6-WEEKDAY($A453),7))</f>
        <v/>
      </c>
      <c r="S453" s="31" t="str">
        <f aca="false">IF($B453="","",IF(AND($M453='Invoice Builder'!$C$5,$Q453='Invoice Builder'!$C$6,N($N453)&gt;0),COUNTIFS($M$5:$M453,'Invoice Builder'!$C$5,$Q$5:$Q453,'Invoice Builder'!$C$6,$N$5:$N453,"&gt;0"),""))</f>
        <v/>
      </c>
      <c r="T453" s="27" t="str">
        <f aca="false">IF($A453="","",IF($A453&gt;=DATE(YEAR($A453),4,6),YEAR($A453)&amp;"/"&amp;RIGHT(YEAR($A453)+1,2),YEAR($A453)-1&amp;"/"&amp;RIGHT(YEAR($A453),2)))</f>
        <v/>
      </c>
    </row>
    <row r="454" customFormat="false" ht="15" hidden="false" customHeight="false" outlineLevel="0" collapsed="false">
      <c r="A454" s="22"/>
      <c r="B454" s="23"/>
      <c r="C454" s="23"/>
      <c r="D454" s="23"/>
      <c r="E454" s="24"/>
      <c r="F454" s="24"/>
      <c r="G454" s="23"/>
      <c r="H454" s="23"/>
      <c r="I454" s="25"/>
      <c r="J454" s="23"/>
      <c r="K454" s="23"/>
      <c r="L454" s="26" t="str">
        <f aca="false">IF(OR($E454="",$F454=""),"",MOD($F454-$E454,1)*24)</f>
        <v/>
      </c>
      <c r="M454" s="27" t="str">
        <f aca="false">IF($B454="","",IFERROR(INDEX(Properties!$D$5:$D$104,MATCH($B454,Properties!$A$5:$A$104,0)),"?"))</f>
        <v/>
      </c>
      <c r="N454" s="28" t="str">
        <f aca="false">IF($B454="","",IFERROR(IF($D454="Completed",INDEX(Properties!$I$5:$I$104,MATCH($B454,Properties!$A$5:$A$104,0))*(1+IF($G454="Y",Settings!$B$8,0))+IF($H454="Y",Settings!$B$7,0)+N($I454),IF($D454="Deep clean",INDEX(Settings!$E$22:$E$26,MATCH(MIN(INDEX(Properties!$E$5:$E$104,MATCH($B454,Properties!$A$5:$A$104,0)),4),Settings!$A$22:$A$26,0))+N($I454),IF($D454="Late cancel",INDEX(Properties!$I$5:$I$104,MATCH($B454,Properties!$A$5:$A$104,0))*Settings!$B$10,0))),0))</f>
        <v/>
      </c>
      <c r="O454" s="28" t="str">
        <f aca="false">IF($B454="","",IFERROR(IF($D454="Completed",INDEX(Properties!$L$5:$L$104,MATCH($B454,Properties!$A$5:$A$104,0))+IF($G454="Y",INDEX(Properties!$I$5:$I$104,MATCH($B454,Properties!$A$5:$A$104,0))*Settings!$B$8*Settings!$B$9,0)+IF($H454="Y",Settings!$B$7*Settings!$B$9,0)+N($I454)*Settings!$B$9,IF($D454="Deep clean",INDEX(Settings!$E$22:$E$26,MATCH(MIN(INDEX(Properties!$E$5:$E$104,MATCH($B454,Properties!$A$5:$A$104,0)),4),Settings!$A$22:$A$26,0))*Settings!$B$19+N($I454)*Settings!$B$9,IF($D454="Late cancel",INDEX(Properties!$L$5:$L$104,MATCH($B454,Properties!$A$5:$A$104,0))*Settings!$B$11,0))),0))</f>
        <v/>
      </c>
      <c r="P454" s="28" t="str">
        <f aca="false">IF($B454="","",$N454-$O454)</f>
        <v/>
      </c>
      <c r="Q454" s="29" t="str">
        <f aca="false">IF($A454="","",DATE(YEAR($A454),MONTH($A454),1))</f>
        <v/>
      </c>
      <c r="R454" s="30" t="str">
        <f aca="false">IF($A454="","",$A454+MOD(6-WEEKDAY($A454),7))</f>
        <v/>
      </c>
      <c r="S454" s="31" t="str">
        <f aca="false">IF($B454="","",IF(AND($M454='Invoice Builder'!$C$5,$Q454='Invoice Builder'!$C$6,N($N454)&gt;0),COUNTIFS($M$5:$M454,'Invoice Builder'!$C$5,$Q$5:$Q454,'Invoice Builder'!$C$6,$N$5:$N454,"&gt;0"),""))</f>
        <v/>
      </c>
      <c r="T454" s="27" t="str">
        <f aca="false">IF($A454="","",IF($A454&gt;=DATE(YEAR($A454),4,6),YEAR($A454)&amp;"/"&amp;RIGHT(YEAR($A454)+1,2),YEAR($A454)-1&amp;"/"&amp;RIGHT(YEAR($A454),2)))</f>
        <v/>
      </c>
    </row>
    <row r="455" customFormat="false" ht="15" hidden="false" customHeight="false" outlineLevel="0" collapsed="false">
      <c r="A455" s="22"/>
      <c r="B455" s="23"/>
      <c r="C455" s="23"/>
      <c r="D455" s="23"/>
      <c r="E455" s="24"/>
      <c r="F455" s="24"/>
      <c r="G455" s="23"/>
      <c r="H455" s="23"/>
      <c r="I455" s="25"/>
      <c r="J455" s="23"/>
      <c r="K455" s="23"/>
      <c r="L455" s="26" t="str">
        <f aca="false">IF(OR($E455="",$F455=""),"",MOD($F455-$E455,1)*24)</f>
        <v/>
      </c>
      <c r="M455" s="27" t="str">
        <f aca="false">IF($B455="","",IFERROR(INDEX(Properties!$D$5:$D$104,MATCH($B455,Properties!$A$5:$A$104,0)),"?"))</f>
        <v/>
      </c>
      <c r="N455" s="28" t="str">
        <f aca="false">IF($B455="","",IFERROR(IF($D455="Completed",INDEX(Properties!$I$5:$I$104,MATCH($B455,Properties!$A$5:$A$104,0))*(1+IF($G455="Y",Settings!$B$8,0))+IF($H455="Y",Settings!$B$7,0)+N($I455),IF($D455="Deep clean",INDEX(Settings!$E$22:$E$26,MATCH(MIN(INDEX(Properties!$E$5:$E$104,MATCH($B455,Properties!$A$5:$A$104,0)),4),Settings!$A$22:$A$26,0))+N($I455),IF($D455="Late cancel",INDEX(Properties!$I$5:$I$104,MATCH($B455,Properties!$A$5:$A$104,0))*Settings!$B$10,0))),0))</f>
        <v/>
      </c>
      <c r="O455" s="28" t="str">
        <f aca="false">IF($B455="","",IFERROR(IF($D455="Completed",INDEX(Properties!$L$5:$L$104,MATCH($B455,Properties!$A$5:$A$104,0))+IF($G455="Y",INDEX(Properties!$I$5:$I$104,MATCH($B455,Properties!$A$5:$A$104,0))*Settings!$B$8*Settings!$B$9,0)+IF($H455="Y",Settings!$B$7*Settings!$B$9,0)+N($I455)*Settings!$B$9,IF($D455="Deep clean",INDEX(Settings!$E$22:$E$26,MATCH(MIN(INDEX(Properties!$E$5:$E$104,MATCH($B455,Properties!$A$5:$A$104,0)),4),Settings!$A$22:$A$26,0))*Settings!$B$19+N($I455)*Settings!$B$9,IF($D455="Late cancel",INDEX(Properties!$L$5:$L$104,MATCH($B455,Properties!$A$5:$A$104,0))*Settings!$B$11,0))),0))</f>
        <v/>
      </c>
      <c r="P455" s="28" t="str">
        <f aca="false">IF($B455="","",$N455-$O455)</f>
        <v/>
      </c>
      <c r="Q455" s="29" t="str">
        <f aca="false">IF($A455="","",DATE(YEAR($A455),MONTH($A455),1))</f>
        <v/>
      </c>
      <c r="R455" s="30" t="str">
        <f aca="false">IF($A455="","",$A455+MOD(6-WEEKDAY($A455),7))</f>
        <v/>
      </c>
      <c r="S455" s="31" t="str">
        <f aca="false">IF($B455="","",IF(AND($M455='Invoice Builder'!$C$5,$Q455='Invoice Builder'!$C$6,N($N455)&gt;0),COUNTIFS($M$5:$M455,'Invoice Builder'!$C$5,$Q$5:$Q455,'Invoice Builder'!$C$6,$N$5:$N455,"&gt;0"),""))</f>
        <v/>
      </c>
      <c r="T455" s="27" t="str">
        <f aca="false">IF($A455="","",IF($A455&gt;=DATE(YEAR($A455),4,6),YEAR($A455)&amp;"/"&amp;RIGHT(YEAR($A455)+1,2),YEAR($A455)-1&amp;"/"&amp;RIGHT(YEAR($A455),2)))</f>
        <v/>
      </c>
    </row>
    <row r="456" customFormat="false" ht="15" hidden="false" customHeight="false" outlineLevel="0" collapsed="false">
      <c r="A456" s="22"/>
      <c r="B456" s="23"/>
      <c r="C456" s="23"/>
      <c r="D456" s="23"/>
      <c r="E456" s="24"/>
      <c r="F456" s="24"/>
      <c r="G456" s="23"/>
      <c r="H456" s="23"/>
      <c r="I456" s="25"/>
      <c r="J456" s="23"/>
      <c r="K456" s="23"/>
      <c r="L456" s="26" t="str">
        <f aca="false">IF(OR($E456="",$F456=""),"",MOD($F456-$E456,1)*24)</f>
        <v/>
      </c>
      <c r="M456" s="27" t="str">
        <f aca="false">IF($B456="","",IFERROR(INDEX(Properties!$D$5:$D$104,MATCH($B456,Properties!$A$5:$A$104,0)),"?"))</f>
        <v/>
      </c>
      <c r="N456" s="28" t="str">
        <f aca="false">IF($B456="","",IFERROR(IF($D456="Completed",INDEX(Properties!$I$5:$I$104,MATCH($B456,Properties!$A$5:$A$104,0))*(1+IF($G456="Y",Settings!$B$8,0))+IF($H456="Y",Settings!$B$7,0)+N($I456),IF($D456="Deep clean",INDEX(Settings!$E$22:$E$26,MATCH(MIN(INDEX(Properties!$E$5:$E$104,MATCH($B456,Properties!$A$5:$A$104,0)),4),Settings!$A$22:$A$26,0))+N($I456),IF($D456="Late cancel",INDEX(Properties!$I$5:$I$104,MATCH($B456,Properties!$A$5:$A$104,0))*Settings!$B$10,0))),0))</f>
        <v/>
      </c>
      <c r="O456" s="28" t="str">
        <f aca="false">IF($B456="","",IFERROR(IF($D456="Completed",INDEX(Properties!$L$5:$L$104,MATCH($B456,Properties!$A$5:$A$104,0))+IF($G456="Y",INDEX(Properties!$I$5:$I$104,MATCH($B456,Properties!$A$5:$A$104,0))*Settings!$B$8*Settings!$B$9,0)+IF($H456="Y",Settings!$B$7*Settings!$B$9,0)+N($I456)*Settings!$B$9,IF($D456="Deep clean",INDEX(Settings!$E$22:$E$26,MATCH(MIN(INDEX(Properties!$E$5:$E$104,MATCH($B456,Properties!$A$5:$A$104,0)),4),Settings!$A$22:$A$26,0))*Settings!$B$19+N($I456)*Settings!$B$9,IF($D456="Late cancel",INDEX(Properties!$L$5:$L$104,MATCH($B456,Properties!$A$5:$A$104,0))*Settings!$B$11,0))),0))</f>
        <v/>
      </c>
      <c r="P456" s="28" t="str">
        <f aca="false">IF($B456="","",$N456-$O456)</f>
        <v/>
      </c>
      <c r="Q456" s="29" t="str">
        <f aca="false">IF($A456="","",DATE(YEAR($A456),MONTH($A456),1))</f>
        <v/>
      </c>
      <c r="R456" s="30" t="str">
        <f aca="false">IF($A456="","",$A456+MOD(6-WEEKDAY($A456),7))</f>
        <v/>
      </c>
      <c r="S456" s="31" t="str">
        <f aca="false">IF($B456="","",IF(AND($M456='Invoice Builder'!$C$5,$Q456='Invoice Builder'!$C$6,N($N456)&gt;0),COUNTIFS($M$5:$M456,'Invoice Builder'!$C$5,$Q$5:$Q456,'Invoice Builder'!$C$6,$N$5:$N456,"&gt;0"),""))</f>
        <v/>
      </c>
      <c r="T456" s="27" t="str">
        <f aca="false">IF($A456="","",IF($A456&gt;=DATE(YEAR($A456),4,6),YEAR($A456)&amp;"/"&amp;RIGHT(YEAR($A456)+1,2),YEAR($A456)-1&amp;"/"&amp;RIGHT(YEAR($A456),2)))</f>
        <v/>
      </c>
    </row>
    <row r="457" customFormat="false" ht="15" hidden="false" customHeight="false" outlineLevel="0" collapsed="false">
      <c r="A457" s="22"/>
      <c r="B457" s="23"/>
      <c r="C457" s="23"/>
      <c r="D457" s="23"/>
      <c r="E457" s="24"/>
      <c r="F457" s="24"/>
      <c r="G457" s="23"/>
      <c r="H457" s="23"/>
      <c r="I457" s="25"/>
      <c r="J457" s="23"/>
      <c r="K457" s="23"/>
      <c r="L457" s="26" t="str">
        <f aca="false">IF(OR($E457="",$F457=""),"",MOD($F457-$E457,1)*24)</f>
        <v/>
      </c>
      <c r="M457" s="27" t="str">
        <f aca="false">IF($B457="","",IFERROR(INDEX(Properties!$D$5:$D$104,MATCH($B457,Properties!$A$5:$A$104,0)),"?"))</f>
        <v/>
      </c>
      <c r="N457" s="28" t="str">
        <f aca="false">IF($B457="","",IFERROR(IF($D457="Completed",INDEX(Properties!$I$5:$I$104,MATCH($B457,Properties!$A$5:$A$104,0))*(1+IF($G457="Y",Settings!$B$8,0))+IF($H457="Y",Settings!$B$7,0)+N($I457),IF($D457="Deep clean",INDEX(Settings!$E$22:$E$26,MATCH(MIN(INDEX(Properties!$E$5:$E$104,MATCH($B457,Properties!$A$5:$A$104,0)),4),Settings!$A$22:$A$26,0))+N($I457),IF($D457="Late cancel",INDEX(Properties!$I$5:$I$104,MATCH($B457,Properties!$A$5:$A$104,0))*Settings!$B$10,0))),0))</f>
        <v/>
      </c>
      <c r="O457" s="28" t="str">
        <f aca="false">IF($B457="","",IFERROR(IF($D457="Completed",INDEX(Properties!$L$5:$L$104,MATCH($B457,Properties!$A$5:$A$104,0))+IF($G457="Y",INDEX(Properties!$I$5:$I$104,MATCH($B457,Properties!$A$5:$A$104,0))*Settings!$B$8*Settings!$B$9,0)+IF($H457="Y",Settings!$B$7*Settings!$B$9,0)+N($I457)*Settings!$B$9,IF($D457="Deep clean",INDEX(Settings!$E$22:$E$26,MATCH(MIN(INDEX(Properties!$E$5:$E$104,MATCH($B457,Properties!$A$5:$A$104,0)),4),Settings!$A$22:$A$26,0))*Settings!$B$19+N($I457)*Settings!$B$9,IF($D457="Late cancel",INDEX(Properties!$L$5:$L$104,MATCH($B457,Properties!$A$5:$A$104,0))*Settings!$B$11,0))),0))</f>
        <v/>
      </c>
      <c r="P457" s="28" t="str">
        <f aca="false">IF($B457="","",$N457-$O457)</f>
        <v/>
      </c>
      <c r="Q457" s="29" t="str">
        <f aca="false">IF($A457="","",DATE(YEAR($A457),MONTH($A457),1))</f>
        <v/>
      </c>
      <c r="R457" s="30" t="str">
        <f aca="false">IF($A457="","",$A457+MOD(6-WEEKDAY($A457),7))</f>
        <v/>
      </c>
      <c r="S457" s="31" t="str">
        <f aca="false">IF($B457="","",IF(AND($M457='Invoice Builder'!$C$5,$Q457='Invoice Builder'!$C$6,N($N457)&gt;0),COUNTIFS($M$5:$M457,'Invoice Builder'!$C$5,$Q$5:$Q457,'Invoice Builder'!$C$6,$N$5:$N457,"&gt;0"),""))</f>
        <v/>
      </c>
      <c r="T457" s="27" t="str">
        <f aca="false">IF($A457="","",IF($A457&gt;=DATE(YEAR($A457),4,6),YEAR($A457)&amp;"/"&amp;RIGHT(YEAR($A457)+1,2),YEAR($A457)-1&amp;"/"&amp;RIGHT(YEAR($A457),2)))</f>
        <v/>
      </c>
    </row>
    <row r="458" customFormat="false" ht="15" hidden="false" customHeight="false" outlineLevel="0" collapsed="false">
      <c r="A458" s="22"/>
      <c r="B458" s="23"/>
      <c r="C458" s="23"/>
      <c r="D458" s="23"/>
      <c r="E458" s="24"/>
      <c r="F458" s="24"/>
      <c r="G458" s="23"/>
      <c r="H458" s="23"/>
      <c r="I458" s="25"/>
      <c r="J458" s="23"/>
      <c r="K458" s="23"/>
      <c r="L458" s="26" t="str">
        <f aca="false">IF(OR($E458="",$F458=""),"",MOD($F458-$E458,1)*24)</f>
        <v/>
      </c>
      <c r="M458" s="27" t="str">
        <f aca="false">IF($B458="","",IFERROR(INDEX(Properties!$D$5:$D$104,MATCH($B458,Properties!$A$5:$A$104,0)),"?"))</f>
        <v/>
      </c>
      <c r="N458" s="28" t="str">
        <f aca="false">IF($B458="","",IFERROR(IF($D458="Completed",INDEX(Properties!$I$5:$I$104,MATCH($B458,Properties!$A$5:$A$104,0))*(1+IF($G458="Y",Settings!$B$8,0))+IF($H458="Y",Settings!$B$7,0)+N($I458),IF($D458="Deep clean",INDEX(Settings!$E$22:$E$26,MATCH(MIN(INDEX(Properties!$E$5:$E$104,MATCH($B458,Properties!$A$5:$A$104,0)),4),Settings!$A$22:$A$26,0))+N($I458),IF($D458="Late cancel",INDEX(Properties!$I$5:$I$104,MATCH($B458,Properties!$A$5:$A$104,0))*Settings!$B$10,0))),0))</f>
        <v/>
      </c>
      <c r="O458" s="28" t="str">
        <f aca="false">IF($B458="","",IFERROR(IF($D458="Completed",INDEX(Properties!$L$5:$L$104,MATCH($B458,Properties!$A$5:$A$104,0))+IF($G458="Y",INDEX(Properties!$I$5:$I$104,MATCH($B458,Properties!$A$5:$A$104,0))*Settings!$B$8*Settings!$B$9,0)+IF($H458="Y",Settings!$B$7*Settings!$B$9,0)+N($I458)*Settings!$B$9,IF($D458="Deep clean",INDEX(Settings!$E$22:$E$26,MATCH(MIN(INDEX(Properties!$E$5:$E$104,MATCH($B458,Properties!$A$5:$A$104,0)),4),Settings!$A$22:$A$26,0))*Settings!$B$19+N($I458)*Settings!$B$9,IF($D458="Late cancel",INDEX(Properties!$L$5:$L$104,MATCH($B458,Properties!$A$5:$A$104,0))*Settings!$B$11,0))),0))</f>
        <v/>
      </c>
      <c r="P458" s="28" t="str">
        <f aca="false">IF($B458="","",$N458-$O458)</f>
        <v/>
      </c>
      <c r="Q458" s="29" t="str">
        <f aca="false">IF($A458="","",DATE(YEAR($A458),MONTH($A458),1))</f>
        <v/>
      </c>
      <c r="R458" s="30" t="str">
        <f aca="false">IF($A458="","",$A458+MOD(6-WEEKDAY($A458),7))</f>
        <v/>
      </c>
      <c r="S458" s="31" t="str">
        <f aca="false">IF($B458="","",IF(AND($M458='Invoice Builder'!$C$5,$Q458='Invoice Builder'!$C$6,N($N458)&gt;0),COUNTIFS($M$5:$M458,'Invoice Builder'!$C$5,$Q$5:$Q458,'Invoice Builder'!$C$6,$N$5:$N458,"&gt;0"),""))</f>
        <v/>
      </c>
      <c r="T458" s="27" t="str">
        <f aca="false">IF($A458="","",IF($A458&gt;=DATE(YEAR($A458),4,6),YEAR($A458)&amp;"/"&amp;RIGHT(YEAR($A458)+1,2),YEAR($A458)-1&amp;"/"&amp;RIGHT(YEAR($A458),2)))</f>
        <v/>
      </c>
    </row>
    <row r="459" customFormat="false" ht="15" hidden="false" customHeight="false" outlineLevel="0" collapsed="false">
      <c r="A459" s="22"/>
      <c r="B459" s="23"/>
      <c r="C459" s="23"/>
      <c r="D459" s="23"/>
      <c r="E459" s="24"/>
      <c r="F459" s="24"/>
      <c r="G459" s="23"/>
      <c r="H459" s="23"/>
      <c r="I459" s="25"/>
      <c r="J459" s="23"/>
      <c r="K459" s="23"/>
      <c r="L459" s="26" t="str">
        <f aca="false">IF(OR($E459="",$F459=""),"",MOD($F459-$E459,1)*24)</f>
        <v/>
      </c>
      <c r="M459" s="27" t="str">
        <f aca="false">IF($B459="","",IFERROR(INDEX(Properties!$D$5:$D$104,MATCH($B459,Properties!$A$5:$A$104,0)),"?"))</f>
        <v/>
      </c>
      <c r="N459" s="28" t="str">
        <f aca="false">IF($B459="","",IFERROR(IF($D459="Completed",INDEX(Properties!$I$5:$I$104,MATCH($B459,Properties!$A$5:$A$104,0))*(1+IF($G459="Y",Settings!$B$8,0))+IF($H459="Y",Settings!$B$7,0)+N($I459),IF($D459="Deep clean",INDEX(Settings!$E$22:$E$26,MATCH(MIN(INDEX(Properties!$E$5:$E$104,MATCH($B459,Properties!$A$5:$A$104,0)),4),Settings!$A$22:$A$26,0))+N($I459),IF($D459="Late cancel",INDEX(Properties!$I$5:$I$104,MATCH($B459,Properties!$A$5:$A$104,0))*Settings!$B$10,0))),0))</f>
        <v/>
      </c>
      <c r="O459" s="28" t="str">
        <f aca="false">IF($B459="","",IFERROR(IF($D459="Completed",INDEX(Properties!$L$5:$L$104,MATCH($B459,Properties!$A$5:$A$104,0))+IF($G459="Y",INDEX(Properties!$I$5:$I$104,MATCH($B459,Properties!$A$5:$A$104,0))*Settings!$B$8*Settings!$B$9,0)+IF($H459="Y",Settings!$B$7*Settings!$B$9,0)+N($I459)*Settings!$B$9,IF($D459="Deep clean",INDEX(Settings!$E$22:$E$26,MATCH(MIN(INDEX(Properties!$E$5:$E$104,MATCH($B459,Properties!$A$5:$A$104,0)),4),Settings!$A$22:$A$26,0))*Settings!$B$19+N($I459)*Settings!$B$9,IF($D459="Late cancel",INDEX(Properties!$L$5:$L$104,MATCH($B459,Properties!$A$5:$A$104,0))*Settings!$B$11,0))),0))</f>
        <v/>
      </c>
      <c r="P459" s="28" t="str">
        <f aca="false">IF($B459="","",$N459-$O459)</f>
        <v/>
      </c>
      <c r="Q459" s="29" t="str">
        <f aca="false">IF($A459="","",DATE(YEAR($A459),MONTH($A459),1))</f>
        <v/>
      </c>
      <c r="R459" s="30" t="str">
        <f aca="false">IF($A459="","",$A459+MOD(6-WEEKDAY($A459),7))</f>
        <v/>
      </c>
      <c r="S459" s="31" t="str">
        <f aca="false">IF($B459="","",IF(AND($M459='Invoice Builder'!$C$5,$Q459='Invoice Builder'!$C$6,N($N459)&gt;0),COUNTIFS($M$5:$M459,'Invoice Builder'!$C$5,$Q$5:$Q459,'Invoice Builder'!$C$6,$N$5:$N459,"&gt;0"),""))</f>
        <v/>
      </c>
      <c r="T459" s="27" t="str">
        <f aca="false">IF($A459="","",IF($A459&gt;=DATE(YEAR($A459),4,6),YEAR($A459)&amp;"/"&amp;RIGHT(YEAR($A459)+1,2),YEAR($A459)-1&amp;"/"&amp;RIGHT(YEAR($A459),2)))</f>
        <v/>
      </c>
    </row>
    <row r="460" customFormat="false" ht="15" hidden="false" customHeight="false" outlineLevel="0" collapsed="false">
      <c r="A460" s="22"/>
      <c r="B460" s="23"/>
      <c r="C460" s="23"/>
      <c r="D460" s="23"/>
      <c r="E460" s="24"/>
      <c r="F460" s="24"/>
      <c r="G460" s="23"/>
      <c r="H460" s="23"/>
      <c r="I460" s="25"/>
      <c r="J460" s="23"/>
      <c r="K460" s="23"/>
      <c r="L460" s="26" t="str">
        <f aca="false">IF(OR($E460="",$F460=""),"",MOD($F460-$E460,1)*24)</f>
        <v/>
      </c>
      <c r="M460" s="27" t="str">
        <f aca="false">IF($B460="","",IFERROR(INDEX(Properties!$D$5:$D$104,MATCH($B460,Properties!$A$5:$A$104,0)),"?"))</f>
        <v/>
      </c>
      <c r="N460" s="28" t="str">
        <f aca="false">IF($B460="","",IFERROR(IF($D460="Completed",INDEX(Properties!$I$5:$I$104,MATCH($B460,Properties!$A$5:$A$104,0))*(1+IF($G460="Y",Settings!$B$8,0))+IF($H460="Y",Settings!$B$7,0)+N($I460),IF($D460="Deep clean",INDEX(Settings!$E$22:$E$26,MATCH(MIN(INDEX(Properties!$E$5:$E$104,MATCH($B460,Properties!$A$5:$A$104,0)),4),Settings!$A$22:$A$26,0))+N($I460),IF($D460="Late cancel",INDEX(Properties!$I$5:$I$104,MATCH($B460,Properties!$A$5:$A$104,0))*Settings!$B$10,0))),0))</f>
        <v/>
      </c>
      <c r="O460" s="28" t="str">
        <f aca="false">IF($B460="","",IFERROR(IF($D460="Completed",INDEX(Properties!$L$5:$L$104,MATCH($B460,Properties!$A$5:$A$104,0))+IF($G460="Y",INDEX(Properties!$I$5:$I$104,MATCH($B460,Properties!$A$5:$A$104,0))*Settings!$B$8*Settings!$B$9,0)+IF($H460="Y",Settings!$B$7*Settings!$B$9,0)+N($I460)*Settings!$B$9,IF($D460="Deep clean",INDEX(Settings!$E$22:$E$26,MATCH(MIN(INDEX(Properties!$E$5:$E$104,MATCH($B460,Properties!$A$5:$A$104,0)),4),Settings!$A$22:$A$26,0))*Settings!$B$19+N($I460)*Settings!$B$9,IF($D460="Late cancel",INDEX(Properties!$L$5:$L$104,MATCH($B460,Properties!$A$5:$A$104,0))*Settings!$B$11,0))),0))</f>
        <v/>
      </c>
      <c r="P460" s="28" t="str">
        <f aca="false">IF($B460="","",$N460-$O460)</f>
        <v/>
      </c>
      <c r="Q460" s="29" t="str">
        <f aca="false">IF($A460="","",DATE(YEAR($A460),MONTH($A460),1))</f>
        <v/>
      </c>
      <c r="R460" s="30" t="str">
        <f aca="false">IF($A460="","",$A460+MOD(6-WEEKDAY($A460),7))</f>
        <v/>
      </c>
      <c r="S460" s="31" t="str">
        <f aca="false">IF($B460="","",IF(AND($M460='Invoice Builder'!$C$5,$Q460='Invoice Builder'!$C$6,N($N460)&gt;0),COUNTIFS($M$5:$M460,'Invoice Builder'!$C$5,$Q$5:$Q460,'Invoice Builder'!$C$6,$N$5:$N460,"&gt;0"),""))</f>
        <v/>
      </c>
      <c r="T460" s="27" t="str">
        <f aca="false">IF($A460="","",IF($A460&gt;=DATE(YEAR($A460),4,6),YEAR($A460)&amp;"/"&amp;RIGHT(YEAR($A460)+1,2),YEAR($A460)-1&amp;"/"&amp;RIGHT(YEAR($A460),2)))</f>
        <v/>
      </c>
    </row>
    <row r="461" customFormat="false" ht="15" hidden="false" customHeight="false" outlineLevel="0" collapsed="false">
      <c r="A461" s="22"/>
      <c r="B461" s="23"/>
      <c r="C461" s="23"/>
      <c r="D461" s="23"/>
      <c r="E461" s="24"/>
      <c r="F461" s="24"/>
      <c r="G461" s="23"/>
      <c r="H461" s="23"/>
      <c r="I461" s="25"/>
      <c r="J461" s="23"/>
      <c r="K461" s="23"/>
      <c r="L461" s="26" t="str">
        <f aca="false">IF(OR($E461="",$F461=""),"",MOD($F461-$E461,1)*24)</f>
        <v/>
      </c>
      <c r="M461" s="27" t="str">
        <f aca="false">IF($B461="","",IFERROR(INDEX(Properties!$D$5:$D$104,MATCH($B461,Properties!$A$5:$A$104,0)),"?"))</f>
        <v/>
      </c>
      <c r="N461" s="28" t="str">
        <f aca="false">IF($B461="","",IFERROR(IF($D461="Completed",INDEX(Properties!$I$5:$I$104,MATCH($B461,Properties!$A$5:$A$104,0))*(1+IF($G461="Y",Settings!$B$8,0))+IF($H461="Y",Settings!$B$7,0)+N($I461),IF($D461="Deep clean",INDEX(Settings!$E$22:$E$26,MATCH(MIN(INDEX(Properties!$E$5:$E$104,MATCH($B461,Properties!$A$5:$A$104,0)),4),Settings!$A$22:$A$26,0))+N($I461),IF($D461="Late cancel",INDEX(Properties!$I$5:$I$104,MATCH($B461,Properties!$A$5:$A$104,0))*Settings!$B$10,0))),0))</f>
        <v/>
      </c>
      <c r="O461" s="28" t="str">
        <f aca="false">IF($B461="","",IFERROR(IF($D461="Completed",INDEX(Properties!$L$5:$L$104,MATCH($B461,Properties!$A$5:$A$104,0))+IF($G461="Y",INDEX(Properties!$I$5:$I$104,MATCH($B461,Properties!$A$5:$A$104,0))*Settings!$B$8*Settings!$B$9,0)+IF($H461="Y",Settings!$B$7*Settings!$B$9,0)+N($I461)*Settings!$B$9,IF($D461="Deep clean",INDEX(Settings!$E$22:$E$26,MATCH(MIN(INDEX(Properties!$E$5:$E$104,MATCH($B461,Properties!$A$5:$A$104,0)),4),Settings!$A$22:$A$26,0))*Settings!$B$19+N($I461)*Settings!$B$9,IF($D461="Late cancel",INDEX(Properties!$L$5:$L$104,MATCH($B461,Properties!$A$5:$A$104,0))*Settings!$B$11,0))),0))</f>
        <v/>
      </c>
      <c r="P461" s="28" t="str">
        <f aca="false">IF($B461="","",$N461-$O461)</f>
        <v/>
      </c>
      <c r="Q461" s="29" t="str">
        <f aca="false">IF($A461="","",DATE(YEAR($A461),MONTH($A461),1))</f>
        <v/>
      </c>
      <c r="R461" s="30" t="str">
        <f aca="false">IF($A461="","",$A461+MOD(6-WEEKDAY($A461),7))</f>
        <v/>
      </c>
      <c r="S461" s="31" t="str">
        <f aca="false">IF($B461="","",IF(AND($M461='Invoice Builder'!$C$5,$Q461='Invoice Builder'!$C$6,N($N461)&gt;0),COUNTIFS($M$5:$M461,'Invoice Builder'!$C$5,$Q$5:$Q461,'Invoice Builder'!$C$6,$N$5:$N461,"&gt;0"),""))</f>
        <v/>
      </c>
      <c r="T461" s="27" t="str">
        <f aca="false">IF($A461="","",IF($A461&gt;=DATE(YEAR($A461),4,6),YEAR($A461)&amp;"/"&amp;RIGHT(YEAR($A461)+1,2),YEAR($A461)-1&amp;"/"&amp;RIGHT(YEAR($A461),2)))</f>
        <v/>
      </c>
    </row>
    <row r="462" customFormat="false" ht="15" hidden="false" customHeight="false" outlineLevel="0" collapsed="false">
      <c r="A462" s="22"/>
      <c r="B462" s="23"/>
      <c r="C462" s="23"/>
      <c r="D462" s="23"/>
      <c r="E462" s="24"/>
      <c r="F462" s="24"/>
      <c r="G462" s="23"/>
      <c r="H462" s="23"/>
      <c r="I462" s="25"/>
      <c r="J462" s="23"/>
      <c r="K462" s="23"/>
      <c r="L462" s="26" t="str">
        <f aca="false">IF(OR($E462="",$F462=""),"",MOD($F462-$E462,1)*24)</f>
        <v/>
      </c>
      <c r="M462" s="27" t="str">
        <f aca="false">IF($B462="","",IFERROR(INDEX(Properties!$D$5:$D$104,MATCH($B462,Properties!$A$5:$A$104,0)),"?"))</f>
        <v/>
      </c>
      <c r="N462" s="28" t="str">
        <f aca="false">IF($B462="","",IFERROR(IF($D462="Completed",INDEX(Properties!$I$5:$I$104,MATCH($B462,Properties!$A$5:$A$104,0))*(1+IF($G462="Y",Settings!$B$8,0))+IF($H462="Y",Settings!$B$7,0)+N($I462),IF($D462="Deep clean",INDEX(Settings!$E$22:$E$26,MATCH(MIN(INDEX(Properties!$E$5:$E$104,MATCH($B462,Properties!$A$5:$A$104,0)),4),Settings!$A$22:$A$26,0))+N($I462),IF($D462="Late cancel",INDEX(Properties!$I$5:$I$104,MATCH($B462,Properties!$A$5:$A$104,0))*Settings!$B$10,0))),0))</f>
        <v/>
      </c>
      <c r="O462" s="28" t="str">
        <f aca="false">IF($B462="","",IFERROR(IF($D462="Completed",INDEX(Properties!$L$5:$L$104,MATCH($B462,Properties!$A$5:$A$104,0))+IF($G462="Y",INDEX(Properties!$I$5:$I$104,MATCH($B462,Properties!$A$5:$A$104,0))*Settings!$B$8*Settings!$B$9,0)+IF($H462="Y",Settings!$B$7*Settings!$B$9,0)+N($I462)*Settings!$B$9,IF($D462="Deep clean",INDEX(Settings!$E$22:$E$26,MATCH(MIN(INDEX(Properties!$E$5:$E$104,MATCH($B462,Properties!$A$5:$A$104,0)),4),Settings!$A$22:$A$26,0))*Settings!$B$19+N($I462)*Settings!$B$9,IF($D462="Late cancel",INDEX(Properties!$L$5:$L$104,MATCH($B462,Properties!$A$5:$A$104,0))*Settings!$B$11,0))),0))</f>
        <v/>
      </c>
      <c r="P462" s="28" t="str">
        <f aca="false">IF($B462="","",$N462-$O462)</f>
        <v/>
      </c>
      <c r="Q462" s="29" t="str">
        <f aca="false">IF($A462="","",DATE(YEAR($A462),MONTH($A462),1))</f>
        <v/>
      </c>
      <c r="R462" s="30" t="str">
        <f aca="false">IF($A462="","",$A462+MOD(6-WEEKDAY($A462),7))</f>
        <v/>
      </c>
      <c r="S462" s="31" t="str">
        <f aca="false">IF($B462="","",IF(AND($M462='Invoice Builder'!$C$5,$Q462='Invoice Builder'!$C$6,N($N462)&gt;0),COUNTIFS($M$5:$M462,'Invoice Builder'!$C$5,$Q$5:$Q462,'Invoice Builder'!$C$6,$N$5:$N462,"&gt;0"),""))</f>
        <v/>
      </c>
      <c r="T462" s="27" t="str">
        <f aca="false">IF($A462="","",IF($A462&gt;=DATE(YEAR($A462),4,6),YEAR($A462)&amp;"/"&amp;RIGHT(YEAR($A462)+1,2),YEAR($A462)-1&amp;"/"&amp;RIGHT(YEAR($A462),2)))</f>
        <v/>
      </c>
    </row>
    <row r="463" customFormat="false" ht="15" hidden="false" customHeight="false" outlineLevel="0" collapsed="false">
      <c r="A463" s="22"/>
      <c r="B463" s="23"/>
      <c r="C463" s="23"/>
      <c r="D463" s="23"/>
      <c r="E463" s="24"/>
      <c r="F463" s="24"/>
      <c r="G463" s="23"/>
      <c r="H463" s="23"/>
      <c r="I463" s="25"/>
      <c r="J463" s="23"/>
      <c r="K463" s="23"/>
      <c r="L463" s="26" t="str">
        <f aca="false">IF(OR($E463="",$F463=""),"",MOD($F463-$E463,1)*24)</f>
        <v/>
      </c>
      <c r="M463" s="27" t="str">
        <f aca="false">IF($B463="","",IFERROR(INDEX(Properties!$D$5:$D$104,MATCH($B463,Properties!$A$5:$A$104,0)),"?"))</f>
        <v/>
      </c>
      <c r="N463" s="28" t="str">
        <f aca="false">IF($B463="","",IFERROR(IF($D463="Completed",INDEX(Properties!$I$5:$I$104,MATCH($B463,Properties!$A$5:$A$104,0))*(1+IF($G463="Y",Settings!$B$8,0))+IF($H463="Y",Settings!$B$7,0)+N($I463),IF($D463="Deep clean",INDEX(Settings!$E$22:$E$26,MATCH(MIN(INDEX(Properties!$E$5:$E$104,MATCH($B463,Properties!$A$5:$A$104,0)),4),Settings!$A$22:$A$26,0))+N($I463),IF($D463="Late cancel",INDEX(Properties!$I$5:$I$104,MATCH($B463,Properties!$A$5:$A$104,0))*Settings!$B$10,0))),0))</f>
        <v/>
      </c>
      <c r="O463" s="28" t="str">
        <f aca="false">IF($B463="","",IFERROR(IF($D463="Completed",INDEX(Properties!$L$5:$L$104,MATCH($B463,Properties!$A$5:$A$104,0))+IF($G463="Y",INDEX(Properties!$I$5:$I$104,MATCH($B463,Properties!$A$5:$A$104,0))*Settings!$B$8*Settings!$B$9,0)+IF($H463="Y",Settings!$B$7*Settings!$B$9,0)+N($I463)*Settings!$B$9,IF($D463="Deep clean",INDEX(Settings!$E$22:$E$26,MATCH(MIN(INDEX(Properties!$E$5:$E$104,MATCH($B463,Properties!$A$5:$A$104,0)),4),Settings!$A$22:$A$26,0))*Settings!$B$19+N($I463)*Settings!$B$9,IF($D463="Late cancel",INDEX(Properties!$L$5:$L$104,MATCH($B463,Properties!$A$5:$A$104,0))*Settings!$B$11,0))),0))</f>
        <v/>
      </c>
      <c r="P463" s="28" t="str">
        <f aca="false">IF($B463="","",$N463-$O463)</f>
        <v/>
      </c>
      <c r="Q463" s="29" t="str">
        <f aca="false">IF($A463="","",DATE(YEAR($A463),MONTH($A463),1))</f>
        <v/>
      </c>
      <c r="R463" s="30" t="str">
        <f aca="false">IF($A463="","",$A463+MOD(6-WEEKDAY($A463),7))</f>
        <v/>
      </c>
      <c r="S463" s="31" t="str">
        <f aca="false">IF($B463="","",IF(AND($M463='Invoice Builder'!$C$5,$Q463='Invoice Builder'!$C$6,N($N463)&gt;0),COUNTIFS($M$5:$M463,'Invoice Builder'!$C$5,$Q$5:$Q463,'Invoice Builder'!$C$6,$N$5:$N463,"&gt;0"),""))</f>
        <v/>
      </c>
      <c r="T463" s="27" t="str">
        <f aca="false">IF($A463="","",IF($A463&gt;=DATE(YEAR($A463),4,6),YEAR($A463)&amp;"/"&amp;RIGHT(YEAR($A463)+1,2),YEAR($A463)-1&amp;"/"&amp;RIGHT(YEAR($A463),2)))</f>
        <v/>
      </c>
    </row>
    <row r="464" customFormat="false" ht="15" hidden="false" customHeight="false" outlineLevel="0" collapsed="false">
      <c r="A464" s="22"/>
      <c r="B464" s="23"/>
      <c r="C464" s="23"/>
      <c r="D464" s="23"/>
      <c r="E464" s="24"/>
      <c r="F464" s="24"/>
      <c r="G464" s="23"/>
      <c r="H464" s="23"/>
      <c r="I464" s="25"/>
      <c r="J464" s="23"/>
      <c r="K464" s="23"/>
      <c r="L464" s="26" t="str">
        <f aca="false">IF(OR($E464="",$F464=""),"",MOD($F464-$E464,1)*24)</f>
        <v/>
      </c>
      <c r="M464" s="27" t="str">
        <f aca="false">IF($B464="","",IFERROR(INDEX(Properties!$D$5:$D$104,MATCH($B464,Properties!$A$5:$A$104,0)),"?"))</f>
        <v/>
      </c>
      <c r="N464" s="28" t="str">
        <f aca="false">IF($B464="","",IFERROR(IF($D464="Completed",INDEX(Properties!$I$5:$I$104,MATCH($B464,Properties!$A$5:$A$104,0))*(1+IF($G464="Y",Settings!$B$8,0))+IF($H464="Y",Settings!$B$7,0)+N($I464),IF($D464="Deep clean",INDEX(Settings!$E$22:$E$26,MATCH(MIN(INDEX(Properties!$E$5:$E$104,MATCH($B464,Properties!$A$5:$A$104,0)),4),Settings!$A$22:$A$26,0))+N($I464),IF($D464="Late cancel",INDEX(Properties!$I$5:$I$104,MATCH($B464,Properties!$A$5:$A$104,0))*Settings!$B$10,0))),0))</f>
        <v/>
      </c>
      <c r="O464" s="28" t="str">
        <f aca="false">IF($B464="","",IFERROR(IF($D464="Completed",INDEX(Properties!$L$5:$L$104,MATCH($B464,Properties!$A$5:$A$104,0))+IF($G464="Y",INDEX(Properties!$I$5:$I$104,MATCH($B464,Properties!$A$5:$A$104,0))*Settings!$B$8*Settings!$B$9,0)+IF($H464="Y",Settings!$B$7*Settings!$B$9,0)+N($I464)*Settings!$B$9,IF($D464="Deep clean",INDEX(Settings!$E$22:$E$26,MATCH(MIN(INDEX(Properties!$E$5:$E$104,MATCH($B464,Properties!$A$5:$A$104,0)),4),Settings!$A$22:$A$26,0))*Settings!$B$19+N($I464)*Settings!$B$9,IF($D464="Late cancel",INDEX(Properties!$L$5:$L$104,MATCH($B464,Properties!$A$5:$A$104,0))*Settings!$B$11,0))),0))</f>
        <v/>
      </c>
      <c r="P464" s="28" t="str">
        <f aca="false">IF($B464="","",$N464-$O464)</f>
        <v/>
      </c>
      <c r="Q464" s="29" t="str">
        <f aca="false">IF($A464="","",DATE(YEAR($A464),MONTH($A464),1))</f>
        <v/>
      </c>
      <c r="R464" s="30" t="str">
        <f aca="false">IF($A464="","",$A464+MOD(6-WEEKDAY($A464),7))</f>
        <v/>
      </c>
      <c r="S464" s="31" t="str">
        <f aca="false">IF($B464="","",IF(AND($M464='Invoice Builder'!$C$5,$Q464='Invoice Builder'!$C$6,N($N464)&gt;0),COUNTIFS($M$5:$M464,'Invoice Builder'!$C$5,$Q$5:$Q464,'Invoice Builder'!$C$6,$N$5:$N464,"&gt;0"),""))</f>
        <v/>
      </c>
      <c r="T464" s="27" t="str">
        <f aca="false">IF($A464="","",IF($A464&gt;=DATE(YEAR($A464),4,6),YEAR($A464)&amp;"/"&amp;RIGHT(YEAR($A464)+1,2),YEAR($A464)-1&amp;"/"&amp;RIGHT(YEAR($A464),2)))</f>
        <v/>
      </c>
    </row>
    <row r="465" customFormat="false" ht="15" hidden="false" customHeight="false" outlineLevel="0" collapsed="false">
      <c r="A465" s="22"/>
      <c r="B465" s="23"/>
      <c r="C465" s="23"/>
      <c r="D465" s="23"/>
      <c r="E465" s="24"/>
      <c r="F465" s="24"/>
      <c r="G465" s="23"/>
      <c r="H465" s="23"/>
      <c r="I465" s="25"/>
      <c r="J465" s="23"/>
      <c r="K465" s="23"/>
      <c r="L465" s="26" t="str">
        <f aca="false">IF(OR($E465="",$F465=""),"",MOD($F465-$E465,1)*24)</f>
        <v/>
      </c>
      <c r="M465" s="27" t="str">
        <f aca="false">IF($B465="","",IFERROR(INDEX(Properties!$D$5:$D$104,MATCH($B465,Properties!$A$5:$A$104,0)),"?"))</f>
        <v/>
      </c>
      <c r="N465" s="28" t="str">
        <f aca="false">IF($B465="","",IFERROR(IF($D465="Completed",INDEX(Properties!$I$5:$I$104,MATCH($B465,Properties!$A$5:$A$104,0))*(1+IF($G465="Y",Settings!$B$8,0))+IF($H465="Y",Settings!$B$7,0)+N($I465),IF($D465="Deep clean",INDEX(Settings!$E$22:$E$26,MATCH(MIN(INDEX(Properties!$E$5:$E$104,MATCH($B465,Properties!$A$5:$A$104,0)),4),Settings!$A$22:$A$26,0))+N($I465),IF($D465="Late cancel",INDEX(Properties!$I$5:$I$104,MATCH($B465,Properties!$A$5:$A$104,0))*Settings!$B$10,0))),0))</f>
        <v/>
      </c>
      <c r="O465" s="28" t="str">
        <f aca="false">IF($B465="","",IFERROR(IF($D465="Completed",INDEX(Properties!$L$5:$L$104,MATCH($B465,Properties!$A$5:$A$104,0))+IF($G465="Y",INDEX(Properties!$I$5:$I$104,MATCH($B465,Properties!$A$5:$A$104,0))*Settings!$B$8*Settings!$B$9,0)+IF($H465="Y",Settings!$B$7*Settings!$B$9,0)+N($I465)*Settings!$B$9,IF($D465="Deep clean",INDEX(Settings!$E$22:$E$26,MATCH(MIN(INDEX(Properties!$E$5:$E$104,MATCH($B465,Properties!$A$5:$A$104,0)),4),Settings!$A$22:$A$26,0))*Settings!$B$19+N($I465)*Settings!$B$9,IF($D465="Late cancel",INDEX(Properties!$L$5:$L$104,MATCH($B465,Properties!$A$5:$A$104,0))*Settings!$B$11,0))),0))</f>
        <v/>
      </c>
      <c r="P465" s="28" t="str">
        <f aca="false">IF($B465="","",$N465-$O465)</f>
        <v/>
      </c>
      <c r="Q465" s="29" t="str">
        <f aca="false">IF($A465="","",DATE(YEAR($A465),MONTH($A465),1))</f>
        <v/>
      </c>
      <c r="R465" s="30" t="str">
        <f aca="false">IF($A465="","",$A465+MOD(6-WEEKDAY($A465),7))</f>
        <v/>
      </c>
      <c r="S465" s="31" t="str">
        <f aca="false">IF($B465="","",IF(AND($M465='Invoice Builder'!$C$5,$Q465='Invoice Builder'!$C$6,N($N465)&gt;0),COUNTIFS($M$5:$M465,'Invoice Builder'!$C$5,$Q$5:$Q465,'Invoice Builder'!$C$6,$N$5:$N465,"&gt;0"),""))</f>
        <v/>
      </c>
      <c r="T465" s="27" t="str">
        <f aca="false">IF($A465="","",IF($A465&gt;=DATE(YEAR($A465),4,6),YEAR($A465)&amp;"/"&amp;RIGHT(YEAR($A465)+1,2),YEAR($A465)-1&amp;"/"&amp;RIGHT(YEAR($A465),2)))</f>
        <v/>
      </c>
    </row>
    <row r="466" customFormat="false" ht="15" hidden="false" customHeight="false" outlineLevel="0" collapsed="false">
      <c r="A466" s="22"/>
      <c r="B466" s="23"/>
      <c r="C466" s="23"/>
      <c r="D466" s="23"/>
      <c r="E466" s="24"/>
      <c r="F466" s="24"/>
      <c r="G466" s="23"/>
      <c r="H466" s="23"/>
      <c r="I466" s="25"/>
      <c r="J466" s="23"/>
      <c r="K466" s="23"/>
      <c r="L466" s="26" t="str">
        <f aca="false">IF(OR($E466="",$F466=""),"",MOD($F466-$E466,1)*24)</f>
        <v/>
      </c>
      <c r="M466" s="27" t="str">
        <f aca="false">IF($B466="","",IFERROR(INDEX(Properties!$D$5:$D$104,MATCH($B466,Properties!$A$5:$A$104,0)),"?"))</f>
        <v/>
      </c>
      <c r="N466" s="28" t="str">
        <f aca="false">IF($B466="","",IFERROR(IF($D466="Completed",INDEX(Properties!$I$5:$I$104,MATCH($B466,Properties!$A$5:$A$104,0))*(1+IF($G466="Y",Settings!$B$8,0))+IF($H466="Y",Settings!$B$7,0)+N($I466),IF($D466="Deep clean",INDEX(Settings!$E$22:$E$26,MATCH(MIN(INDEX(Properties!$E$5:$E$104,MATCH($B466,Properties!$A$5:$A$104,0)),4),Settings!$A$22:$A$26,0))+N($I466),IF($D466="Late cancel",INDEX(Properties!$I$5:$I$104,MATCH($B466,Properties!$A$5:$A$104,0))*Settings!$B$10,0))),0))</f>
        <v/>
      </c>
      <c r="O466" s="28" t="str">
        <f aca="false">IF($B466="","",IFERROR(IF($D466="Completed",INDEX(Properties!$L$5:$L$104,MATCH($B466,Properties!$A$5:$A$104,0))+IF($G466="Y",INDEX(Properties!$I$5:$I$104,MATCH($B466,Properties!$A$5:$A$104,0))*Settings!$B$8*Settings!$B$9,0)+IF($H466="Y",Settings!$B$7*Settings!$B$9,0)+N($I466)*Settings!$B$9,IF($D466="Deep clean",INDEX(Settings!$E$22:$E$26,MATCH(MIN(INDEX(Properties!$E$5:$E$104,MATCH($B466,Properties!$A$5:$A$104,0)),4),Settings!$A$22:$A$26,0))*Settings!$B$19+N($I466)*Settings!$B$9,IF($D466="Late cancel",INDEX(Properties!$L$5:$L$104,MATCH($B466,Properties!$A$5:$A$104,0))*Settings!$B$11,0))),0))</f>
        <v/>
      </c>
      <c r="P466" s="28" t="str">
        <f aca="false">IF($B466="","",$N466-$O466)</f>
        <v/>
      </c>
      <c r="Q466" s="29" t="str">
        <f aca="false">IF($A466="","",DATE(YEAR($A466),MONTH($A466),1))</f>
        <v/>
      </c>
      <c r="R466" s="30" t="str">
        <f aca="false">IF($A466="","",$A466+MOD(6-WEEKDAY($A466),7))</f>
        <v/>
      </c>
      <c r="S466" s="31" t="str">
        <f aca="false">IF($B466="","",IF(AND($M466='Invoice Builder'!$C$5,$Q466='Invoice Builder'!$C$6,N($N466)&gt;0),COUNTIFS($M$5:$M466,'Invoice Builder'!$C$5,$Q$5:$Q466,'Invoice Builder'!$C$6,$N$5:$N466,"&gt;0"),""))</f>
        <v/>
      </c>
      <c r="T466" s="27" t="str">
        <f aca="false">IF($A466="","",IF($A466&gt;=DATE(YEAR($A466),4,6),YEAR($A466)&amp;"/"&amp;RIGHT(YEAR($A466)+1,2),YEAR($A466)-1&amp;"/"&amp;RIGHT(YEAR($A466),2)))</f>
        <v/>
      </c>
    </row>
    <row r="467" customFormat="false" ht="15" hidden="false" customHeight="false" outlineLevel="0" collapsed="false">
      <c r="A467" s="22"/>
      <c r="B467" s="23"/>
      <c r="C467" s="23"/>
      <c r="D467" s="23"/>
      <c r="E467" s="24"/>
      <c r="F467" s="24"/>
      <c r="G467" s="23"/>
      <c r="H467" s="23"/>
      <c r="I467" s="25"/>
      <c r="J467" s="23"/>
      <c r="K467" s="23"/>
      <c r="L467" s="26" t="str">
        <f aca="false">IF(OR($E467="",$F467=""),"",MOD($F467-$E467,1)*24)</f>
        <v/>
      </c>
      <c r="M467" s="27" t="str">
        <f aca="false">IF($B467="","",IFERROR(INDEX(Properties!$D$5:$D$104,MATCH($B467,Properties!$A$5:$A$104,0)),"?"))</f>
        <v/>
      </c>
      <c r="N467" s="28" t="str">
        <f aca="false">IF($B467="","",IFERROR(IF($D467="Completed",INDEX(Properties!$I$5:$I$104,MATCH($B467,Properties!$A$5:$A$104,0))*(1+IF($G467="Y",Settings!$B$8,0))+IF($H467="Y",Settings!$B$7,0)+N($I467),IF($D467="Deep clean",INDEX(Settings!$E$22:$E$26,MATCH(MIN(INDEX(Properties!$E$5:$E$104,MATCH($B467,Properties!$A$5:$A$104,0)),4),Settings!$A$22:$A$26,0))+N($I467),IF($D467="Late cancel",INDEX(Properties!$I$5:$I$104,MATCH($B467,Properties!$A$5:$A$104,0))*Settings!$B$10,0))),0))</f>
        <v/>
      </c>
      <c r="O467" s="28" t="str">
        <f aca="false">IF($B467="","",IFERROR(IF($D467="Completed",INDEX(Properties!$L$5:$L$104,MATCH($B467,Properties!$A$5:$A$104,0))+IF($G467="Y",INDEX(Properties!$I$5:$I$104,MATCH($B467,Properties!$A$5:$A$104,0))*Settings!$B$8*Settings!$B$9,0)+IF($H467="Y",Settings!$B$7*Settings!$B$9,0)+N($I467)*Settings!$B$9,IF($D467="Deep clean",INDEX(Settings!$E$22:$E$26,MATCH(MIN(INDEX(Properties!$E$5:$E$104,MATCH($B467,Properties!$A$5:$A$104,0)),4),Settings!$A$22:$A$26,0))*Settings!$B$19+N($I467)*Settings!$B$9,IF($D467="Late cancel",INDEX(Properties!$L$5:$L$104,MATCH($B467,Properties!$A$5:$A$104,0))*Settings!$B$11,0))),0))</f>
        <v/>
      </c>
      <c r="P467" s="28" t="str">
        <f aca="false">IF($B467="","",$N467-$O467)</f>
        <v/>
      </c>
      <c r="Q467" s="29" t="str">
        <f aca="false">IF($A467="","",DATE(YEAR($A467),MONTH($A467),1))</f>
        <v/>
      </c>
      <c r="R467" s="30" t="str">
        <f aca="false">IF($A467="","",$A467+MOD(6-WEEKDAY($A467),7))</f>
        <v/>
      </c>
      <c r="S467" s="31" t="str">
        <f aca="false">IF($B467="","",IF(AND($M467='Invoice Builder'!$C$5,$Q467='Invoice Builder'!$C$6,N($N467)&gt;0),COUNTIFS($M$5:$M467,'Invoice Builder'!$C$5,$Q$5:$Q467,'Invoice Builder'!$C$6,$N$5:$N467,"&gt;0"),""))</f>
        <v/>
      </c>
      <c r="T467" s="27" t="str">
        <f aca="false">IF($A467="","",IF($A467&gt;=DATE(YEAR($A467),4,6),YEAR($A467)&amp;"/"&amp;RIGHT(YEAR($A467)+1,2),YEAR($A467)-1&amp;"/"&amp;RIGHT(YEAR($A467),2)))</f>
        <v/>
      </c>
    </row>
    <row r="468" customFormat="false" ht="15" hidden="false" customHeight="false" outlineLevel="0" collapsed="false">
      <c r="A468" s="22"/>
      <c r="B468" s="23"/>
      <c r="C468" s="23"/>
      <c r="D468" s="23"/>
      <c r="E468" s="24"/>
      <c r="F468" s="24"/>
      <c r="G468" s="23"/>
      <c r="H468" s="23"/>
      <c r="I468" s="25"/>
      <c r="J468" s="23"/>
      <c r="K468" s="23"/>
      <c r="L468" s="26" t="str">
        <f aca="false">IF(OR($E468="",$F468=""),"",MOD($F468-$E468,1)*24)</f>
        <v/>
      </c>
      <c r="M468" s="27" t="str">
        <f aca="false">IF($B468="","",IFERROR(INDEX(Properties!$D$5:$D$104,MATCH($B468,Properties!$A$5:$A$104,0)),"?"))</f>
        <v/>
      </c>
      <c r="N468" s="28" t="str">
        <f aca="false">IF($B468="","",IFERROR(IF($D468="Completed",INDEX(Properties!$I$5:$I$104,MATCH($B468,Properties!$A$5:$A$104,0))*(1+IF($G468="Y",Settings!$B$8,0))+IF($H468="Y",Settings!$B$7,0)+N($I468),IF($D468="Deep clean",INDEX(Settings!$E$22:$E$26,MATCH(MIN(INDEX(Properties!$E$5:$E$104,MATCH($B468,Properties!$A$5:$A$104,0)),4),Settings!$A$22:$A$26,0))+N($I468),IF($D468="Late cancel",INDEX(Properties!$I$5:$I$104,MATCH($B468,Properties!$A$5:$A$104,0))*Settings!$B$10,0))),0))</f>
        <v/>
      </c>
      <c r="O468" s="28" t="str">
        <f aca="false">IF($B468="","",IFERROR(IF($D468="Completed",INDEX(Properties!$L$5:$L$104,MATCH($B468,Properties!$A$5:$A$104,0))+IF($G468="Y",INDEX(Properties!$I$5:$I$104,MATCH($B468,Properties!$A$5:$A$104,0))*Settings!$B$8*Settings!$B$9,0)+IF($H468="Y",Settings!$B$7*Settings!$B$9,0)+N($I468)*Settings!$B$9,IF($D468="Deep clean",INDEX(Settings!$E$22:$E$26,MATCH(MIN(INDEX(Properties!$E$5:$E$104,MATCH($B468,Properties!$A$5:$A$104,0)),4),Settings!$A$22:$A$26,0))*Settings!$B$19+N($I468)*Settings!$B$9,IF($D468="Late cancel",INDEX(Properties!$L$5:$L$104,MATCH($B468,Properties!$A$5:$A$104,0))*Settings!$B$11,0))),0))</f>
        <v/>
      </c>
      <c r="P468" s="28" t="str">
        <f aca="false">IF($B468="","",$N468-$O468)</f>
        <v/>
      </c>
      <c r="Q468" s="29" t="str">
        <f aca="false">IF($A468="","",DATE(YEAR($A468),MONTH($A468),1))</f>
        <v/>
      </c>
      <c r="R468" s="30" t="str">
        <f aca="false">IF($A468="","",$A468+MOD(6-WEEKDAY($A468),7))</f>
        <v/>
      </c>
      <c r="S468" s="31" t="str">
        <f aca="false">IF($B468="","",IF(AND($M468='Invoice Builder'!$C$5,$Q468='Invoice Builder'!$C$6,N($N468)&gt;0),COUNTIFS($M$5:$M468,'Invoice Builder'!$C$5,$Q$5:$Q468,'Invoice Builder'!$C$6,$N$5:$N468,"&gt;0"),""))</f>
        <v/>
      </c>
      <c r="T468" s="27" t="str">
        <f aca="false">IF($A468="","",IF($A468&gt;=DATE(YEAR($A468),4,6),YEAR($A468)&amp;"/"&amp;RIGHT(YEAR($A468)+1,2),YEAR($A468)-1&amp;"/"&amp;RIGHT(YEAR($A468),2)))</f>
        <v/>
      </c>
    </row>
    <row r="469" customFormat="false" ht="15" hidden="false" customHeight="false" outlineLevel="0" collapsed="false">
      <c r="A469" s="22"/>
      <c r="B469" s="23"/>
      <c r="C469" s="23"/>
      <c r="D469" s="23"/>
      <c r="E469" s="24"/>
      <c r="F469" s="24"/>
      <c r="G469" s="23"/>
      <c r="H469" s="23"/>
      <c r="I469" s="25"/>
      <c r="J469" s="23"/>
      <c r="K469" s="23"/>
      <c r="L469" s="26" t="str">
        <f aca="false">IF(OR($E469="",$F469=""),"",MOD($F469-$E469,1)*24)</f>
        <v/>
      </c>
      <c r="M469" s="27" t="str">
        <f aca="false">IF($B469="","",IFERROR(INDEX(Properties!$D$5:$D$104,MATCH($B469,Properties!$A$5:$A$104,0)),"?"))</f>
        <v/>
      </c>
      <c r="N469" s="28" t="str">
        <f aca="false">IF($B469="","",IFERROR(IF($D469="Completed",INDEX(Properties!$I$5:$I$104,MATCH($B469,Properties!$A$5:$A$104,0))*(1+IF($G469="Y",Settings!$B$8,0))+IF($H469="Y",Settings!$B$7,0)+N($I469),IF($D469="Deep clean",INDEX(Settings!$E$22:$E$26,MATCH(MIN(INDEX(Properties!$E$5:$E$104,MATCH($B469,Properties!$A$5:$A$104,0)),4),Settings!$A$22:$A$26,0))+N($I469),IF($D469="Late cancel",INDEX(Properties!$I$5:$I$104,MATCH($B469,Properties!$A$5:$A$104,0))*Settings!$B$10,0))),0))</f>
        <v/>
      </c>
      <c r="O469" s="28" t="str">
        <f aca="false">IF($B469="","",IFERROR(IF($D469="Completed",INDEX(Properties!$L$5:$L$104,MATCH($B469,Properties!$A$5:$A$104,0))+IF($G469="Y",INDEX(Properties!$I$5:$I$104,MATCH($B469,Properties!$A$5:$A$104,0))*Settings!$B$8*Settings!$B$9,0)+IF($H469="Y",Settings!$B$7*Settings!$B$9,0)+N($I469)*Settings!$B$9,IF($D469="Deep clean",INDEX(Settings!$E$22:$E$26,MATCH(MIN(INDEX(Properties!$E$5:$E$104,MATCH($B469,Properties!$A$5:$A$104,0)),4),Settings!$A$22:$A$26,0))*Settings!$B$19+N($I469)*Settings!$B$9,IF($D469="Late cancel",INDEX(Properties!$L$5:$L$104,MATCH($B469,Properties!$A$5:$A$104,0))*Settings!$B$11,0))),0))</f>
        <v/>
      </c>
      <c r="P469" s="28" t="str">
        <f aca="false">IF($B469="","",$N469-$O469)</f>
        <v/>
      </c>
      <c r="Q469" s="29" t="str">
        <f aca="false">IF($A469="","",DATE(YEAR($A469),MONTH($A469),1))</f>
        <v/>
      </c>
      <c r="R469" s="30" t="str">
        <f aca="false">IF($A469="","",$A469+MOD(6-WEEKDAY($A469),7))</f>
        <v/>
      </c>
      <c r="S469" s="31" t="str">
        <f aca="false">IF($B469="","",IF(AND($M469='Invoice Builder'!$C$5,$Q469='Invoice Builder'!$C$6,N($N469)&gt;0),COUNTIFS($M$5:$M469,'Invoice Builder'!$C$5,$Q$5:$Q469,'Invoice Builder'!$C$6,$N$5:$N469,"&gt;0"),""))</f>
        <v/>
      </c>
      <c r="T469" s="27" t="str">
        <f aca="false">IF($A469="","",IF($A469&gt;=DATE(YEAR($A469),4,6),YEAR($A469)&amp;"/"&amp;RIGHT(YEAR($A469)+1,2),YEAR($A469)-1&amp;"/"&amp;RIGHT(YEAR($A469),2)))</f>
        <v/>
      </c>
    </row>
    <row r="470" customFormat="false" ht="15" hidden="false" customHeight="false" outlineLevel="0" collapsed="false">
      <c r="A470" s="22"/>
      <c r="B470" s="23"/>
      <c r="C470" s="23"/>
      <c r="D470" s="23"/>
      <c r="E470" s="24"/>
      <c r="F470" s="24"/>
      <c r="G470" s="23"/>
      <c r="H470" s="23"/>
      <c r="I470" s="25"/>
      <c r="J470" s="23"/>
      <c r="K470" s="23"/>
      <c r="L470" s="26" t="str">
        <f aca="false">IF(OR($E470="",$F470=""),"",MOD($F470-$E470,1)*24)</f>
        <v/>
      </c>
      <c r="M470" s="27" t="str">
        <f aca="false">IF($B470="","",IFERROR(INDEX(Properties!$D$5:$D$104,MATCH($B470,Properties!$A$5:$A$104,0)),"?"))</f>
        <v/>
      </c>
      <c r="N470" s="28" t="str">
        <f aca="false">IF($B470="","",IFERROR(IF($D470="Completed",INDEX(Properties!$I$5:$I$104,MATCH($B470,Properties!$A$5:$A$104,0))*(1+IF($G470="Y",Settings!$B$8,0))+IF($H470="Y",Settings!$B$7,0)+N($I470),IF($D470="Deep clean",INDEX(Settings!$E$22:$E$26,MATCH(MIN(INDEX(Properties!$E$5:$E$104,MATCH($B470,Properties!$A$5:$A$104,0)),4),Settings!$A$22:$A$26,0))+N($I470),IF($D470="Late cancel",INDEX(Properties!$I$5:$I$104,MATCH($B470,Properties!$A$5:$A$104,0))*Settings!$B$10,0))),0))</f>
        <v/>
      </c>
      <c r="O470" s="28" t="str">
        <f aca="false">IF($B470="","",IFERROR(IF($D470="Completed",INDEX(Properties!$L$5:$L$104,MATCH($B470,Properties!$A$5:$A$104,0))+IF($G470="Y",INDEX(Properties!$I$5:$I$104,MATCH($B470,Properties!$A$5:$A$104,0))*Settings!$B$8*Settings!$B$9,0)+IF($H470="Y",Settings!$B$7*Settings!$B$9,0)+N($I470)*Settings!$B$9,IF($D470="Deep clean",INDEX(Settings!$E$22:$E$26,MATCH(MIN(INDEX(Properties!$E$5:$E$104,MATCH($B470,Properties!$A$5:$A$104,0)),4),Settings!$A$22:$A$26,0))*Settings!$B$19+N($I470)*Settings!$B$9,IF($D470="Late cancel",INDEX(Properties!$L$5:$L$104,MATCH($B470,Properties!$A$5:$A$104,0))*Settings!$B$11,0))),0))</f>
        <v/>
      </c>
      <c r="P470" s="28" t="str">
        <f aca="false">IF($B470="","",$N470-$O470)</f>
        <v/>
      </c>
      <c r="Q470" s="29" t="str">
        <f aca="false">IF($A470="","",DATE(YEAR($A470),MONTH($A470),1))</f>
        <v/>
      </c>
      <c r="R470" s="30" t="str">
        <f aca="false">IF($A470="","",$A470+MOD(6-WEEKDAY($A470),7))</f>
        <v/>
      </c>
      <c r="S470" s="31" t="str">
        <f aca="false">IF($B470="","",IF(AND($M470='Invoice Builder'!$C$5,$Q470='Invoice Builder'!$C$6,N($N470)&gt;0),COUNTIFS($M$5:$M470,'Invoice Builder'!$C$5,$Q$5:$Q470,'Invoice Builder'!$C$6,$N$5:$N470,"&gt;0"),""))</f>
        <v/>
      </c>
      <c r="T470" s="27" t="str">
        <f aca="false">IF($A470="","",IF($A470&gt;=DATE(YEAR($A470),4,6),YEAR($A470)&amp;"/"&amp;RIGHT(YEAR($A470)+1,2),YEAR($A470)-1&amp;"/"&amp;RIGHT(YEAR($A470),2)))</f>
        <v/>
      </c>
    </row>
    <row r="471" customFormat="false" ht="15" hidden="false" customHeight="false" outlineLevel="0" collapsed="false">
      <c r="A471" s="22"/>
      <c r="B471" s="23"/>
      <c r="C471" s="23"/>
      <c r="D471" s="23"/>
      <c r="E471" s="24"/>
      <c r="F471" s="24"/>
      <c r="G471" s="23"/>
      <c r="H471" s="23"/>
      <c r="I471" s="25"/>
      <c r="J471" s="23"/>
      <c r="K471" s="23"/>
      <c r="L471" s="26" t="str">
        <f aca="false">IF(OR($E471="",$F471=""),"",MOD($F471-$E471,1)*24)</f>
        <v/>
      </c>
      <c r="M471" s="27" t="str">
        <f aca="false">IF($B471="","",IFERROR(INDEX(Properties!$D$5:$D$104,MATCH($B471,Properties!$A$5:$A$104,0)),"?"))</f>
        <v/>
      </c>
      <c r="N471" s="28" t="str">
        <f aca="false">IF($B471="","",IFERROR(IF($D471="Completed",INDEX(Properties!$I$5:$I$104,MATCH($B471,Properties!$A$5:$A$104,0))*(1+IF($G471="Y",Settings!$B$8,0))+IF($H471="Y",Settings!$B$7,0)+N($I471),IF($D471="Deep clean",INDEX(Settings!$E$22:$E$26,MATCH(MIN(INDEX(Properties!$E$5:$E$104,MATCH($B471,Properties!$A$5:$A$104,0)),4),Settings!$A$22:$A$26,0))+N($I471),IF($D471="Late cancel",INDEX(Properties!$I$5:$I$104,MATCH($B471,Properties!$A$5:$A$104,0))*Settings!$B$10,0))),0))</f>
        <v/>
      </c>
      <c r="O471" s="28" t="str">
        <f aca="false">IF($B471="","",IFERROR(IF($D471="Completed",INDEX(Properties!$L$5:$L$104,MATCH($B471,Properties!$A$5:$A$104,0))+IF($G471="Y",INDEX(Properties!$I$5:$I$104,MATCH($B471,Properties!$A$5:$A$104,0))*Settings!$B$8*Settings!$B$9,0)+IF($H471="Y",Settings!$B$7*Settings!$B$9,0)+N($I471)*Settings!$B$9,IF($D471="Deep clean",INDEX(Settings!$E$22:$E$26,MATCH(MIN(INDEX(Properties!$E$5:$E$104,MATCH($B471,Properties!$A$5:$A$104,0)),4),Settings!$A$22:$A$26,0))*Settings!$B$19+N($I471)*Settings!$B$9,IF($D471="Late cancel",INDEX(Properties!$L$5:$L$104,MATCH($B471,Properties!$A$5:$A$104,0))*Settings!$B$11,0))),0))</f>
        <v/>
      </c>
      <c r="P471" s="28" t="str">
        <f aca="false">IF($B471="","",$N471-$O471)</f>
        <v/>
      </c>
      <c r="Q471" s="29" t="str">
        <f aca="false">IF($A471="","",DATE(YEAR($A471),MONTH($A471),1))</f>
        <v/>
      </c>
      <c r="R471" s="30" t="str">
        <f aca="false">IF($A471="","",$A471+MOD(6-WEEKDAY($A471),7))</f>
        <v/>
      </c>
      <c r="S471" s="31" t="str">
        <f aca="false">IF($B471="","",IF(AND($M471='Invoice Builder'!$C$5,$Q471='Invoice Builder'!$C$6,N($N471)&gt;0),COUNTIFS($M$5:$M471,'Invoice Builder'!$C$5,$Q$5:$Q471,'Invoice Builder'!$C$6,$N$5:$N471,"&gt;0"),""))</f>
        <v/>
      </c>
      <c r="T471" s="27" t="str">
        <f aca="false">IF($A471="","",IF($A471&gt;=DATE(YEAR($A471),4,6),YEAR($A471)&amp;"/"&amp;RIGHT(YEAR($A471)+1,2),YEAR($A471)-1&amp;"/"&amp;RIGHT(YEAR($A471),2)))</f>
        <v/>
      </c>
    </row>
    <row r="472" customFormat="false" ht="15" hidden="false" customHeight="false" outlineLevel="0" collapsed="false">
      <c r="A472" s="22"/>
      <c r="B472" s="23"/>
      <c r="C472" s="23"/>
      <c r="D472" s="23"/>
      <c r="E472" s="24"/>
      <c r="F472" s="24"/>
      <c r="G472" s="23"/>
      <c r="H472" s="23"/>
      <c r="I472" s="25"/>
      <c r="J472" s="23"/>
      <c r="K472" s="23"/>
      <c r="L472" s="26" t="str">
        <f aca="false">IF(OR($E472="",$F472=""),"",MOD($F472-$E472,1)*24)</f>
        <v/>
      </c>
      <c r="M472" s="27" t="str">
        <f aca="false">IF($B472="","",IFERROR(INDEX(Properties!$D$5:$D$104,MATCH($B472,Properties!$A$5:$A$104,0)),"?"))</f>
        <v/>
      </c>
      <c r="N472" s="28" t="str">
        <f aca="false">IF($B472="","",IFERROR(IF($D472="Completed",INDEX(Properties!$I$5:$I$104,MATCH($B472,Properties!$A$5:$A$104,0))*(1+IF($G472="Y",Settings!$B$8,0))+IF($H472="Y",Settings!$B$7,0)+N($I472),IF($D472="Deep clean",INDEX(Settings!$E$22:$E$26,MATCH(MIN(INDEX(Properties!$E$5:$E$104,MATCH($B472,Properties!$A$5:$A$104,0)),4),Settings!$A$22:$A$26,0))+N($I472),IF($D472="Late cancel",INDEX(Properties!$I$5:$I$104,MATCH($B472,Properties!$A$5:$A$104,0))*Settings!$B$10,0))),0))</f>
        <v/>
      </c>
      <c r="O472" s="28" t="str">
        <f aca="false">IF($B472="","",IFERROR(IF($D472="Completed",INDEX(Properties!$L$5:$L$104,MATCH($B472,Properties!$A$5:$A$104,0))+IF($G472="Y",INDEX(Properties!$I$5:$I$104,MATCH($B472,Properties!$A$5:$A$104,0))*Settings!$B$8*Settings!$B$9,0)+IF($H472="Y",Settings!$B$7*Settings!$B$9,0)+N($I472)*Settings!$B$9,IF($D472="Deep clean",INDEX(Settings!$E$22:$E$26,MATCH(MIN(INDEX(Properties!$E$5:$E$104,MATCH($B472,Properties!$A$5:$A$104,0)),4),Settings!$A$22:$A$26,0))*Settings!$B$19+N($I472)*Settings!$B$9,IF($D472="Late cancel",INDEX(Properties!$L$5:$L$104,MATCH($B472,Properties!$A$5:$A$104,0))*Settings!$B$11,0))),0))</f>
        <v/>
      </c>
      <c r="P472" s="28" t="str">
        <f aca="false">IF($B472="","",$N472-$O472)</f>
        <v/>
      </c>
      <c r="Q472" s="29" t="str">
        <f aca="false">IF($A472="","",DATE(YEAR($A472),MONTH($A472),1))</f>
        <v/>
      </c>
      <c r="R472" s="30" t="str">
        <f aca="false">IF($A472="","",$A472+MOD(6-WEEKDAY($A472),7))</f>
        <v/>
      </c>
      <c r="S472" s="31" t="str">
        <f aca="false">IF($B472="","",IF(AND($M472='Invoice Builder'!$C$5,$Q472='Invoice Builder'!$C$6,N($N472)&gt;0),COUNTIFS($M$5:$M472,'Invoice Builder'!$C$5,$Q$5:$Q472,'Invoice Builder'!$C$6,$N$5:$N472,"&gt;0"),""))</f>
        <v/>
      </c>
      <c r="T472" s="27" t="str">
        <f aca="false">IF($A472="","",IF($A472&gt;=DATE(YEAR($A472),4,6),YEAR($A472)&amp;"/"&amp;RIGHT(YEAR($A472)+1,2),YEAR($A472)-1&amp;"/"&amp;RIGHT(YEAR($A472),2)))</f>
        <v/>
      </c>
    </row>
    <row r="473" customFormat="false" ht="15" hidden="false" customHeight="false" outlineLevel="0" collapsed="false">
      <c r="A473" s="22"/>
      <c r="B473" s="23"/>
      <c r="C473" s="23"/>
      <c r="D473" s="23"/>
      <c r="E473" s="24"/>
      <c r="F473" s="24"/>
      <c r="G473" s="23"/>
      <c r="H473" s="23"/>
      <c r="I473" s="25"/>
      <c r="J473" s="23"/>
      <c r="K473" s="23"/>
      <c r="L473" s="26" t="str">
        <f aca="false">IF(OR($E473="",$F473=""),"",MOD($F473-$E473,1)*24)</f>
        <v/>
      </c>
      <c r="M473" s="27" t="str">
        <f aca="false">IF($B473="","",IFERROR(INDEX(Properties!$D$5:$D$104,MATCH($B473,Properties!$A$5:$A$104,0)),"?"))</f>
        <v/>
      </c>
      <c r="N473" s="28" t="str">
        <f aca="false">IF($B473="","",IFERROR(IF($D473="Completed",INDEX(Properties!$I$5:$I$104,MATCH($B473,Properties!$A$5:$A$104,0))*(1+IF($G473="Y",Settings!$B$8,0))+IF($H473="Y",Settings!$B$7,0)+N($I473),IF($D473="Deep clean",INDEX(Settings!$E$22:$E$26,MATCH(MIN(INDEX(Properties!$E$5:$E$104,MATCH($B473,Properties!$A$5:$A$104,0)),4),Settings!$A$22:$A$26,0))+N($I473),IF($D473="Late cancel",INDEX(Properties!$I$5:$I$104,MATCH($B473,Properties!$A$5:$A$104,0))*Settings!$B$10,0))),0))</f>
        <v/>
      </c>
      <c r="O473" s="28" t="str">
        <f aca="false">IF($B473="","",IFERROR(IF($D473="Completed",INDEX(Properties!$L$5:$L$104,MATCH($B473,Properties!$A$5:$A$104,0))+IF($G473="Y",INDEX(Properties!$I$5:$I$104,MATCH($B473,Properties!$A$5:$A$104,0))*Settings!$B$8*Settings!$B$9,0)+IF($H473="Y",Settings!$B$7*Settings!$B$9,0)+N($I473)*Settings!$B$9,IF($D473="Deep clean",INDEX(Settings!$E$22:$E$26,MATCH(MIN(INDEX(Properties!$E$5:$E$104,MATCH($B473,Properties!$A$5:$A$104,0)),4),Settings!$A$22:$A$26,0))*Settings!$B$19+N($I473)*Settings!$B$9,IF($D473="Late cancel",INDEX(Properties!$L$5:$L$104,MATCH($B473,Properties!$A$5:$A$104,0))*Settings!$B$11,0))),0))</f>
        <v/>
      </c>
      <c r="P473" s="28" t="str">
        <f aca="false">IF($B473="","",$N473-$O473)</f>
        <v/>
      </c>
      <c r="Q473" s="29" t="str">
        <f aca="false">IF($A473="","",DATE(YEAR($A473),MONTH($A473),1))</f>
        <v/>
      </c>
      <c r="R473" s="30" t="str">
        <f aca="false">IF($A473="","",$A473+MOD(6-WEEKDAY($A473),7))</f>
        <v/>
      </c>
      <c r="S473" s="31" t="str">
        <f aca="false">IF($B473="","",IF(AND($M473='Invoice Builder'!$C$5,$Q473='Invoice Builder'!$C$6,N($N473)&gt;0),COUNTIFS($M$5:$M473,'Invoice Builder'!$C$5,$Q$5:$Q473,'Invoice Builder'!$C$6,$N$5:$N473,"&gt;0"),""))</f>
        <v/>
      </c>
      <c r="T473" s="27" t="str">
        <f aca="false">IF($A473="","",IF($A473&gt;=DATE(YEAR($A473),4,6),YEAR($A473)&amp;"/"&amp;RIGHT(YEAR($A473)+1,2),YEAR($A473)-1&amp;"/"&amp;RIGHT(YEAR($A473),2)))</f>
        <v/>
      </c>
    </row>
    <row r="474" customFormat="false" ht="15" hidden="false" customHeight="false" outlineLevel="0" collapsed="false">
      <c r="A474" s="22"/>
      <c r="B474" s="23"/>
      <c r="C474" s="23"/>
      <c r="D474" s="23"/>
      <c r="E474" s="24"/>
      <c r="F474" s="24"/>
      <c r="G474" s="23"/>
      <c r="H474" s="23"/>
      <c r="I474" s="25"/>
      <c r="J474" s="23"/>
      <c r="K474" s="23"/>
      <c r="L474" s="26" t="str">
        <f aca="false">IF(OR($E474="",$F474=""),"",MOD($F474-$E474,1)*24)</f>
        <v/>
      </c>
      <c r="M474" s="27" t="str">
        <f aca="false">IF($B474="","",IFERROR(INDEX(Properties!$D$5:$D$104,MATCH($B474,Properties!$A$5:$A$104,0)),"?"))</f>
        <v/>
      </c>
      <c r="N474" s="28" t="str">
        <f aca="false">IF($B474="","",IFERROR(IF($D474="Completed",INDEX(Properties!$I$5:$I$104,MATCH($B474,Properties!$A$5:$A$104,0))*(1+IF($G474="Y",Settings!$B$8,0))+IF($H474="Y",Settings!$B$7,0)+N($I474),IF($D474="Deep clean",INDEX(Settings!$E$22:$E$26,MATCH(MIN(INDEX(Properties!$E$5:$E$104,MATCH($B474,Properties!$A$5:$A$104,0)),4),Settings!$A$22:$A$26,0))+N($I474),IF($D474="Late cancel",INDEX(Properties!$I$5:$I$104,MATCH($B474,Properties!$A$5:$A$104,0))*Settings!$B$10,0))),0))</f>
        <v/>
      </c>
      <c r="O474" s="28" t="str">
        <f aca="false">IF($B474="","",IFERROR(IF($D474="Completed",INDEX(Properties!$L$5:$L$104,MATCH($B474,Properties!$A$5:$A$104,0))+IF($G474="Y",INDEX(Properties!$I$5:$I$104,MATCH($B474,Properties!$A$5:$A$104,0))*Settings!$B$8*Settings!$B$9,0)+IF($H474="Y",Settings!$B$7*Settings!$B$9,0)+N($I474)*Settings!$B$9,IF($D474="Deep clean",INDEX(Settings!$E$22:$E$26,MATCH(MIN(INDEX(Properties!$E$5:$E$104,MATCH($B474,Properties!$A$5:$A$104,0)),4),Settings!$A$22:$A$26,0))*Settings!$B$19+N($I474)*Settings!$B$9,IF($D474="Late cancel",INDEX(Properties!$L$5:$L$104,MATCH($B474,Properties!$A$5:$A$104,0))*Settings!$B$11,0))),0))</f>
        <v/>
      </c>
      <c r="P474" s="28" t="str">
        <f aca="false">IF($B474="","",$N474-$O474)</f>
        <v/>
      </c>
      <c r="Q474" s="29" t="str">
        <f aca="false">IF($A474="","",DATE(YEAR($A474),MONTH($A474),1))</f>
        <v/>
      </c>
      <c r="R474" s="30" t="str">
        <f aca="false">IF($A474="","",$A474+MOD(6-WEEKDAY($A474),7))</f>
        <v/>
      </c>
      <c r="S474" s="31" t="str">
        <f aca="false">IF($B474="","",IF(AND($M474='Invoice Builder'!$C$5,$Q474='Invoice Builder'!$C$6,N($N474)&gt;0),COUNTIFS($M$5:$M474,'Invoice Builder'!$C$5,$Q$5:$Q474,'Invoice Builder'!$C$6,$N$5:$N474,"&gt;0"),""))</f>
        <v/>
      </c>
      <c r="T474" s="27" t="str">
        <f aca="false">IF($A474="","",IF($A474&gt;=DATE(YEAR($A474),4,6),YEAR($A474)&amp;"/"&amp;RIGHT(YEAR($A474)+1,2),YEAR($A474)-1&amp;"/"&amp;RIGHT(YEAR($A474),2)))</f>
        <v/>
      </c>
    </row>
    <row r="475" customFormat="false" ht="15" hidden="false" customHeight="false" outlineLevel="0" collapsed="false">
      <c r="A475" s="22"/>
      <c r="B475" s="23"/>
      <c r="C475" s="23"/>
      <c r="D475" s="23"/>
      <c r="E475" s="24"/>
      <c r="F475" s="24"/>
      <c r="G475" s="23"/>
      <c r="H475" s="23"/>
      <c r="I475" s="25"/>
      <c r="J475" s="23"/>
      <c r="K475" s="23"/>
      <c r="L475" s="26" t="str">
        <f aca="false">IF(OR($E475="",$F475=""),"",MOD($F475-$E475,1)*24)</f>
        <v/>
      </c>
      <c r="M475" s="27" t="str">
        <f aca="false">IF($B475="","",IFERROR(INDEX(Properties!$D$5:$D$104,MATCH($B475,Properties!$A$5:$A$104,0)),"?"))</f>
        <v/>
      </c>
      <c r="N475" s="28" t="str">
        <f aca="false">IF($B475="","",IFERROR(IF($D475="Completed",INDEX(Properties!$I$5:$I$104,MATCH($B475,Properties!$A$5:$A$104,0))*(1+IF($G475="Y",Settings!$B$8,0))+IF($H475="Y",Settings!$B$7,0)+N($I475),IF($D475="Deep clean",INDEX(Settings!$E$22:$E$26,MATCH(MIN(INDEX(Properties!$E$5:$E$104,MATCH($B475,Properties!$A$5:$A$104,0)),4),Settings!$A$22:$A$26,0))+N($I475),IF($D475="Late cancel",INDEX(Properties!$I$5:$I$104,MATCH($B475,Properties!$A$5:$A$104,0))*Settings!$B$10,0))),0))</f>
        <v/>
      </c>
      <c r="O475" s="28" t="str">
        <f aca="false">IF($B475="","",IFERROR(IF($D475="Completed",INDEX(Properties!$L$5:$L$104,MATCH($B475,Properties!$A$5:$A$104,0))+IF($G475="Y",INDEX(Properties!$I$5:$I$104,MATCH($B475,Properties!$A$5:$A$104,0))*Settings!$B$8*Settings!$B$9,0)+IF($H475="Y",Settings!$B$7*Settings!$B$9,0)+N($I475)*Settings!$B$9,IF($D475="Deep clean",INDEX(Settings!$E$22:$E$26,MATCH(MIN(INDEX(Properties!$E$5:$E$104,MATCH($B475,Properties!$A$5:$A$104,0)),4),Settings!$A$22:$A$26,0))*Settings!$B$19+N($I475)*Settings!$B$9,IF($D475="Late cancel",INDEX(Properties!$L$5:$L$104,MATCH($B475,Properties!$A$5:$A$104,0))*Settings!$B$11,0))),0))</f>
        <v/>
      </c>
      <c r="P475" s="28" t="str">
        <f aca="false">IF($B475="","",$N475-$O475)</f>
        <v/>
      </c>
      <c r="Q475" s="29" t="str">
        <f aca="false">IF($A475="","",DATE(YEAR($A475),MONTH($A475),1))</f>
        <v/>
      </c>
      <c r="R475" s="30" t="str">
        <f aca="false">IF($A475="","",$A475+MOD(6-WEEKDAY($A475),7))</f>
        <v/>
      </c>
      <c r="S475" s="31" t="str">
        <f aca="false">IF($B475="","",IF(AND($M475='Invoice Builder'!$C$5,$Q475='Invoice Builder'!$C$6,N($N475)&gt;0),COUNTIFS($M$5:$M475,'Invoice Builder'!$C$5,$Q$5:$Q475,'Invoice Builder'!$C$6,$N$5:$N475,"&gt;0"),""))</f>
        <v/>
      </c>
      <c r="T475" s="27" t="str">
        <f aca="false">IF($A475="","",IF($A475&gt;=DATE(YEAR($A475),4,6),YEAR($A475)&amp;"/"&amp;RIGHT(YEAR($A475)+1,2),YEAR($A475)-1&amp;"/"&amp;RIGHT(YEAR($A475),2)))</f>
        <v/>
      </c>
    </row>
    <row r="476" customFormat="false" ht="15" hidden="false" customHeight="false" outlineLevel="0" collapsed="false">
      <c r="A476" s="22"/>
      <c r="B476" s="23"/>
      <c r="C476" s="23"/>
      <c r="D476" s="23"/>
      <c r="E476" s="24"/>
      <c r="F476" s="24"/>
      <c r="G476" s="23"/>
      <c r="H476" s="23"/>
      <c r="I476" s="25"/>
      <c r="J476" s="23"/>
      <c r="K476" s="23"/>
      <c r="L476" s="26" t="str">
        <f aca="false">IF(OR($E476="",$F476=""),"",MOD($F476-$E476,1)*24)</f>
        <v/>
      </c>
      <c r="M476" s="27" t="str">
        <f aca="false">IF($B476="","",IFERROR(INDEX(Properties!$D$5:$D$104,MATCH($B476,Properties!$A$5:$A$104,0)),"?"))</f>
        <v/>
      </c>
      <c r="N476" s="28" t="str">
        <f aca="false">IF($B476="","",IFERROR(IF($D476="Completed",INDEX(Properties!$I$5:$I$104,MATCH($B476,Properties!$A$5:$A$104,0))*(1+IF($G476="Y",Settings!$B$8,0))+IF($H476="Y",Settings!$B$7,0)+N($I476),IF($D476="Deep clean",INDEX(Settings!$E$22:$E$26,MATCH(MIN(INDEX(Properties!$E$5:$E$104,MATCH($B476,Properties!$A$5:$A$104,0)),4),Settings!$A$22:$A$26,0))+N($I476),IF($D476="Late cancel",INDEX(Properties!$I$5:$I$104,MATCH($B476,Properties!$A$5:$A$104,0))*Settings!$B$10,0))),0))</f>
        <v/>
      </c>
      <c r="O476" s="28" t="str">
        <f aca="false">IF($B476="","",IFERROR(IF($D476="Completed",INDEX(Properties!$L$5:$L$104,MATCH($B476,Properties!$A$5:$A$104,0))+IF($G476="Y",INDEX(Properties!$I$5:$I$104,MATCH($B476,Properties!$A$5:$A$104,0))*Settings!$B$8*Settings!$B$9,0)+IF($H476="Y",Settings!$B$7*Settings!$B$9,0)+N($I476)*Settings!$B$9,IF($D476="Deep clean",INDEX(Settings!$E$22:$E$26,MATCH(MIN(INDEX(Properties!$E$5:$E$104,MATCH($B476,Properties!$A$5:$A$104,0)),4),Settings!$A$22:$A$26,0))*Settings!$B$19+N($I476)*Settings!$B$9,IF($D476="Late cancel",INDEX(Properties!$L$5:$L$104,MATCH($B476,Properties!$A$5:$A$104,0))*Settings!$B$11,0))),0))</f>
        <v/>
      </c>
      <c r="P476" s="28" t="str">
        <f aca="false">IF($B476="","",$N476-$O476)</f>
        <v/>
      </c>
      <c r="Q476" s="29" t="str">
        <f aca="false">IF($A476="","",DATE(YEAR($A476),MONTH($A476),1))</f>
        <v/>
      </c>
      <c r="R476" s="30" t="str">
        <f aca="false">IF($A476="","",$A476+MOD(6-WEEKDAY($A476),7))</f>
        <v/>
      </c>
      <c r="S476" s="31" t="str">
        <f aca="false">IF($B476="","",IF(AND($M476='Invoice Builder'!$C$5,$Q476='Invoice Builder'!$C$6,N($N476)&gt;0),COUNTIFS($M$5:$M476,'Invoice Builder'!$C$5,$Q$5:$Q476,'Invoice Builder'!$C$6,$N$5:$N476,"&gt;0"),""))</f>
        <v/>
      </c>
      <c r="T476" s="27" t="str">
        <f aca="false">IF($A476="","",IF($A476&gt;=DATE(YEAR($A476),4,6),YEAR($A476)&amp;"/"&amp;RIGHT(YEAR($A476)+1,2),YEAR($A476)-1&amp;"/"&amp;RIGHT(YEAR($A476),2)))</f>
        <v/>
      </c>
    </row>
    <row r="477" customFormat="false" ht="15" hidden="false" customHeight="false" outlineLevel="0" collapsed="false">
      <c r="A477" s="22"/>
      <c r="B477" s="23"/>
      <c r="C477" s="23"/>
      <c r="D477" s="23"/>
      <c r="E477" s="24"/>
      <c r="F477" s="24"/>
      <c r="G477" s="23"/>
      <c r="H477" s="23"/>
      <c r="I477" s="25"/>
      <c r="J477" s="23"/>
      <c r="K477" s="23"/>
      <c r="L477" s="26" t="str">
        <f aca="false">IF(OR($E477="",$F477=""),"",MOD($F477-$E477,1)*24)</f>
        <v/>
      </c>
      <c r="M477" s="27" t="str">
        <f aca="false">IF($B477="","",IFERROR(INDEX(Properties!$D$5:$D$104,MATCH($B477,Properties!$A$5:$A$104,0)),"?"))</f>
        <v/>
      </c>
      <c r="N477" s="28" t="str">
        <f aca="false">IF($B477="","",IFERROR(IF($D477="Completed",INDEX(Properties!$I$5:$I$104,MATCH($B477,Properties!$A$5:$A$104,0))*(1+IF($G477="Y",Settings!$B$8,0))+IF($H477="Y",Settings!$B$7,0)+N($I477),IF($D477="Deep clean",INDEX(Settings!$E$22:$E$26,MATCH(MIN(INDEX(Properties!$E$5:$E$104,MATCH($B477,Properties!$A$5:$A$104,0)),4),Settings!$A$22:$A$26,0))+N($I477),IF($D477="Late cancel",INDEX(Properties!$I$5:$I$104,MATCH($B477,Properties!$A$5:$A$104,0))*Settings!$B$10,0))),0))</f>
        <v/>
      </c>
      <c r="O477" s="28" t="str">
        <f aca="false">IF($B477="","",IFERROR(IF($D477="Completed",INDEX(Properties!$L$5:$L$104,MATCH($B477,Properties!$A$5:$A$104,0))+IF($G477="Y",INDEX(Properties!$I$5:$I$104,MATCH($B477,Properties!$A$5:$A$104,0))*Settings!$B$8*Settings!$B$9,0)+IF($H477="Y",Settings!$B$7*Settings!$B$9,0)+N($I477)*Settings!$B$9,IF($D477="Deep clean",INDEX(Settings!$E$22:$E$26,MATCH(MIN(INDEX(Properties!$E$5:$E$104,MATCH($B477,Properties!$A$5:$A$104,0)),4),Settings!$A$22:$A$26,0))*Settings!$B$19+N($I477)*Settings!$B$9,IF($D477="Late cancel",INDEX(Properties!$L$5:$L$104,MATCH($B477,Properties!$A$5:$A$104,0))*Settings!$B$11,0))),0))</f>
        <v/>
      </c>
      <c r="P477" s="28" t="str">
        <f aca="false">IF($B477="","",$N477-$O477)</f>
        <v/>
      </c>
      <c r="Q477" s="29" t="str">
        <f aca="false">IF($A477="","",DATE(YEAR($A477),MONTH($A477),1))</f>
        <v/>
      </c>
      <c r="R477" s="30" t="str">
        <f aca="false">IF($A477="","",$A477+MOD(6-WEEKDAY($A477),7))</f>
        <v/>
      </c>
      <c r="S477" s="31" t="str">
        <f aca="false">IF($B477="","",IF(AND($M477='Invoice Builder'!$C$5,$Q477='Invoice Builder'!$C$6,N($N477)&gt;0),COUNTIFS($M$5:$M477,'Invoice Builder'!$C$5,$Q$5:$Q477,'Invoice Builder'!$C$6,$N$5:$N477,"&gt;0"),""))</f>
        <v/>
      </c>
      <c r="T477" s="27" t="str">
        <f aca="false">IF($A477="","",IF($A477&gt;=DATE(YEAR($A477),4,6),YEAR($A477)&amp;"/"&amp;RIGHT(YEAR($A477)+1,2),YEAR($A477)-1&amp;"/"&amp;RIGHT(YEAR($A477),2)))</f>
        <v/>
      </c>
    </row>
    <row r="478" customFormat="false" ht="15" hidden="false" customHeight="false" outlineLevel="0" collapsed="false">
      <c r="A478" s="22"/>
      <c r="B478" s="23"/>
      <c r="C478" s="23"/>
      <c r="D478" s="23"/>
      <c r="E478" s="24"/>
      <c r="F478" s="24"/>
      <c r="G478" s="23"/>
      <c r="H478" s="23"/>
      <c r="I478" s="25"/>
      <c r="J478" s="23"/>
      <c r="K478" s="23"/>
      <c r="L478" s="26" t="str">
        <f aca="false">IF(OR($E478="",$F478=""),"",MOD($F478-$E478,1)*24)</f>
        <v/>
      </c>
      <c r="M478" s="27" t="str">
        <f aca="false">IF($B478="","",IFERROR(INDEX(Properties!$D$5:$D$104,MATCH($B478,Properties!$A$5:$A$104,0)),"?"))</f>
        <v/>
      </c>
      <c r="N478" s="28" t="str">
        <f aca="false">IF($B478="","",IFERROR(IF($D478="Completed",INDEX(Properties!$I$5:$I$104,MATCH($B478,Properties!$A$5:$A$104,0))*(1+IF($G478="Y",Settings!$B$8,0))+IF($H478="Y",Settings!$B$7,0)+N($I478),IF($D478="Deep clean",INDEX(Settings!$E$22:$E$26,MATCH(MIN(INDEX(Properties!$E$5:$E$104,MATCH($B478,Properties!$A$5:$A$104,0)),4),Settings!$A$22:$A$26,0))+N($I478),IF($D478="Late cancel",INDEX(Properties!$I$5:$I$104,MATCH($B478,Properties!$A$5:$A$104,0))*Settings!$B$10,0))),0))</f>
        <v/>
      </c>
      <c r="O478" s="28" t="str">
        <f aca="false">IF($B478="","",IFERROR(IF($D478="Completed",INDEX(Properties!$L$5:$L$104,MATCH($B478,Properties!$A$5:$A$104,0))+IF($G478="Y",INDEX(Properties!$I$5:$I$104,MATCH($B478,Properties!$A$5:$A$104,0))*Settings!$B$8*Settings!$B$9,0)+IF($H478="Y",Settings!$B$7*Settings!$B$9,0)+N($I478)*Settings!$B$9,IF($D478="Deep clean",INDEX(Settings!$E$22:$E$26,MATCH(MIN(INDEX(Properties!$E$5:$E$104,MATCH($B478,Properties!$A$5:$A$104,0)),4),Settings!$A$22:$A$26,0))*Settings!$B$19+N($I478)*Settings!$B$9,IF($D478="Late cancel",INDEX(Properties!$L$5:$L$104,MATCH($B478,Properties!$A$5:$A$104,0))*Settings!$B$11,0))),0))</f>
        <v/>
      </c>
      <c r="P478" s="28" t="str">
        <f aca="false">IF($B478="","",$N478-$O478)</f>
        <v/>
      </c>
      <c r="Q478" s="29" t="str">
        <f aca="false">IF($A478="","",DATE(YEAR($A478),MONTH($A478),1))</f>
        <v/>
      </c>
      <c r="R478" s="30" t="str">
        <f aca="false">IF($A478="","",$A478+MOD(6-WEEKDAY($A478),7))</f>
        <v/>
      </c>
      <c r="S478" s="31" t="str">
        <f aca="false">IF($B478="","",IF(AND($M478='Invoice Builder'!$C$5,$Q478='Invoice Builder'!$C$6,N($N478)&gt;0),COUNTIFS($M$5:$M478,'Invoice Builder'!$C$5,$Q$5:$Q478,'Invoice Builder'!$C$6,$N$5:$N478,"&gt;0"),""))</f>
        <v/>
      </c>
      <c r="T478" s="27" t="str">
        <f aca="false">IF($A478="","",IF($A478&gt;=DATE(YEAR($A478),4,6),YEAR($A478)&amp;"/"&amp;RIGHT(YEAR($A478)+1,2),YEAR($A478)-1&amp;"/"&amp;RIGHT(YEAR($A478),2)))</f>
        <v/>
      </c>
    </row>
    <row r="479" customFormat="false" ht="15" hidden="false" customHeight="false" outlineLevel="0" collapsed="false">
      <c r="A479" s="22"/>
      <c r="B479" s="23"/>
      <c r="C479" s="23"/>
      <c r="D479" s="23"/>
      <c r="E479" s="24"/>
      <c r="F479" s="24"/>
      <c r="G479" s="23"/>
      <c r="H479" s="23"/>
      <c r="I479" s="25"/>
      <c r="J479" s="23"/>
      <c r="K479" s="23"/>
      <c r="L479" s="26" t="str">
        <f aca="false">IF(OR($E479="",$F479=""),"",MOD($F479-$E479,1)*24)</f>
        <v/>
      </c>
      <c r="M479" s="27" t="str">
        <f aca="false">IF($B479="","",IFERROR(INDEX(Properties!$D$5:$D$104,MATCH($B479,Properties!$A$5:$A$104,0)),"?"))</f>
        <v/>
      </c>
      <c r="N479" s="28" t="str">
        <f aca="false">IF($B479="","",IFERROR(IF($D479="Completed",INDEX(Properties!$I$5:$I$104,MATCH($B479,Properties!$A$5:$A$104,0))*(1+IF($G479="Y",Settings!$B$8,0))+IF($H479="Y",Settings!$B$7,0)+N($I479),IF($D479="Deep clean",INDEX(Settings!$E$22:$E$26,MATCH(MIN(INDEX(Properties!$E$5:$E$104,MATCH($B479,Properties!$A$5:$A$104,0)),4),Settings!$A$22:$A$26,0))+N($I479),IF($D479="Late cancel",INDEX(Properties!$I$5:$I$104,MATCH($B479,Properties!$A$5:$A$104,0))*Settings!$B$10,0))),0))</f>
        <v/>
      </c>
      <c r="O479" s="28" t="str">
        <f aca="false">IF($B479="","",IFERROR(IF($D479="Completed",INDEX(Properties!$L$5:$L$104,MATCH($B479,Properties!$A$5:$A$104,0))+IF($G479="Y",INDEX(Properties!$I$5:$I$104,MATCH($B479,Properties!$A$5:$A$104,0))*Settings!$B$8*Settings!$B$9,0)+IF($H479="Y",Settings!$B$7*Settings!$B$9,0)+N($I479)*Settings!$B$9,IF($D479="Deep clean",INDEX(Settings!$E$22:$E$26,MATCH(MIN(INDEX(Properties!$E$5:$E$104,MATCH($B479,Properties!$A$5:$A$104,0)),4),Settings!$A$22:$A$26,0))*Settings!$B$19+N($I479)*Settings!$B$9,IF($D479="Late cancel",INDEX(Properties!$L$5:$L$104,MATCH($B479,Properties!$A$5:$A$104,0))*Settings!$B$11,0))),0))</f>
        <v/>
      </c>
      <c r="P479" s="28" t="str">
        <f aca="false">IF($B479="","",$N479-$O479)</f>
        <v/>
      </c>
      <c r="Q479" s="29" t="str">
        <f aca="false">IF($A479="","",DATE(YEAR($A479),MONTH($A479),1))</f>
        <v/>
      </c>
      <c r="R479" s="30" t="str">
        <f aca="false">IF($A479="","",$A479+MOD(6-WEEKDAY($A479),7))</f>
        <v/>
      </c>
      <c r="S479" s="31" t="str">
        <f aca="false">IF($B479="","",IF(AND($M479='Invoice Builder'!$C$5,$Q479='Invoice Builder'!$C$6,N($N479)&gt;0),COUNTIFS($M$5:$M479,'Invoice Builder'!$C$5,$Q$5:$Q479,'Invoice Builder'!$C$6,$N$5:$N479,"&gt;0"),""))</f>
        <v/>
      </c>
      <c r="T479" s="27" t="str">
        <f aca="false">IF($A479="","",IF($A479&gt;=DATE(YEAR($A479),4,6),YEAR($A479)&amp;"/"&amp;RIGHT(YEAR($A479)+1,2),YEAR($A479)-1&amp;"/"&amp;RIGHT(YEAR($A479),2)))</f>
        <v/>
      </c>
    </row>
    <row r="480" customFormat="false" ht="15" hidden="false" customHeight="false" outlineLevel="0" collapsed="false">
      <c r="A480" s="22"/>
      <c r="B480" s="23"/>
      <c r="C480" s="23"/>
      <c r="D480" s="23"/>
      <c r="E480" s="24"/>
      <c r="F480" s="24"/>
      <c r="G480" s="23"/>
      <c r="H480" s="23"/>
      <c r="I480" s="25"/>
      <c r="J480" s="23"/>
      <c r="K480" s="23"/>
      <c r="L480" s="26" t="str">
        <f aca="false">IF(OR($E480="",$F480=""),"",MOD($F480-$E480,1)*24)</f>
        <v/>
      </c>
      <c r="M480" s="27" t="str">
        <f aca="false">IF($B480="","",IFERROR(INDEX(Properties!$D$5:$D$104,MATCH($B480,Properties!$A$5:$A$104,0)),"?"))</f>
        <v/>
      </c>
      <c r="N480" s="28" t="str">
        <f aca="false">IF($B480="","",IFERROR(IF($D480="Completed",INDEX(Properties!$I$5:$I$104,MATCH($B480,Properties!$A$5:$A$104,0))*(1+IF($G480="Y",Settings!$B$8,0))+IF($H480="Y",Settings!$B$7,0)+N($I480),IF($D480="Deep clean",INDEX(Settings!$E$22:$E$26,MATCH(MIN(INDEX(Properties!$E$5:$E$104,MATCH($B480,Properties!$A$5:$A$104,0)),4),Settings!$A$22:$A$26,0))+N($I480),IF($D480="Late cancel",INDEX(Properties!$I$5:$I$104,MATCH($B480,Properties!$A$5:$A$104,0))*Settings!$B$10,0))),0))</f>
        <v/>
      </c>
      <c r="O480" s="28" t="str">
        <f aca="false">IF($B480="","",IFERROR(IF($D480="Completed",INDEX(Properties!$L$5:$L$104,MATCH($B480,Properties!$A$5:$A$104,0))+IF($G480="Y",INDEX(Properties!$I$5:$I$104,MATCH($B480,Properties!$A$5:$A$104,0))*Settings!$B$8*Settings!$B$9,0)+IF($H480="Y",Settings!$B$7*Settings!$B$9,0)+N($I480)*Settings!$B$9,IF($D480="Deep clean",INDEX(Settings!$E$22:$E$26,MATCH(MIN(INDEX(Properties!$E$5:$E$104,MATCH($B480,Properties!$A$5:$A$104,0)),4),Settings!$A$22:$A$26,0))*Settings!$B$19+N($I480)*Settings!$B$9,IF($D480="Late cancel",INDEX(Properties!$L$5:$L$104,MATCH($B480,Properties!$A$5:$A$104,0))*Settings!$B$11,0))),0))</f>
        <v/>
      </c>
      <c r="P480" s="28" t="str">
        <f aca="false">IF($B480="","",$N480-$O480)</f>
        <v/>
      </c>
      <c r="Q480" s="29" t="str">
        <f aca="false">IF($A480="","",DATE(YEAR($A480),MONTH($A480),1))</f>
        <v/>
      </c>
      <c r="R480" s="30" t="str">
        <f aca="false">IF($A480="","",$A480+MOD(6-WEEKDAY($A480),7))</f>
        <v/>
      </c>
      <c r="S480" s="31" t="str">
        <f aca="false">IF($B480="","",IF(AND($M480='Invoice Builder'!$C$5,$Q480='Invoice Builder'!$C$6,N($N480)&gt;0),COUNTIFS($M$5:$M480,'Invoice Builder'!$C$5,$Q$5:$Q480,'Invoice Builder'!$C$6,$N$5:$N480,"&gt;0"),""))</f>
        <v/>
      </c>
      <c r="T480" s="27" t="str">
        <f aca="false">IF($A480="","",IF($A480&gt;=DATE(YEAR($A480),4,6),YEAR($A480)&amp;"/"&amp;RIGHT(YEAR($A480)+1,2),YEAR($A480)-1&amp;"/"&amp;RIGHT(YEAR($A480),2)))</f>
        <v/>
      </c>
    </row>
    <row r="481" customFormat="false" ht="15" hidden="false" customHeight="false" outlineLevel="0" collapsed="false">
      <c r="A481" s="22"/>
      <c r="B481" s="23"/>
      <c r="C481" s="23"/>
      <c r="D481" s="23"/>
      <c r="E481" s="24"/>
      <c r="F481" s="24"/>
      <c r="G481" s="23"/>
      <c r="H481" s="23"/>
      <c r="I481" s="25"/>
      <c r="J481" s="23"/>
      <c r="K481" s="23"/>
      <c r="L481" s="26" t="str">
        <f aca="false">IF(OR($E481="",$F481=""),"",MOD($F481-$E481,1)*24)</f>
        <v/>
      </c>
      <c r="M481" s="27" t="str">
        <f aca="false">IF($B481="","",IFERROR(INDEX(Properties!$D$5:$D$104,MATCH($B481,Properties!$A$5:$A$104,0)),"?"))</f>
        <v/>
      </c>
      <c r="N481" s="28" t="str">
        <f aca="false">IF($B481="","",IFERROR(IF($D481="Completed",INDEX(Properties!$I$5:$I$104,MATCH($B481,Properties!$A$5:$A$104,0))*(1+IF($G481="Y",Settings!$B$8,0))+IF($H481="Y",Settings!$B$7,0)+N($I481),IF($D481="Deep clean",INDEX(Settings!$E$22:$E$26,MATCH(MIN(INDEX(Properties!$E$5:$E$104,MATCH($B481,Properties!$A$5:$A$104,0)),4),Settings!$A$22:$A$26,0))+N($I481),IF($D481="Late cancel",INDEX(Properties!$I$5:$I$104,MATCH($B481,Properties!$A$5:$A$104,0))*Settings!$B$10,0))),0))</f>
        <v/>
      </c>
      <c r="O481" s="28" t="str">
        <f aca="false">IF($B481="","",IFERROR(IF($D481="Completed",INDEX(Properties!$L$5:$L$104,MATCH($B481,Properties!$A$5:$A$104,0))+IF($G481="Y",INDEX(Properties!$I$5:$I$104,MATCH($B481,Properties!$A$5:$A$104,0))*Settings!$B$8*Settings!$B$9,0)+IF($H481="Y",Settings!$B$7*Settings!$B$9,0)+N($I481)*Settings!$B$9,IF($D481="Deep clean",INDEX(Settings!$E$22:$E$26,MATCH(MIN(INDEX(Properties!$E$5:$E$104,MATCH($B481,Properties!$A$5:$A$104,0)),4),Settings!$A$22:$A$26,0))*Settings!$B$19+N($I481)*Settings!$B$9,IF($D481="Late cancel",INDEX(Properties!$L$5:$L$104,MATCH($B481,Properties!$A$5:$A$104,0))*Settings!$B$11,0))),0))</f>
        <v/>
      </c>
      <c r="P481" s="28" t="str">
        <f aca="false">IF($B481="","",$N481-$O481)</f>
        <v/>
      </c>
      <c r="Q481" s="29" t="str">
        <f aca="false">IF($A481="","",DATE(YEAR($A481),MONTH($A481),1))</f>
        <v/>
      </c>
      <c r="R481" s="30" t="str">
        <f aca="false">IF($A481="","",$A481+MOD(6-WEEKDAY($A481),7))</f>
        <v/>
      </c>
      <c r="S481" s="31" t="str">
        <f aca="false">IF($B481="","",IF(AND($M481='Invoice Builder'!$C$5,$Q481='Invoice Builder'!$C$6,N($N481)&gt;0),COUNTIFS($M$5:$M481,'Invoice Builder'!$C$5,$Q$5:$Q481,'Invoice Builder'!$C$6,$N$5:$N481,"&gt;0"),""))</f>
        <v/>
      </c>
      <c r="T481" s="27" t="str">
        <f aca="false">IF($A481="","",IF($A481&gt;=DATE(YEAR($A481),4,6),YEAR($A481)&amp;"/"&amp;RIGHT(YEAR($A481)+1,2),YEAR($A481)-1&amp;"/"&amp;RIGHT(YEAR($A481),2)))</f>
        <v/>
      </c>
    </row>
    <row r="482" customFormat="false" ht="15" hidden="false" customHeight="false" outlineLevel="0" collapsed="false">
      <c r="A482" s="22"/>
      <c r="B482" s="23"/>
      <c r="C482" s="23"/>
      <c r="D482" s="23"/>
      <c r="E482" s="24"/>
      <c r="F482" s="24"/>
      <c r="G482" s="23"/>
      <c r="H482" s="23"/>
      <c r="I482" s="25"/>
      <c r="J482" s="23"/>
      <c r="K482" s="23"/>
      <c r="L482" s="26" t="str">
        <f aca="false">IF(OR($E482="",$F482=""),"",MOD($F482-$E482,1)*24)</f>
        <v/>
      </c>
      <c r="M482" s="27" t="str">
        <f aca="false">IF($B482="","",IFERROR(INDEX(Properties!$D$5:$D$104,MATCH($B482,Properties!$A$5:$A$104,0)),"?"))</f>
        <v/>
      </c>
      <c r="N482" s="28" t="str">
        <f aca="false">IF($B482="","",IFERROR(IF($D482="Completed",INDEX(Properties!$I$5:$I$104,MATCH($B482,Properties!$A$5:$A$104,0))*(1+IF($G482="Y",Settings!$B$8,0))+IF($H482="Y",Settings!$B$7,0)+N($I482),IF($D482="Deep clean",INDEX(Settings!$E$22:$E$26,MATCH(MIN(INDEX(Properties!$E$5:$E$104,MATCH($B482,Properties!$A$5:$A$104,0)),4),Settings!$A$22:$A$26,0))+N($I482),IF($D482="Late cancel",INDEX(Properties!$I$5:$I$104,MATCH($B482,Properties!$A$5:$A$104,0))*Settings!$B$10,0))),0))</f>
        <v/>
      </c>
      <c r="O482" s="28" t="str">
        <f aca="false">IF($B482="","",IFERROR(IF($D482="Completed",INDEX(Properties!$L$5:$L$104,MATCH($B482,Properties!$A$5:$A$104,0))+IF($G482="Y",INDEX(Properties!$I$5:$I$104,MATCH($B482,Properties!$A$5:$A$104,0))*Settings!$B$8*Settings!$B$9,0)+IF($H482="Y",Settings!$B$7*Settings!$B$9,0)+N($I482)*Settings!$B$9,IF($D482="Deep clean",INDEX(Settings!$E$22:$E$26,MATCH(MIN(INDEX(Properties!$E$5:$E$104,MATCH($B482,Properties!$A$5:$A$104,0)),4),Settings!$A$22:$A$26,0))*Settings!$B$19+N($I482)*Settings!$B$9,IF($D482="Late cancel",INDEX(Properties!$L$5:$L$104,MATCH($B482,Properties!$A$5:$A$104,0))*Settings!$B$11,0))),0))</f>
        <v/>
      </c>
      <c r="P482" s="28" t="str">
        <f aca="false">IF($B482="","",$N482-$O482)</f>
        <v/>
      </c>
      <c r="Q482" s="29" t="str">
        <f aca="false">IF($A482="","",DATE(YEAR($A482),MONTH($A482),1))</f>
        <v/>
      </c>
      <c r="R482" s="30" t="str">
        <f aca="false">IF($A482="","",$A482+MOD(6-WEEKDAY($A482),7))</f>
        <v/>
      </c>
      <c r="S482" s="31" t="str">
        <f aca="false">IF($B482="","",IF(AND($M482='Invoice Builder'!$C$5,$Q482='Invoice Builder'!$C$6,N($N482)&gt;0),COUNTIFS($M$5:$M482,'Invoice Builder'!$C$5,$Q$5:$Q482,'Invoice Builder'!$C$6,$N$5:$N482,"&gt;0"),""))</f>
        <v/>
      </c>
      <c r="T482" s="27" t="str">
        <f aca="false">IF($A482="","",IF($A482&gt;=DATE(YEAR($A482),4,6),YEAR($A482)&amp;"/"&amp;RIGHT(YEAR($A482)+1,2),YEAR($A482)-1&amp;"/"&amp;RIGHT(YEAR($A482),2)))</f>
        <v/>
      </c>
    </row>
    <row r="483" customFormat="false" ht="15" hidden="false" customHeight="false" outlineLevel="0" collapsed="false">
      <c r="A483" s="22"/>
      <c r="B483" s="23"/>
      <c r="C483" s="23"/>
      <c r="D483" s="23"/>
      <c r="E483" s="24"/>
      <c r="F483" s="24"/>
      <c r="G483" s="23"/>
      <c r="H483" s="23"/>
      <c r="I483" s="25"/>
      <c r="J483" s="23"/>
      <c r="K483" s="23"/>
      <c r="L483" s="26" t="str">
        <f aca="false">IF(OR($E483="",$F483=""),"",MOD($F483-$E483,1)*24)</f>
        <v/>
      </c>
      <c r="M483" s="27" t="str">
        <f aca="false">IF($B483="","",IFERROR(INDEX(Properties!$D$5:$D$104,MATCH($B483,Properties!$A$5:$A$104,0)),"?"))</f>
        <v/>
      </c>
      <c r="N483" s="28" t="str">
        <f aca="false">IF($B483="","",IFERROR(IF($D483="Completed",INDEX(Properties!$I$5:$I$104,MATCH($B483,Properties!$A$5:$A$104,0))*(1+IF($G483="Y",Settings!$B$8,0))+IF($H483="Y",Settings!$B$7,0)+N($I483),IF($D483="Deep clean",INDEX(Settings!$E$22:$E$26,MATCH(MIN(INDEX(Properties!$E$5:$E$104,MATCH($B483,Properties!$A$5:$A$104,0)),4),Settings!$A$22:$A$26,0))+N($I483),IF($D483="Late cancel",INDEX(Properties!$I$5:$I$104,MATCH($B483,Properties!$A$5:$A$104,0))*Settings!$B$10,0))),0))</f>
        <v/>
      </c>
      <c r="O483" s="28" t="str">
        <f aca="false">IF($B483="","",IFERROR(IF($D483="Completed",INDEX(Properties!$L$5:$L$104,MATCH($B483,Properties!$A$5:$A$104,0))+IF($G483="Y",INDEX(Properties!$I$5:$I$104,MATCH($B483,Properties!$A$5:$A$104,0))*Settings!$B$8*Settings!$B$9,0)+IF($H483="Y",Settings!$B$7*Settings!$B$9,0)+N($I483)*Settings!$B$9,IF($D483="Deep clean",INDEX(Settings!$E$22:$E$26,MATCH(MIN(INDEX(Properties!$E$5:$E$104,MATCH($B483,Properties!$A$5:$A$104,0)),4),Settings!$A$22:$A$26,0))*Settings!$B$19+N($I483)*Settings!$B$9,IF($D483="Late cancel",INDEX(Properties!$L$5:$L$104,MATCH($B483,Properties!$A$5:$A$104,0))*Settings!$B$11,0))),0))</f>
        <v/>
      </c>
      <c r="P483" s="28" t="str">
        <f aca="false">IF($B483="","",$N483-$O483)</f>
        <v/>
      </c>
      <c r="Q483" s="29" t="str">
        <f aca="false">IF($A483="","",DATE(YEAR($A483),MONTH($A483),1))</f>
        <v/>
      </c>
      <c r="R483" s="30" t="str">
        <f aca="false">IF($A483="","",$A483+MOD(6-WEEKDAY($A483),7))</f>
        <v/>
      </c>
      <c r="S483" s="31" t="str">
        <f aca="false">IF($B483="","",IF(AND($M483='Invoice Builder'!$C$5,$Q483='Invoice Builder'!$C$6,N($N483)&gt;0),COUNTIFS($M$5:$M483,'Invoice Builder'!$C$5,$Q$5:$Q483,'Invoice Builder'!$C$6,$N$5:$N483,"&gt;0"),""))</f>
        <v/>
      </c>
      <c r="T483" s="27" t="str">
        <f aca="false">IF($A483="","",IF($A483&gt;=DATE(YEAR($A483),4,6),YEAR($A483)&amp;"/"&amp;RIGHT(YEAR($A483)+1,2),YEAR($A483)-1&amp;"/"&amp;RIGHT(YEAR($A483),2)))</f>
        <v/>
      </c>
    </row>
    <row r="484" customFormat="false" ht="15" hidden="false" customHeight="false" outlineLevel="0" collapsed="false">
      <c r="A484" s="22"/>
      <c r="B484" s="23"/>
      <c r="C484" s="23"/>
      <c r="D484" s="23"/>
      <c r="E484" s="24"/>
      <c r="F484" s="24"/>
      <c r="G484" s="23"/>
      <c r="H484" s="23"/>
      <c r="I484" s="25"/>
      <c r="J484" s="23"/>
      <c r="K484" s="23"/>
      <c r="L484" s="26" t="str">
        <f aca="false">IF(OR($E484="",$F484=""),"",MOD($F484-$E484,1)*24)</f>
        <v/>
      </c>
      <c r="M484" s="27" t="str">
        <f aca="false">IF($B484="","",IFERROR(INDEX(Properties!$D$5:$D$104,MATCH($B484,Properties!$A$5:$A$104,0)),"?"))</f>
        <v/>
      </c>
      <c r="N484" s="28" t="str">
        <f aca="false">IF($B484="","",IFERROR(IF($D484="Completed",INDEX(Properties!$I$5:$I$104,MATCH($B484,Properties!$A$5:$A$104,0))*(1+IF($G484="Y",Settings!$B$8,0))+IF($H484="Y",Settings!$B$7,0)+N($I484),IF($D484="Deep clean",INDEX(Settings!$E$22:$E$26,MATCH(MIN(INDEX(Properties!$E$5:$E$104,MATCH($B484,Properties!$A$5:$A$104,0)),4),Settings!$A$22:$A$26,0))+N($I484),IF($D484="Late cancel",INDEX(Properties!$I$5:$I$104,MATCH($B484,Properties!$A$5:$A$104,0))*Settings!$B$10,0))),0))</f>
        <v/>
      </c>
      <c r="O484" s="28" t="str">
        <f aca="false">IF($B484="","",IFERROR(IF($D484="Completed",INDEX(Properties!$L$5:$L$104,MATCH($B484,Properties!$A$5:$A$104,0))+IF($G484="Y",INDEX(Properties!$I$5:$I$104,MATCH($B484,Properties!$A$5:$A$104,0))*Settings!$B$8*Settings!$B$9,0)+IF($H484="Y",Settings!$B$7*Settings!$B$9,0)+N($I484)*Settings!$B$9,IF($D484="Deep clean",INDEX(Settings!$E$22:$E$26,MATCH(MIN(INDEX(Properties!$E$5:$E$104,MATCH($B484,Properties!$A$5:$A$104,0)),4),Settings!$A$22:$A$26,0))*Settings!$B$19+N($I484)*Settings!$B$9,IF($D484="Late cancel",INDEX(Properties!$L$5:$L$104,MATCH($B484,Properties!$A$5:$A$104,0))*Settings!$B$11,0))),0))</f>
        <v/>
      </c>
      <c r="P484" s="28" t="str">
        <f aca="false">IF($B484="","",$N484-$O484)</f>
        <v/>
      </c>
      <c r="Q484" s="29" t="str">
        <f aca="false">IF($A484="","",DATE(YEAR($A484),MONTH($A484),1))</f>
        <v/>
      </c>
      <c r="R484" s="30" t="str">
        <f aca="false">IF($A484="","",$A484+MOD(6-WEEKDAY($A484),7))</f>
        <v/>
      </c>
      <c r="S484" s="31" t="str">
        <f aca="false">IF($B484="","",IF(AND($M484='Invoice Builder'!$C$5,$Q484='Invoice Builder'!$C$6,N($N484)&gt;0),COUNTIFS($M$5:$M484,'Invoice Builder'!$C$5,$Q$5:$Q484,'Invoice Builder'!$C$6,$N$5:$N484,"&gt;0"),""))</f>
        <v/>
      </c>
      <c r="T484" s="27" t="str">
        <f aca="false">IF($A484="","",IF($A484&gt;=DATE(YEAR($A484),4,6),YEAR($A484)&amp;"/"&amp;RIGHT(YEAR($A484)+1,2),YEAR($A484)-1&amp;"/"&amp;RIGHT(YEAR($A484),2)))</f>
        <v/>
      </c>
    </row>
    <row r="485" customFormat="false" ht="15" hidden="false" customHeight="false" outlineLevel="0" collapsed="false">
      <c r="A485" s="22"/>
      <c r="B485" s="23"/>
      <c r="C485" s="23"/>
      <c r="D485" s="23"/>
      <c r="E485" s="24"/>
      <c r="F485" s="24"/>
      <c r="G485" s="23"/>
      <c r="H485" s="23"/>
      <c r="I485" s="25"/>
      <c r="J485" s="23"/>
      <c r="K485" s="23"/>
      <c r="L485" s="26" t="str">
        <f aca="false">IF(OR($E485="",$F485=""),"",MOD($F485-$E485,1)*24)</f>
        <v/>
      </c>
      <c r="M485" s="27" t="str">
        <f aca="false">IF($B485="","",IFERROR(INDEX(Properties!$D$5:$D$104,MATCH($B485,Properties!$A$5:$A$104,0)),"?"))</f>
        <v/>
      </c>
      <c r="N485" s="28" t="str">
        <f aca="false">IF($B485="","",IFERROR(IF($D485="Completed",INDEX(Properties!$I$5:$I$104,MATCH($B485,Properties!$A$5:$A$104,0))*(1+IF($G485="Y",Settings!$B$8,0))+IF($H485="Y",Settings!$B$7,0)+N($I485),IF($D485="Deep clean",INDEX(Settings!$E$22:$E$26,MATCH(MIN(INDEX(Properties!$E$5:$E$104,MATCH($B485,Properties!$A$5:$A$104,0)),4),Settings!$A$22:$A$26,0))+N($I485),IF($D485="Late cancel",INDEX(Properties!$I$5:$I$104,MATCH($B485,Properties!$A$5:$A$104,0))*Settings!$B$10,0))),0))</f>
        <v/>
      </c>
      <c r="O485" s="28" t="str">
        <f aca="false">IF($B485="","",IFERROR(IF($D485="Completed",INDEX(Properties!$L$5:$L$104,MATCH($B485,Properties!$A$5:$A$104,0))+IF($G485="Y",INDEX(Properties!$I$5:$I$104,MATCH($B485,Properties!$A$5:$A$104,0))*Settings!$B$8*Settings!$B$9,0)+IF($H485="Y",Settings!$B$7*Settings!$B$9,0)+N($I485)*Settings!$B$9,IF($D485="Deep clean",INDEX(Settings!$E$22:$E$26,MATCH(MIN(INDEX(Properties!$E$5:$E$104,MATCH($B485,Properties!$A$5:$A$104,0)),4),Settings!$A$22:$A$26,0))*Settings!$B$19+N($I485)*Settings!$B$9,IF($D485="Late cancel",INDEX(Properties!$L$5:$L$104,MATCH($B485,Properties!$A$5:$A$104,0))*Settings!$B$11,0))),0))</f>
        <v/>
      </c>
      <c r="P485" s="28" t="str">
        <f aca="false">IF($B485="","",$N485-$O485)</f>
        <v/>
      </c>
      <c r="Q485" s="29" t="str">
        <f aca="false">IF($A485="","",DATE(YEAR($A485),MONTH($A485),1))</f>
        <v/>
      </c>
      <c r="R485" s="30" t="str">
        <f aca="false">IF($A485="","",$A485+MOD(6-WEEKDAY($A485),7))</f>
        <v/>
      </c>
      <c r="S485" s="31" t="str">
        <f aca="false">IF($B485="","",IF(AND($M485='Invoice Builder'!$C$5,$Q485='Invoice Builder'!$C$6,N($N485)&gt;0),COUNTIFS($M$5:$M485,'Invoice Builder'!$C$5,$Q$5:$Q485,'Invoice Builder'!$C$6,$N$5:$N485,"&gt;0"),""))</f>
        <v/>
      </c>
      <c r="T485" s="27" t="str">
        <f aca="false">IF($A485="","",IF($A485&gt;=DATE(YEAR($A485),4,6),YEAR($A485)&amp;"/"&amp;RIGHT(YEAR($A485)+1,2),YEAR($A485)-1&amp;"/"&amp;RIGHT(YEAR($A485),2)))</f>
        <v/>
      </c>
    </row>
    <row r="486" customFormat="false" ht="15" hidden="false" customHeight="false" outlineLevel="0" collapsed="false">
      <c r="A486" s="22"/>
      <c r="B486" s="23"/>
      <c r="C486" s="23"/>
      <c r="D486" s="23"/>
      <c r="E486" s="24"/>
      <c r="F486" s="24"/>
      <c r="G486" s="23"/>
      <c r="H486" s="23"/>
      <c r="I486" s="25"/>
      <c r="J486" s="23"/>
      <c r="K486" s="23"/>
      <c r="L486" s="26" t="str">
        <f aca="false">IF(OR($E486="",$F486=""),"",MOD($F486-$E486,1)*24)</f>
        <v/>
      </c>
      <c r="M486" s="27" t="str">
        <f aca="false">IF($B486="","",IFERROR(INDEX(Properties!$D$5:$D$104,MATCH($B486,Properties!$A$5:$A$104,0)),"?"))</f>
        <v/>
      </c>
      <c r="N486" s="28" t="str">
        <f aca="false">IF($B486="","",IFERROR(IF($D486="Completed",INDEX(Properties!$I$5:$I$104,MATCH($B486,Properties!$A$5:$A$104,0))*(1+IF($G486="Y",Settings!$B$8,0))+IF($H486="Y",Settings!$B$7,0)+N($I486),IF($D486="Deep clean",INDEX(Settings!$E$22:$E$26,MATCH(MIN(INDEX(Properties!$E$5:$E$104,MATCH($B486,Properties!$A$5:$A$104,0)),4),Settings!$A$22:$A$26,0))+N($I486),IF($D486="Late cancel",INDEX(Properties!$I$5:$I$104,MATCH($B486,Properties!$A$5:$A$104,0))*Settings!$B$10,0))),0))</f>
        <v/>
      </c>
      <c r="O486" s="28" t="str">
        <f aca="false">IF($B486="","",IFERROR(IF($D486="Completed",INDEX(Properties!$L$5:$L$104,MATCH($B486,Properties!$A$5:$A$104,0))+IF($G486="Y",INDEX(Properties!$I$5:$I$104,MATCH($B486,Properties!$A$5:$A$104,0))*Settings!$B$8*Settings!$B$9,0)+IF($H486="Y",Settings!$B$7*Settings!$B$9,0)+N($I486)*Settings!$B$9,IF($D486="Deep clean",INDEX(Settings!$E$22:$E$26,MATCH(MIN(INDEX(Properties!$E$5:$E$104,MATCH($B486,Properties!$A$5:$A$104,0)),4),Settings!$A$22:$A$26,0))*Settings!$B$19+N($I486)*Settings!$B$9,IF($D486="Late cancel",INDEX(Properties!$L$5:$L$104,MATCH($B486,Properties!$A$5:$A$104,0))*Settings!$B$11,0))),0))</f>
        <v/>
      </c>
      <c r="P486" s="28" t="str">
        <f aca="false">IF($B486="","",$N486-$O486)</f>
        <v/>
      </c>
      <c r="Q486" s="29" t="str">
        <f aca="false">IF($A486="","",DATE(YEAR($A486),MONTH($A486),1))</f>
        <v/>
      </c>
      <c r="R486" s="30" t="str">
        <f aca="false">IF($A486="","",$A486+MOD(6-WEEKDAY($A486),7))</f>
        <v/>
      </c>
      <c r="S486" s="31" t="str">
        <f aca="false">IF($B486="","",IF(AND($M486='Invoice Builder'!$C$5,$Q486='Invoice Builder'!$C$6,N($N486)&gt;0),COUNTIFS($M$5:$M486,'Invoice Builder'!$C$5,$Q$5:$Q486,'Invoice Builder'!$C$6,$N$5:$N486,"&gt;0"),""))</f>
        <v/>
      </c>
      <c r="T486" s="27" t="str">
        <f aca="false">IF($A486="","",IF($A486&gt;=DATE(YEAR($A486),4,6),YEAR($A486)&amp;"/"&amp;RIGHT(YEAR($A486)+1,2),YEAR($A486)-1&amp;"/"&amp;RIGHT(YEAR($A486),2)))</f>
        <v/>
      </c>
    </row>
    <row r="487" customFormat="false" ht="15" hidden="false" customHeight="false" outlineLevel="0" collapsed="false">
      <c r="A487" s="22"/>
      <c r="B487" s="23"/>
      <c r="C487" s="23"/>
      <c r="D487" s="23"/>
      <c r="E487" s="24"/>
      <c r="F487" s="24"/>
      <c r="G487" s="23"/>
      <c r="H487" s="23"/>
      <c r="I487" s="25"/>
      <c r="J487" s="23"/>
      <c r="K487" s="23"/>
      <c r="L487" s="26" t="str">
        <f aca="false">IF(OR($E487="",$F487=""),"",MOD($F487-$E487,1)*24)</f>
        <v/>
      </c>
      <c r="M487" s="27" t="str">
        <f aca="false">IF($B487="","",IFERROR(INDEX(Properties!$D$5:$D$104,MATCH($B487,Properties!$A$5:$A$104,0)),"?"))</f>
        <v/>
      </c>
      <c r="N487" s="28" t="str">
        <f aca="false">IF($B487="","",IFERROR(IF($D487="Completed",INDEX(Properties!$I$5:$I$104,MATCH($B487,Properties!$A$5:$A$104,0))*(1+IF($G487="Y",Settings!$B$8,0))+IF($H487="Y",Settings!$B$7,0)+N($I487),IF($D487="Deep clean",INDEX(Settings!$E$22:$E$26,MATCH(MIN(INDEX(Properties!$E$5:$E$104,MATCH($B487,Properties!$A$5:$A$104,0)),4),Settings!$A$22:$A$26,0))+N($I487),IF($D487="Late cancel",INDEX(Properties!$I$5:$I$104,MATCH($B487,Properties!$A$5:$A$104,0))*Settings!$B$10,0))),0))</f>
        <v/>
      </c>
      <c r="O487" s="28" t="str">
        <f aca="false">IF($B487="","",IFERROR(IF($D487="Completed",INDEX(Properties!$L$5:$L$104,MATCH($B487,Properties!$A$5:$A$104,0))+IF($G487="Y",INDEX(Properties!$I$5:$I$104,MATCH($B487,Properties!$A$5:$A$104,0))*Settings!$B$8*Settings!$B$9,0)+IF($H487="Y",Settings!$B$7*Settings!$B$9,0)+N($I487)*Settings!$B$9,IF($D487="Deep clean",INDEX(Settings!$E$22:$E$26,MATCH(MIN(INDEX(Properties!$E$5:$E$104,MATCH($B487,Properties!$A$5:$A$104,0)),4),Settings!$A$22:$A$26,0))*Settings!$B$19+N($I487)*Settings!$B$9,IF($D487="Late cancel",INDEX(Properties!$L$5:$L$104,MATCH($B487,Properties!$A$5:$A$104,0))*Settings!$B$11,0))),0))</f>
        <v/>
      </c>
      <c r="P487" s="28" t="str">
        <f aca="false">IF($B487="","",$N487-$O487)</f>
        <v/>
      </c>
      <c r="Q487" s="29" t="str">
        <f aca="false">IF($A487="","",DATE(YEAR($A487),MONTH($A487),1))</f>
        <v/>
      </c>
      <c r="R487" s="30" t="str">
        <f aca="false">IF($A487="","",$A487+MOD(6-WEEKDAY($A487),7))</f>
        <v/>
      </c>
      <c r="S487" s="31" t="str">
        <f aca="false">IF($B487="","",IF(AND($M487='Invoice Builder'!$C$5,$Q487='Invoice Builder'!$C$6,N($N487)&gt;0),COUNTIFS($M$5:$M487,'Invoice Builder'!$C$5,$Q$5:$Q487,'Invoice Builder'!$C$6,$N$5:$N487,"&gt;0"),""))</f>
        <v/>
      </c>
      <c r="T487" s="27" t="str">
        <f aca="false">IF($A487="","",IF($A487&gt;=DATE(YEAR($A487),4,6),YEAR($A487)&amp;"/"&amp;RIGHT(YEAR($A487)+1,2),YEAR($A487)-1&amp;"/"&amp;RIGHT(YEAR($A487),2)))</f>
        <v/>
      </c>
    </row>
    <row r="488" customFormat="false" ht="15" hidden="false" customHeight="false" outlineLevel="0" collapsed="false">
      <c r="A488" s="22"/>
      <c r="B488" s="23"/>
      <c r="C488" s="23"/>
      <c r="D488" s="23"/>
      <c r="E488" s="24"/>
      <c r="F488" s="24"/>
      <c r="G488" s="23"/>
      <c r="H488" s="23"/>
      <c r="I488" s="25"/>
      <c r="J488" s="23"/>
      <c r="K488" s="23"/>
      <c r="L488" s="26" t="str">
        <f aca="false">IF(OR($E488="",$F488=""),"",MOD($F488-$E488,1)*24)</f>
        <v/>
      </c>
      <c r="M488" s="27" t="str">
        <f aca="false">IF($B488="","",IFERROR(INDEX(Properties!$D$5:$D$104,MATCH($B488,Properties!$A$5:$A$104,0)),"?"))</f>
        <v/>
      </c>
      <c r="N488" s="28" t="str">
        <f aca="false">IF($B488="","",IFERROR(IF($D488="Completed",INDEX(Properties!$I$5:$I$104,MATCH($B488,Properties!$A$5:$A$104,0))*(1+IF($G488="Y",Settings!$B$8,0))+IF($H488="Y",Settings!$B$7,0)+N($I488),IF($D488="Deep clean",INDEX(Settings!$E$22:$E$26,MATCH(MIN(INDEX(Properties!$E$5:$E$104,MATCH($B488,Properties!$A$5:$A$104,0)),4),Settings!$A$22:$A$26,0))+N($I488),IF($D488="Late cancel",INDEX(Properties!$I$5:$I$104,MATCH($B488,Properties!$A$5:$A$104,0))*Settings!$B$10,0))),0))</f>
        <v/>
      </c>
      <c r="O488" s="28" t="str">
        <f aca="false">IF($B488="","",IFERROR(IF($D488="Completed",INDEX(Properties!$L$5:$L$104,MATCH($B488,Properties!$A$5:$A$104,0))+IF($G488="Y",INDEX(Properties!$I$5:$I$104,MATCH($B488,Properties!$A$5:$A$104,0))*Settings!$B$8*Settings!$B$9,0)+IF($H488="Y",Settings!$B$7*Settings!$B$9,0)+N($I488)*Settings!$B$9,IF($D488="Deep clean",INDEX(Settings!$E$22:$E$26,MATCH(MIN(INDEX(Properties!$E$5:$E$104,MATCH($B488,Properties!$A$5:$A$104,0)),4),Settings!$A$22:$A$26,0))*Settings!$B$19+N($I488)*Settings!$B$9,IF($D488="Late cancel",INDEX(Properties!$L$5:$L$104,MATCH($B488,Properties!$A$5:$A$104,0))*Settings!$B$11,0))),0))</f>
        <v/>
      </c>
      <c r="P488" s="28" t="str">
        <f aca="false">IF($B488="","",$N488-$O488)</f>
        <v/>
      </c>
      <c r="Q488" s="29" t="str">
        <f aca="false">IF($A488="","",DATE(YEAR($A488),MONTH($A488),1))</f>
        <v/>
      </c>
      <c r="R488" s="30" t="str">
        <f aca="false">IF($A488="","",$A488+MOD(6-WEEKDAY($A488),7))</f>
        <v/>
      </c>
      <c r="S488" s="31" t="str">
        <f aca="false">IF($B488="","",IF(AND($M488='Invoice Builder'!$C$5,$Q488='Invoice Builder'!$C$6,N($N488)&gt;0),COUNTIFS($M$5:$M488,'Invoice Builder'!$C$5,$Q$5:$Q488,'Invoice Builder'!$C$6,$N$5:$N488,"&gt;0"),""))</f>
        <v/>
      </c>
      <c r="T488" s="27" t="str">
        <f aca="false">IF($A488="","",IF($A488&gt;=DATE(YEAR($A488),4,6),YEAR($A488)&amp;"/"&amp;RIGHT(YEAR($A488)+1,2),YEAR($A488)-1&amp;"/"&amp;RIGHT(YEAR($A488),2)))</f>
        <v/>
      </c>
    </row>
    <row r="489" customFormat="false" ht="15" hidden="false" customHeight="false" outlineLevel="0" collapsed="false">
      <c r="A489" s="22"/>
      <c r="B489" s="23"/>
      <c r="C489" s="23"/>
      <c r="D489" s="23"/>
      <c r="E489" s="24"/>
      <c r="F489" s="24"/>
      <c r="G489" s="23"/>
      <c r="H489" s="23"/>
      <c r="I489" s="25"/>
      <c r="J489" s="23"/>
      <c r="K489" s="23"/>
      <c r="L489" s="26" t="str">
        <f aca="false">IF(OR($E489="",$F489=""),"",MOD($F489-$E489,1)*24)</f>
        <v/>
      </c>
      <c r="M489" s="27" t="str">
        <f aca="false">IF($B489="","",IFERROR(INDEX(Properties!$D$5:$D$104,MATCH($B489,Properties!$A$5:$A$104,0)),"?"))</f>
        <v/>
      </c>
      <c r="N489" s="28" t="str">
        <f aca="false">IF($B489="","",IFERROR(IF($D489="Completed",INDEX(Properties!$I$5:$I$104,MATCH($B489,Properties!$A$5:$A$104,0))*(1+IF($G489="Y",Settings!$B$8,0))+IF($H489="Y",Settings!$B$7,0)+N($I489),IF($D489="Deep clean",INDEX(Settings!$E$22:$E$26,MATCH(MIN(INDEX(Properties!$E$5:$E$104,MATCH($B489,Properties!$A$5:$A$104,0)),4),Settings!$A$22:$A$26,0))+N($I489),IF($D489="Late cancel",INDEX(Properties!$I$5:$I$104,MATCH($B489,Properties!$A$5:$A$104,0))*Settings!$B$10,0))),0))</f>
        <v/>
      </c>
      <c r="O489" s="28" t="str">
        <f aca="false">IF($B489="","",IFERROR(IF($D489="Completed",INDEX(Properties!$L$5:$L$104,MATCH($B489,Properties!$A$5:$A$104,0))+IF($G489="Y",INDEX(Properties!$I$5:$I$104,MATCH($B489,Properties!$A$5:$A$104,0))*Settings!$B$8*Settings!$B$9,0)+IF($H489="Y",Settings!$B$7*Settings!$B$9,0)+N($I489)*Settings!$B$9,IF($D489="Deep clean",INDEX(Settings!$E$22:$E$26,MATCH(MIN(INDEX(Properties!$E$5:$E$104,MATCH($B489,Properties!$A$5:$A$104,0)),4),Settings!$A$22:$A$26,0))*Settings!$B$19+N($I489)*Settings!$B$9,IF($D489="Late cancel",INDEX(Properties!$L$5:$L$104,MATCH($B489,Properties!$A$5:$A$104,0))*Settings!$B$11,0))),0))</f>
        <v/>
      </c>
      <c r="P489" s="28" t="str">
        <f aca="false">IF($B489="","",$N489-$O489)</f>
        <v/>
      </c>
      <c r="Q489" s="29" t="str">
        <f aca="false">IF($A489="","",DATE(YEAR($A489),MONTH($A489),1))</f>
        <v/>
      </c>
      <c r="R489" s="30" t="str">
        <f aca="false">IF($A489="","",$A489+MOD(6-WEEKDAY($A489),7))</f>
        <v/>
      </c>
      <c r="S489" s="31" t="str">
        <f aca="false">IF($B489="","",IF(AND($M489='Invoice Builder'!$C$5,$Q489='Invoice Builder'!$C$6,N($N489)&gt;0),COUNTIFS($M$5:$M489,'Invoice Builder'!$C$5,$Q$5:$Q489,'Invoice Builder'!$C$6,$N$5:$N489,"&gt;0"),""))</f>
        <v/>
      </c>
      <c r="T489" s="27" t="str">
        <f aca="false">IF($A489="","",IF($A489&gt;=DATE(YEAR($A489),4,6),YEAR($A489)&amp;"/"&amp;RIGHT(YEAR($A489)+1,2),YEAR($A489)-1&amp;"/"&amp;RIGHT(YEAR($A489),2)))</f>
        <v/>
      </c>
    </row>
    <row r="490" customFormat="false" ht="15" hidden="false" customHeight="false" outlineLevel="0" collapsed="false">
      <c r="A490" s="22"/>
      <c r="B490" s="23"/>
      <c r="C490" s="23"/>
      <c r="D490" s="23"/>
      <c r="E490" s="24"/>
      <c r="F490" s="24"/>
      <c r="G490" s="23"/>
      <c r="H490" s="23"/>
      <c r="I490" s="25"/>
      <c r="J490" s="23"/>
      <c r="K490" s="23"/>
      <c r="L490" s="26" t="str">
        <f aca="false">IF(OR($E490="",$F490=""),"",MOD($F490-$E490,1)*24)</f>
        <v/>
      </c>
      <c r="M490" s="27" t="str">
        <f aca="false">IF($B490="","",IFERROR(INDEX(Properties!$D$5:$D$104,MATCH($B490,Properties!$A$5:$A$104,0)),"?"))</f>
        <v/>
      </c>
      <c r="N490" s="28" t="str">
        <f aca="false">IF($B490="","",IFERROR(IF($D490="Completed",INDEX(Properties!$I$5:$I$104,MATCH($B490,Properties!$A$5:$A$104,0))*(1+IF($G490="Y",Settings!$B$8,0))+IF($H490="Y",Settings!$B$7,0)+N($I490),IF($D490="Deep clean",INDEX(Settings!$E$22:$E$26,MATCH(MIN(INDEX(Properties!$E$5:$E$104,MATCH($B490,Properties!$A$5:$A$104,0)),4),Settings!$A$22:$A$26,0))+N($I490),IF($D490="Late cancel",INDEX(Properties!$I$5:$I$104,MATCH($B490,Properties!$A$5:$A$104,0))*Settings!$B$10,0))),0))</f>
        <v/>
      </c>
      <c r="O490" s="28" t="str">
        <f aca="false">IF($B490="","",IFERROR(IF($D490="Completed",INDEX(Properties!$L$5:$L$104,MATCH($B490,Properties!$A$5:$A$104,0))+IF($G490="Y",INDEX(Properties!$I$5:$I$104,MATCH($B490,Properties!$A$5:$A$104,0))*Settings!$B$8*Settings!$B$9,0)+IF($H490="Y",Settings!$B$7*Settings!$B$9,0)+N($I490)*Settings!$B$9,IF($D490="Deep clean",INDEX(Settings!$E$22:$E$26,MATCH(MIN(INDEX(Properties!$E$5:$E$104,MATCH($B490,Properties!$A$5:$A$104,0)),4),Settings!$A$22:$A$26,0))*Settings!$B$19+N($I490)*Settings!$B$9,IF($D490="Late cancel",INDEX(Properties!$L$5:$L$104,MATCH($B490,Properties!$A$5:$A$104,0))*Settings!$B$11,0))),0))</f>
        <v/>
      </c>
      <c r="P490" s="28" t="str">
        <f aca="false">IF($B490="","",$N490-$O490)</f>
        <v/>
      </c>
      <c r="Q490" s="29" t="str">
        <f aca="false">IF($A490="","",DATE(YEAR($A490),MONTH($A490),1))</f>
        <v/>
      </c>
      <c r="R490" s="30" t="str">
        <f aca="false">IF($A490="","",$A490+MOD(6-WEEKDAY($A490),7))</f>
        <v/>
      </c>
      <c r="S490" s="31" t="str">
        <f aca="false">IF($B490="","",IF(AND($M490='Invoice Builder'!$C$5,$Q490='Invoice Builder'!$C$6,N($N490)&gt;0),COUNTIFS($M$5:$M490,'Invoice Builder'!$C$5,$Q$5:$Q490,'Invoice Builder'!$C$6,$N$5:$N490,"&gt;0"),""))</f>
        <v/>
      </c>
      <c r="T490" s="27" t="str">
        <f aca="false">IF($A490="","",IF($A490&gt;=DATE(YEAR($A490),4,6),YEAR($A490)&amp;"/"&amp;RIGHT(YEAR($A490)+1,2),YEAR($A490)-1&amp;"/"&amp;RIGHT(YEAR($A490),2)))</f>
        <v/>
      </c>
    </row>
    <row r="491" customFormat="false" ht="15" hidden="false" customHeight="false" outlineLevel="0" collapsed="false">
      <c r="A491" s="22"/>
      <c r="B491" s="23"/>
      <c r="C491" s="23"/>
      <c r="D491" s="23"/>
      <c r="E491" s="24"/>
      <c r="F491" s="24"/>
      <c r="G491" s="23"/>
      <c r="H491" s="23"/>
      <c r="I491" s="25"/>
      <c r="J491" s="23"/>
      <c r="K491" s="23"/>
      <c r="L491" s="26" t="str">
        <f aca="false">IF(OR($E491="",$F491=""),"",MOD($F491-$E491,1)*24)</f>
        <v/>
      </c>
      <c r="M491" s="27" t="str">
        <f aca="false">IF($B491="","",IFERROR(INDEX(Properties!$D$5:$D$104,MATCH($B491,Properties!$A$5:$A$104,0)),"?"))</f>
        <v/>
      </c>
      <c r="N491" s="28" t="str">
        <f aca="false">IF($B491="","",IFERROR(IF($D491="Completed",INDEX(Properties!$I$5:$I$104,MATCH($B491,Properties!$A$5:$A$104,0))*(1+IF($G491="Y",Settings!$B$8,0))+IF($H491="Y",Settings!$B$7,0)+N($I491),IF($D491="Deep clean",INDEX(Settings!$E$22:$E$26,MATCH(MIN(INDEX(Properties!$E$5:$E$104,MATCH($B491,Properties!$A$5:$A$104,0)),4),Settings!$A$22:$A$26,0))+N($I491),IF($D491="Late cancel",INDEX(Properties!$I$5:$I$104,MATCH($B491,Properties!$A$5:$A$104,0))*Settings!$B$10,0))),0))</f>
        <v/>
      </c>
      <c r="O491" s="28" t="str">
        <f aca="false">IF($B491="","",IFERROR(IF($D491="Completed",INDEX(Properties!$L$5:$L$104,MATCH($B491,Properties!$A$5:$A$104,0))+IF($G491="Y",INDEX(Properties!$I$5:$I$104,MATCH($B491,Properties!$A$5:$A$104,0))*Settings!$B$8*Settings!$B$9,0)+IF($H491="Y",Settings!$B$7*Settings!$B$9,0)+N($I491)*Settings!$B$9,IF($D491="Deep clean",INDEX(Settings!$E$22:$E$26,MATCH(MIN(INDEX(Properties!$E$5:$E$104,MATCH($B491,Properties!$A$5:$A$104,0)),4),Settings!$A$22:$A$26,0))*Settings!$B$19+N($I491)*Settings!$B$9,IF($D491="Late cancel",INDEX(Properties!$L$5:$L$104,MATCH($B491,Properties!$A$5:$A$104,0))*Settings!$B$11,0))),0))</f>
        <v/>
      </c>
      <c r="P491" s="28" t="str">
        <f aca="false">IF($B491="","",$N491-$O491)</f>
        <v/>
      </c>
      <c r="Q491" s="29" t="str">
        <f aca="false">IF($A491="","",DATE(YEAR($A491),MONTH($A491),1))</f>
        <v/>
      </c>
      <c r="R491" s="30" t="str">
        <f aca="false">IF($A491="","",$A491+MOD(6-WEEKDAY($A491),7))</f>
        <v/>
      </c>
      <c r="S491" s="31" t="str">
        <f aca="false">IF($B491="","",IF(AND($M491='Invoice Builder'!$C$5,$Q491='Invoice Builder'!$C$6,N($N491)&gt;0),COUNTIFS($M$5:$M491,'Invoice Builder'!$C$5,$Q$5:$Q491,'Invoice Builder'!$C$6,$N$5:$N491,"&gt;0"),""))</f>
        <v/>
      </c>
      <c r="T491" s="27" t="str">
        <f aca="false">IF($A491="","",IF($A491&gt;=DATE(YEAR($A491),4,6),YEAR($A491)&amp;"/"&amp;RIGHT(YEAR($A491)+1,2),YEAR($A491)-1&amp;"/"&amp;RIGHT(YEAR($A491),2)))</f>
        <v/>
      </c>
    </row>
    <row r="492" customFormat="false" ht="15" hidden="false" customHeight="false" outlineLevel="0" collapsed="false">
      <c r="A492" s="22"/>
      <c r="B492" s="23"/>
      <c r="C492" s="23"/>
      <c r="D492" s="23"/>
      <c r="E492" s="24"/>
      <c r="F492" s="24"/>
      <c r="G492" s="23"/>
      <c r="H492" s="23"/>
      <c r="I492" s="25"/>
      <c r="J492" s="23"/>
      <c r="K492" s="23"/>
      <c r="L492" s="26" t="str">
        <f aca="false">IF(OR($E492="",$F492=""),"",MOD($F492-$E492,1)*24)</f>
        <v/>
      </c>
      <c r="M492" s="27" t="str">
        <f aca="false">IF($B492="","",IFERROR(INDEX(Properties!$D$5:$D$104,MATCH($B492,Properties!$A$5:$A$104,0)),"?"))</f>
        <v/>
      </c>
      <c r="N492" s="28" t="str">
        <f aca="false">IF($B492="","",IFERROR(IF($D492="Completed",INDEX(Properties!$I$5:$I$104,MATCH($B492,Properties!$A$5:$A$104,0))*(1+IF($G492="Y",Settings!$B$8,0))+IF($H492="Y",Settings!$B$7,0)+N($I492),IF($D492="Deep clean",INDEX(Settings!$E$22:$E$26,MATCH(MIN(INDEX(Properties!$E$5:$E$104,MATCH($B492,Properties!$A$5:$A$104,0)),4),Settings!$A$22:$A$26,0))+N($I492),IF($D492="Late cancel",INDEX(Properties!$I$5:$I$104,MATCH($B492,Properties!$A$5:$A$104,0))*Settings!$B$10,0))),0))</f>
        <v/>
      </c>
      <c r="O492" s="28" t="str">
        <f aca="false">IF($B492="","",IFERROR(IF($D492="Completed",INDEX(Properties!$L$5:$L$104,MATCH($B492,Properties!$A$5:$A$104,0))+IF($G492="Y",INDEX(Properties!$I$5:$I$104,MATCH($B492,Properties!$A$5:$A$104,0))*Settings!$B$8*Settings!$B$9,0)+IF($H492="Y",Settings!$B$7*Settings!$B$9,0)+N($I492)*Settings!$B$9,IF($D492="Deep clean",INDEX(Settings!$E$22:$E$26,MATCH(MIN(INDEX(Properties!$E$5:$E$104,MATCH($B492,Properties!$A$5:$A$104,0)),4),Settings!$A$22:$A$26,0))*Settings!$B$19+N($I492)*Settings!$B$9,IF($D492="Late cancel",INDEX(Properties!$L$5:$L$104,MATCH($B492,Properties!$A$5:$A$104,0))*Settings!$B$11,0))),0))</f>
        <v/>
      </c>
      <c r="P492" s="28" t="str">
        <f aca="false">IF($B492="","",$N492-$O492)</f>
        <v/>
      </c>
      <c r="Q492" s="29" t="str">
        <f aca="false">IF($A492="","",DATE(YEAR($A492),MONTH($A492),1))</f>
        <v/>
      </c>
      <c r="R492" s="30" t="str">
        <f aca="false">IF($A492="","",$A492+MOD(6-WEEKDAY($A492),7))</f>
        <v/>
      </c>
      <c r="S492" s="31" t="str">
        <f aca="false">IF($B492="","",IF(AND($M492='Invoice Builder'!$C$5,$Q492='Invoice Builder'!$C$6,N($N492)&gt;0),COUNTIFS($M$5:$M492,'Invoice Builder'!$C$5,$Q$5:$Q492,'Invoice Builder'!$C$6,$N$5:$N492,"&gt;0"),""))</f>
        <v/>
      </c>
      <c r="T492" s="27" t="str">
        <f aca="false">IF($A492="","",IF($A492&gt;=DATE(YEAR($A492),4,6),YEAR($A492)&amp;"/"&amp;RIGHT(YEAR($A492)+1,2),YEAR($A492)-1&amp;"/"&amp;RIGHT(YEAR($A492),2)))</f>
        <v/>
      </c>
    </row>
    <row r="493" customFormat="false" ht="15" hidden="false" customHeight="false" outlineLevel="0" collapsed="false">
      <c r="A493" s="22"/>
      <c r="B493" s="23"/>
      <c r="C493" s="23"/>
      <c r="D493" s="23"/>
      <c r="E493" s="24"/>
      <c r="F493" s="24"/>
      <c r="G493" s="23"/>
      <c r="H493" s="23"/>
      <c r="I493" s="25"/>
      <c r="J493" s="23"/>
      <c r="K493" s="23"/>
      <c r="L493" s="26" t="str">
        <f aca="false">IF(OR($E493="",$F493=""),"",MOD($F493-$E493,1)*24)</f>
        <v/>
      </c>
      <c r="M493" s="27" t="str">
        <f aca="false">IF($B493="","",IFERROR(INDEX(Properties!$D$5:$D$104,MATCH($B493,Properties!$A$5:$A$104,0)),"?"))</f>
        <v/>
      </c>
      <c r="N493" s="28" t="str">
        <f aca="false">IF($B493="","",IFERROR(IF($D493="Completed",INDEX(Properties!$I$5:$I$104,MATCH($B493,Properties!$A$5:$A$104,0))*(1+IF($G493="Y",Settings!$B$8,0))+IF($H493="Y",Settings!$B$7,0)+N($I493),IF($D493="Deep clean",INDEX(Settings!$E$22:$E$26,MATCH(MIN(INDEX(Properties!$E$5:$E$104,MATCH($B493,Properties!$A$5:$A$104,0)),4),Settings!$A$22:$A$26,0))+N($I493),IF($D493="Late cancel",INDEX(Properties!$I$5:$I$104,MATCH($B493,Properties!$A$5:$A$104,0))*Settings!$B$10,0))),0))</f>
        <v/>
      </c>
      <c r="O493" s="28" t="str">
        <f aca="false">IF($B493="","",IFERROR(IF($D493="Completed",INDEX(Properties!$L$5:$L$104,MATCH($B493,Properties!$A$5:$A$104,0))+IF($G493="Y",INDEX(Properties!$I$5:$I$104,MATCH($B493,Properties!$A$5:$A$104,0))*Settings!$B$8*Settings!$B$9,0)+IF($H493="Y",Settings!$B$7*Settings!$B$9,0)+N($I493)*Settings!$B$9,IF($D493="Deep clean",INDEX(Settings!$E$22:$E$26,MATCH(MIN(INDEX(Properties!$E$5:$E$104,MATCH($B493,Properties!$A$5:$A$104,0)),4),Settings!$A$22:$A$26,0))*Settings!$B$19+N($I493)*Settings!$B$9,IF($D493="Late cancel",INDEX(Properties!$L$5:$L$104,MATCH($B493,Properties!$A$5:$A$104,0))*Settings!$B$11,0))),0))</f>
        <v/>
      </c>
      <c r="P493" s="28" t="str">
        <f aca="false">IF($B493="","",$N493-$O493)</f>
        <v/>
      </c>
      <c r="Q493" s="29" t="str">
        <f aca="false">IF($A493="","",DATE(YEAR($A493),MONTH($A493),1))</f>
        <v/>
      </c>
      <c r="R493" s="30" t="str">
        <f aca="false">IF($A493="","",$A493+MOD(6-WEEKDAY($A493),7))</f>
        <v/>
      </c>
      <c r="S493" s="31" t="str">
        <f aca="false">IF($B493="","",IF(AND($M493='Invoice Builder'!$C$5,$Q493='Invoice Builder'!$C$6,N($N493)&gt;0),COUNTIFS($M$5:$M493,'Invoice Builder'!$C$5,$Q$5:$Q493,'Invoice Builder'!$C$6,$N$5:$N493,"&gt;0"),""))</f>
        <v/>
      </c>
      <c r="T493" s="27" t="str">
        <f aca="false">IF($A493="","",IF($A493&gt;=DATE(YEAR($A493),4,6),YEAR($A493)&amp;"/"&amp;RIGHT(YEAR($A493)+1,2),YEAR($A493)-1&amp;"/"&amp;RIGHT(YEAR($A493),2)))</f>
        <v/>
      </c>
    </row>
    <row r="494" customFormat="false" ht="15" hidden="false" customHeight="false" outlineLevel="0" collapsed="false">
      <c r="A494" s="22"/>
      <c r="B494" s="23"/>
      <c r="C494" s="23"/>
      <c r="D494" s="23"/>
      <c r="E494" s="24"/>
      <c r="F494" s="24"/>
      <c r="G494" s="23"/>
      <c r="H494" s="23"/>
      <c r="I494" s="25"/>
      <c r="J494" s="23"/>
      <c r="K494" s="23"/>
      <c r="L494" s="26" t="str">
        <f aca="false">IF(OR($E494="",$F494=""),"",MOD($F494-$E494,1)*24)</f>
        <v/>
      </c>
      <c r="M494" s="27" t="str">
        <f aca="false">IF($B494="","",IFERROR(INDEX(Properties!$D$5:$D$104,MATCH($B494,Properties!$A$5:$A$104,0)),"?"))</f>
        <v/>
      </c>
      <c r="N494" s="28" t="str">
        <f aca="false">IF($B494="","",IFERROR(IF($D494="Completed",INDEX(Properties!$I$5:$I$104,MATCH($B494,Properties!$A$5:$A$104,0))*(1+IF($G494="Y",Settings!$B$8,0))+IF($H494="Y",Settings!$B$7,0)+N($I494),IF($D494="Deep clean",INDEX(Settings!$E$22:$E$26,MATCH(MIN(INDEX(Properties!$E$5:$E$104,MATCH($B494,Properties!$A$5:$A$104,0)),4),Settings!$A$22:$A$26,0))+N($I494),IF($D494="Late cancel",INDEX(Properties!$I$5:$I$104,MATCH($B494,Properties!$A$5:$A$104,0))*Settings!$B$10,0))),0))</f>
        <v/>
      </c>
      <c r="O494" s="28" t="str">
        <f aca="false">IF($B494="","",IFERROR(IF($D494="Completed",INDEX(Properties!$L$5:$L$104,MATCH($B494,Properties!$A$5:$A$104,0))+IF($G494="Y",INDEX(Properties!$I$5:$I$104,MATCH($B494,Properties!$A$5:$A$104,0))*Settings!$B$8*Settings!$B$9,0)+IF($H494="Y",Settings!$B$7*Settings!$B$9,0)+N($I494)*Settings!$B$9,IF($D494="Deep clean",INDEX(Settings!$E$22:$E$26,MATCH(MIN(INDEX(Properties!$E$5:$E$104,MATCH($B494,Properties!$A$5:$A$104,0)),4),Settings!$A$22:$A$26,0))*Settings!$B$19+N($I494)*Settings!$B$9,IF($D494="Late cancel",INDEX(Properties!$L$5:$L$104,MATCH($B494,Properties!$A$5:$A$104,0))*Settings!$B$11,0))),0))</f>
        <v/>
      </c>
      <c r="P494" s="28" t="str">
        <f aca="false">IF($B494="","",$N494-$O494)</f>
        <v/>
      </c>
      <c r="Q494" s="29" t="str">
        <f aca="false">IF($A494="","",DATE(YEAR($A494),MONTH($A494),1))</f>
        <v/>
      </c>
      <c r="R494" s="30" t="str">
        <f aca="false">IF($A494="","",$A494+MOD(6-WEEKDAY($A494),7))</f>
        <v/>
      </c>
      <c r="S494" s="31" t="str">
        <f aca="false">IF($B494="","",IF(AND($M494='Invoice Builder'!$C$5,$Q494='Invoice Builder'!$C$6,N($N494)&gt;0),COUNTIFS($M$5:$M494,'Invoice Builder'!$C$5,$Q$5:$Q494,'Invoice Builder'!$C$6,$N$5:$N494,"&gt;0"),""))</f>
        <v/>
      </c>
      <c r="T494" s="27" t="str">
        <f aca="false">IF($A494="","",IF($A494&gt;=DATE(YEAR($A494),4,6),YEAR($A494)&amp;"/"&amp;RIGHT(YEAR($A494)+1,2),YEAR($A494)-1&amp;"/"&amp;RIGHT(YEAR($A494),2)))</f>
        <v/>
      </c>
    </row>
    <row r="495" customFormat="false" ht="15" hidden="false" customHeight="false" outlineLevel="0" collapsed="false">
      <c r="A495" s="22"/>
      <c r="B495" s="23"/>
      <c r="C495" s="23"/>
      <c r="D495" s="23"/>
      <c r="E495" s="24"/>
      <c r="F495" s="24"/>
      <c r="G495" s="23"/>
      <c r="H495" s="23"/>
      <c r="I495" s="25"/>
      <c r="J495" s="23"/>
      <c r="K495" s="23"/>
      <c r="L495" s="26" t="str">
        <f aca="false">IF(OR($E495="",$F495=""),"",MOD($F495-$E495,1)*24)</f>
        <v/>
      </c>
      <c r="M495" s="27" t="str">
        <f aca="false">IF($B495="","",IFERROR(INDEX(Properties!$D$5:$D$104,MATCH($B495,Properties!$A$5:$A$104,0)),"?"))</f>
        <v/>
      </c>
      <c r="N495" s="28" t="str">
        <f aca="false">IF($B495="","",IFERROR(IF($D495="Completed",INDEX(Properties!$I$5:$I$104,MATCH($B495,Properties!$A$5:$A$104,0))*(1+IF($G495="Y",Settings!$B$8,0))+IF($H495="Y",Settings!$B$7,0)+N($I495),IF($D495="Deep clean",INDEX(Settings!$E$22:$E$26,MATCH(MIN(INDEX(Properties!$E$5:$E$104,MATCH($B495,Properties!$A$5:$A$104,0)),4),Settings!$A$22:$A$26,0))+N($I495),IF($D495="Late cancel",INDEX(Properties!$I$5:$I$104,MATCH($B495,Properties!$A$5:$A$104,0))*Settings!$B$10,0))),0))</f>
        <v/>
      </c>
      <c r="O495" s="28" t="str">
        <f aca="false">IF($B495="","",IFERROR(IF($D495="Completed",INDEX(Properties!$L$5:$L$104,MATCH($B495,Properties!$A$5:$A$104,0))+IF($G495="Y",INDEX(Properties!$I$5:$I$104,MATCH($B495,Properties!$A$5:$A$104,0))*Settings!$B$8*Settings!$B$9,0)+IF($H495="Y",Settings!$B$7*Settings!$B$9,0)+N($I495)*Settings!$B$9,IF($D495="Deep clean",INDEX(Settings!$E$22:$E$26,MATCH(MIN(INDEX(Properties!$E$5:$E$104,MATCH($B495,Properties!$A$5:$A$104,0)),4),Settings!$A$22:$A$26,0))*Settings!$B$19+N($I495)*Settings!$B$9,IF($D495="Late cancel",INDEX(Properties!$L$5:$L$104,MATCH($B495,Properties!$A$5:$A$104,0))*Settings!$B$11,0))),0))</f>
        <v/>
      </c>
      <c r="P495" s="28" t="str">
        <f aca="false">IF($B495="","",$N495-$O495)</f>
        <v/>
      </c>
      <c r="Q495" s="29" t="str">
        <f aca="false">IF($A495="","",DATE(YEAR($A495),MONTH($A495),1))</f>
        <v/>
      </c>
      <c r="R495" s="30" t="str">
        <f aca="false">IF($A495="","",$A495+MOD(6-WEEKDAY($A495),7))</f>
        <v/>
      </c>
      <c r="S495" s="31" t="str">
        <f aca="false">IF($B495="","",IF(AND($M495='Invoice Builder'!$C$5,$Q495='Invoice Builder'!$C$6,N($N495)&gt;0),COUNTIFS($M$5:$M495,'Invoice Builder'!$C$5,$Q$5:$Q495,'Invoice Builder'!$C$6,$N$5:$N495,"&gt;0"),""))</f>
        <v/>
      </c>
      <c r="T495" s="27" t="str">
        <f aca="false">IF($A495="","",IF($A495&gt;=DATE(YEAR($A495),4,6),YEAR($A495)&amp;"/"&amp;RIGHT(YEAR($A495)+1,2),YEAR($A495)-1&amp;"/"&amp;RIGHT(YEAR($A495),2)))</f>
        <v/>
      </c>
    </row>
    <row r="496" customFormat="false" ht="15" hidden="false" customHeight="false" outlineLevel="0" collapsed="false">
      <c r="A496" s="22"/>
      <c r="B496" s="23"/>
      <c r="C496" s="23"/>
      <c r="D496" s="23"/>
      <c r="E496" s="24"/>
      <c r="F496" s="24"/>
      <c r="G496" s="23"/>
      <c r="H496" s="23"/>
      <c r="I496" s="25"/>
      <c r="J496" s="23"/>
      <c r="K496" s="23"/>
      <c r="L496" s="26" t="str">
        <f aca="false">IF(OR($E496="",$F496=""),"",MOD($F496-$E496,1)*24)</f>
        <v/>
      </c>
      <c r="M496" s="27" t="str">
        <f aca="false">IF($B496="","",IFERROR(INDEX(Properties!$D$5:$D$104,MATCH($B496,Properties!$A$5:$A$104,0)),"?"))</f>
        <v/>
      </c>
      <c r="N496" s="28" t="str">
        <f aca="false">IF($B496="","",IFERROR(IF($D496="Completed",INDEX(Properties!$I$5:$I$104,MATCH($B496,Properties!$A$5:$A$104,0))*(1+IF($G496="Y",Settings!$B$8,0))+IF($H496="Y",Settings!$B$7,0)+N($I496),IF($D496="Deep clean",INDEX(Settings!$E$22:$E$26,MATCH(MIN(INDEX(Properties!$E$5:$E$104,MATCH($B496,Properties!$A$5:$A$104,0)),4),Settings!$A$22:$A$26,0))+N($I496),IF($D496="Late cancel",INDEX(Properties!$I$5:$I$104,MATCH($B496,Properties!$A$5:$A$104,0))*Settings!$B$10,0))),0))</f>
        <v/>
      </c>
      <c r="O496" s="28" t="str">
        <f aca="false">IF($B496="","",IFERROR(IF($D496="Completed",INDEX(Properties!$L$5:$L$104,MATCH($B496,Properties!$A$5:$A$104,0))+IF($G496="Y",INDEX(Properties!$I$5:$I$104,MATCH($B496,Properties!$A$5:$A$104,0))*Settings!$B$8*Settings!$B$9,0)+IF($H496="Y",Settings!$B$7*Settings!$B$9,0)+N($I496)*Settings!$B$9,IF($D496="Deep clean",INDEX(Settings!$E$22:$E$26,MATCH(MIN(INDEX(Properties!$E$5:$E$104,MATCH($B496,Properties!$A$5:$A$104,0)),4),Settings!$A$22:$A$26,0))*Settings!$B$19+N($I496)*Settings!$B$9,IF($D496="Late cancel",INDEX(Properties!$L$5:$L$104,MATCH($B496,Properties!$A$5:$A$104,0))*Settings!$B$11,0))),0))</f>
        <v/>
      </c>
      <c r="P496" s="28" t="str">
        <f aca="false">IF($B496="","",$N496-$O496)</f>
        <v/>
      </c>
      <c r="Q496" s="29" t="str">
        <f aca="false">IF($A496="","",DATE(YEAR($A496),MONTH($A496),1))</f>
        <v/>
      </c>
      <c r="R496" s="30" t="str">
        <f aca="false">IF($A496="","",$A496+MOD(6-WEEKDAY($A496),7))</f>
        <v/>
      </c>
      <c r="S496" s="31" t="str">
        <f aca="false">IF($B496="","",IF(AND($M496='Invoice Builder'!$C$5,$Q496='Invoice Builder'!$C$6,N($N496)&gt;0),COUNTIFS($M$5:$M496,'Invoice Builder'!$C$5,$Q$5:$Q496,'Invoice Builder'!$C$6,$N$5:$N496,"&gt;0"),""))</f>
        <v/>
      </c>
      <c r="T496" s="27" t="str">
        <f aca="false">IF($A496="","",IF($A496&gt;=DATE(YEAR($A496),4,6),YEAR($A496)&amp;"/"&amp;RIGHT(YEAR($A496)+1,2),YEAR($A496)-1&amp;"/"&amp;RIGHT(YEAR($A496),2)))</f>
        <v/>
      </c>
    </row>
    <row r="497" customFormat="false" ht="15" hidden="false" customHeight="false" outlineLevel="0" collapsed="false">
      <c r="A497" s="22"/>
      <c r="B497" s="23"/>
      <c r="C497" s="23"/>
      <c r="D497" s="23"/>
      <c r="E497" s="24"/>
      <c r="F497" s="24"/>
      <c r="G497" s="23"/>
      <c r="H497" s="23"/>
      <c r="I497" s="25"/>
      <c r="J497" s="23"/>
      <c r="K497" s="23"/>
      <c r="L497" s="26" t="str">
        <f aca="false">IF(OR($E497="",$F497=""),"",MOD($F497-$E497,1)*24)</f>
        <v/>
      </c>
      <c r="M497" s="27" t="str">
        <f aca="false">IF($B497="","",IFERROR(INDEX(Properties!$D$5:$D$104,MATCH($B497,Properties!$A$5:$A$104,0)),"?"))</f>
        <v/>
      </c>
      <c r="N497" s="28" t="str">
        <f aca="false">IF($B497="","",IFERROR(IF($D497="Completed",INDEX(Properties!$I$5:$I$104,MATCH($B497,Properties!$A$5:$A$104,0))*(1+IF($G497="Y",Settings!$B$8,0))+IF($H497="Y",Settings!$B$7,0)+N($I497),IF($D497="Deep clean",INDEX(Settings!$E$22:$E$26,MATCH(MIN(INDEX(Properties!$E$5:$E$104,MATCH($B497,Properties!$A$5:$A$104,0)),4),Settings!$A$22:$A$26,0))+N($I497),IF($D497="Late cancel",INDEX(Properties!$I$5:$I$104,MATCH($B497,Properties!$A$5:$A$104,0))*Settings!$B$10,0))),0))</f>
        <v/>
      </c>
      <c r="O497" s="28" t="str">
        <f aca="false">IF($B497="","",IFERROR(IF($D497="Completed",INDEX(Properties!$L$5:$L$104,MATCH($B497,Properties!$A$5:$A$104,0))+IF($G497="Y",INDEX(Properties!$I$5:$I$104,MATCH($B497,Properties!$A$5:$A$104,0))*Settings!$B$8*Settings!$B$9,0)+IF($H497="Y",Settings!$B$7*Settings!$B$9,0)+N($I497)*Settings!$B$9,IF($D497="Deep clean",INDEX(Settings!$E$22:$E$26,MATCH(MIN(INDEX(Properties!$E$5:$E$104,MATCH($B497,Properties!$A$5:$A$104,0)),4),Settings!$A$22:$A$26,0))*Settings!$B$19+N($I497)*Settings!$B$9,IF($D497="Late cancel",INDEX(Properties!$L$5:$L$104,MATCH($B497,Properties!$A$5:$A$104,0))*Settings!$B$11,0))),0))</f>
        <v/>
      </c>
      <c r="P497" s="28" t="str">
        <f aca="false">IF($B497="","",$N497-$O497)</f>
        <v/>
      </c>
      <c r="Q497" s="29" t="str">
        <f aca="false">IF($A497="","",DATE(YEAR($A497),MONTH($A497),1))</f>
        <v/>
      </c>
      <c r="R497" s="30" t="str">
        <f aca="false">IF($A497="","",$A497+MOD(6-WEEKDAY($A497),7))</f>
        <v/>
      </c>
      <c r="S497" s="31" t="str">
        <f aca="false">IF($B497="","",IF(AND($M497='Invoice Builder'!$C$5,$Q497='Invoice Builder'!$C$6,N($N497)&gt;0),COUNTIFS($M$5:$M497,'Invoice Builder'!$C$5,$Q$5:$Q497,'Invoice Builder'!$C$6,$N$5:$N497,"&gt;0"),""))</f>
        <v/>
      </c>
      <c r="T497" s="27" t="str">
        <f aca="false">IF($A497="","",IF($A497&gt;=DATE(YEAR($A497),4,6),YEAR($A497)&amp;"/"&amp;RIGHT(YEAR($A497)+1,2),YEAR($A497)-1&amp;"/"&amp;RIGHT(YEAR($A497),2)))</f>
        <v/>
      </c>
    </row>
    <row r="498" customFormat="false" ht="15" hidden="false" customHeight="false" outlineLevel="0" collapsed="false">
      <c r="A498" s="22"/>
      <c r="B498" s="23"/>
      <c r="C498" s="23"/>
      <c r="D498" s="23"/>
      <c r="E498" s="24"/>
      <c r="F498" s="24"/>
      <c r="G498" s="23"/>
      <c r="H498" s="23"/>
      <c r="I498" s="25"/>
      <c r="J498" s="23"/>
      <c r="K498" s="23"/>
      <c r="L498" s="26" t="str">
        <f aca="false">IF(OR($E498="",$F498=""),"",MOD($F498-$E498,1)*24)</f>
        <v/>
      </c>
      <c r="M498" s="27" t="str">
        <f aca="false">IF($B498="","",IFERROR(INDEX(Properties!$D$5:$D$104,MATCH($B498,Properties!$A$5:$A$104,0)),"?"))</f>
        <v/>
      </c>
      <c r="N498" s="28" t="str">
        <f aca="false">IF($B498="","",IFERROR(IF($D498="Completed",INDEX(Properties!$I$5:$I$104,MATCH($B498,Properties!$A$5:$A$104,0))*(1+IF($G498="Y",Settings!$B$8,0))+IF($H498="Y",Settings!$B$7,0)+N($I498),IF($D498="Deep clean",INDEX(Settings!$E$22:$E$26,MATCH(MIN(INDEX(Properties!$E$5:$E$104,MATCH($B498,Properties!$A$5:$A$104,0)),4),Settings!$A$22:$A$26,0))+N($I498),IF($D498="Late cancel",INDEX(Properties!$I$5:$I$104,MATCH($B498,Properties!$A$5:$A$104,0))*Settings!$B$10,0))),0))</f>
        <v/>
      </c>
      <c r="O498" s="28" t="str">
        <f aca="false">IF($B498="","",IFERROR(IF($D498="Completed",INDEX(Properties!$L$5:$L$104,MATCH($B498,Properties!$A$5:$A$104,0))+IF($G498="Y",INDEX(Properties!$I$5:$I$104,MATCH($B498,Properties!$A$5:$A$104,0))*Settings!$B$8*Settings!$B$9,0)+IF($H498="Y",Settings!$B$7*Settings!$B$9,0)+N($I498)*Settings!$B$9,IF($D498="Deep clean",INDEX(Settings!$E$22:$E$26,MATCH(MIN(INDEX(Properties!$E$5:$E$104,MATCH($B498,Properties!$A$5:$A$104,0)),4),Settings!$A$22:$A$26,0))*Settings!$B$19+N($I498)*Settings!$B$9,IF($D498="Late cancel",INDEX(Properties!$L$5:$L$104,MATCH($B498,Properties!$A$5:$A$104,0))*Settings!$B$11,0))),0))</f>
        <v/>
      </c>
      <c r="P498" s="28" t="str">
        <f aca="false">IF($B498="","",$N498-$O498)</f>
        <v/>
      </c>
      <c r="Q498" s="29" t="str">
        <f aca="false">IF($A498="","",DATE(YEAR($A498),MONTH($A498),1))</f>
        <v/>
      </c>
      <c r="R498" s="30" t="str">
        <f aca="false">IF($A498="","",$A498+MOD(6-WEEKDAY($A498),7))</f>
        <v/>
      </c>
      <c r="S498" s="31" t="str">
        <f aca="false">IF($B498="","",IF(AND($M498='Invoice Builder'!$C$5,$Q498='Invoice Builder'!$C$6,N($N498)&gt;0),COUNTIFS($M$5:$M498,'Invoice Builder'!$C$5,$Q$5:$Q498,'Invoice Builder'!$C$6,$N$5:$N498,"&gt;0"),""))</f>
        <v/>
      </c>
      <c r="T498" s="27" t="str">
        <f aca="false">IF($A498="","",IF($A498&gt;=DATE(YEAR($A498),4,6),YEAR($A498)&amp;"/"&amp;RIGHT(YEAR($A498)+1,2),YEAR($A498)-1&amp;"/"&amp;RIGHT(YEAR($A498),2)))</f>
        <v/>
      </c>
    </row>
    <row r="499" customFormat="false" ht="15" hidden="false" customHeight="false" outlineLevel="0" collapsed="false">
      <c r="A499" s="22"/>
      <c r="B499" s="23"/>
      <c r="C499" s="23"/>
      <c r="D499" s="23"/>
      <c r="E499" s="24"/>
      <c r="F499" s="24"/>
      <c r="G499" s="23"/>
      <c r="H499" s="23"/>
      <c r="I499" s="25"/>
      <c r="J499" s="23"/>
      <c r="K499" s="23"/>
      <c r="L499" s="26" t="str">
        <f aca="false">IF(OR($E499="",$F499=""),"",MOD($F499-$E499,1)*24)</f>
        <v/>
      </c>
      <c r="M499" s="27" t="str">
        <f aca="false">IF($B499="","",IFERROR(INDEX(Properties!$D$5:$D$104,MATCH($B499,Properties!$A$5:$A$104,0)),"?"))</f>
        <v/>
      </c>
      <c r="N499" s="28" t="str">
        <f aca="false">IF($B499="","",IFERROR(IF($D499="Completed",INDEX(Properties!$I$5:$I$104,MATCH($B499,Properties!$A$5:$A$104,0))*(1+IF($G499="Y",Settings!$B$8,0))+IF($H499="Y",Settings!$B$7,0)+N($I499),IF($D499="Deep clean",INDEX(Settings!$E$22:$E$26,MATCH(MIN(INDEX(Properties!$E$5:$E$104,MATCH($B499,Properties!$A$5:$A$104,0)),4),Settings!$A$22:$A$26,0))+N($I499),IF($D499="Late cancel",INDEX(Properties!$I$5:$I$104,MATCH($B499,Properties!$A$5:$A$104,0))*Settings!$B$10,0))),0))</f>
        <v/>
      </c>
      <c r="O499" s="28" t="str">
        <f aca="false">IF($B499="","",IFERROR(IF($D499="Completed",INDEX(Properties!$L$5:$L$104,MATCH($B499,Properties!$A$5:$A$104,0))+IF($G499="Y",INDEX(Properties!$I$5:$I$104,MATCH($B499,Properties!$A$5:$A$104,0))*Settings!$B$8*Settings!$B$9,0)+IF($H499="Y",Settings!$B$7*Settings!$B$9,0)+N($I499)*Settings!$B$9,IF($D499="Deep clean",INDEX(Settings!$E$22:$E$26,MATCH(MIN(INDEX(Properties!$E$5:$E$104,MATCH($B499,Properties!$A$5:$A$104,0)),4),Settings!$A$22:$A$26,0))*Settings!$B$19+N($I499)*Settings!$B$9,IF($D499="Late cancel",INDEX(Properties!$L$5:$L$104,MATCH($B499,Properties!$A$5:$A$104,0))*Settings!$B$11,0))),0))</f>
        <v/>
      </c>
      <c r="P499" s="28" t="str">
        <f aca="false">IF($B499="","",$N499-$O499)</f>
        <v/>
      </c>
      <c r="Q499" s="29" t="str">
        <f aca="false">IF($A499="","",DATE(YEAR($A499),MONTH($A499),1))</f>
        <v/>
      </c>
      <c r="R499" s="30" t="str">
        <f aca="false">IF($A499="","",$A499+MOD(6-WEEKDAY($A499),7))</f>
        <v/>
      </c>
      <c r="S499" s="31" t="str">
        <f aca="false">IF($B499="","",IF(AND($M499='Invoice Builder'!$C$5,$Q499='Invoice Builder'!$C$6,N($N499)&gt;0),COUNTIFS($M$5:$M499,'Invoice Builder'!$C$5,$Q$5:$Q499,'Invoice Builder'!$C$6,$N$5:$N499,"&gt;0"),""))</f>
        <v/>
      </c>
      <c r="T499" s="27" t="str">
        <f aca="false">IF($A499="","",IF($A499&gt;=DATE(YEAR($A499),4,6),YEAR($A499)&amp;"/"&amp;RIGHT(YEAR($A499)+1,2),YEAR($A499)-1&amp;"/"&amp;RIGHT(YEAR($A499),2)))</f>
        <v/>
      </c>
    </row>
    <row r="500" customFormat="false" ht="15" hidden="false" customHeight="false" outlineLevel="0" collapsed="false">
      <c r="A500" s="22"/>
      <c r="B500" s="23"/>
      <c r="C500" s="23"/>
      <c r="D500" s="23"/>
      <c r="E500" s="24"/>
      <c r="F500" s="24"/>
      <c r="G500" s="23"/>
      <c r="H500" s="23"/>
      <c r="I500" s="25"/>
      <c r="J500" s="23"/>
      <c r="K500" s="23"/>
      <c r="L500" s="26" t="str">
        <f aca="false">IF(OR($E500="",$F500=""),"",MOD($F500-$E500,1)*24)</f>
        <v/>
      </c>
      <c r="M500" s="27" t="str">
        <f aca="false">IF($B500="","",IFERROR(INDEX(Properties!$D$5:$D$104,MATCH($B500,Properties!$A$5:$A$104,0)),"?"))</f>
        <v/>
      </c>
      <c r="N500" s="28" t="str">
        <f aca="false">IF($B500="","",IFERROR(IF($D500="Completed",INDEX(Properties!$I$5:$I$104,MATCH($B500,Properties!$A$5:$A$104,0))*(1+IF($G500="Y",Settings!$B$8,0))+IF($H500="Y",Settings!$B$7,0)+N($I500),IF($D500="Deep clean",INDEX(Settings!$E$22:$E$26,MATCH(MIN(INDEX(Properties!$E$5:$E$104,MATCH($B500,Properties!$A$5:$A$104,0)),4),Settings!$A$22:$A$26,0))+N($I500),IF($D500="Late cancel",INDEX(Properties!$I$5:$I$104,MATCH($B500,Properties!$A$5:$A$104,0))*Settings!$B$10,0))),0))</f>
        <v/>
      </c>
      <c r="O500" s="28" t="str">
        <f aca="false">IF($B500="","",IFERROR(IF($D500="Completed",INDEX(Properties!$L$5:$L$104,MATCH($B500,Properties!$A$5:$A$104,0))+IF($G500="Y",INDEX(Properties!$I$5:$I$104,MATCH($B500,Properties!$A$5:$A$104,0))*Settings!$B$8*Settings!$B$9,0)+IF($H500="Y",Settings!$B$7*Settings!$B$9,0)+N($I500)*Settings!$B$9,IF($D500="Deep clean",INDEX(Settings!$E$22:$E$26,MATCH(MIN(INDEX(Properties!$E$5:$E$104,MATCH($B500,Properties!$A$5:$A$104,0)),4),Settings!$A$22:$A$26,0))*Settings!$B$19+N($I500)*Settings!$B$9,IF($D500="Late cancel",INDEX(Properties!$L$5:$L$104,MATCH($B500,Properties!$A$5:$A$104,0))*Settings!$B$11,0))),0))</f>
        <v/>
      </c>
      <c r="P500" s="28" t="str">
        <f aca="false">IF($B500="","",$N500-$O500)</f>
        <v/>
      </c>
      <c r="Q500" s="29" t="str">
        <f aca="false">IF($A500="","",DATE(YEAR($A500),MONTH($A500),1))</f>
        <v/>
      </c>
      <c r="R500" s="30" t="str">
        <f aca="false">IF($A500="","",$A500+MOD(6-WEEKDAY($A500),7))</f>
        <v/>
      </c>
      <c r="S500" s="31" t="str">
        <f aca="false">IF($B500="","",IF(AND($M500='Invoice Builder'!$C$5,$Q500='Invoice Builder'!$C$6,N($N500)&gt;0),COUNTIFS($M$5:$M500,'Invoice Builder'!$C$5,$Q$5:$Q500,'Invoice Builder'!$C$6,$N$5:$N500,"&gt;0"),""))</f>
        <v/>
      </c>
      <c r="T500" s="27" t="str">
        <f aca="false">IF($A500="","",IF($A500&gt;=DATE(YEAR($A500),4,6),YEAR($A500)&amp;"/"&amp;RIGHT(YEAR($A500)+1,2),YEAR($A500)-1&amp;"/"&amp;RIGHT(YEAR($A500),2)))</f>
        <v/>
      </c>
    </row>
    <row r="501" customFormat="false" ht="15" hidden="false" customHeight="false" outlineLevel="0" collapsed="false">
      <c r="A501" s="22"/>
      <c r="B501" s="23"/>
      <c r="C501" s="23"/>
      <c r="D501" s="23"/>
      <c r="E501" s="24"/>
      <c r="F501" s="24"/>
      <c r="G501" s="23"/>
      <c r="H501" s="23"/>
      <c r="I501" s="25"/>
      <c r="J501" s="23"/>
      <c r="K501" s="23"/>
      <c r="L501" s="26" t="str">
        <f aca="false">IF(OR($E501="",$F501=""),"",MOD($F501-$E501,1)*24)</f>
        <v/>
      </c>
      <c r="M501" s="27" t="str">
        <f aca="false">IF($B501="","",IFERROR(INDEX(Properties!$D$5:$D$104,MATCH($B501,Properties!$A$5:$A$104,0)),"?"))</f>
        <v/>
      </c>
      <c r="N501" s="28" t="str">
        <f aca="false">IF($B501="","",IFERROR(IF($D501="Completed",INDEX(Properties!$I$5:$I$104,MATCH($B501,Properties!$A$5:$A$104,0))*(1+IF($G501="Y",Settings!$B$8,0))+IF($H501="Y",Settings!$B$7,0)+N($I501),IF($D501="Deep clean",INDEX(Settings!$E$22:$E$26,MATCH(MIN(INDEX(Properties!$E$5:$E$104,MATCH($B501,Properties!$A$5:$A$104,0)),4),Settings!$A$22:$A$26,0))+N($I501),IF($D501="Late cancel",INDEX(Properties!$I$5:$I$104,MATCH($B501,Properties!$A$5:$A$104,0))*Settings!$B$10,0))),0))</f>
        <v/>
      </c>
      <c r="O501" s="28" t="str">
        <f aca="false">IF($B501="","",IFERROR(IF($D501="Completed",INDEX(Properties!$L$5:$L$104,MATCH($B501,Properties!$A$5:$A$104,0))+IF($G501="Y",INDEX(Properties!$I$5:$I$104,MATCH($B501,Properties!$A$5:$A$104,0))*Settings!$B$8*Settings!$B$9,0)+IF($H501="Y",Settings!$B$7*Settings!$B$9,0)+N($I501)*Settings!$B$9,IF($D501="Deep clean",INDEX(Settings!$E$22:$E$26,MATCH(MIN(INDEX(Properties!$E$5:$E$104,MATCH($B501,Properties!$A$5:$A$104,0)),4),Settings!$A$22:$A$26,0))*Settings!$B$19+N($I501)*Settings!$B$9,IF($D501="Late cancel",INDEX(Properties!$L$5:$L$104,MATCH($B501,Properties!$A$5:$A$104,0))*Settings!$B$11,0))),0))</f>
        <v/>
      </c>
      <c r="P501" s="28" t="str">
        <f aca="false">IF($B501="","",$N501-$O501)</f>
        <v/>
      </c>
      <c r="Q501" s="29" t="str">
        <f aca="false">IF($A501="","",DATE(YEAR($A501),MONTH($A501),1))</f>
        <v/>
      </c>
      <c r="R501" s="30" t="str">
        <f aca="false">IF($A501="","",$A501+MOD(6-WEEKDAY($A501),7))</f>
        <v/>
      </c>
      <c r="S501" s="31" t="str">
        <f aca="false">IF($B501="","",IF(AND($M501='Invoice Builder'!$C$5,$Q501='Invoice Builder'!$C$6,N($N501)&gt;0),COUNTIFS($M$5:$M501,'Invoice Builder'!$C$5,$Q$5:$Q501,'Invoice Builder'!$C$6,$N$5:$N501,"&gt;0"),""))</f>
        <v/>
      </c>
      <c r="T501" s="27" t="str">
        <f aca="false">IF($A501="","",IF($A501&gt;=DATE(YEAR($A501),4,6),YEAR($A501)&amp;"/"&amp;RIGHT(YEAR($A501)+1,2),YEAR($A501)-1&amp;"/"&amp;RIGHT(YEAR($A501),2)))</f>
        <v/>
      </c>
    </row>
    <row r="502" customFormat="false" ht="15" hidden="false" customHeight="false" outlineLevel="0" collapsed="false">
      <c r="A502" s="22"/>
      <c r="B502" s="23"/>
      <c r="C502" s="23"/>
      <c r="D502" s="23"/>
      <c r="E502" s="24"/>
      <c r="F502" s="24"/>
      <c r="G502" s="23"/>
      <c r="H502" s="23"/>
      <c r="I502" s="25"/>
      <c r="J502" s="23"/>
      <c r="K502" s="23"/>
      <c r="L502" s="26" t="str">
        <f aca="false">IF(OR($E502="",$F502=""),"",MOD($F502-$E502,1)*24)</f>
        <v/>
      </c>
      <c r="M502" s="27" t="str">
        <f aca="false">IF($B502="","",IFERROR(INDEX(Properties!$D$5:$D$104,MATCH($B502,Properties!$A$5:$A$104,0)),"?"))</f>
        <v/>
      </c>
      <c r="N502" s="28" t="str">
        <f aca="false">IF($B502="","",IFERROR(IF($D502="Completed",INDEX(Properties!$I$5:$I$104,MATCH($B502,Properties!$A$5:$A$104,0))*(1+IF($G502="Y",Settings!$B$8,0))+IF($H502="Y",Settings!$B$7,0)+N($I502),IF($D502="Deep clean",INDEX(Settings!$E$22:$E$26,MATCH(MIN(INDEX(Properties!$E$5:$E$104,MATCH($B502,Properties!$A$5:$A$104,0)),4),Settings!$A$22:$A$26,0))+N($I502),IF($D502="Late cancel",INDEX(Properties!$I$5:$I$104,MATCH($B502,Properties!$A$5:$A$104,0))*Settings!$B$10,0))),0))</f>
        <v/>
      </c>
      <c r="O502" s="28" t="str">
        <f aca="false">IF($B502="","",IFERROR(IF($D502="Completed",INDEX(Properties!$L$5:$L$104,MATCH($B502,Properties!$A$5:$A$104,0))+IF($G502="Y",INDEX(Properties!$I$5:$I$104,MATCH($B502,Properties!$A$5:$A$104,0))*Settings!$B$8*Settings!$B$9,0)+IF($H502="Y",Settings!$B$7*Settings!$B$9,0)+N($I502)*Settings!$B$9,IF($D502="Deep clean",INDEX(Settings!$E$22:$E$26,MATCH(MIN(INDEX(Properties!$E$5:$E$104,MATCH($B502,Properties!$A$5:$A$104,0)),4),Settings!$A$22:$A$26,0))*Settings!$B$19+N($I502)*Settings!$B$9,IF($D502="Late cancel",INDEX(Properties!$L$5:$L$104,MATCH($B502,Properties!$A$5:$A$104,0))*Settings!$B$11,0))),0))</f>
        <v/>
      </c>
      <c r="P502" s="28" t="str">
        <f aca="false">IF($B502="","",$N502-$O502)</f>
        <v/>
      </c>
      <c r="Q502" s="29" t="str">
        <f aca="false">IF($A502="","",DATE(YEAR($A502),MONTH($A502),1))</f>
        <v/>
      </c>
      <c r="R502" s="30" t="str">
        <f aca="false">IF($A502="","",$A502+MOD(6-WEEKDAY($A502),7))</f>
        <v/>
      </c>
      <c r="S502" s="31" t="str">
        <f aca="false">IF($B502="","",IF(AND($M502='Invoice Builder'!$C$5,$Q502='Invoice Builder'!$C$6,N($N502)&gt;0),COUNTIFS($M$5:$M502,'Invoice Builder'!$C$5,$Q$5:$Q502,'Invoice Builder'!$C$6,$N$5:$N502,"&gt;0"),""))</f>
        <v/>
      </c>
      <c r="T502" s="27" t="str">
        <f aca="false">IF($A502="","",IF($A502&gt;=DATE(YEAR($A502),4,6),YEAR($A502)&amp;"/"&amp;RIGHT(YEAR($A502)+1,2),YEAR($A502)-1&amp;"/"&amp;RIGHT(YEAR($A502),2)))</f>
        <v/>
      </c>
    </row>
    <row r="503" customFormat="false" ht="15" hidden="false" customHeight="false" outlineLevel="0" collapsed="false">
      <c r="A503" s="22"/>
      <c r="B503" s="23"/>
      <c r="C503" s="23"/>
      <c r="D503" s="23"/>
      <c r="E503" s="24"/>
      <c r="F503" s="24"/>
      <c r="G503" s="23"/>
      <c r="H503" s="23"/>
      <c r="I503" s="25"/>
      <c r="J503" s="23"/>
      <c r="K503" s="23"/>
      <c r="L503" s="26" t="str">
        <f aca="false">IF(OR($E503="",$F503=""),"",MOD($F503-$E503,1)*24)</f>
        <v/>
      </c>
      <c r="M503" s="27" t="str">
        <f aca="false">IF($B503="","",IFERROR(INDEX(Properties!$D$5:$D$104,MATCH($B503,Properties!$A$5:$A$104,0)),"?"))</f>
        <v/>
      </c>
      <c r="N503" s="28" t="str">
        <f aca="false">IF($B503="","",IFERROR(IF($D503="Completed",INDEX(Properties!$I$5:$I$104,MATCH($B503,Properties!$A$5:$A$104,0))*(1+IF($G503="Y",Settings!$B$8,0))+IF($H503="Y",Settings!$B$7,0)+N($I503),IF($D503="Deep clean",INDEX(Settings!$E$22:$E$26,MATCH(MIN(INDEX(Properties!$E$5:$E$104,MATCH($B503,Properties!$A$5:$A$104,0)),4),Settings!$A$22:$A$26,0))+N($I503),IF($D503="Late cancel",INDEX(Properties!$I$5:$I$104,MATCH($B503,Properties!$A$5:$A$104,0))*Settings!$B$10,0))),0))</f>
        <v/>
      </c>
      <c r="O503" s="28" t="str">
        <f aca="false">IF($B503="","",IFERROR(IF($D503="Completed",INDEX(Properties!$L$5:$L$104,MATCH($B503,Properties!$A$5:$A$104,0))+IF($G503="Y",INDEX(Properties!$I$5:$I$104,MATCH($B503,Properties!$A$5:$A$104,0))*Settings!$B$8*Settings!$B$9,0)+IF($H503="Y",Settings!$B$7*Settings!$B$9,0)+N($I503)*Settings!$B$9,IF($D503="Deep clean",INDEX(Settings!$E$22:$E$26,MATCH(MIN(INDEX(Properties!$E$5:$E$104,MATCH($B503,Properties!$A$5:$A$104,0)),4),Settings!$A$22:$A$26,0))*Settings!$B$19+N($I503)*Settings!$B$9,IF($D503="Late cancel",INDEX(Properties!$L$5:$L$104,MATCH($B503,Properties!$A$5:$A$104,0))*Settings!$B$11,0))),0))</f>
        <v/>
      </c>
      <c r="P503" s="28" t="str">
        <f aca="false">IF($B503="","",$N503-$O503)</f>
        <v/>
      </c>
      <c r="Q503" s="29" t="str">
        <f aca="false">IF($A503="","",DATE(YEAR($A503),MONTH($A503),1))</f>
        <v/>
      </c>
      <c r="R503" s="30" t="str">
        <f aca="false">IF($A503="","",$A503+MOD(6-WEEKDAY($A503),7))</f>
        <v/>
      </c>
      <c r="S503" s="31" t="str">
        <f aca="false">IF($B503="","",IF(AND($M503='Invoice Builder'!$C$5,$Q503='Invoice Builder'!$C$6,N($N503)&gt;0),COUNTIFS($M$5:$M503,'Invoice Builder'!$C$5,$Q$5:$Q503,'Invoice Builder'!$C$6,$N$5:$N503,"&gt;0"),""))</f>
        <v/>
      </c>
      <c r="T503" s="27" t="str">
        <f aca="false">IF($A503="","",IF($A503&gt;=DATE(YEAR($A503),4,6),YEAR($A503)&amp;"/"&amp;RIGHT(YEAR($A503)+1,2),YEAR($A503)-1&amp;"/"&amp;RIGHT(YEAR($A503),2)))</f>
        <v/>
      </c>
    </row>
    <row r="504" customFormat="false" ht="15" hidden="false" customHeight="false" outlineLevel="0" collapsed="false">
      <c r="A504" s="22"/>
      <c r="B504" s="23"/>
      <c r="C504" s="23"/>
      <c r="D504" s="23"/>
      <c r="E504" s="24"/>
      <c r="F504" s="24"/>
      <c r="G504" s="23"/>
      <c r="H504" s="23"/>
      <c r="I504" s="25"/>
      <c r="J504" s="23"/>
      <c r="K504" s="23"/>
      <c r="L504" s="26" t="str">
        <f aca="false">IF(OR($E504="",$F504=""),"",MOD($F504-$E504,1)*24)</f>
        <v/>
      </c>
      <c r="M504" s="27" t="str">
        <f aca="false">IF($B504="","",IFERROR(INDEX(Properties!$D$5:$D$104,MATCH($B504,Properties!$A$5:$A$104,0)),"?"))</f>
        <v/>
      </c>
      <c r="N504" s="28" t="str">
        <f aca="false">IF($B504="","",IFERROR(IF($D504="Completed",INDEX(Properties!$I$5:$I$104,MATCH($B504,Properties!$A$5:$A$104,0))*(1+IF($G504="Y",Settings!$B$8,0))+IF($H504="Y",Settings!$B$7,0)+N($I504),IF($D504="Deep clean",INDEX(Settings!$E$22:$E$26,MATCH(MIN(INDEX(Properties!$E$5:$E$104,MATCH($B504,Properties!$A$5:$A$104,0)),4),Settings!$A$22:$A$26,0))+N($I504),IF($D504="Late cancel",INDEX(Properties!$I$5:$I$104,MATCH($B504,Properties!$A$5:$A$104,0))*Settings!$B$10,0))),0))</f>
        <v/>
      </c>
      <c r="O504" s="28" t="str">
        <f aca="false">IF($B504="","",IFERROR(IF($D504="Completed",INDEX(Properties!$L$5:$L$104,MATCH($B504,Properties!$A$5:$A$104,0))+IF($G504="Y",INDEX(Properties!$I$5:$I$104,MATCH($B504,Properties!$A$5:$A$104,0))*Settings!$B$8*Settings!$B$9,0)+IF($H504="Y",Settings!$B$7*Settings!$B$9,0)+N($I504)*Settings!$B$9,IF($D504="Deep clean",INDEX(Settings!$E$22:$E$26,MATCH(MIN(INDEX(Properties!$E$5:$E$104,MATCH($B504,Properties!$A$5:$A$104,0)),4),Settings!$A$22:$A$26,0))*Settings!$B$19+N($I504)*Settings!$B$9,IF($D504="Late cancel",INDEX(Properties!$L$5:$L$104,MATCH($B504,Properties!$A$5:$A$104,0))*Settings!$B$11,0))),0))</f>
        <v/>
      </c>
      <c r="P504" s="28" t="str">
        <f aca="false">IF($B504="","",$N504-$O504)</f>
        <v/>
      </c>
      <c r="Q504" s="29" t="str">
        <f aca="false">IF($A504="","",DATE(YEAR($A504),MONTH($A504),1))</f>
        <v/>
      </c>
      <c r="R504" s="30" t="str">
        <f aca="false">IF($A504="","",$A504+MOD(6-WEEKDAY($A504),7))</f>
        <v/>
      </c>
      <c r="S504" s="31" t="str">
        <f aca="false">IF($B504="","",IF(AND($M504='Invoice Builder'!$C$5,$Q504='Invoice Builder'!$C$6,N($N504)&gt;0),COUNTIFS($M$5:$M504,'Invoice Builder'!$C$5,$Q$5:$Q504,'Invoice Builder'!$C$6,$N$5:$N504,"&gt;0"),""))</f>
        <v/>
      </c>
      <c r="T504" s="27" t="str">
        <f aca="false">IF($A504="","",IF($A504&gt;=DATE(YEAR($A504),4,6),YEAR($A504)&amp;"/"&amp;RIGHT(YEAR($A504)+1,2),YEAR($A504)-1&amp;"/"&amp;RIGHT(YEAR($A504),2)))</f>
        <v/>
      </c>
    </row>
    <row r="505" customFormat="false" ht="15" hidden="false" customHeight="false" outlineLevel="0" collapsed="false">
      <c r="A505" s="22"/>
      <c r="B505" s="23"/>
      <c r="C505" s="23"/>
      <c r="D505" s="23"/>
      <c r="E505" s="24"/>
      <c r="F505" s="24"/>
      <c r="G505" s="23"/>
      <c r="H505" s="23"/>
      <c r="I505" s="25"/>
      <c r="J505" s="23"/>
      <c r="K505" s="23"/>
      <c r="L505" s="26" t="str">
        <f aca="false">IF(OR($E505="",$F505=""),"",MOD($F505-$E505,1)*24)</f>
        <v/>
      </c>
      <c r="M505" s="27" t="str">
        <f aca="false">IF($B505="","",IFERROR(INDEX(Properties!$D$5:$D$104,MATCH($B505,Properties!$A$5:$A$104,0)),"?"))</f>
        <v/>
      </c>
      <c r="N505" s="28" t="str">
        <f aca="false">IF($B505="","",IFERROR(IF($D505="Completed",INDEX(Properties!$I$5:$I$104,MATCH($B505,Properties!$A$5:$A$104,0))*(1+IF($G505="Y",Settings!$B$8,0))+IF($H505="Y",Settings!$B$7,0)+N($I505),IF($D505="Deep clean",INDEX(Settings!$E$22:$E$26,MATCH(MIN(INDEX(Properties!$E$5:$E$104,MATCH($B505,Properties!$A$5:$A$104,0)),4),Settings!$A$22:$A$26,0))+N($I505),IF($D505="Late cancel",INDEX(Properties!$I$5:$I$104,MATCH($B505,Properties!$A$5:$A$104,0))*Settings!$B$10,0))),0))</f>
        <v/>
      </c>
      <c r="O505" s="28" t="str">
        <f aca="false">IF($B505="","",IFERROR(IF($D505="Completed",INDEX(Properties!$L$5:$L$104,MATCH($B505,Properties!$A$5:$A$104,0))+IF($G505="Y",INDEX(Properties!$I$5:$I$104,MATCH($B505,Properties!$A$5:$A$104,0))*Settings!$B$8*Settings!$B$9,0)+IF($H505="Y",Settings!$B$7*Settings!$B$9,0)+N($I505)*Settings!$B$9,IF($D505="Deep clean",INDEX(Settings!$E$22:$E$26,MATCH(MIN(INDEX(Properties!$E$5:$E$104,MATCH($B505,Properties!$A$5:$A$104,0)),4),Settings!$A$22:$A$26,0))*Settings!$B$19+N($I505)*Settings!$B$9,IF($D505="Late cancel",INDEX(Properties!$L$5:$L$104,MATCH($B505,Properties!$A$5:$A$104,0))*Settings!$B$11,0))),0))</f>
        <v/>
      </c>
      <c r="P505" s="28" t="str">
        <f aca="false">IF($B505="","",$N505-$O505)</f>
        <v/>
      </c>
      <c r="Q505" s="29" t="str">
        <f aca="false">IF($A505="","",DATE(YEAR($A505),MONTH($A505),1))</f>
        <v/>
      </c>
      <c r="R505" s="30" t="str">
        <f aca="false">IF($A505="","",$A505+MOD(6-WEEKDAY($A505),7))</f>
        <v/>
      </c>
      <c r="S505" s="31" t="str">
        <f aca="false">IF($B505="","",IF(AND($M505='Invoice Builder'!$C$5,$Q505='Invoice Builder'!$C$6,N($N505)&gt;0),COUNTIFS($M$5:$M505,'Invoice Builder'!$C$5,$Q$5:$Q505,'Invoice Builder'!$C$6,$N$5:$N505,"&gt;0"),""))</f>
        <v/>
      </c>
      <c r="T505" s="27" t="str">
        <f aca="false">IF($A505="","",IF($A505&gt;=DATE(YEAR($A505),4,6),YEAR($A505)&amp;"/"&amp;RIGHT(YEAR($A505)+1,2),YEAR($A505)-1&amp;"/"&amp;RIGHT(YEAR($A505),2)))</f>
        <v/>
      </c>
    </row>
    <row r="506" customFormat="false" ht="15" hidden="false" customHeight="false" outlineLevel="0" collapsed="false">
      <c r="A506" s="22"/>
      <c r="B506" s="23"/>
      <c r="C506" s="23"/>
      <c r="D506" s="23"/>
      <c r="E506" s="24"/>
      <c r="F506" s="24"/>
      <c r="G506" s="23"/>
      <c r="H506" s="23"/>
      <c r="I506" s="25"/>
      <c r="J506" s="23"/>
      <c r="K506" s="23"/>
      <c r="L506" s="26" t="str">
        <f aca="false">IF(OR($E506="",$F506=""),"",MOD($F506-$E506,1)*24)</f>
        <v/>
      </c>
      <c r="M506" s="27" t="str">
        <f aca="false">IF($B506="","",IFERROR(INDEX(Properties!$D$5:$D$104,MATCH($B506,Properties!$A$5:$A$104,0)),"?"))</f>
        <v/>
      </c>
      <c r="N506" s="28" t="str">
        <f aca="false">IF($B506="","",IFERROR(IF($D506="Completed",INDEX(Properties!$I$5:$I$104,MATCH($B506,Properties!$A$5:$A$104,0))*(1+IF($G506="Y",Settings!$B$8,0))+IF($H506="Y",Settings!$B$7,0)+N($I506),IF($D506="Deep clean",INDEX(Settings!$E$22:$E$26,MATCH(MIN(INDEX(Properties!$E$5:$E$104,MATCH($B506,Properties!$A$5:$A$104,0)),4),Settings!$A$22:$A$26,0))+N($I506),IF($D506="Late cancel",INDEX(Properties!$I$5:$I$104,MATCH($B506,Properties!$A$5:$A$104,0))*Settings!$B$10,0))),0))</f>
        <v/>
      </c>
      <c r="O506" s="28" t="str">
        <f aca="false">IF($B506="","",IFERROR(IF($D506="Completed",INDEX(Properties!$L$5:$L$104,MATCH($B506,Properties!$A$5:$A$104,0))+IF($G506="Y",INDEX(Properties!$I$5:$I$104,MATCH($B506,Properties!$A$5:$A$104,0))*Settings!$B$8*Settings!$B$9,0)+IF($H506="Y",Settings!$B$7*Settings!$B$9,0)+N($I506)*Settings!$B$9,IF($D506="Deep clean",INDEX(Settings!$E$22:$E$26,MATCH(MIN(INDEX(Properties!$E$5:$E$104,MATCH($B506,Properties!$A$5:$A$104,0)),4),Settings!$A$22:$A$26,0))*Settings!$B$19+N($I506)*Settings!$B$9,IF($D506="Late cancel",INDEX(Properties!$L$5:$L$104,MATCH($B506,Properties!$A$5:$A$104,0))*Settings!$B$11,0))),0))</f>
        <v/>
      </c>
      <c r="P506" s="28" t="str">
        <f aca="false">IF($B506="","",$N506-$O506)</f>
        <v/>
      </c>
      <c r="Q506" s="29" t="str">
        <f aca="false">IF($A506="","",DATE(YEAR($A506),MONTH($A506),1))</f>
        <v/>
      </c>
      <c r="R506" s="30" t="str">
        <f aca="false">IF($A506="","",$A506+MOD(6-WEEKDAY($A506),7))</f>
        <v/>
      </c>
      <c r="S506" s="31" t="str">
        <f aca="false">IF($B506="","",IF(AND($M506='Invoice Builder'!$C$5,$Q506='Invoice Builder'!$C$6,N($N506)&gt;0),COUNTIFS($M$5:$M506,'Invoice Builder'!$C$5,$Q$5:$Q506,'Invoice Builder'!$C$6,$N$5:$N506,"&gt;0"),""))</f>
        <v/>
      </c>
      <c r="T506" s="27" t="str">
        <f aca="false">IF($A506="","",IF($A506&gt;=DATE(YEAR($A506),4,6),YEAR($A506)&amp;"/"&amp;RIGHT(YEAR($A506)+1,2),YEAR($A506)-1&amp;"/"&amp;RIGHT(YEAR($A506),2)))</f>
        <v/>
      </c>
    </row>
    <row r="507" customFormat="false" ht="15" hidden="false" customHeight="false" outlineLevel="0" collapsed="false">
      <c r="A507" s="22"/>
      <c r="B507" s="23"/>
      <c r="C507" s="23"/>
      <c r="D507" s="23"/>
      <c r="E507" s="24"/>
      <c r="F507" s="24"/>
      <c r="G507" s="23"/>
      <c r="H507" s="23"/>
      <c r="I507" s="25"/>
      <c r="J507" s="23"/>
      <c r="K507" s="23"/>
      <c r="L507" s="26" t="str">
        <f aca="false">IF(OR($E507="",$F507=""),"",MOD($F507-$E507,1)*24)</f>
        <v/>
      </c>
      <c r="M507" s="27" t="str">
        <f aca="false">IF($B507="","",IFERROR(INDEX(Properties!$D$5:$D$104,MATCH($B507,Properties!$A$5:$A$104,0)),"?"))</f>
        <v/>
      </c>
      <c r="N507" s="28" t="str">
        <f aca="false">IF($B507="","",IFERROR(IF($D507="Completed",INDEX(Properties!$I$5:$I$104,MATCH($B507,Properties!$A$5:$A$104,0))*(1+IF($G507="Y",Settings!$B$8,0))+IF($H507="Y",Settings!$B$7,0)+N($I507),IF($D507="Deep clean",INDEX(Settings!$E$22:$E$26,MATCH(MIN(INDEX(Properties!$E$5:$E$104,MATCH($B507,Properties!$A$5:$A$104,0)),4),Settings!$A$22:$A$26,0))+N($I507),IF($D507="Late cancel",INDEX(Properties!$I$5:$I$104,MATCH($B507,Properties!$A$5:$A$104,0))*Settings!$B$10,0))),0))</f>
        <v/>
      </c>
      <c r="O507" s="28" t="str">
        <f aca="false">IF($B507="","",IFERROR(IF($D507="Completed",INDEX(Properties!$L$5:$L$104,MATCH($B507,Properties!$A$5:$A$104,0))+IF($G507="Y",INDEX(Properties!$I$5:$I$104,MATCH($B507,Properties!$A$5:$A$104,0))*Settings!$B$8*Settings!$B$9,0)+IF($H507="Y",Settings!$B$7*Settings!$B$9,0)+N($I507)*Settings!$B$9,IF($D507="Deep clean",INDEX(Settings!$E$22:$E$26,MATCH(MIN(INDEX(Properties!$E$5:$E$104,MATCH($B507,Properties!$A$5:$A$104,0)),4),Settings!$A$22:$A$26,0))*Settings!$B$19+N($I507)*Settings!$B$9,IF($D507="Late cancel",INDEX(Properties!$L$5:$L$104,MATCH($B507,Properties!$A$5:$A$104,0))*Settings!$B$11,0))),0))</f>
        <v/>
      </c>
      <c r="P507" s="28" t="str">
        <f aca="false">IF($B507="","",$N507-$O507)</f>
        <v/>
      </c>
      <c r="Q507" s="29" t="str">
        <f aca="false">IF($A507="","",DATE(YEAR($A507),MONTH($A507),1))</f>
        <v/>
      </c>
      <c r="R507" s="30" t="str">
        <f aca="false">IF($A507="","",$A507+MOD(6-WEEKDAY($A507),7))</f>
        <v/>
      </c>
      <c r="S507" s="31" t="str">
        <f aca="false">IF($B507="","",IF(AND($M507='Invoice Builder'!$C$5,$Q507='Invoice Builder'!$C$6,N($N507)&gt;0),COUNTIFS($M$5:$M507,'Invoice Builder'!$C$5,$Q$5:$Q507,'Invoice Builder'!$C$6,$N$5:$N507,"&gt;0"),""))</f>
        <v/>
      </c>
      <c r="T507" s="27" t="str">
        <f aca="false">IF($A507="","",IF($A507&gt;=DATE(YEAR($A507),4,6),YEAR($A507)&amp;"/"&amp;RIGHT(YEAR($A507)+1,2),YEAR($A507)-1&amp;"/"&amp;RIGHT(YEAR($A507),2)))</f>
        <v/>
      </c>
    </row>
    <row r="508" customFormat="false" ht="15" hidden="false" customHeight="false" outlineLevel="0" collapsed="false">
      <c r="A508" s="22"/>
      <c r="B508" s="23"/>
      <c r="C508" s="23"/>
      <c r="D508" s="23"/>
      <c r="E508" s="24"/>
      <c r="F508" s="24"/>
      <c r="G508" s="23"/>
      <c r="H508" s="23"/>
      <c r="I508" s="25"/>
      <c r="J508" s="23"/>
      <c r="K508" s="23"/>
      <c r="L508" s="26" t="str">
        <f aca="false">IF(OR($E508="",$F508=""),"",MOD($F508-$E508,1)*24)</f>
        <v/>
      </c>
      <c r="M508" s="27" t="str">
        <f aca="false">IF($B508="","",IFERROR(INDEX(Properties!$D$5:$D$104,MATCH($B508,Properties!$A$5:$A$104,0)),"?"))</f>
        <v/>
      </c>
      <c r="N508" s="28" t="str">
        <f aca="false">IF($B508="","",IFERROR(IF($D508="Completed",INDEX(Properties!$I$5:$I$104,MATCH($B508,Properties!$A$5:$A$104,0))*(1+IF($G508="Y",Settings!$B$8,0))+IF($H508="Y",Settings!$B$7,0)+N($I508),IF($D508="Deep clean",INDEX(Settings!$E$22:$E$26,MATCH(MIN(INDEX(Properties!$E$5:$E$104,MATCH($B508,Properties!$A$5:$A$104,0)),4),Settings!$A$22:$A$26,0))+N($I508),IF($D508="Late cancel",INDEX(Properties!$I$5:$I$104,MATCH($B508,Properties!$A$5:$A$104,0))*Settings!$B$10,0))),0))</f>
        <v/>
      </c>
      <c r="O508" s="28" t="str">
        <f aca="false">IF($B508="","",IFERROR(IF($D508="Completed",INDEX(Properties!$L$5:$L$104,MATCH($B508,Properties!$A$5:$A$104,0))+IF($G508="Y",INDEX(Properties!$I$5:$I$104,MATCH($B508,Properties!$A$5:$A$104,0))*Settings!$B$8*Settings!$B$9,0)+IF($H508="Y",Settings!$B$7*Settings!$B$9,0)+N($I508)*Settings!$B$9,IF($D508="Deep clean",INDEX(Settings!$E$22:$E$26,MATCH(MIN(INDEX(Properties!$E$5:$E$104,MATCH($B508,Properties!$A$5:$A$104,0)),4),Settings!$A$22:$A$26,0))*Settings!$B$19+N($I508)*Settings!$B$9,IF($D508="Late cancel",INDEX(Properties!$L$5:$L$104,MATCH($B508,Properties!$A$5:$A$104,0))*Settings!$B$11,0))),0))</f>
        <v/>
      </c>
      <c r="P508" s="28" t="str">
        <f aca="false">IF($B508="","",$N508-$O508)</f>
        <v/>
      </c>
      <c r="Q508" s="29" t="str">
        <f aca="false">IF($A508="","",DATE(YEAR($A508),MONTH($A508),1))</f>
        <v/>
      </c>
      <c r="R508" s="30" t="str">
        <f aca="false">IF($A508="","",$A508+MOD(6-WEEKDAY($A508),7))</f>
        <v/>
      </c>
      <c r="S508" s="31" t="str">
        <f aca="false">IF($B508="","",IF(AND($M508='Invoice Builder'!$C$5,$Q508='Invoice Builder'!$C$6,N($N508)&gt;0),COUNTIFS($M$5:$M508,'Invoice Builder'!$C$5,$Q$5:$Q508,'Invoice Builder'!$C$6,$N$5:$N508,"&gt;0"),""))</f>
        <v/>
      </c>
      <c r="T508" s="27" t="str">
        <f aca="false">IF($A508="","",IF($A508&gt;=DATE(YEAR($A508),4,6),YEAR($A508)&amp;"/"&amp;RIGHT(YEAR($A508)+1,2),YEAR($A508)-1&amp;"/"&amp;RIGHT(YEAR($A508),2)))</f>
        <v/>
      </c>
    </row>
    <row r="509" customFormat="false" ht="15" hidden="false" customHeight="false" outlineLevel="0" collapsed="false">
      <c r="A509" s="22"/>
      <c r="B509" s="23"/>
      <c r="C509" s="23"/>
      <c r="D509" s="23"/>
      <c r="E509" s="24"/>
      <c r="F509" s="24"/>
      <c r="G509" s="23"/>
      <c r="H509" s="23"/>
      <c r="I509" s="25"/>
      <c r="J509" s="23"/>
      <c r="K509" s="23"/>
      <c r="L509" s="26" t="str">
        <f aca="false">IF(OR($E509="",$F509=""),"",MOD($F509-$E509,1)*24)</f>
        <v/>
      </c>
      <c r="M509" s="27" t="str">
        <f aca="false">IF($B509="","",IFERROR(INDEX(Properties!$D$5:$D$104,MATCH($B509,Properties!$A$5:$A$104,0)),"?"))</f>
        <v/>
      </c>
      <c r="N509" s="28" t="str">
        <f aca="false">IF($B509="","",IFERROR(IF($D509="Completed",INDEX(Properties!$I$5:$I$104,MATCH($B509,Properties!$A$5:$A$104,0))*(1+IF($G509="Y",Settings!$B$8,0))+IF($H509="Y",Settings!$B$7,0)+N($I509),IF($D509="Deep clean",INDEX(Settings!$E$22:$E$26,MATCH(MIN(INDEX(Properties!$E$5:$E$104,MATCH($B509,Properties!$A$5:$A$104,0)),4),Settings!$A$22:$A$26,0))+N($I509),IF($D509="Late cancel",INDEX(Properties!$I$5:$I$104,MATCH($B509,Properties!$A$5:$A$104,0))*Settings!$B$10,0))),0))</f>
        <v/>
      </c>
      <c r="O509" s="28" t="str">
        <f aca="false">IF($B509="","",IFERROR(IF($D509="Completed",INDEX(Properties!$L$5:$L$104,MATCH($B509,Properties!$A$5:$A$104,0))+IF($G509="Y",INDEX(Properties!$I$5:$I$104,MATCH($B509,Properties!$A$5:$A$104,0))*Settings!$B$8*Settings!$B$9,0)+IF($H509="Y",Settings!$B$7*Settings!$B$9,0)+N($I509)*Settings!$B$9,IF($D509="Deep clean",INDEX(Settings!$E$22:$E$26,MATCH(MIN(INDEX(Properties!$E$5:$E$104,MATCH($B509,Properties!$A$5:$A$104,0)),4),Settings!$A$22:$A$26,0))*Settings!$B$19+N($I509)*Settings!$B$9,IF($D509="Late cancel",INDEX(Properties!$L$5:$L$104,MATCH($B509,Properties!$A$5:$A$104,0))*Settings!$B$11,0))),0))</f>
        <v/>
      </c>
      <c r="P509" s="28" t="str">
        <f aca="false">IF($B509="","",$N509-$O509)</f>
        <v/>
      </c>
      <c r="Q509" s="29" t="str">
        <f aca="false">IF($A509="","",DATE(YEAR($A509),MONTH($A509),1))</f>
        <v/>
      </c>
      <c r="R509" s="30" t="str">
        <f aca="false">IF($A509="","",$A509+MOD(6-WEEKDAY($A509),7))</f>
        <v/>
      </c>
      <c r="S509" s="31" t="str">
        <f aca="false">IF($B509="","",IF(AND($M509='Invoice Builder'!$C$5,$Q509='Invoice Builder'!$C$6,N($N509)&gt;0),COUNTIFS($M$5:$M509,'Invoice Builder'!$C$5,$Q$5:$Q509,'Invoice Builder'!$C$6,$N$5:$N509,"&gt;0"),""))</f>
        <v/>
      </c>
      <c r="T509" s="27" t="str">
        <f aca="false">IF($A509="","",IF($A509&gt;=DATE(YEAR($A509),4,6),YEAR($A509)&amp;"/"&amp;RIGHT(YEAR($A509)+1,2),YEAR($A509)-1&amp;"/"&amp;RIGHT(YEAR($A509),2)))</f>
        <v/>
      </c>
    </row>
    <row r="510" customFormat="false" ht="15" hidden="false" customHeight="false" outlineLevel="0" collapsed="false">
      <c r="A510" s="22"/>
      <c r="B510" s="23"/>
      <c r="C510" s="23"/>
      <c r="D510" s="23"/>
      <c r="E510" s="24"/>
      <c r="F510" s="24"/>
      <c r="G510" s="23"/>
      <c r="H510" s="23"/>
      <c r="I510" s="25"/>
      <c r="J510" s="23"/>
      <c r="K510" s="23"/>
      <c r="L510" s="26" t="str">
        <f aca="false">IF(OR($E510="",$F510=""),"",MOD($F510-$E510,1)*24)</f>
        <v/>
      </c>
      <c r="M510" s="27" t="str">
        <f aca="false">IF($B510="","",IFERROR(INDEX(Properties!$D$5:$D$104,MATCH($B510,Properties!$A$5:$A$104,0)),"?"))</f>
        <v/>
      </c>
      <c r="N510" s="28" t="str">
        <f aca="false">IF($B510="","",IFERROR(IF($D510="Completed",INDEX(Properties!$I$5:$I$104,MATCH($B510,Properties!$A$5:$A$104,0))*(1+IF($G510="Y",Settings!$B$8,0))+IF($H510="Y",Settings!$B$7,0)+N($I510),IF($D510="Deep clean",INDEX(Settings!$E$22:$E$26,MATCH(MIN(INDEX(Properties!$E$5:$E$104,MATCH($B510,Properties!$A$5:$A$104,0)),4),Settings!$A$22:$A$26,0))+N($I510),IF($D510="Late cancel",INDEX(Properties!$I$5:$I$104,MATCH($B510,Properties!$A$5:$A$104,0))*Settings!$B$10,0))),0))</f>
        <v/>
      </c>
      <c r="O510" s="28" t="str">
        <f aca="false">IF($B510="","",IFERROR(IF($D510="Completed",INDEX(Properties!$L$5:$L$104,MATCH($B510,Properties!$A$5:$A$104,0))+IF($G510="Y",INDEX(Properties!$I$5:$I$104,MATCH($B510,Properties!$A$5:$A$104,0))*Settings!$B$8*Settings!$B$9,0)+IF($H510="Y",Settings!$B$7*Settings!$B$9,0)+N($I510)*Settings!$B$9,IF($D510="Deep clean",INDEX(Settings!$E$22:$E$26,MATCH(MIN(INDEX(Properties!$E$5:$E$104,MATCH($B510,Properties!$A$5:$A$104,0)),4),Settings!$A$22:$A$26,0))*Settings!$B$19+N($I510)*Settings!$B$9,IF($D510="Late cancel",INDEX(Properties!$L$5:$L$104,MATCH($B510,Properties!$A$5:$A$104,0))*Settings!$B$11,0))),0))</f>
        <v/>
      </c>
      <c r="P510" s="28" t="str">
        <f aca="false">IF($B510="","",$N510-$O510)</f>
        <v/>
      </c>
      <c r="Q510" s="29" t="str">
        <f aca="false">IF($A510="","",DATE(YEAR($A510),MONTH($A510),1))</f>
        <v/>
      </c>
      <c r="R510" s="30" t="str">
        <f aca="false">IF($A510="","",$A510+MOD(6-WEEKDAY($A510),7))</f>
        <v/>
      </c>
      <c r="S510" s="31" t="str">
        <f aca="false">IF($B510="","",IF(AND($M510='Invoice Builder'!$C$5,$Q510='Invoice Builder'!$C$6,N($N510)&gt;0),COUNTIFS($M$5:$M510,'Invoice Builder'!$C$5,$Q$5:$Q510,'Invoice Builder'!$C$6,$N$5:$N510,"&gt;0"),""))</f>
        <v/>
      </c>
      <c r="T510" s="27" t="str">
        <f aca="false">IF($A510="","",IF($A510&gt;=DATE(YEAR($A510),4,6),YEAR($A510)&amp;"/"&amp;RIGHT(YEAR($A510)+1,2),YEAR($A510)-1&amp;"/"&amp;RIGHT(YEAR($A510),2)))</f>
        <v/>
      </c>
    </row>
    <row r="511" customFormat="false" ht="15" hidden="false" customHeight="false" outlineLevel="0" collapsed="false">
      <c r="A511" s="22"/>
      <c r="B511" s="23"/>
      <c r="C511" s="23"/>
      <c r="D511" s="23"/>
      <c r="E511" s="24"/>
      <c r="F511" s="24"/>
      <c r="G511" s="23"/>
      <c r="H511" s="23"/>
      <c r="I511" s="25"/>
      <c r="J511" s="23"/>
      <c r="K511" s="23"/>
      <c r="L511" s="26" t="str">
        <f aca="false">IF(OR($E511="",$F511=""),"",MOD($F511-$E511,1)*24)</f>
        <v/>
      </c>
      <c r="M511" s="27" t="str">
        <f aca="false">IF($B511="","",IFERROR(INDEX(Properties!$D$5:$D$104,MATCH($B511,Properties!$A$5:$A$104,0)),"?"))</f>
        <v/>
      </c>
      <c r="N511" s="28" t="str">
        <f aca="false">IF($B511="","",IFERROR(IF($D511="Completed",INDEX(Properties!$I$5:$I$104,MATCH($B511,Properties!$A$5:$A$104,0))*(1+IF($G511="Y",Settings!$B$8,0))+IF($H511="Y",Settings!$B$7,0)+N($I511),IF($D511="Deep clean",INDEX(Settings!$E$22:$E$26,MATCH(MIN(INDEX(Properties!$E$5:$E$104,MATCH($B511,Properties!$A$5:$A$104,0)),4),Settings!$A$22:$A$26,0))+N($I511),IF($D511="Late cancel",INDEX(Properties!$I$5:$I$104,MATCH($B511,Properties!$A$5:$A$104,0))*Settings!$B$10,0))),0))</f>
        <v/>
      </c>
      <c r="O511" s="28" t="str">
        <f aca="false">IF($B511="","",IFERROR(IF($D511="Completed",INDEX(Properties!$L$5:$L$104,MATCH($B511,Properties!$A$5:$A$104,0))+IF($G511="Y",INDEX(Properties!$I$5:$I$104,MATCH($B511,Properties!$A$5:$A$104,0))*Settings!$B$8*Settings!$B$9,0)+IF($H511="Y",Settings!$B$7*Settings!$B$9,0)+N($I511)*Settings!$B$9,IF($D511="Deep clean",INDEX(Settings!$E$22:$E$26,MATCH(MIN(INDEX(Properties!$E$5:$E$104,MATCH($B511,Properties!$A$5:$A$104,0)),4),Settings!$A$22:$A$26,0))*Settings!$B$19+N($I511)*Settings!$B$9,IF($D511="Late cancel",INDEX(Properties!$L$5:$L$104,MATCH($B511,Properties!$A$5:$A$104,0))*Settings!$B$11,0))),0))</f>
        <v/>
      </c>
      <c r="P511" s="28" t="str">
        <f aca="false">IF($B511="","",$N511-$O511)</f>
        <v/>
      </c>
      <c r="Q511" s="29" t="str">
        <f aca="false">IF($A511="","",DATE(YEAR($A511),MONTH($A511),1))</f>
        <v/>
      </c>
      <c r="R511" s="30" t="str">
        <f aca="false">IF($A511="","",$A511+MOD(6-WEEKDAY($A511),7))</f>
        <v/>
      </c>
      <c r="S511" s="31" t="str">
        <f aca="false">IF($B511="","",IF(AND($M511='Invoice Builder'!$C$5,$Q511='Invoice Builder'!$C$6,N($N511)&gt;0),COUNTIFS($M$5:$M511,'Invoice Builder'!$C$5,$Q$5:$Q511,'Invoice Builder'!$C$6,$N$5:$N511,"&gt;0"),""))</f>
        <v/>
      </c>
      <c r="T511" s="27" t="str">
        <f aca="false">IF($A511="","",IF($A511&gt;=DATE(YEAR($A511),4,6),YEAR($A511)&amp;"/"&amp;RIGHT(YEAR($A511)+1,2),YEAR($A511)-1&amp;"/"&amp;RIGHT(YEAR($A511),2)))</f>
        <v/>
      </c>
    </row>
    <row r="512" customFormat="false" ht="15" hidden="false" customHeight="false" outlineLevel="0" collapsed="false">
      <c r="A512" s="22"/>
      <c r="B512" s="23"/>
      <c r="C512" s="23"/>
      <c r="D512" s="23"/>
      <c r="E512" s="24"/>
      <c r="F512" s="24"/>
      <c r="G512" s="23"/>
      <c r="H512" s="23"/>
      <c r="I512" s="25"/>
      <c r="J512" s="23"/>
      <c r="K512" s="23"/>
      <c r="L512" s="26" t="str">
        <f aca="false">IF(OR($E512="",$F512=""),"",MOD($F512-$E512,1)*24)</f>
        <v/>
      </c>
      <c r="M512" s="27" t="str">
        <f aca="false">IF($B512="","",IFERROR(INDEX(Properties!$D$5:$D$104,MATCH($B512,Properties!$A$5:$A$104,0)),"?"))</f>
        <v/>
      </c>
      <c r="N512" s="28" t="str">
        <f aca="false">IF($B512="","",IFERROR(IF($D512="Completed",INDEX(Properties!$I$5:$I$104,MATCH($B512,Properties!$A$5:$A$104,0))*(1+IF($G512="Y",Settings!$B$8,0))+IF($H512="Y",Settings!$B$7,0)+N($I512),IF($D512="Deep clean",INDEX(Settings!$E$22:$E$26,MATCH(MIN(INDEX(Properties!$E$5:$E$104,MATCH($B512,Properties!$A$5:$A$104,0)),4),Settings!$A$22:$A$26,0))+N($I512),IF($D512="Late cancel",INDEX(Properties!$I$5:$I$104,MATCH($B512,Properties!$A$5:$A$104,0))*Settings!$B$10,0))),0))</f>
        <v/>
      </c>
      <c r="O512" s="28" t="str">
        <f aca="false">IF($B512="","",IFERROR(IF($D512="Completed",INDEX(Properties!$L$5:$L$104,MATCH($B512,Properties!$A$5:$A$104,0))+IF($G512="Y",INDEX(Properties!$I$5:$I$104,MATCH($B512,Properties!$A$5:$A$104,0))*Settings!$B$8*Settings!$B$9,0)+IF($H512="Y",Settings!$B$7*Settings!$B$9,0)+N($I512)*Settings!$B$9,IF($D512="Deep clean",INDEX(Settings!$E$22:$E$26,MATCH(MIN(INDEX(Properties!$E$5:$E$104,MATCH($B512,Properties!$A$5:$A$104,0)),4),Settings!$A$22:$A$26,0))*Settings!$B$19+N($I512)*Settings!$B$9,IF($D512="Late cancel",INDEX(Properties!$L$5:$L$104,MATCH($B512,Properties!$A$5:$A$104,0))*Settings!$B$11,0))),0))</f>
        <v/>
      </c>
      <c r="P512" s="28" t="str">
        <f aca="false">IF($B512="","",$N512-$O512)</f>
        <v/>
      </c>
      <c r="Q512" s="29" t="str">
        <f aca="false">IF($A512="","",DATE(YEAR($A512),MONTH($A512),1))</f>
        <v/>
      </c>
      <c r="R512" s="30" t="str">
        <f aca="false">IF($A512="","",$A512+MOD(6-WEEKDAY($A512),7))</f>
        <v/>
      </c>
      <c r="S512" s="31" t="str">
        <f aca="false">IF($B512="","",IF(AND($M512='Invoice Builder'!$C$5,$Q512='Invoice Builder'!$C$6,N($N512)&gt;0),COUNTIFS($M$5:$M512,'Invoice Builder'!$C$5,$Q$5:$Q512,'Invoice Builder'!$C$6,$N$5:$N512,"&gt;0"),""))</f>
        <v/>
      </c>
      <c r="T512" s="27" t="str">
        <f aca="false">IF($A512="","",IF($A512&gt;=DATE(YEAR($A512),4,6),YEAR($A512)&amp;"/"&amp;RIGHT(YEAR($A512)+1,2),YEAR($A512)-1&amp;"/"&amp;RIGHT(YEAR($A512),2)))</f>
        <v/>
      </c>
    </row>
    <row r="513" customFormat="false" ht="15" hidden="false" customHeight="false" outlineLevel="0" collapsed="false">
      <c r="A513" s="22"/>
      <c r="B513" s="23"/>
      <c r="C513" s="23"/>
      <c r="D513" s="23"/>
      <c r="E513" s="24"/>
      <c r="F513" s="24"/>
      <c r="G513" s="23"/>
      <c r="H513" s="23"/>
      <c r="I513" s="25"/>
      <c r="J513" s="23"/>
      <c r="K513" s="23"/>
      <c r="L513" s="26" t="str">
        <f aca="false">IF(OR($E513="",$F513=""),"",MOD($F513-$E513,1)*24)</f>
        <v/>
      </c>
      <c r="M513" s="27" t="str">
        <f aca="false">IF($B513="","",IFERROR(INDEX(Properties!$D$5:$D$104,MATCH($B513,Properties!$A$5:$A$104,0)),"?"))</f>
        <v/>
      </c>
      <c r="N513" s="28" t="str">
        <f aca="false">IF($B513="","",IFERROR(IF($D513="Completed",INDEX(Properties!$I$5:$I$104,MATCH($B513,Properties!$A$5:$A$104,0))*(1+IF($G513="Y",Settings!$B$8,0))+IF($H513="Y",Settings!$B$7,0)+N($I513),IF($D513="Deep clean",INDEX(Settings!$E$22:$E$26,MATCH(MIN(INDEX(Properties!$E$5:$E$104,MATCH($B513,Properties!$A$5:$A$104,0)),4),Settings!$A$22:$A$26,0))+N($I513),IF($D513="Late cancel",INDEX(Properties!$I$5:$I$104,MATCH($B513,Properties!$A$5:$A$104,0))*Settings!$B$10,0))),0))</f>
        <v/>
      </c>
      <c r="O513" s="28" t="str">
        <f aca="false">IF($B513="","",IFERROR(IF($D513="Completed",INDEX(Properties!$L$5:$L$104,MATCH($B513,Properties!$A$5:$A$104,0))+IF($G513="Y",INDEX(Properties!$I$5:$I$104,MATCH($B513,Properties!$A$5:$A$104,0))*Settings!$B$8*Settings!$B$9,0)+IF($H513="Y",Settings!$B$7*Settings!$B$9,0)+N($I513)*Settings!$B$9,IF($D513="Deep clean",INDEX(Settings!$E$22:$E$26,MATCH(MIN(INDEX(Properties!$E$5:$E$104,MATCH($B513,Properties!$A$5:$A$104,0)),4),Settings!$A$22:$A$26,0))*Settings!$B$19+N($I513)*Settings!$B$9,IF($D513="Late cancel",INDEX(Properties!$L$5:$L$104,MATCH($B513,Properties!$A$5:$A$104,0))*Settings!$B$11,0))),0))</f>
        <v/>
      </c>
      <c r="P513" s="28" t="str">
        <f aca="false">IF($B513="","",$N513-$O513)</f>
        <v/>
      </c>
      <c r="Q513" s="29" t="str">
        <f aca="false">IF($A513="","",DATE(YEAR($A513),MONTH($A513),1))</f>
        <v/>
      </c>
      <c r="R513" s="30" t="str">
        <f aca="false">IF($A513="","",$A513+MOD(6-WEEKDAY($A513),7))</f>
        <v/>
      </c>
      <c r="S513" s="31" t="str">
        <f aca="false">IF($B513="","",IF(AND($M513='Invoice Builder'!$C$5,$Q513='Invoice Builder'!$C$6,N($N513)&gt;0),COUNTIFS($M$5:$M513,'Invoice Builder'!$C$5,$Q$5:$Q513,'Invoice Builder'!$C$6,$N$5:$N513,"&gt;0"),""))</f>
        <v/>
      </c>
      <c r="T513" s="27" t="str">
        <f aca="false">IF($A513="","",IF($A513&gt;=DATE(YEAR($A513),4,6),YEAR($A513)&amp;"/"&amp;RIGHT(YEAR($A513)+1,2),YEAR($A513)-1&amp;"/"&amp;RIGHT(YEAR($A513),2)))</f>
        <v/>
      </c>
    </row>
    <row r="514" customFormat="false" ht="15" hidden="false" customHeight="false" outlineLevel="0" collapsed="false">
      <c r="A514" s="22"/>
      <c r="B514" s="23"/>
      <c r="C514" s="23"/>
      <c r="D514" s="23"/>
      <c r="E514" s="24"/>
      <c r="F514" s="24"/>
      <c r="G514" s="23"/>
      <c r="H514" s="23"/>
      <c r="I514" s="25"/>
      <c r="J514" s="23"/>
      <c r="K514" s="23"/>
      <c r="L514" s="26" t="str">
        <f aca="false">IF(OR($E514="",$F514=""),"",MOD($F514-$E514,1)*24)</f>
        <v/>
      </c>
      <c r="M514" s="27" t="str">
        <f aca="false">IF($B514="","",IFERROR(INDEX(Properties!$D$5:$D$104,MATCH($B514,Properties!$A$5:$A$104,0)),"?"))</f>
        <v/>
      </c>
      <c r="N514" s="28" t="str">
        <f aca="false">IF($B514="","",IFERROR(IF($D514="Completed",INDEX(Properties!$I$5:$I$104,MATCH($B514,Properties!$A$5:$A$104,0))*(1+IF($G514="Y",Settings!$B$8,0))+IF($H514="Y",Settings!$B$7,0)+N($I514),IF($D514="Deep clean",INDEX(Settings!$E$22:$E$26,MATCH(MIN(INDEX(Properties!$E$5:$E$104,MATCH($B514,Properties!$A$5:$A$104,0)),4),Settings!$A$22:$A$26,0))+N($I514),IF($D514="Late cancel",INDEX(Properties!$I$5:$I$104,MATCH($B514,Properties!$A$5:$A$104,0))*Settings!$B$10,0))),0))</f>
        <v/>
      </c>
      <c r="O514" s="28" t="str">
        <f aca="false">IF($B514="","",IFERROR(IF($D514="Completed",INDEX(Properties!$L$5:$L$104,MATCH($B514,Properties!$A$5:$A$104,0))+IF($G514="Y",INDEX(Properties!$I$5:$I$104,MATCH($B514,Properties!$A$5:$A$104,0))*Settings!$B$8*Settings!$B$9,0)+IF($H514="Y",Settings!$B$7*Settings!$B$9,0)+N($I514)*Settings!$B$9,IF($D514="Deep clean",INDEX(Settings!$E$22:$E$26,MATCH(MIN(INDEX(Properties!$E$5:$E$104,MATCH($B514,Properties!$A$5:$A$104,0)),4),Settings!$A$22:$A$26,0))*Settings!$B$19+N($I514)*Settings!$B$9,IF($D514="Late cancel",INDEX(Properties!$L$5:$L$104,MATCH($B514,Properties!$A$5:$A$104,0))*Settings!$B$11,0))),0))</f>
        <v/>
      </c>
      <c r="P514" s="28" t="str">
        <f aca="false">IF($B514="","",$N514-$O514)</f>
        <v/>
      </c>
      <c r="Q514" s="29" t="str">
        <f aca="false">IF($A514="","",DATE(YEAR($A514),MONTH($A514),1))</f>
        <v/>
      </c>
      <c r="R514" s="30" t="str">
        <f aca="false">IF($A514="","",$A514+MOD(6-WEEKDAY($A514),7))</f>
        <v/>
      </c>
      <c r="S514" s="31" t="str">
        <f aca="false">IF($B514="","",IF(AND($M514='Invoice Builder'!$C$5,$Q514='Invoice Builder'!$C$6,N($N514)&gt;0),COUNTIFS($M$5:$M514,'Invoice Builder'!$C$5,$Q$5:$Q514,'Invoice Builder'!$C$6,$N$5:$N514,"&gt;0"),""))</f>
        <v/>
      </c>
      <c r="T514" s="27" t="str">
        <f aca="false">IF($A514="","",IF($A514&gt;=DATE(YEAR($A514),4,6),YEAR($A514)&amp;"/"&amp;RIGHT(YEAR($A514)+1,2),YEAR($A514)-1&amp;"/"&amp;RIGHT(YEAR($A514),2)))</f>
        <v/>
      </c>
    </row>
    <row r="515" customFormat="false" ht="15" hidden="false" customHeight="false" outlineLevel="0" collapsed="false">
      <c r="A515" s="22"/>
      <c r="B515" s="23"/>
      <c r="C515" s="23"/>
      <c r="D515" s="23"/>
      <c r="E515" s="24"/>
      <c r="F515" s="24"/>
      <c r="G515" s="23"/>
      <c r="H515" s="23"/>
      <c r="I515" s="25"/>
      <c r="J515" s="23"/>
      <c r="K515" s="23"/>
      <c r="L515" s="26" t="str">
        <f aca="false">IF(OR($E515="",$F515=""),"",MOD($F515-$E515,1)*24)</f>
        <v/>
      </c>
      <c r="M515" s="27" t="str">
        <f aca="false">IF($B515="","",IFERROR(INDEX(Properties!$D$5:$D$104,MATCH($B515,Properties!$A$5:$A$104,0)),"?"))</f>
        <v/>
      </c>
      <c r="N515" s="28" t="str">
        <f aca="false">IF($B515="","",IFERROR(IF($D515="Completed",INDEX(Properties!$I$5:$I$104,MATCH($B515,Properties!$A$5:$A$104,0))*(1+IF($G515="Y",Settings!$B$8,0))+IF($H515="Y",Settings!$B$7,0)+N($I515),IF($D515="Deep clean",INDEX(Settings!$E$22:$E$26,MATCH(MIN(INDEX(Properties!$E$5:$E$104,MATCH($B515,Properties!$A$5:$A$104,0)),4),Settings!$A$22:$A$26,0))+N($I515),IF($D515="Late cancel",INDEX(Properties!$I$5:$I$104,MATCH($B515,Properties!$A$5:$A$104,0))*Settings!$B$10,0))),0))</f>
        <v/>
      </c>
      <c r="O515" s="28" t="str">
        <f aca="false">IF($B515="","",IFERROR(IF($D515="Completed",INDEX(Properties!$L$5:$L$104,MATCH($B515,Properties!$A$5:$A$104,0))+IF($G515="Y",INDEX(Properties!$I$5:$I$104,MATCH($B515,Properties!$A$5:$A$104,0))*Settings!$B$8*Settings!$B$9,0)+IF($H515="Y",Settings!$B$7*Settings!$B$9,0)+N($I515)*Settings!$B$9,IF($D515="Deep clean",INDEX(Settings!$E$22:$E$26,MATCH(MIN(INDEX(Properties!$E$5:$E$104,MATCH($B515,Properties!$A$5:$A$104,0)),4),Settings!$A$22:$A$26,0))*Settings!$B$19+N($I515)*Settings!$B$9,IF($D515="Late cancel",INDEX(Properties!$L$5:$L$104,MATCH($B515,Properties!$A$5:$A$104,0))*Settings!$B$11,0))),0))</f>
        <v/>
      </c>
      <c r="P515" s="28" t="str">
        <f aca="false">IF($B515="","",$N515-$O515)</f>
        <v/>
      </c>
      <c r="Q515" s="29" t="str">
        <f aca="false">IF($A515="","",DATE(YEAR($A515),MONTH($A515),1))</f>
        <v/>
      </c>
      <c r="R515" s="30" t="str">
        <f aca="false">IF($A515="","",$A515+MOD(6-WEEKDAY($A515),7))</f>
        <v/>
      </c>
      <c r="S515" s="31" t="str">
        <f aca="false">IF($B515="","",IF(AND($M515='Invoice Builder'!$C$5,$Q515='Invoice Builder'!$C$6,N($N515)&gt;0),COUNTIFS($M$5:$M515,'Invoice Builder'!$C$5,$Q$5:$Q515,'Invoice Builder'!$C$6,$N$5:$N515,"&gt;0"),""))</f>
        <v/>
      </c>
      <c r="T515" s="27" t="str">
        <f aca="false">IF($A515="","",IF($A515&gt;=DATE(YEAR($A515),4,6),YEAR($A515)&amp;"/"&amp;RIGHT(YEAR($A515)+1,2),YEAR($A515)-1&amp;"/"&amp;RIGHT(YEAR($A515),2)))</f>
        <v/>
      </c>
    </row>
    <row r="516" customFormat="false" ht="15" hidden="false" customHeight="false" outlineLevel="0" collapsed="false">
      <c r="A516" s="22"/>
      <c r="B516" s="23"/>
      <c r="C516" s="23"/>
      <c r="D516" s="23"/>
      <c r="E516" s="24"/>
      <c r="F516" s="24"/>
      <c r="G516" s="23"/>
      <c r="H516" s="23"/>
      <c r="I516" s="25"/>
      <c r="J516" s="23"/>
      <c r="K516" s="23"/>
      <c r="L516" s="26" t="str">
        <f aca="false">IF(OR($E516="",$F516=""),"",MOD($F516-$E516,1)*24)</f>
        <v/>
      </c>
      <c r="M516" s="27" t="str">
        <f aca="false">IF($B516="","",IFERROR(INDEX(Properties!$D$5:$D$104,MATCH($B516,Properties!$A$5:$A$104,0)),"?"))</f>
        <v/>
      </c>
      <c r="N516" s="28" t="str">
        <f aca="false">IF($B516="","",IFERROR(IF($D516="Completed",INDEX(Properties!$I$5:$I$104,MATCH($B516,Properties!$A$5:$A$104,0))*(1+IF($G516="Y",Settings!$B$8,0))+IF($H516="Y",Settings!$B$7,0)+N($I516),IF($D516="Deep clean",INDEX(Settings!$E$22:$E$26,MATCH(MIN(INDEX(Properties!$E$5:$E$104,MATCH($B516,Properties!$A$5:$A$104,0)),4),Settings!$A$22:$A$26,0))+N($I516),IF($D516="Late cancel",INDEX(Properties!$I$5:$I$104,MATCH($B516,Properties!$A$5:$A$104,0))*Settings!$B$10,0))),0))</f>
        <v/>
      </c>
      <c r="O516" s="28" t="str">
        <f aca="false">IF($B516="","",IFERROR(IF($D516="Completed",INDEX(Properties!$L$5:$L$104,MATCH($B516,Properties!$A$5:$A$104,0))+IF($G516="Y",INDEX(Properties!$I$5:$I$104,MATCH($B516,Properties!$A$5:$A$104,0))*Settings!$B$8*Settings!$B$9,0)+IF($H516="Y",Settings!$B$7*Settings!$B$9,0)+N($I516)*Settings!$B$9,IF($D516="Deep clean",INDEX(Settings!$E$22:$E$26,MATCH(MIN(INDEX(Properties!$E$5:$E$104,MATCH($B516,Properties!$A$5:$A$104,0)),4),Settings!$A$22:$A$26,0))*Settings!$B$19+N($I516)*Settings!$B$9,IF($D516="Late cancel",INDEX(Properties!$L$5:$L$104,MATCH($B516,Properties!$A$5:$A$104,0))*Settings!$B$11,0))),0))</f>
        <v/>
      </c>
      <c r="P516" s="28" t="str">
        <f aca="false">IF($B516="","",$N516-$O516)</f>
        <v/>
      </c>
      <c r="Q516" s="29" t="str">
        <f aca="false">IF($A516="","",DATE(YEAR($A516),MONTH($A516),1))</f>
        <v/>
      </c>
      <c r="R516" s="30" t="str">
        <f aca="false">IF($A516="","",$A516+MOD(6-WEEKDAY($A516),7))</f>
        <v/>
      </c>
      <c r="S516" s="31" t="str">
        <f aca="false">IF($B516="","",IF(AND($M516='Invoice Builder'!$C$5,$Q516='Invoice Builder'!$C$6,N($N516)&gt;0),COUNTIFS($M$5:$M516,'Invoice Builder'!$C$5,$Q$5:$Q516,'Invoice Builder'!$C$6,$N$5:$N516,"&gt;0"),""))</f>
        <v/>
      </c>
      <c r="T516" s="27" t="str">
        <f aca="false">IF($A516="","",IF($A516&gt;=DATE(YEAR($A516),4,6),YEAR($A516)&amp;"/"&amp;RIGHT(YEAR($A516)+1,2),YEAR($A516)-1&amp;"/"&amp;RIGHT(YEAR($A516),2)))</f>
        <v/>
      </c>
    </row>
    <row r="517" customFormat="false" ht="15" hidden="false" customHeight="false" outlineLevel="0" collapsed="false">
      <c r="A517" s="22"/>
      <c r="B517" s="23"/>
      <c r="C517" s="23"/>
      <c r="D517" s="23"/>
      <c r="E517" s="24"/>
      <c r="F517" s="24"/>
      <c r="G517" s="23"/>
      <c r="H517" s="23"/>
      <c r="I517" s="25"/>
      <c r="J517" s="23"/>
      <c r="K517" s="23"/>
      <c r="L517" s="26" t="str">
        <f aca="false">IF(OR($E517="",$F517=""),"",MOD($F517-$E517,1)*24)</f>
        <v/>
      </c>
      <c r="M517" s="27" t="str">
        <f aca="false">IF($B517="","",IFERROR(INDEX(Properties!$D$5:$D$104,MATCH($B517,Properties!$A$5:$A$104,0)),"?"))</f>
        <v/>
      </c>
      <c r="N517" s="28" t="str">
        <f aca="false">IF($B517="","",IFERROR(IF($D517="Completed",INDEX(Properties!$I$5:$I$104,MATCH($B517,Properties!$A$5:$A$104,0))*(1+IF($G517="Y",Settings!$B$8,0))+IF($H517="Y",Settings!$B$7,0)+N($I517),IF($D517="Deep clean",INDEX(Settings!$E$22:$E$26,MATCH(MIN(INDEX(Properties!$E$5:$E$104,MATCH($B517,Properties!$A$5:$A$104,0)),4),Settings!$A$22:$A$26,0))+N($I517),IF($D517="Late cancel",INDEX(Properties!$I$5:$I$104,MATCH($B517,Properties!$A$5:$A$104,0))*Settings!$B$10,0))),0))</f>
        <v/>
      </c>
      <c r="O517" s="28" t="str">
        <f aca="false">IF($B517="","",IFERROR(IF($D517="Completed",INDEX(Properties!$L$5:$L$104,MATCH($B517,Properties!$A$5:$A$104,0))+IF($G517="Y",INDEX(Properties!$I$5:$I$104,MATCH($B517,Properties!$A$5:$A$104,0))*Settings!$B$8*Settings!$B$9,0)+IF($H517="Y",Settings!$B$7*Settings!$B$9,0)+N($I517)*Settings!$B$9,IF($D517="Deep clean",INDEX(Settings!$E$22:$E$26,MATCH(MIN(INDEX(Properties!$E$5:$E$104,MATCH($B517,Properties!$A$5:$A$104,0)),4),Settings!$A$22:$A$26,0))*Settings!$B$19+N($I517)*Settings!$B$9,IF($D517="Late cancel",INDEX(Properties!$L$5:$L$104,MATCH($B517,Properties!$A$5:$A$104,0))*Settings!$B$11,0))),0))</f>
        <v/>
      </c>
      <c r="P517" s="28" t="str">
        <f aca="false">IF($B517="","",$N517-$O517)</f>
        <v/>
      </c>
      <c r="Q517" s="29" t="str">
        <f aca="false">IF($A517="","",DATE(YEAR($A517),MONTH($A517),1))</f>
        <v/>
      </c>
      <c r="R517" s="30" t="str">
        <f aca="false">IF($A517="","",$A517+MOD(6-WEEKDAY($A517),7))</f>
        <v/>
      </c>
      <c r="S517" s="31" t="str">
        <f aca="false">IF($B517="","",IF(AND($M517='Invoice Builder'!$C$5,$Q517='Invoice Builder'!$C$6,N($N517)&gt;0),COUNTIFS($M$5:$M517,'Invoice Builder'!$C$5,$Q$5:$Q517,'Invoice Builder'!$C$6,$N$5:$N517,"&gt;0"),""))</f>
        <v/>
      </c>
      <c r="T517" s="27" t="str">
        <f aca="false">IF($A517="","",IF($A517&gt;=DATE(YEAR($A517),4,6),YEAR($A517)&amp;"/"&amp;RIGHT(YEAR($A517)+1,2),YEAR($A517)-1&amp;"/"&amp;RIGHT(YEAR($A517),2)))</f>
        <v/>
      </c>
    </row>
    <row r="518" customFormat="false" ht="15" hidden="false" customHeight="false" outlineLevel="0" collapsed="false">
      <c r="A518" s="22"/>
      <c r="B518" s="23"/>
      <c r="C518" s="23"/>
      <c r="D518" s="23"/>
      <c r="E518" s="24"/>
      <c r="F518" s="24"/>
      <c r="G518" s="23"/>
      <c r="H518" s="23"/>
      <c r="I518" s="25"/>
      <c r="J518" s="23"/>
      <c r="K518" s="23"/>
      <c r="L518" s="26" t="str">
        <f aca="false">IF(OR($E518="",$F518=""),"",MOD($F518-$E518,1)*24)</f>
        <v/>
      </c>
      <c r="M518" s="27" t="str">
        <f aca="false">IF($B518="","",IFERROR(INDEX(Properties!$D$5:$D$104,MATCH($B518,Properties!$A$5:$A$104,0)),"?"))</f>
        <v/>
      </c>
      <c r="N518" s="28" t="str">
        <f aca="false">IF($B518="","",IFERROR(IF($D518="Completed",INDEX(Properties!$I$5:$I$104,MATCH($B518,Properties!$A$5:$A$104,0))*(1+IF($G518="Y",Settings!$B$8,0))+IF($H518="Y",Settings!$B$7,0)+N($I518),IF($D518="Deep clean",INDEX(Settings!$E$22:$E$26,MATCH(MIN(INDEX(Properties!$E$5:$E$104,MATCH($B518,Properties!$A$5:$A$104,0)),4),Settings!$A$22:$A$26,0))+N($I518),IF($D518="Late cancel",INDEX(Properties!$I$5:$I$104,MATCH($B518,Properties!$A$5:$A$104,0))*Settings!$B$10,0))),0))</f>
        <v/>
      </c>
      <c r="O518" s="28" t="str">
        <f aca="false">IF($B518="","",IFERROR(IF($D518="Completed",INDEX(Properties!$L$5:$L$104,MATCH($B518,Properties!$A$5:$A$104,0))+IF($G518="Y",INDEX(Properties!$I$5:$I$104,MATCH($B518,Properties!$A$5:$A$104,0))*Settings!$B$8*Settings!$B$9,0)+IF($H518="Y",Settings!$B$7*Settings!$B$9,0)+N($I518)*Settings!$B$9,IF($D518="Deep clean",INDEX(Settings!$E$22:$E$26,MATCH(MIN(INDEX(Properties!$E$5:$E$104,MATCH($B518,Properties!$A$5:$A$104,0)),4),Settings!$A$22:$A$26,0))*Settings!$B$19+N($I518)*Settings!$B$9,IF($D518="Late cancel",INDEX(Properties!$L$5:$L$104,MATCH($B518,Properties!$A$5:$A$104,0))*Settings!$B$11,0))),0))</f>
        <v/>
      </c>
      <c r="P518" s="28" t="str">
        <f aca="false">IF($B518="","",$N518-$O518)</f>
        <v/>
      </c>
      <c r="Q518" s="29" t="str">
        <f aca="false">IF($A518="","",DATE(YEAR($A518),MONTH($A518),1))</f>
        <v/>
      </c>
      <c r="R518" s="30" t="str">
        <f aca="false">IF($A518="","",$A518+MOD(6-WEEKDAY($A518),7))</f>
        <v/>
      </c>
      <c r="S518" s="31" t="str">
        <f aca="false">IF($B518="","",IF(AND($M518='Invoice Builder'!$C$5,$Q518='Invoice Builder'!$C$6,N($N518)&gt;0),COUNTIFS($M$5:$M518,'Invoice Builder'!$C$5,$Q$5:$Q518,'Invoice Builder'!$C$6,$N$5:$N518,"&gt;0"),""))</f>
        <v/>
      </c>
      <c r="T518" s="27" t="str">
        <f aca="false">IF($A518="","",IF($A518&gt;=DATE(YEAR($A518),4,6),YEAR($A518)&amp;"/"&amp;RIGHT(YEAR($A518)+1,2),YEAR($A518)-1&amp;"/"&amp;RIGHT(YEAR($A518),2)))</f>
        <v/>
      </c>
    </row>
    <row r="519" customFormat="false" ht="15" hidden="false" customHeight="false" outlineLevel="0" collapsed="false">
      <c r="A519" s="22"/>
      <c r="B519" s="23"/>
      <c r="C519" s="23"/>
      <c r="D519" s="23"/>
      <c r="E519" s="24"/>
      <c r="F519" s="24"/>
      <c r="G519" s="23"/>
      <c r="H519" s="23"/>
      <c r="I519" s="25"/>
      <c r="J519" s="23"/>
      <c r="K519" s="23"/>
      <c r="L519" s="26" t="str">
        <f aca="false">IF(OR($E519="",$F519=""),"",MOD($F519-$E519,1)*24)</f>
        <v/>
      </c>
      <c r="M519" s="27" t="str">
        <f aca="false">IF($B519="","",IFERROR(INDEX(Properties!$D$5:$D$104,MATCH($B519,Properties!$A$5:$A$104,0)),"?"))</f>
        <v/>
      </c>
      <c r="N519" s="28" t="str">
        <f aca="false">IF($B519="","",IFERROR(IF($D519="Completed",INDEX(Properties!$I$5:$I$104,MATCH($B519,Properties!$A$5:$A$104,0))*(1+IF($G519="Y",Settings!$B$8,0))+IF($H519="Y",Settings!$B$7,0)+N($I519),IF($D519="Deep clean",INDEX(Settings!$E$22:$E$26,MATCH(MIN(INDEX(Properties!$E$5:$E$104,MATCH($B519,Properties!$A$5:$A$104,0)),4),Settings!$A$22:$A$26,0))+N($I519),IF($D519="Late cancel",INDEX(Properties!$I$5:$I$104,MATCH($B519,Properties!$A$5:$A$104,0))*Settings!$B$10,0))),0))</f>
        <v/>
      </c>
      <c r="O519" s="28" t="str">
        <f aca="false">IF($B519="","",IFERROR(IF($D519="Completed",INDEX(Properties!$L$5:$L$104,MATCH($B519,Properties!$A$5:$A$104,0))+IF($G519="Y",INDEX(Properties!$I$5:$I$104,MATCH($B519,Properties!$A$5:$A$104,0))*Settings!$B$8*Settings!$B$9,0)+IF($H519="Y",Settings!$B$7*Settings!$B$9,0)+N($I519)*Settings!$B$9,IF($D519="Deep clean",INDEX(Settings!$E$22:$E$26,MATCH(MIN(INDEX(Properties!$E$5:$E$104,MATCH($B519,Properties!$A$5:$A$104,0)),4),Settings!$A$22:$A$26,0))*Settings!$B$19+N($I519)*Settings!$B$9,IF($D519="Late cancel",INDEX(Properties!$L$5:$L$104,MATCH($B519,Properties!$A$5:$A$104,0))*Settings!$B$11,0))),0))</f>
        <v/>
      </c>
      <c r="P519" s="28" t="str">
        <f aca="false">IF($B519="","",$N519-$O519)</f>
        <v/>
      </c>
      <c r="Q519" s="29" t="str">
        <f aca="false">IF($A519="","",DATE(YEAR($A519),MONTH($A519),1))</f>
        <v/>
      </c>
      <c r="R519" s="30" t="str">
        <f aca="false">IF($A519="","",$A519+MOD(6-WEEKDAY($A519),7))</f>
        <v/>
      </c>
      <c r="S519" s="31" t="str">
        <f aca="false">IF($B519="","",IF(AND($M519='Invoice Builder'!$C$5,$Q519='Invoice Builder'!$C$6,N($N519)&gt;0),COUNTIFS($M$5:$M519,'Invoice Builder'!$C$5,$Q$5:$Q519,'Invoice Builder'!$C$6,$N$5:$N519,"&gt;0"),""))</f>
        <v/>
      </c>
      <c r="T519" s="27" t="str">
        <f aca="false">IF($A519="","",IF($A519&gt;=DATE(YEAR($A519),4,6),YEAR($A519)&amp;"/"&amp;RIGHT(YEAR($A519)+1,2),YEAR($A519)-1&amp;"/"&amp;RIGHT(YEAR($A519),2)))</f>
        <v/>
      </c>
    </row>
    <row r="520" customFormat="false" ht="15" hidden="false" customHeight="false" outlineLevel="0" collapsed="false">
      <c r="A520" s="22"/>
      <c r="B520" s="23"/>
      <c r="C520" s="23"/>
      <c r="D520" s="23"/>
      <c r="E520" s="24"/>
      <c r="F520" s="24"/>
      <c r="G520" s="23"/>
      <c r="H520" s="23"/>
      <c r="I520" s="25"/>
      <c r="J520" s="23"/>
      <c r="K520" s="23"/>
      <c r="L520" s="26" t="str">
        <f aca="false">IF(OR($E520="",$F520=""),"",MOD($F520-$E520,1)*24)</f>
        <v/>
      </c>
      <c r="M520" s="27" t="str">
        <f aca="false">IF($B520="","",IFERROR(INDEX(Properties!$D$5:$D$104,MATCH($B520,Properties!$A$5:$A$104,0)),"?"))</f>
        <v/>
      </c>
      <c r="N520" s="28" t="str">
        <f aca="false">IF($B520="","",IFERROR(IF($D520="Completed",INDEX(Properties!$I$5:$I$104,MATCH($B520,Properties!$A$5:$A$104,0))*(1+IF($G520="Y",Settings!$B$8,0))+IF($H520="Y",Settings!$B$7,0)+N($I520),IF($D520="Deep clean",INDEX(Settings!$E$22:$E$26,MATCH(MIN(INDEX(Properties!$E$5:$E$104,MATCH($B520,Properties!$A$5:$A$104,0)),4),Settings!$A$22:$A$26,0))+N($I520),IF($D520="Late cancel",INDEX(Properties!$I$5:$I$104,MATCH($B520,Properties!$A$5:$A$104,0))*Settings!$B$10,0))),0))</f>
        <v/>
      </c>
      <c r="O520" s="28" t="str">
        <f aca="false">IF($B520="","",IFERROR(IF($D520="Completed",INDEX(Properties!$L$5:$L$104,MATCH($B520,Properties!$A$5:$A$104,0))+IF($G520="Y",INDEX(Properties!$I$5:$I$104,MATCH($B520,Properties!$A$5:$A$104,0))*Settings!$B$8*Settings!$B$9,0)+IF($H520="Y",Settings!$B$7*Settings!$B$9,0)+N($I520)*Settings!$B$9,IF($D520="Deep clean",INDEX(Settings!$E$22:$E$26,MATCH(MIN(INDEX(Properties!$E$5:$E$104,MATCH($B520,Properties!$A$5:$A$104,0)),4),Settings!$A$22:$A$26,0))*Settings!$B$19+N($I520)*Settings!$B$9,IF($D520="Late cancel",INDEX(Properties!$L$5:$L$104,MATCH($B520,Properties!$A$5:$A$104,0))*Settings!$B$11,0))),0))</f>
        <v/>
      </c>
      <c r="P520" s="28" t="str">
        <f aca="false">IF($B520="","",$N520-$O520)</f>
        <v/>
      </c>
      <c r="Q520" s="29" t="str">
        <f aca="false">IF($A520="","",DATE(YEAR($A520),MONTH($A520),1))</f>
        <v/>
      </c>
      <c r="R520" s="30" t="str">
        <f aca="false">IF($A520="","",$A520+MOD(6-WEEKDAY($A520),7))</f>
        <v/>
      </c>
      <c r="S520" s="31" t="str">
        <f aca="false">IF($B520="","",IF(AND($M520='Invoice Builder'!$C$5,$Q520='Invoice Builder'!$C$6,N($N520)&gt;0),COUNTIFS($M$5:$M520,'Invoice Builder'!$C$5,$Q$5:$Q520,'Invoice Builder'!$C$6,$N$5:$N520,"&gt;0"),""))</f>
        <v/>
      </c>
      <c r="T520" s="27" t="str">
        <f aca="false">IF($A520="","",IF($A520&gt;=DATE(YEAR($A520),4,6),YEAR($A520)&amp;"/"&amp;RIGHT(YEAR($A520)+1,2),YEAR($A520)-1&amp;"/"&amp;RIGHT(YEAR($A520),2)))</f>
        <v/>
      </c>
    </row>
    <row r="521" customFormat="false" ht="15" hidden="false" customHeight="false" outlineLevel="0" collapsed="false">
      <c r="A521" s="22"/>
      <c r="B521" s="23"/>
      <c r="C521" s="23"/>
      <c r="D521" s="23"/>
      <c r="E521" s="24"/>
      <c r="F521" s="24"/>
      <c r="G521" s="23"/>
      <c r="H521" s="23"/>
      <c r="I521" s="25"/>
      <c r="J521" s="23"/>
      <c r="K521" s="23"/>
      <c r="L521" s="26" t="str">
        <f aca="false">IF(OR($E521="",$F521=""),"",MOD($F521-$E521,1)*24)</f>
        <v/>
      </c>
      <c r="M521" s="27" t="str">
        <f aca="false">IF($B521="","",IFERROR(INDEX(Properties!$D$5:$D$104,MATCH($B521,Properties!$A$5:$A$104,0)),"?"))</f>
        <v/>
      </c>
      <c r="N521" s="28" t="str">
        <f aca="false">IF($B521="","",IFERROR(IF($D521="Completed",INDEX(Properties!$I$5:$I$104,MATCH($B521,Properties!$A$5:$A$104,0))*(1+IF($G521="Y",Settings!$B$8,0))+IF($H521="Y",Settings!$B$7,0)+N($I521),IF($D521="Deep clean",INDEX(Settings!$E$22:$E$26,MATCH(MIN(INDEX(Properties!$E$5:$E$104,MATCH($B521,Properties!$A$5:$A$104,0)),4),Settings!$A$22:$A$26,0))+N($I521),IF($D521="Late cancel",INDEX(Properties!$I$5:$I$104,MATCH($B521,Properties!$A$5:$A$104,0))*Settings!$B$10,0))),0))</f>
        <v/>
      </c>
      <c r="O521" s="28" t="str">
        <f aca="false">IF($B521="","",IFERROR(IF($D521="Completed",INDEX(Properties!$L$5:$L$104,MATCH($B521,Properties!$A$5:$A$104,0))+IF($G521="Y",INDEX(Properties!$I$5:$I$104,MATCH($B521,Properties!$A$5:$A$104,0))*Settings!$B$8*Settings!$B$9,0)+IF($H521="Y",Settings!$B$7*Settings!$B$9,0)+N($I521)*Settings!$B$9,IF($D521="Deep clean",INDEX(Settings!$E$22:$E$26,MATCH(MIN(INDEX(Properties!$E$5:$E$104,MATCH($B521,Properties!$A$5:$A$104,0)),4),Settings!$A$22:$A$26,0))*Settings!$B$19+N($I521)*Settings!$B$9,IF($D521="Late cancel",INDEX(Properties!$L$5:$L$104,MATCH($B521,Properties!$A$5:$A$104,0))*Settings!$B$11,0))),0))</f>
        <v/>
      </c>
      <c r="P521" s="28" t="str">
        <f aca="false">IF($B521="","",$N521-$O521)</f>
        <v/>
      </c>
      <c r="Q521" s="29" t="str">
        <f aca="false">IF($A521="","",DATE(YEAR($A521),MONTH($A521),1))</f>
        <v/>
      </c>
      <c r="R521" s="30" t="str">
        <f aca="false">IF($A521="","",$A521+MOD(6-WEEKDAY($A521),7))</f>
        <v/>
      </c>
      <c r="S521" s="31" t="str">
        <f aca="false">IF($B521="","",IF(AND($M521='Invoice Builder'!$C$5,$Q521='Invoice Builder'!$C$6,N($N521)&gt;0),COUNTIFS($M$5:$M521,'Invoice Builder'!$C$5,$Q$5:$Q521,'Invoice Builder'!$C$6,$N$5:$N521,"&gt;0"),""))</f>
        <v/>
      </c>
      <c r="T521" s="27" t="str">
        <f aca="false">IF($A521="","",IF($A521&gt;=DATE(YEAR($A521),4,6),YEAR($A521)&amp;"/"&amp;RIGHT(YEAR($A521)+1,2),YEAR($A521)-1&amp;"/"&amp;RIGHT(YEAR($A521),2)))</f>
        <v/>
      </c>
    </row>
    <row r="522" customFormat="false" ht="15" hidden="false" customHeight="false" outlineLevel="0" collapsed="false">
      <c r="A522" s="22"/>
      <c r="B522" s="23"/>
      <c r="C522" s="23"/>
      <c r="D522" s="23"/>
      <c r="E522" s="24"/>
      <c r="F522" s="24"/>
      <c r="G522" s="23"/>
      <c r="H522" s="23"/>
      <c r="I522" s="25"/>
      <c r="J522" s="23"/>
      <c r="K522" s="23"/>
      <c r="L522" s="26" t="str">
        <f aca="false">IF(OR($E522="",$F522=""),"",MOD($F522-$E522,1)*24)</f>
        <v/>
      </c>
      <c r="M522" s="27" t="str">
        <f aca="false">IF($B522="","",IFERROR(INDEX(Properties!$D$5:$D$104,MATCH($B522,Properties!$A$5:$A$104,0)),"?"))</f>
        <v/>
      </c>
      <c r="N522" s="28" t="str">
        <f aca="false">IF($B522="","",IFERROR(IF($D522="Completed",INDEX(Properties!$I$5:$I$104,MATCH($B522,Properties!$A$5:$A$104,0))*(1+IF($G522="Y",Settings!$B$8,0))+IF($H522="Y",Settings!$B$7,0)+N($I522),IF($D522="Deep clean",INDEX(Settings!$E$22:$E$26,MATCH(MIN(INDEX(Properties!$E$5:$E$104,MATCH($B522,Properties!$A$5:$A$104,0)),4),Settings!$A$22:$A$26,0))+N($I522),IF($D522="Late cancel",INDEX(Properties!$I$5:$I$104,MATCH($B522,Properties!$A$5:$A$104,0))*Settings!$B$10,0))),0))</f>
        <v/>
      </c>
      <c r="O522" s="28" t="str">
        <f aca="false">IF($B522="","",IFERROR(IF($D522="Completed",INDEX(Properties!$L$5:$L$104,MATCH($B522,Properties!$A$5:$A$104,0))+IF($G522="Y",INDEX(Properties!$I$5:$I$104,MATCH($B522,Properties!$A$5:$A$104,0))*Settings!$B$8*Settings!$B$9,0)+IF($H522="Y",Settings!$B$7*Settings!$B$9,0)+N($I522)*Settings!$B$9,IF($D522="Deep clean",INDEX(Settings!$E$22:$E$26,MATCH(MIN(INDEX(Properties!$E$5:$E$104,MATCH($B522,Properties!$A$5:$A$104,0)),4),Settings!$A$22:$A$26,0))*Settings!$B$19+N($I522)*Settings!$B$9,IF($D522="Late cancel",INDEX(Properties!$L$5:$L$104,MATCH($B522,Properties!$A$5:$A$104,0))*Settings!$B$11,0))),0))</f>
        <v/>
      </c>
      <c r="P522" s="28" t="str">
        <f aca="false">IF($B522="","",$N522-$O522)</f>
        <v/>
      </c>
      <c r="Q522" s="29" t="str">
        <f aca="false">IF($A522="","",DATE(YEAR($A522),MONTH($A522),1))</f>
        <v/>
      </c>
      <c r="R522" s="30" t="str">
        <f aca="false">IF($A522="","",$A522+MOD(6-WEEKDAY($A522),7))</f>
        <v/>
      </c>
      <c r="S522" s="31" t="str">
        <f aca="false">IF($B522="","",IF(AND($M522='Invoice Builder'!$C$5,$Q522='Invoice Builder'!$C$6,N($N522)&gt;0),COUNTIFS($M$5:$M522,'Invoice Builder'!$C$5,$Q$5:$Q522,'Invoice Builder'!$C$6,$N$5:$N522,"&gt;0"),""))</f>
        <v/>
      </c>
      <c r="T522" s="27" t="str">
        <f aca="false">IF($A522="","",IF($A522&gt;=DATE(YEAR($A522),4,6),YEAR($A522)&amp;"/"&amp;RIGHT(YEAR($A522)+1,2),YEAR($A522)-1&amp;"/"&amp;RIGHT(YEAR($A522),2)))</f>
        <v/>
      </c>
    </row>
    <row r="523" customFormat="false" ht="15" hidden="false" customHeight="false" outlineLevel="0" collapsed="false">
      <c r="A523" s="22"/>
      <c r="B523" s="23"/>
      <c r="C523" s="23"/>
      <c r="D523" s="23"/>
      <c r="E523" s="24"/>
      <c r="F523" s="24"/>
      <c r="G523" s="23"/>
      <c r="H523" s="23"/>
      <c r="I523" s="25"/>
      <c r="J523" s="23"/>
      <c r="K523" s="23"/>
      <c r="L523" s="26" t="str">
        <f aca="false">IF(OR($E523="",$F523=""),"",MOD($F523-$E523,1)*24)</f>
        <v/>
      </c>
      <c r="M523" s="27" t="str">
        <f aca="false">IF($B523="","",IFERROR(INDEX(Properties!$D$5:$D$104,MATCH($B523,Properties!$A$5:$A$104,0)),"?"))</f>
        <v/>
      </c>
      <c r="N523" s="28" t="str">
        <f aca="false">IF($B523="","",IFERROR(IF($D523="Completed",INDEX(Properties!$I$5:$I$104,MATCH($B523,Properties!$A$5:$A$104,0))*(1+IF($G523="Y",Settings!$B$8,0))+IF($H523="Y",Settings!$B$7,0)+N($I523),IF($D523="Deep clean",INDEX(Settings!$E$22:$E$26,MATCH(MIN(INDEX(Properties!$E$5:$E$104,MATCH($B523,Properties!$A$5:$A$104,0)),4),Settings!$A$22:$A$26,0))+N($I523),IF($D523="Late cancel",INDEX(Properties!$I$5:$I$104,MATCH($B523,Properties!$A$5:$A$104,0))*Settings!$B$10,0))),0))</f>
        <v/>
      </c>
      <c r="O523" s="28" t="str">
        <f aca="false">IF($B523="","",IFERROR(IF($D523="Completed",INDEX(Properties!$L$5:$L$104,MATCH($B523,Properties!$A$5:$A$104,0))+IF($G523="Y",INDEX(Properties!$I$5:$I$104,MATCH($B523,Properties!$A$5:$A$104,0))*Settings!$B$8*Settings!$B$9,0)+IF($H523="Y",Settings!$B$7*Settings!$B$9,0)+N($I523)*Settings!$B$9,IF($D523="Deep clean",INDEX(Settings!$E$22:$E$26,MATCH(MIN(INDEX(Properties!$E$5:$E$104,MATCH($B523,Properties!$A$5:$A$104,0)),4),Settings!$A$22:$A$26,0))*Settings!$B$19+N($I523)*Settings!$B$9,IF($D523="Late cancel",INDEX(Properties!$L$5:$L$104,MATCH($B523,Properties!$A$5:$A$104,0))*Settings!$B$11,0))),0))</f>
        <v/>
      </c>
      <c r="P523" s="28" t="str">
        <f aca="false">IF($B523="","",$N523-$O523)</f>
        <v/>
      </c>
      <c r="Q523" s="29" t="str">
        <f aca="false">IF($A523="","",DATE(YEAR($A523),MONTH($A523),1))</f>
        <v/>
      </c>
      <c r="R523" s="30" t="str">
        <f aca="false">IF($A523="","",$A523+MOD(6-WEEKDAY($A523),7))</f>
        <v/>
      </c>
      <c r="S523" s="31" t="str">
        <f aca="false">IF($B523="","",IF(AND($M523='Invoice Builder'!$C$5,$Q523='Invoice Builder'!$C$6,N($N523)&gt;0),COUNTIFS($M$5:$M523,'Invoice Builder'!$C$5,$Q$5:$Q523,'Invoice Builder'!$C$6,$N$5:$N523,"&gt;0"),""))</f>
        <v/>
      </c>
      <c r="T523" s="27" t="str">
        <f aca="false">IF($A523="","",IF($A523&gt;=DATE(YEAR($A523),4,6),YEAR($A523)&amp;"/"&amp;RIGHT(YEAR($A523)+1,2),YEAR($A523)-1&amp;"/"&amp;RIGHT(YEAR($A523),2)))</f>
        <v/>
      </c>
    </row>
    <row r="524" customFormat="false" ht="15" hidden="false" customHeight="false" outlineLevel="0" collapsed="false">
      <c r="A524" s="22"/>
      <c r="B524" s="23"/>
      <c r="C524" s="23"/>
      <c r="D524" s="23"/>
      <c r="E524" s="24"/>
      <c r="F524" s="24"/>
      <c r="G524" s="23"/>
      <c r="H524" s="23"/>
      <c r="I524" s="25"/>
      <c r="J524" s="23"/>
      <c r="K524" s="23"/>
      <c r="L524" s="26" t="str">
        <f aca="false">IF(OR($E524="",$F524=""),"",MOD($F524-$E524,1)*24)</f>
        <v/>
      </c>
      <c r="M524" s="27" t="str">
        <f aca="false">IF($B524="","",IFERROR(INDEX(Properties!$D$5:$D$104,MATCH($B524,Properties!$A$5:$A$104,0)),"?"))</f>
        <v/>
      </c>
      <c r="N524" s="28" t="str">
        <f aca="false">IF($B524="","",IFERROR(IF($D524="Completed",INDEX(Properties!$I$5:$I$104,MATCH($B524,Properties!$A$5:$A$104,0))*(1+IF($G524="Y",Settings!$B$8,0))+IF($H524="Y",Settings!$B$7,0)+N($I524),IF($D524="Deep clean",INDEX(Settings!$E$22:$E$26,MATCH(MIN(INDEX(Properties!$E$5:$E$104,MATCH($B524,Properties!$A$5:$A$104,0)),4),Settings!$A$22:$A$26,0))+N($I524),IF($D524="Late cancel",INDEX(Properties!$I$5:$I$104,MATCH($B524,Properties!$A$5:$A$104,0))*Settings!$B$10,0))),0))</f>
        <v/>
      </c>
      <c r="O524" s="28" t="str">
        <f aca="false">IF($B524="","",IFERROR(IF($D524="Completed",INDEX(Properties!$L$5:$L$104,MATCH($B524,Properties!$A$5:$A$104,0))+IF($G524="Y",INDEX(Properties!$I$5:$I$104,MATCH($B524,Properties!$A$5:$A$104,0))*Settings!$B$8*Settings!$B$9,0)+IF($H524="Y",Settings!$B$7*Settings!$B$9,0)+N($I524)*Settings!$B$9,IF($D524="Deep clean",INDEX(Settings!$E$22:$E$26,MATCH(MIN(INDEX(Properties!$E$5:$E$104,MATCH($B524,Properties!$A$5:$A$104,0)),4),Settings!$A$22:$A$26,0))*Settings!$B$19+N($I524)*Settings!$B$9,IF($D524="Late cancel",INDEX(Properties!$L$5:$L$104,MATCH($B524,Properties!$A$5:$A$104,0))*Settings!$B$11,0))),0))</f>
        <v/>
      </c>
      <c r="P524" s="28" t="str">
        <f aca="false">IF($B524="","",$N524-$O524)</f>
        <v/>
      </c>
      <c r="Q524" s="29" t="str">
        <f aca="false">IF($A524="","",DATE(YEAR($A524),MONTH($A524),1))</f>
        <v/>
      </c>
      <c r="R524" s="30" t="str">
        <f aca="false">IF($A524="","",$A524+MOD(6-WEEKDAY($A524),7))</f>
        <v/>
      </c>
      <c r="S524" s="31" t="str">
        <f aca="false">IF($B524="","",IF(AND($M524='Invoice Builder'!$C$5,$Q524='Invoice Builder'!$C$6,N($N524)&gt;0),COUNTIFS($M$5:$M524,'Invoice Builder'!$C$5,$Q$5:$Q524,'Invoice Builder'!$C$6,$N$5:$N524,"&gt;0"),""))</f>
        <v/>
      </c>
      <c r="T524" s="27" t="str">
        <f aca="false">IF($A524="","",IF($A524&gt;=DATE(YEAR($A524),4,6),YEAR($A524)&amp;"/"&amp;RIGHT(YEAR($A524)+1,2),YEAR($A524)-1&amp;"/"&amp;RIGHT(YEAR($A524),2)))</f>
        <v/>
      </c>
    </row>
    <row r="525" customFormat="false" ht="15" hidden="false" customHeight="false" outlineLevel="0" collapsed="false">
      <c r="A525" s="22"/>
      <c r="B525" s="23"/>
      <c r="C525" s="23"/>
      <c r="D525" s="23"/>
      <c r="E525" s="24"/>
      <c r="F525" s="24"/>
      <c r="G525" s="23"/>
      <c r="H525" s="23"/>
      <c r="I525" s="25"/>
      <c r="J525" s="23"/>
      <c r="K525" s="23"/>
      <c r="L525" s="26" t="str">
        <f aca="false">IF(OR($E525="",$F525=""),"",MOD($F525-$E525,1)*24)</f>
        <v/>
      </c>
      <c r="M525" s="27" t="str">
        <f aca="false">IF($B525="","",IFERROR(INDEX(Properties!$D$5:$D$104,MATCH($B525,Properties!$A$5:$A$104,0)),"?"))</f>
        <v/>
      </c>
      <c r="N525" s="28" t="str">
        <f aca="false">IF($B525="","",IFERROR(IF($D525="Completed",INDEX(Properties!$I$5:$I$104,MATCH($B525,Properties!$A$5:$A$104,0))*(1+IF($G525="Y",Settings!$B$8,0))+IF($H525="Y",Settings!$B$7,0)+N($I525),IF($D525="Deep clean",INDEX(Settings!$E$22:$E$26,MATCH(MIN(INDEX(Properties!$E$5:$E$104,MATCH($B525,Properties!$A$5:$A$104,0)),4),Settings!$A$22:$A$26,0))+N($I525),IF($D525="Late cancel",INDEX(Properties!$I$5:$I$104,MATCH($B525,Properties!$A$5:$A$104,0))*Settings!$B$10,0))),0))</f>
        <v/>
      </c>
      <c r="O525" s="28" t="str">
        <f aca="false">IF($B525="","",IFERROR(IF($D525="Completed",INDEX(Properties!$L$5:$L$104,MATCH($B525,Properties!$A$5:$A$104,0))+IF($G525="Y",INDEX(Properties!$I$5:$I$104,MATCH($B525,Properties!$A$5:$A$104,0))*Settings!$B$8*Settings!$B$9,0)+IF($H525="Y",Settings!$B$7*Settings!$B$9,0)+N($I525)*Settings!$B$9,IF($D525="Deep clean",INDEX(Settings!$E$22:$E$26,MATCH(MIN(INDEX(Properties!$E$5:$E$104,MATCH($B525,Properties!$A$5:$A$104,0)),4),Settings!$A$22:$A$26,0))*Settings!$B$19+N($I525)*Settings!$B$9,IF($D525="Late cancel",INDEX(Properties!$L$5:$L$104,MATCH($B525,Properties!$A$5:$A$104,0))*Settings!$B$11,0))),0))</f>
        <v/>
      </c>
      <c r="P525" s="28" t="str">
        <f aca="false">IF($B525="","",$N525-$O525)</f>
        <v/>
      </c>
      <c r="Q525" s="29" t="str">
        <f aca="false">IF($A525="","",DATE(YEAR($A525),MONTH($A525),1))</f>
        <v/>
      </c>
      <c r="R525" s="30" t="str">
        <f aca="false">IF($A525="","",$A525+MOD(6-WEEKDAY($A525),7))</f>
        <v/>
      </c>
      <c r="S525" s="31" t="str">
        <f aca="false">IF($B525="","",IF(AND($M525='Invoice Builder'!$C$5,$Q525='Invoice Builder'!$C$6,N($N525)&gt;0),COUNTIFS($M$5:$M525,'Invoice Builder'!$C$5,$Q$5:$Q525,'Invoice Builder'!$C$6,$N$5:$N525,"&gt;0"),""))</f>
        <v/>
      </c>
      <c r="T525" s="27" t="str">
        <f aca="false">IF($A525="","",IF($A525&gt;=DATE(YEAR($A525),4,6),YEAR($A525)&amp;"/"&amp;RIGHT(YEAR($A525)+1,2),YEAR($A525)-1&amp;"/"&amp;RIGHT(YEAR($A525),2)))</f>
        <v/>
      </c>
    </row>
    <row r="526" customFormat="false" ht="15" hidden="false" customHeight="false" outlineLevel="0" collapsed="false">
      <c r="A526" s="22"/>
      <c r="B526" s="23"/>
      <c r="C526" s="23"/>
      <c r="D526" s="23"/>
      <c r="E526" s="24"/>
      <c r="F526" s="24"/>
      <c r="G526" s="23"/>
      <c r="H526" s="23"/>
      <c r="I526" s="25"/>
      <c r="J526" s="23"/>
      <c r="K526" s="23"/>
      <c r="L526" s="26" t="str">
        <f aca="false">IF(OR($E526="",$F526=""),"",MOD($F526-$E526,1)*24)</f>
        <v/>
      </c>
      <c r="M526" s="27" t="str">
        <f aca="false">IF($B526="","",IFERROR(INDEX(Properties!$D$5:$D$104,MATCH($B526,Properties!$A$5:$A$104,0)),"?"))</f>
        <v/>
      </c>
      <c r="N526" s="28" t="str">
        <f aca="false">IF($B526="","",IFERROR(IF($D526="Completed",INDEX(Properties!$I$5:$I$104,MATCH($B526,Properties!$A$5:$A$104,0))*(1+IF($G526="Y",Settings!$B$8,0))+IF($H526="Y",Settings!$B$7,0)+N($I526),IF($D526="Deep clean",INDEX(Settings!$E$22:$E$26,MATCH(MIN(INDEX(Properties!$E$5:$E$104,MATCH($B526,Properties!$A$5:$A$104,0)),4),Settings!$A$22:$A$26,0))+N($I526),IF($D526="Late cancel",INDEX(Properties!$I$5:$I$104,MATCH($B526,Properties!$A$5:$A$104,0))*Settings!$B$10,0))),0))</f>
        <v/>
      </c>
      <c r="O526" s="28" t="str">
        <f aca="false">IF($B526="","",IFERROR(IF($D526="Completed",INDEX(Properties!$L$5:$L$104,MATCH($B526,Properties!$A$5:$A$104,0))+IF($G526="Y",INDEX(Properties!$I$5:$I$104,MATCH($B526,Properties!$A$5:$A$104,0))*Settings!$B$8*Settings!$B$9,0)+IF($H526="Y",Settings!$B$7*Settings!$B$9,0)+N($I526)*Settings!$B$9,IF($D526="Deep clean",INDEX(Settings!$E$22:$E$26,MATCH(MIN(INDEX(Properties!$E$5:$E$104,MATCH($B526,Properties!$A$5:$A$104,0)),4),Settings!$A$22:$A$26,0))*Settings!$B$19+N($I526)*Settings!$B$9,IF($D526="Late cancel",INDEX(Properties!$L$5:$L$104,MATCH($B526,Properties!$A$5:$A$104,0))*Settings!$B$11,0))),0))</f>
        <v/>
      </c>
      <c r="P526" s="28" t="str">
        <f aca="false">IF($B526="","",$N526-$O526)</f>
        <v/>
      </c>
      <c r="Q526" s="29" t="str">
        <f aca="false">IF($A526="","",DATE(YEAR($A526),MONTH($A526),1))</f>
        <v/>
      </c>
      <c r="R526" s="30" t="str">
        <f aca="false">IF($A526="","",$A526+MOD(6-WEEKDAY($A526),7))</f>
        <v/>
      </c>
      <c r="S526" s="31" t="str">
        <f aca="false">IF($B526="","",IF(AND($M526='Invoice Builder'!$C$5,$Q526='Invoice Builder'!$C$6,N($N526)&gt;0),COUNTIFS($M$5:$M526,'Invoice Builder'!$C$5,$Q$5:$Q526,'Invoice Builder'!$C$6,$N$5:$N526,"&gt;0"),""))</f>
        <v/>
      </c>
      <c r="T526" s="27" t="str">
        <f aca="false">IF($A526="","",IF($A526&gt;=DATE(YEAR($A526),4,6),YEAR($A526)&amp;"/"&amp;RIGHT(YEAR($A526)+1,2),YEAR($A526)-1&amp;"/"&amp;RIGHT(YEAR($A526),2)))</f>
        <v/>
      </c>
    </row>
    <row r="527" customFormat="false" ht="15" hidden="false" customHeight="false" outlineLevel="0" collapsed="false">
      <c r="A527" s="22"/>
      <c r="B527" s="23"/>
      <c r="C527" s="23"/>
      <c r="D527" s="23"/>
      <c r="E527" s="24"/>
      <c r="F527" s="24"/>
      <c r="G527" s="23"/>
      <c r="H527" s="23"/>
      <c r="I527" s="25"/>
      <c r="J527" s="23"/>
      <c r="K527" s="23"/>
      <c r="L527" s="26" t="str">
        <f aca="false">IF(OR($E527="",$F527=""),"",MOD($F527-$E527,1)*24)</f>
        <v/>
      </c>
      <c r="M527" s="27" t="str">
        <f aca="false">IF($B527="","",IFERROR(INDEX(Properties!$D$5:$D$104,MATCH($B527,Properties!$A$5:$A$104,0)),"?"))</f>
        <v/>
      </c>
      <c r="N527" s="28" t="str">
        <f aca="false">IF($B527="","",IFERROR(IF($D527="Completed",INDEX(Properties!$I$5:$I$104,MATCH($B527,Properties!$A$5:$A$104,0))*(1+IF($G527="Y",Settings!$B$8,0))+IF($H527="Y",Settings!$B$7,0)+N($I527),IF($D527="Deep clean",INDEX(Settings!$E$22:$E$26,MATCH(MIN(INDEX(Properties!$E$5:$E$104,MATCH($B527,Properties!$A$5:$A$104,0)),4),Settings!$A$22:$A$26,0))+N($I527),IF($D527="Late cancel",INDEX(Properties!$I$5:$I$104,MATCH($B527,Properties!$A$5:$A$104,0))*Settings!$B$10,0))),0))</f>
        <v/>
      </c>
      <c r="O527" s="28" t="str">
        <f aca="false">IF($B527="","",IFERROR(IF($D527="Completed",INDEX(Properties!$L$5:$L$104,MATCH($B527,Properties!$A$5:$A$104,0))+IF($G527="Y",INDEX(Properties!$I$5:$I$104,MATCH($B527,Properties!$A$5:$A$104,0))*Settings!$B$8*Settings!$B$9,0)+IF($H527="Y",Settings!$B$7*Settings!$B$9,0)+N($I527)*Settings!$B$9,IF($D527="Deep clean",INDEX(Settings!$E$22:$E$26,MATCH(MIN(INDEX(Properties!$E$5:$E$104,MATCH($B527,Properties!$A$5:$A$104,0)),4),Settings!$A$22:$A$26,0))*Settings!$B$19+N($I527)*Settings!$B$9,IF($D527="Late cancel",INDEX(Properties!$L$5:$L$104,MATCH($B527,Properties!$A$5:$A$104,0))*Settings!$B$11,0))),0))</f>
        <v/>
      </c>
      <c r="P527" s="28" t="str">
        <f aca="false">IF($B527="","",$N527-$O527)</f>
        <v/>
      </c>
      <c r="Q527" s="29" t="str">
        <f aca="false">IF($A527="","",DATE(YEAR($A527),MONTH($A527),1))</f>
        <v/>
      </c>
      <c r="R527" s="30" t="str">
        <f aca="false">IF($A527="","",$A527+MOD(6-WEEKDAY($A527),7))</f>
        <v/>
      </c>
      <c r="S527" s="31" t="str">
        <f aca="false">IF($B527="","",IF(AND($M527='Invoice Builder'!$C$5,$Q527='Invoice Builder'!$C$6,N($N527)&gt;0),COUNTIFS($M$5:$M527,'Invoice Builder'!$C$5,$Q$5:$Q527,'Invoice Builder'!$C$6,$N$5:$N527,"&gt;0"),""))</f>
        <v/>
      </c>
      <c r="T527" s="27" t="str">
        <f aca="false">IF($A527="","",IF($A527&gt;=DATE(YEAR($A527),4,6),YEAR($A527)&amp;"/"&amp;RIGHT(YEAR($A527)+1,2),YEAR($A527)-1&amp;"/"&amp;RIGHT(YEAR($A527),2)))</f>
        <v/>
      </c>
    </row>
    <row r="528" customFormat="false" ht="15" hidden="false" customHeight="false" outlineLevel="0" collapsed="false">
      <c r="A528" s="22"/>
      <c r="B528" s="23"/>
      <c r="C528" s="23"/>
      <c r="D528" s="23"/>
      <c r="E528" s="24"/>
      <c r="F528" s="24"/>
      <c r="G528" s="23"/>
      <c r="H528" s="23"/>
      <c r="I528" s="25"/>
      <c r="J528" s="23"/>
      <c r="K528" s="23"/>
      <c r="L528" s="26" t="str">
        <f aca="false">IF(OR($E528="",$F528=""),"",MOD($F528-$E528,1)*24)</f>
        <v/>
      </c>
      <c r="M528" s="27" t="str">
        <f aca="false">IF($B528="","",IFERROR(INDEX(Properties!$D$5:$D$104,MATCH($B528,Properties!$A$5:$A$104,0)),"?"))</f>
        <v/>
      </c>
      <c r="N528" s="28" t="str">
        <f aca="false">IF($B528="","",IFERROR(IF($D528="Completed",INDEX(Properties!$I$5:$I$104,MATCH($B528,Properties!$A$5:$A$104,0))*(1+IF($G528="Y",Settings!$B$8,0))+IF($H528="Y",Settings!$B$7,0)+N($I528),IF($D528="Deep clean",INDEX(Settings!$E$22:$E$26,MATCH(MIN(INDEX(Properties!$E$5:$E$104,MATCH($B528,Properties!$A$5:$A$104,0)),4),Settings!$A$22:$A$26,0))+N($I528),IF($D528="Late cancel",INDEX(Properties!$I$5:$I$104,MATCH($B528,Properties!$A$5:$A$104,0))*Settings!$B$10,0))),0))</f>
        <v/>
      </c>
      <c r="O528" s="28" t="str">
        <f aca="false">IF($B528="","",IFERROR(IF($D528="Completed",INDEX(Properties!$L$5:$L$104,MATCH($B528,Properties!$A$5:$A$104,0))+IF($G528="Y",INDEX(Properties!$I$5:$I$104,MATCH($B528,Properties!$A$5:$A$104,0))*Settings!$B$8*Settings!$B$9,0)+IF($H528="Y",Settings!$B$7*Settings!$B$9,0)+N($I528)*Settings!$B$9,IF($D528="Deep clean",INDEX(Settings!$E$22:$E$26,MATCH(MIN(INDEX(Properties!$E$5:$E$104,MATCH($B528,Properties!$A$5:$A$104,0)),4),Settings!$A$22:$A$26,0))*Settings!$B$19+N($I528)*Settings!$B$9,IF($D528="Late cancel",INDEX(Properties!$L$5:$L$104,MATCH($B528,Properties!$A$5:$A$104,0))*Settings!$B$11,0))),0))</f>
        <v/>
      </c>
      <c r="P528" s="28" t="str">
        <f aca="false">IF($B528="","",$N528-$O528)</f>
        <v/>
      </c>
      <c r="Q528" s="29" t="str">
        <f aca="false">IF($A528="","",DATE(YEAR($A528),MONTH($A528),1))</f>
        <v/>
      </c>
      <c r="R528" s="30" t="str">
        <f aca="false">IF($A528="","",$A528+MOD(6-WEEKDAY($A528),7))</f>
        <v/>
      </c>
      <c r="S528" s="31" t="str">
        <f aca="false">IF($B528="","",IF(AND($M528='Invoice Builder'!$C$5,$Q528='Invoice Builder'!$C$6,N($N528)&gt;0),COUNTIFS($M$5:$M528,'Invoice Builder'!$C$5,$Q$5:$Q528,'Invoice Builder'!$C$6,$N$5:$N528,"&gt;0"),""))</f>
        <v/>
      </c>
      <c r="T528" s="27" t="str">
        <f aca="false">IF($A528="","",IF($A528&gt;=DATE(YEAR($A528),4,6),YEAR($A528)&amp;"/"&amp;RIGHT(YEAR($A528)+1,2),YEAR($A528)-1&amp;"/"&amp;RIGHT(YEAR($A528),2)))</f>
        <v/>
      </c>
    </row>
    <row r="529" customFormat="false" ht="15" hidden="false" customHeight="false" outlineLevel="0" collapsed="false">
      <c r="A529" s="22"/>
      <c r="B529" s="23"/>
      <c r="C529" s="23"/>
      <c r="D529" s="23"/>
      <c r="E529" s="24"/>
      <c r="F529" s="24"/>
      <c r="G529" s="23"/>
      <c r="H529" s="23"/>
      <c r="I529" s="25"/>
      <c r="J529" s="23"/>
      <c r="K529" s="23"/>
      <c r="L529" s="26" t="str">
        <f aca="false">IF(OR($E529="",$F529=""),"",MOD($F529-$E529,1)*24)</f>
        <v/>
      </c>
      <c r="M529" s="27" t="str">
        <f aca="false">IF($B529="","",IFERROR(INDEX(Properties!$D$5:$D$104,MATCH($B529,Properties!$A$5:$A$104,0)),"?"))</f>
        <v/>
      </c>
      <c r="N529" s="28" t="str">
        <f aca="false">IF($B529="","",IFERROR(IF($D529="Completed",INDEX(Properties!$I$5:$I$104,MATCH($B529,Properties!$A$5:$A$104,0))*(1+IF($G529="Y",Settings!$B$8,0))+IF($H529="Y",Settings!$B$7,0)+N($I529),IF($D529="Deep clean",INDEX(Settings!$E$22:$E$26,MATCH(MIN(INDEX(Properties!$E$5:$E$104,MATCH($B529,Properties!$A$5:$A$104,0)),4),Settings!$A$22:$A$26,0))+N($I529),IF($D529="Late cancel",INDEX(Properties!$I$5:$I$104,MATCH($B529,Properties!$A$5:$A$104,0))*Settings!$B$10,0))),0))</f>
        <v/>
      </c>
      <c r="O529" s="28" t="str">
        <f aca="false">IF($B529="","",IFERROR(IF($D529="Completed",INDEX(Properties!$L$5:$L$104,MATCH($B529,Properties!$A$5:$A$104,0))+IF($G529="Y",INDEX(Properties!$I$5:$I$104,MATCH($B529,Properties!$A$5:$A$104,0))*Settings!$B$8*Settings!$B$9,0)+IF($H529="Y",Settings!$B$7*Settings!$B$9,0)+N($I529)*Settings!$B$9,IF($D529="Deep clean",INDEX(Settings!$E$22:$E$26,MATCH(MIN(INDEX(Properties!$E$5:$E$104,MATCH($B529,Properties!$A$5:$A$104,0)),4),Settings!$A$22:$A$26,0))*Settings!$B$19+N($I529)*Settings!$B$9,IF($D529="Late cancel",INDEX(Properties!$L$5:$L$104,MATCH($B529,Properties!$A$5:$A$104,0))*Settings!$B$11,0))),0))</f>
        <v/>
      </c>
      <c r="P529" s="28" t="str">
        <f aca="false">IF($B529="","",$N529-$O529)</f>
        <v/>
      </c>
      <c r="Q529" s="29" t="str">
        <f aca="false">IF($A529="","",DATE(YEAR($A529),MONTH($A529),1))</f>
        <v/>
      </c>
      <c r="R529" s="30" t="str">
        <f aca="false">IF($A529="","",$A529+MOD(6-WEEKDAY($A529),7))</f>
        <v/>
      </c>
      <c r="S529" s="31" t="str">
        <f aca="false">IF($B529="","",IF(AND($M529='Invoice Builder'!$C$5,$Q529='Invoice Builder'!$C$6,N($N529)&gt;0),COUNTIFS($M$5:$M529,'Invoice Builder'!$C$5,$Q$5:$Q529,'Invoice Builder'!$C$6,$N$5:$N529,"&gt;0"),""))</f>
        <v/>
      </c>
      <c r="T529" s="27" t="str">
        <f aca="false">IF($A529="","",IF($A529&gt;=DATE(YEAR($A529),4,6),YEAR($A529)&amp;"/"&amp;RIGHT(YEAR($A529)+1,2),YEAR($A529)-1&amp;"/"&amp;RIGHT(YEAR($A529),2)))</f>
        <v/>
      </c>
    </row>
    <row r="530" customFormat="false" ht="15" hidden="false" customHeight="false" outlineLevel="0" collapsed="false">
      <c r="A530" s="22"/>
      <c r="B530" s="23"/>
      <c r="C530" s="23"/>
      <c r="D530" s="23"/>
      <c r="E530" s="24"/>
      <c r="F530" s="24"/>
      <c r="G530" s="23"/>
      <c r="H530" s="23"/>
      <c r="I530" s="25"/>
      <c r="J530" s="23"/>
      <c r="K530" s="23"/>
      <c r="L530" s="26" t="str">
        <f aca="false">IF(OR($E530="",$F530=""),"",MOD($F530-$E530,1)*24)</f>
        <v/>
      </c>
      <c r="M530" s="27" t="str">
        <f aca="false">IF($B530="","",IFERROR(INDEX(Properties!$D$5:$D$104,MATCH($B530,Properties!$A$5:$A$104,0)),"?"))</f>
        <v/>
      </c>
      <c r="N530" s="28" t="str">
        <f aca="false">IF($B530="","",IFERROR(IF($D530="Completed",INDEX(Properties!$I$5:$I$104,MATCH($B530,Properties!$A$5:$A$104,0))*(1+IF($G530="Y",Settings!$B$8,0))+IF($H530="Y",Settings!$B$7,0)+N($I530),IF($D530="Deep clean",INDEX(Settings!$E$22:$E$26,MATCH(MIN(INDEX(Properties!$E$5:$E$104,MATCH($B530,Properties!$A$5:$A$104,0)),4),Settings!$A$22:$A$26,0))+N($I530),IF($D530="Late cancel",INDEX(Properties!$I$5:$I$104,MATCH($B530,Properties!$A$5:$A$104,0))*Settings!$B$10,0))),0))</f>
        <v/>
      </c>
      <c r="O530" s="28" t="str">
        <f aca="false">IF($B530="","",IFERROR(IF($D530="Completed",INDEX(Properties!$L$5:$L$104,MATCH($B530,Properties!$A$5:$A$104,0))+IF($G530="Y",INDEX(Properties!$I$5:$I$104,MATCH($B530,Properties!$A$5:$A$104,0))*Settings!$B$8*Settings!$B$9,0)+IF($H530="Y",Settings!$B$7*Settings!$B$9,0)+N($I530)*Settings!$B$9,IF($D530="Deep clean",INDEX(Settings!$E$22:$E$26,MATCH(MIN(INDEX(Properties!$E$5:$E$104,MATCH($B530,Properties!$A$5:$A$104,0)),4),Settings!$A$22:$A$26,0))*Settings!$B$19+N($I530)*Settings!$B$9,IF($D530="Late cancel",INDEX(Properties!$L$5:$L$104,MATCH($B530,Properties!$A$5:$A$104,0))*Settings!$B$11,0))),0))</f>
        <v/>
      </c>
      <c r="P530" s="28" t="str">
        <f aca="false">IF($B530="","",$N530-$O530)</f>
        <v/>
      </c>
      <c r="Q530" s="29" t="str">
        <f aca="false">IF($A530="","",DATE(YEAR($A530),MONTH($A530),1))</f>
        <v/>
      </c>
      <c r="R530" s="30" t="str">
        <f aca="false">IF($A530="","",$A530+MOD(6-WEEKDAY($A530),7))</f>
        <v/>
      </c>
      <c r="S530" s="31" t="str">
        <f aca="false">IF($B530="","",IF(AND($M530='Invoice Builder'!$C$5,$Q530='Invoice Builder'!$C$6,N($N530)&gt;0),COUNTIFS($M$5:$M530,'Invoice Builder'!$C$5,$Q$5:$Q530,'Invoice Builder'!$C$6,$N$5:$N530,"&gt;0"),""))</f>
        <v/>
      </c>
      <c r="T530" s="27" t="str">
        <f aca="false">IF($A530="","",IF($A530&gt;=DATE(YEAR($A530),4,6),YEAR($A530)&amp;"/"&amp;RIGHT(YEAR($A530)+1,2),YEAR($A530)-1&amp;"/"&amp;RIGHT(YEAR($A530),2)))</f>
        <v/>
      </c>
    </row>
    <row r="531" customFormat="false" ht="15" hidden="false" customHeight="false" outlineLevel="0" collapsed="false">
      <c r="A531" s="22"/>
      <c r="B531" s="23"/>
      <c r="C531" s="23"/>
      <c r="D531" s="23"/>
      <c r="E531" s="24"/>
      <c r="F531" s="24"/>
      <c r="G531" s="23"/>
      <c r="H531" s="23"/>
      <c r="I531" s="25"/>
      <c r="J531" s="23"/>
      <c r="K531" s="23"/>
      <c r="L531" s="26" t="str">
        <f aca="false">IF(OR($E531="",$F531=""),"",MOD($F531-$E531,1)*24)</f>
        <v/>
      </c>
      <c r="M531" s="27" t="str">
        <f aca="false">IF($B531="","",IFERROR(INDEX(Properties!$D$5:$D$104,MATCH($B531,Properties!$A$5:$A$104,0)),"?"))</f>
        <v/>
      </c>
      <c r="N531" s="28" t="str">
        <f aca="false">IF($B531="","",IFERROR(IF($D531="Completed",INDEX(Properties!$I$5:$I$104,MATCH($B531,Properties!$A$5:$A$104,0))*(1+IF($G531="Y",Settings!$B$8,0))+IF($H531="Y",Settings!$B$7,0)+N($I531),IF($D531="Deep clean",INDEX(Settings!$E$22:$E$26,MATCH(MIN(INDEX(Properties!$E$5:$E$104,MATCH($B531,Properties!$A$5:$A$104,0)),4),Settings!$A$22:$A$26,0))+N($I531),IF($D531="Late cancel",INDEX(Properties!$I$5:$I$104,MATCH($B531,Properties!$A$5:$A$104,0))*Settings!$B$10,0))),0))</f>
        <v/>
      </c>
      <c r="O531" s="28" t="str">
        <f aca="false">IF($B531="","",IFERROR(IF($D531="Completed",INDEX(Properties!$L$5:$L$104,MATCH($B531,Properties!$A$5:$A$104,0))+IF($G531="Y",INDEX(Properties!$I$5:$I$104,MATCH($B531,Properties!$A$5:$A$104,0))*Settings!$B$8*Settings!$B$9,0)+IF($H531="Y",Settings!$B$7*Settings!$B$9,0)+N($I531)*Settings!$B$9,IF($D531="Deep clean",INDEX(Settings!$E$22:$E$26,MATCH(MIN(INDEX(Properties!$E$5:$E$104,MATCH($B531,Properties!$A$5:$A$104,0)),4),Settings!$A$22:$A$26,0))*Settings!$B$19+N($I531)*Settings!$B$9,IF($D531="Late cancel",INDEX(Properties!$L$5:$L$104,MATCH($B531,Properties!$A$5:$A$104,0))*Settings!$B$11,0))),0))</f>
        <v/>
      </c>
      <c r="P531" s="28" t="str">
        <f aca="false">IF($B531="","",$N531-$O531)</f>
        <v/>
      </c>
      <c r="Q531" s="29" t="str">
        <f aca="false">IF($A531="","",DATE(YEAR($A531),MONTH($A531),1))</f>
        <v/>
      </c>
      <c r="R531" s="30" t="str">
        <f aca="false">IF($A531="","",$A531+MOD(6-WEEKDAY($A531),7))</f>
        <v/>
      </c>
      <c r="S531" s="31" t="str">
        <f aca="false">IF($B531="","",IF(AND($M531='Invoice Builder'!$C$5,$Q531='Invoice Builder'!$C$6,N($N531)&gt;0),COUNTIFS($M$5:$M531,'Invoice Builder'!$C$5,$Q$5:$Q531,'Invoice Builder'!$C$6,$N$5:$N531,"&gt;0"),""))</f>
        <v/>
      </c>
      <c r="T531" s="27" t="str">
        <f aca="false">IF($A531="","",IF($A531&gt;=DATE(YEAR($A531),4,6),YEAR($A531)&amp;"/"&amp;RIGHT(YEAR($A531)+1,2),YEAR($A531)-1&amp;"/"&amp;RIGHT(YEAR($A531),2)))</f>
        <v/>
      </c>
    </row>
    <row r="532" customFormat="false" ht="15" hidden="false" customHeight="false" outlineLevel="0" collapsed="false">
      <c r="A532" s="22"/>
      <c r="B532" s="23"/>
      <c r="C532" s="23"/>
      <c r="D532" s="23"/>
      <c r="E532" s="24"/>
      <c r="F532" s="24"/>
      <c r="G532" s="23"/>
      <c r="H532" s="23"/>
      <c r="I532" s="25"/>
      <c r="J532" s="23"/>
      <c r="K532" s="23"/>
      <c r="L532" s="26" t="str">
        <f aca="false">IF(OR($E532="",$F532=""),"",MOD($F532-$E532,1)*24)</f>
        <v/>
      </c>
      <c r="M532" s="27" t="str">
        <f aca="false">IF($B532="","",IFERROR(INDEX(Properties!$D$5:$D$104,MATCH($B532,Properties!$A$5:$A$104,0)),"?"))</f>
        <v/>
      </c>
      <c r="N532" s="28" t="str">
        <f aca="false">IF($B532="","",IFERROR(IF($D532="Completed",INDEX(Properties!$I$5:$I$104,MATCH($B532,Properties!$A$5:$A$104,0))*(1+IF($G532="Y",Settings!$B$8,0))+IF($H532="Y",Settings!$B$7,0)+N($I532),IF($D532="Deep clean",INDEX(Settings!$E$22:$E$26,MATCH(MIN(INDEX(Properties!$E$5:$E$104,MATCH($B532,Properties!$A$5:$A$104,0)),4),Settings!$A$22:$A$26,0))+N($I532),IF($D532="Late cancel",INDEX(Properties!$I$5:$I$104,MATCH($B532,Properties!$A$5:$A$104,0))*Settings!$B$10,0))),0))</f>
        <v/>
      </c>
      <c r="O532" s="28" t="str">
        <f aca="false">IF($B532="","",IFERROR(IF($D532="Completed",INDEX(Properties!$L$5:$L$104,MATCH($B532,Properties!$A$5:$A$104,0))+IF($G532="Y",INDEX(Properties!$I$5:$I$104,MATCH($B532,Properties!$A$5:$A$104,0))*Settings!$B$8*Settings!$B$9,0)+IF($H532="Y",Settings!$B$7*Settings!$B$9,0)+N($I532)*Settings!$B$9,IF($D532="Deep clean",INDEX(Settings!$E$22:$E$26,MATCH(MIN(INDEX(Properties!$E$5:$E$104,MATCH($B532,Properties!$A$5:$A$104,0)),4),Settings!$A$22:$A$26,0))*Settings!$B$19+N($I532)*Settings!$B$9,IF($D532="Late cancel",INDEX(Properties!$L$5:$L$104,MATCH($B532,Properties!$A$5:$A$104,0))*Settings!$B$11,0))),0))</f>
        <v/>
      </c>
      <c r="P532" s="28" t="str">
        <f aca="false">IF($B532="","",$N532-$O532)</f>
        <v/>
      </c>
      <c r="Q532" s="29" t="str">
        <f aca="false">IF($A532="","",DATE(YEAR($A532),MONTH($A532),1))</f>
        <v/>
      </c>
      <c r="R532" s="30" t="str">
        <f aca="false">IF($A532="","",$A532+MOD(6-WEEKDAY($A532),7))</f>
        <v/>
      </c>
      <c r="S532" s="31" t="str">
        <f aca="false">IF($B532="","",IF(AND($M532='Invoice Builder'!$C$5,$Q532='Invoice Builder'!$C$6,N($N532)&gt;0),COUNTIFS($M$5:$M532,'Invoice Builder'!$C$5,$Q$5:$Q532,'Invoice Builder'!$C$6,$N$5:$N532,"&gt;0"),""))</f>
        <v/>
      </c>
      <c r="T532" s="27" t="str">
        <f aca="false">IF($A532="","",IF($A532&gt;=DATE(YEAR($A532),4,6),YEAR($A532)&amp;"/"&amp;RIGHT(YEAR($A532)+1,2),YEAR($A532)-1&amp;"/"&amp;RIGHT(YEAR($A532),2)))</f>
        <v/>
      </c>
    </row>
    <row r="533" customFormat="false" ht="15" hidden="false" customHeight="false" outlineLevel="0" collapsed="false">
      <c r="A533" s="22"/>
      <c r="B533" s="23"/>
      <c r="C533" s="23"/>
      <c r="D533" s="23"/>
      <c r="E533" s="24"/>
      <c r="F533" s="24"/>
      <c r="G533" s="23"/>
      <c r="H533" s="23"/>
      <c r="I533" s="25"/>
      <c r="J533" s="23"/>
      <c r="K533" s="23"/>
      <c r="L533" s="26" t="str">
        <f aca="false">IF(OR($E533="",$F533=""),"",MOD($F533-$E533,1)*24)</f>
        <v/>
      </c>
      <c r="M533" s="27" t="str">
        <f aca="false">IF($B533="","",IFERROR(INDEX(Properties!$D$5:$D$104,MATCH($B533,Properties!$A$5:$A$104,0)),"?"))</f>
        <v/>
      </c>
      <c r="N533" s="28" t="str">
        <f aca="false">IF($B533="","",IFERROR(IF($D533="Completed",INDEX(Properties!$I$5:$I$104,MATCH($B533,Properties!$A$5:$A$104,0))*(1+IF($G533="Y",Settings!$B$8,0))+IF($H533="Y",Settings!$B$7,0)+N($I533),IF($D533="Deep clean",INDEX(Settings!$E$22:$E$26,MATCH(MIN(INDEX(Properties!$E$5:$E$104,MATCH($B533,Properties!$A$5:$A$104,0)),4),Settings!$A$22:$A$26,0))+N($I533),IF($D533="Late cancel",INDEX(Properties!$I$5:$I$104,MATCH($B533,Properties!$A$5:$A$104,0))*Settings!$B$10,0))),0))</f>
        <v/>
      </c>
      <c r="O533" s="28" t="str">
        <f aca="false">IF($B533="","",IFERROR(IF($D533="Completed",INDEX(Properties!$L$5:$L$104,MATCH($B533,Properties!$A$5:$A$104,0))+IF($G533="Y",INDEX(Properties!$I$5:$I$104,MATCH($B533,Properties!$A$5:$A$104,0))*Settings!$B$8*Settings!$B$9,0)+IF($H533="Y",Settings!$B$7*Settings!$B$9,0)+N($I533)*Settings!$B$9,IF($D533="Deep clean",INDEX(Settings!$E$22:$E$26,MATCH(MIN(INDEX(Properties!$E$5:$E$104,MATCH($B533,Properties!$A$5:$A$104,0)),4),Settings!$A$22:$A$26,0))*Settings!$B$19+N($I533)*Settings!$B$9,IF($D533="Late cancel",INDEX(Properties!$L$5:$L$104,MATCH($B533,Properties!$A$5:$A$104,0))*Settings!$B$11,0))),0))</f>
        <v/>
      </c>
      <c r="P533" s="28" t="str">
        <f aca="false">IF($B533="","",$N533-$O533)</f>
        <v/>
      </c>
      <c r="Q533" s="29" t="str">
        <f aca="false">IF($A533="","",DATE(YEAR($A533),MONTH($A533),1))</f>
        <v/>
      </c>
      <c r="R533" s="30" t="str">
        <f aca="false">IF($A533="","",$A533+MOD(6-WEEKDAY($A533),7))</f>
        <v/>
      </c>
      <c r="S533" s="31" t="str">
        <f aca="false">IF($B533="","",IF(AND($M533='Invoice Builder'!$C$5,$Q533='Invoice Builder'!$C$6,N($N533)&gt;0),COUNTIFS($M$5:$M533,'Invoice Builder'!$C$5,$Q$5:$Q533,'Invoice Builder'!$C$6,$N$5:$N533,"&gt;0"),""))</f>
        <v/>
      </c>
      <c r="T533" s="27" t="str">
        <f aca="false">IF($A533="","",IF($A533&gt;=DATE(YEAR($A533),4,6),YEAR($A533)&amp;"/"&amp;RIGHT(YEAR($A533)+1,2),YEAR($A533)-1&amp;"/"&amp;RIGHT(YEAR($A533),2)))</f>
        <v/>
      </c>
    </row>
    <row r="534" customFormat="false" ht="15" hidden="false" customHeight="false" outlineLevel="0" collapsed="false">
      <c r="A534" s="22"/>
      <c r="B534" s="23"/>
      <c r="C534" s="23"/>
      <c r="D534" s="23"/>
      <c r="E534" s="24"/>
      <c r="F534" s="24"/>
      <c r="G534" s="23"/>
      <c r="H534" s="23"/>
      <c r="I534" s="25"/>
      <c r="J534" s="23"/>
      <c r="K534" s="23"/>
      <c r="L534" s="26" t="str">
        <f aca="false">IF(OR($E534="",$F534=""),"",MOD($F534-$E534,1)*24)</f>
        <v/>
      </c>
      <c r="M534" s="27" t="str">
        <f aca="false">IF($B534="","",IFERROR(INDEX(Properties!$D$5:$D$104,MATCH($B534,Properties!$A$5:$A$104,0)),"?"))</f>
        <v/>
      </c>
      <c r="N534" s="28" t="str">
        <f aca="false">IF($B534="","",IFERROR(IF($D534="Completed",INDEX(Properties!$I$5:$I$104,MATCH($B534,Properties!$A$5:$A$104,0))*(1+IF($G534="Y",Settings!$B$8,0))+IF($H534="Y",Settings!$B$7,0)+N($I534),IF($D534="Deep clean",INDEX(Settings!$E$22:$E$26,MATCH(MIN(INDEX(Properties!$E$5:$E$104,MATCH($B534,Properties!$A$5:$A$104,0)),4),Settings!$A$22:$A$26,0))+N($I534),IF($D534="Late cancel",INDEX(Properties!$I$5:$I$104,MATCH($B534,Properties!$A$5:$A$104,0))*Settings!$B$10,0))),0))</f>
        <v/>
      </c>
      <c r="O534" s="28" t="str">
        <f aca="false">IF($B534="","",IFERROR(IF($D534="Completed",INDEX(Properties!$L$5:$L$104,MATCH($B534,Properties!$A$5:$A$104,0))+IF($G534="Y",INDEX(Properties!$I$5:$I$104,MATCH($B534,Properties!$A$5:$A$104,0))*Settings!$B$8*Settings!$B$9,0)+IF($H534="Y",Settings!$B$7*Settings!$B$9,0)+N($I534)*Settings!$B$9,IF($D534="Deep clean",INDEX(Settings!$E$22:$E$26,MATCH(MIN(INDEX(Properties!$E$5:$E$104,MATCH($B534,Properties!$A$5:$A$104,0)),4),Settings!$A$22:$A$26,0))*Settings!$B$19+N($I534)*Settings!$B$9,IF($D534="Late cancel",INDEX(Properties!$L$5:$L$104,MATCH($B534,Properties!$A$5:$A$104,0))*Settings!$B$11,0))),0))</f>
        <v/>
      </c>
      <c r="P534" s="28" t="str">
        <f aca="false">IF($B534="","",$N534-$O534)</f>
        <v/>
      </c>
      <c r="Q534" s="29" t="str">
        <f aca="false">IF($A534="","",DATE(YEAR($A534),MONTH($A534),1))</f>
        <v/>
      </c>
      <c r="R534" s="30" t="str">
        <f aca="false">IF($A534="","",$A534+MOD(6-WEEKDAY($A534),7))</f>
        <v/>
      </c>
      <c r="S534" s="31" t="str">
        <f aca="false">IF($B534="","",IF(AND($M534='Invoice Builder'!$C$5,$Q534='Invoice Builder'!$C$6,N($N534)&gt;0),COUNTIFS($M$5:$M534,'Invoice Builder'!$C$5,$Q$5:$Q534,'Invoice Builder'!$C$6,$N$5:$N534,"&gt;0"),""))</f>
        <v/>
      </c>
      <c r="T534" s="27" t="str">
        <f aca="false">IF($A534="","",IF($A534&gt;=DATE(YEAR($A534),4,6),YEAR($A534)&amp;"/"&amp;RIGHT(YEAR($A534)+1,2),YEAR($A534)-1&amp;"/"&amp;RIGHT(YEAR($A534),2)))</f>
        <v/>
      </c>
    </row>
    <row r="535" customFormat="false" ht="15" hidden="false" customHeight="false" outlineLevel="0" collapsed="false">
      <c r="A535" s="22"/>
      <c r="B535" s="23"/>
      <c r="C535" s="23"/>
      <c r="D535" s="23"/>
      <c r="E535" s="24"/>
      <c r="F535" s="24"/>
      <c r="G535" s="23"/>
      <c r="H535" s="23"/>
      <c r="I535" s="25"/>
      <c r="J535" s="23"/>
      <c r="K535" s="23"/>
      <c r="L535" s="26" t="str">
        <f aca="false">IF(OR($E535="",$F535=""),"",MOD($F535-$E535,1)*24)</f>
        <v/>
      </c>
      <c r="M535" s="27" t="str">
        <f aca="false">IF($B535="","",IFERROR(INDEX(Properties!$D$5:$D$104,MATCH($B535,Properties!$A$5:$A$104,0)),"?"))</f>
        <v/>
      </c>
      <c r="N535" s="28" t="str">
        <f aca="false">IF($B535="","",IFERROR(IF($D535="Completed",INDEX(Properties!$I$5:$I$104,MATCH($B535,Properties!$A$5:$A$104,0))*(1+IF($G535="Y",Settings!$B$8,0))+IF($H535="Y",Settings!$B$7,0)+N($I535),IF($D535="Deep clean",INDEX(Settings!$E$22:$E$26,MATCH(MIN(INDEX(Properties!$E$5:$E$104,MATCH($B535,Properties!$A$5:$A$104,0)),4),Settings!$A$22:$A$26,0))+N($I535),IF($D535="Late cancel",INDEX(Properties!$I$5:$I$104,MATCH($B535,Properties!$A$5:$A$104,0))*Settings!$B$10,0))),0))</f>
        <v/>
      </c>
      <c r="O535" s="28" t="str">
        <f aca="false">IF($B535="","",IFERROR(IF($D535="Completed",INDEX(Properties!$L$5:$L$104,MATCH($B535,Properties!$A$5:$A$104,0))+IF($G535="Y",INDEX(Properties!$I$5:$I$104,MATCH($B535,Properties!$A$5:$A$104,0))*Settings!$B$8*Settings!$B$9,0)+IF($H535="Y",Settings!$B$7*Settings!$B$9,0)+N($I535)*Settings!$B$9,IF($D535="Deep clean",INDEX(Settings!$E$22:$E$26,MATCH(MIN(INDEX(Properties!$E$5:$E$104,MATCH($B535,Properties!$A$5:$A$104,0)),4),Settings!$A$22:$A$26,0))*Settings!$B$19+N($I535)*Settings!$B$9,IF($D535="Late cancel",INDEX(Properties!$L$5:$L$104,MATCH($B535,Properties!$A$5:$A$104,0))*Settings!$B$11,0))),0))</f>
        <v/>
      </c>
      <c r="P535" s="28" t="str">
        <f aca="false">IF($B535="","",$N535-$O535)</f>
        <v/>
      </c>
      <c r="Q535" s="29" t="str">
        <f aca="false">IF($A535="","",DATE(YEAR($A535),MONTH($A535),1))</f>
        <v/>
      </c>
      <c r="R535" s="30" t="str">
        <f aca="false">IF($A535="","",$A535+MOD(6-WEEKDAY($A535),7))</f>
        <v/>
      </c>
      <c r="S535" s="31" t="str">
        <f aca="false">IF($B535="","",IF(AND($M535='Invoice Builder'!$C$5,$Q535='Invoice Builder'!$C$6,N($N535)&gt;0),COUNTIFS($M$5:$M535,'Invoice Builder'!$C$5,$Q$5:$Q535,'Invoice Builder'!$C$6,$N$5:$N535,"&gt;0"),""))</f>
        <v/>
      </c>
      <c r="T535" s="27" t="str">
        <f aca="false">IF($A535="","",IF($A535&gt;=DATE(YEAR($A535),4,6),YEAR($A535)&amp;"/"&amp;RIGHT(YEAR($A535)+1,2),YEAR($A535)-1&amp;"/"&amp;RIGHT(YEAR($A535),2)))</f>
        <v/>
      </c>
    </row>
    <row r="536" customFormat="false" ht="15" hidden="false" customHeight="false" outlineLevel="0" collapsed="false">
      <c r="A536" s="22"/>
      <c r="B536" s="23"/>
      <c r="C536" s="23"/>
      <c r="D536" s="23"/>
      <c r="E536" s="24"/>
      <c r="F536" s="24"/>
      <c r="G536" s="23"/>
      <c r="H536" s="23"/>
      <c r="I536" s="25"/>
      <c r="J536" s="23"/>
      <c r="K536" s="23"/>
      <c r="L536" s="26" t="str">
        <f aca="false">IF(OR($E536="",$F536=""),"",MOD($F536-$E536,1)*24)</f>
        <v/>
      </c>
      <c r="M536" s="27" t="str">
        <f aca="false">IF($B536="","",IFERROR(INDEX(Properties!$D$5:$D$104,MATCH($B536,Properties!$A$5:$A$104,0)),"?"))</f>
        <v/>
      </c>
      <c r="N536" s="28" t="str">
        <f aca="false">IF($B536="","",IFERROR(IF($D536="Completed",INDEX(Properties!$I$5:$I$104,MATCH($B536,Properties!$A$5:$A$104,0))*(1+IF($G536="Y",Settings!$B$8,0))+IF($H536="Y",Settings!$B$7,0)+N($I536),IF($D536="Deep clean",INDEX(Settings!$E$22:$E$26,MATCH(MIN(INDEX(Properties!$E$5:$E$104,MATCH($B536,Properties!$A$5:$A$104,0)),4),Settings!$A$22:$A$26,0))+N($I536),IF($D536="Late cancel",INDEX(Properties!$I$5:$I$104,MATCH($B536,Properties!$A$5:$A$104,0))*Settings!$B$10,0))),0))</f>
        <v/>
      </c>
      <c r="O536" s="28" t="str">
        <f aca="false">IF($B536="","",IFERROR(IF($D536="Completed",INDEX(Properties!$L$5:$L$104,MATCH($B536,Properties!$A$5:$A$104,0))+IF($G536="Y",INDEX(Properties!$I$5:$I$104,MATCH($B536,Properties!$A$5:$A$104,0))*Settings!$B$8*Settings!$B$9,0)+IF($H536="Y",Settings!$B$7*Settings!$B$9,0)+N($I536)*Settings!$B$9,IF($D536="Deep clean",INDEX(Settings!$E$22:$E$26,MATCH(MIN(INDEX(Properties!$E$5:$E$104,MATCH($B536,Properties!$A$5:$A$104,0)),4),Settings!$A$22:$A$26,0))*Settings!$B$19+N($I536)*Settings!$B$9,IF($D536="Late cancel",INDEX(Properties!$L$5:$L$104,MATCH($B536,Properties!$A$5:$A$104,0))*Settings!$B$11,0))),0))</f>
        <v/>
      </c>
      <c r="P536" s="28" t="str">
        <f aca="false">IF($B536="","",$N536-$O536)</f>
        <v/>
      </c>
      <c r="Q536" s="29" t="str">
        <f aca="false">IF($A536="","",DATE(YEAR($A536),MONTH($A536),1))</f>
        <v/>
      </c>
      <c r="R536" s="30" t="str">
        <f aca="false">IF($A536="","",$A536+MOD(6-WEEKDAY($A536),7))</f>
        <v/>
      </c>
      <c r="S536" s="31" t="str">
        <f aca="false">IF($B536="","",IF(AND($M536='Invoice Builder'!$C$5,$Q536='Invoice Builder'!$C$6,N($N536)&gt;0),COUNTIFS($M$5:$M536,'Invoice Builder'!$C$5,$Q$5:$Q536,'Invoice Builder'!$C$6,$N$5:$N536,"&gt;0"),""))</f>
        <v/>
      </c>
      <c r="T536" s="27" t="str">
        <f aca="false">IF($A536="","",IF($A536&gt;=DATE(YEAR($A536),4,6),YEAR($A536)&amp;"/"&amp;RIGHT(YEAR($A536)+1,2),YEAR($A536)-1&amp;"/"&amp;RIGHT(YEAR($A536),2)))</f>
        <v/>
      </c>
    </row>
    <row r="537" customFormat="false" ht="15" hidden="false" customHeight="false" outlineLevel="0" collapsed="false">
      <c r="A537" s="22"/>
      <c r="B537" s="23"/>
      <c r="C537" s="23"/>
      <c r="D537" s="23"/>
      <c r="E537" s="24"/>
      <c r="F537" s="24"/>
      <c r="G537" s="23"/>
      <c r="H537" s="23"/>
      <c r="I537" s="25"/>
      <c r="J537" s="23"/>
      <c r="K537" s="23"/>
      <c r="L537" s="26" t="str">
        <f aca="false">IF(OR($E537="",$F537=""),"",MOD($F537-$E537,1)*24)</f>
        <v/>
      </c>
      <c r="M537" s="27" t="str">
        <f aca="false">IF($B537="","",IFERROR(INDEX(Properties!$D$5:$D$104,MATCH($B537,Properties!$A$5:$A$104,0)),"?"))</f>
        <v/>
      </c>
      <c r="N537" s="28" t="str">
        <f aca="false">IF($B537="","",IFERROR(IF($D537="Completed",INDEX(Properties!$I$5:$I$104,MATCH($B537,Properties!$A$5:$A$104,0))*(1+IF($G537="Y",Settings!$B$8,0))+IF($H537="Y",Settings!$B$7,0)+N($I537),IF($D537="Deep clean",INDEX(Settings!$E$22:$E$26,MATCH(MIN(INDEX(Properties!$E$5:$E$104,MATCH($B537,Properties!$A$5:$A$104,0)),4),Settings!$A$22:$A$26,0))+N($I537),IF($D537="Late cancel",INDEX(Properties!$I$5:$I$104,MATCH($B537,Properties!$A$5:$A$104,0))*Settings!$B$10,0))),0))</f>
        <v/>
      </c>
      <c r="O537" s="28" t="str">
        <f aca="false">IF($B537="","",IFERROR(IF($D537="Completed",INDEX(Properties!$L$5:$L$104,MATCH($B537,Properties!$A$5:$A$104,0))+IF($G537="Y",INDEX(Properties!$I$5:$I$104,MATCH($B537,Properties!$A$5:$A$104,0))*Settings!$B$8*Settings!$B$9,0)+IF($H537="Y",Settings!$B$7*Settings!$B$9,0)+N($I537)*Settings!$B$9,IF($D537="Deep clean",INDEX(Settings!$E$22:$E$26,MATCH(MIN(INDEX(Properties!$E$5:$E$104,MATCH($B537,Properties!$A$5:$A$104,0)),4),Settings!$A$22:$A$26,0))*Settings!$B$19+N($I537)*Settings!$B$9,IF($D537="Late cancel",INDEX(Properties!$L$5:$L$104,MATCH($B537,Properties!$A$5:$A$104,0))*Settings!$B$11,0))),0))</f>
        <v/>
      </c>
      <c r="P537" s="28" t="str">
        <f aca="false">IF($B537="","",$N537-$O537)</f>
        <v/>
      </c>
      <c r="Q537" s="29" t="str">
        <f aca="false">IF($A537="","",DATE(YEAR($A537),MONTH($A537),1))</f>
        <v/>
      </c>
      <c r="R537" s="30" t="str">
        <f aca="false">IF($A537="","",$A537+MOD(6-WEEKDAY($A537),7))</f>
        <v/>
      </c>
      <c r="S537" s="31" t="str">
        <f aca="false">IF($B537="","",IF(AND($M537='Invoice Builder'!$C$5,$Q537='Invoice Builder'!$C$6,N($N537)&gt;0),COUNTIFS($M$5:$M537,'Invoice Builder'!$C$5,$Q$5:$Q537,'Invoice Builder'!$C$6,$N$5:$N537,"&gt;0"),""))</f>
        <v/>
      </c>
      <c r="T537" s="27" t="str">
        <f aca="false">IF($A537="","",IF($A537&gt;=DATE(YEAR($A537),4,6),YEAR($A537)&amp;"/"&amp;RIGHT(YEAR($A537)+1,2),YEAR($A537)-1&amp;"/"&amp;RIGHT(YEAR($A537),2)))</f>
        <v/>
      </c>
    </row>
    <row r="538" customFormat="false" ht="15" hidden="false" customHeight="false" outlineLevel="0" collapsed="false">
      <c r="A538" s="22"/>
      <c r="B538" s="23"/>
      <c r="C538" s="23"/>
      <c r="D538" s="23"/>
      <c r="E538" s="24"/>
      <c r="F538" s="24"/>
      <c r="G538" s="23"/>
      <c r="H538" s="23"/>
      <c r="I538" s="25"/>
      <c r="J538" s="23"/>
      <c r="K538" s="23"/>
      <c r="L538" s="26" t="str">
        <f aca="false">IF(OR($E538="",$F538=""),"",MOD($F538-$E538,1)*24)</f>
        <v/>
      </c>
      <c r="M538" s="27" t="str">
        <f aca="false">IF($B538="","",IFERROR(INDEX(Properties!$D$5:$D$104,MATCH($B538,Properties!$A$5:$A$104,0)),"?"))</f>
        <v/>
      </c>
      <c r="N538" s="28" t="str">
        <f aca="false">IF($B538="","",IFERROR(IF($D538="Completed",INDEX(Properties!$I$5:$I$104,MATCH($B538,Properties!$A$5:$A$104,0))*(1+IF($G538="Y",Settings!$B$8,0))+IF($H538="Y",Settings!$B$7,0)+N($I538),IF($D538="Deep clean",INDEX(Settings!$E$22:$E$26,MATCH(MIN(INDEX(Properties!$E$5:$E$104,MATCH($B538,Properties!$A$5:$A$104,0)),4),Settings!$A$22:$A$26,0))+N($I538),IF($D538="Late cancel",INDEX(Properties!$I$5:$I$104,MATCH($B538,Properties!$A$5:$A$104,0))*Settings!$B$10,0))),0))</f>
        <v/>
      </c>
      <c r="O538" s="28" t="str">
        <f aca="false">IF($B538="","",IFERROR(IF($D538="Completed",INDEX(Properties!$L$5:$L$104,MATCH($B538,Properties!$A$5:$A$104,0))+IF($G538="Y",INDEX(Properties!$I$5:$I$104,MATCH($B538,Properties!$A$5:$A$104,0))*Settings!$B$8*Settings!$B$9,0)+IF($H538="Y",Settings!$B$7*Settings!$B$9,0)+N($I538)*Settings!$B$9,IF($D538="Deep clean",INDEX(Settings!$E$22:$E$26,MATCH(MIN(INDEX(Properties!$E$5:$E$104,MATCH($B538,Properties!$A$5:$A$104,0)),4),Settings!$A$22:$A$26,0))*Settings!$B$19+N($I538)*Settings!$B$9,IF($D538="Late cancel",INDEX(Properties!$L$5:$L$104,MATCH($B538,Properties!$A$5:$A$104,0))*Settings!$B$11,0))),0))</f>
        <v/>
      </c>
      <c r="P538" s="28" t="str">
        <f aca="false">IF($B538="","",$N538-$O538)</f>
        <v/>
      </c>
      <c r="Q538" s="29" t="str">
        <f aca="false">IF($A538="","",DATE(YEAR($A538),MONTH($A538),1))</f>
        <v/>
      </c>
      <c r="R538" s="30" t="str">
        <f aca="false">IF($A538="","",$A538+MOD(6-WEEKDAY($A538),7))</f>
        <v/>
      </c>
      <c r="S538" s="31" t="str">
        <f aca="false">IF($B538="","",IF(AND($M538='Invoice Builder'!$C$5,$Q538='Invoice Builder'!$C$6,N($N538)&gt;0),COUNTIFS($M$5:$M538,'Invoice Builder'!$C$5,$Q$5:$Q538,'Invoice Builder'!$C$6,$N$5:$N538,"&gt;0"),""))</f>
        <v/>
      </c>
      <c r="T538" s="27" t="str">
        <f aca="false">IF($A538="","",IF($A538&gt;=DATE(YEAR($A538),4,6),YEAR($A538)&amp;"/"&amp;RIGHT(YEAR($A538)+1,2),YEAR($A538)-1&amp;"/"&amp;RIGHT(YEAR($A538),2)))</f>
        <v/>
      </c>
    </row>
    <row r="539" customFormat="false" ht="15" hidden="false" customHeight="false" outlineLevel="0" collapsed="false">
      <c r="A539" s="22"/>
      <c r="B539" s="23"/>
      <c r="C539" s="23"/>
      <c r="D539" s="23"/>
      <c r="E539" s="24"/>
      <c r="F539" s="24"/>
      <c r="G539" s="23"/>
      <c r="H539" s="23"/>
      <c r="I539" s="25"/>
      <c r="J539" s="23"/>
      <c r="K539" s="23"/>
      <c r="L539" s="26" t="str">
        <f aca="false">IF(OR($E539="",$F539=""),"",MOD($F539-$E539,1)*24)</f>
        <v/>
      </c>
      <c r="M539" s="27" t="str">
        <f aca="false">IF($B539="","",IFERROR(INDEX(Properties!$D$5:$D$104,MATCH($B539,Properties!$A$5:$A$104,0)),"?"))</f>
        <v/>
      </c>
      <c r="N539" s="28" t="str">
        <f aca="false">IF($B539="","",IFERROR(IF($D539="Completed",INDEX(Properties!$I$5:$I$104,MATCH($B539,Properties!$A$5:$A$104,0))*(1+IF($G539="Y",Settings!$B$8,0))+IF($H539="Y",Settings!$B$7,0)+N($I539),IF($D539="Deep clean",INDEX(Settings!$E$22:$E$26,MATCH(MIN(INDEX(Properties!$E$5:$E$104,MATCH($B539,Properties!$A$5:$A$104,0)),4),Settings!$A$22:$A$26,0))+N($I539),IF($D539="Late cancel",INDEX(Properties!$I$5:$I$104,MATCH($B539,Properties!$A$5:$A$104,0))*Settings!$B$10,0))),0))</f>
        <v/>
      </c>
      <c r="O539" s="28" t="str">
        <f aca="false">IF($B539="","",IFERROR(IF($D539="Completed",INDEX(Properties!$L$5:$L$104,MATCH($B539,Properties!$A$5:$A$104,0))+IF($G539="Y",INDEX(Properties!$I$5:$I$104,MATCH($B539,Properties!$A$5:$A$104,0))*Settings!$B$8*Settings!$B$9,0)+IF($H539="Y",Settings!$B$7*Settings!$B$9,0)+N($I539)*Settings!$B$9,IF($D539="Deep clean",INDEX(Settings!$E$22:$E$26,MATCH(MIN(INDEX(Properties!$E$5:$E$104,MATCH($B539,Properties!$A$5:$A$104,0)),4),Settings!$A$22:$A$26,0))*Settings!$B$19+N($I539)*Settings!$B$9,IF($D539="Late cancel",INDEX(Properties!$L$5:$L$104,MATCH($B539,Properties!$A$5:$A$104,0))*Settings!$B$11,0))),0))</f>
        <v/>
      </c>
      <c r="P539" s="28" t="str">
        <f aca="false">IF($B539="","",$N539-$O539)</f>
        <v/>
      </c>
      <c r="Q539" s="29" t="str">
        <f aca="false">IF($A539="","",DATE(YEAR($A539),MONTH($A539),1))</f>
        <v/>
      </c>
      <c r="R539" s="30" t="str">
        <f aca="false">IF($A539="","",$A539+MOD(6-WEEKDAY($A539),7))</f>
        <v/>
      </c>
      <c r="S539" s="31" t="str">
        <f aca="false">IF($B539="","",IF(AND($M539='Invoice Builder'!$C$5,$Q539='Invoice Builder'!$C$6,N($N539)&gt;0),COUNTIFS($M$5:$M539,'Invoice Builder'!$C$5,$Q$5:$Q539,'Invoice Builder'!$C$6,$N$5:$N539,"&gt;0"),""))</f>
        <v/>
      </c>
      <c r="T539" s="27" t="str">
        <f aca="false">IF($A539="","",IF($A539&gt;=DATE(YEAR($A539),4,6),YEAR($A539)&amp;"/"&amp;RIGHT(YEAR($A539)+1,2),YEAR($A539)-1&amp;"/"&amp;RIGHT(YEAR($A539),2)))</f>
        <v/>
      </c>
    </row>
    <row r="540" customFormat="false" ht="15" hidden="false" customHeight="false" outlineLevel="0" collapsed="false">
      <c r="A540" s="22"/>
      <c r="B540" s="23"/>
      <c r="C540" s="23"/>
      <c r="D540" s="23"/>
      <c r="E540" s="24"/>
      <c r="F540" s="24"/>
      <c r="G540" s="23"/>
      <c r="H540" s="23"/>
      <c r="I540" s="25"/>
      <c r="J540" s="23"/>
      <c r="K540" s="23"/>
      <c r="L540" s="26" t="str">
        <f aca="false">IF(OR($E540="",$F540=""),"",MOD($F540-$E540,1)*24)</f>
        <v/>
      </c>
      <c r="M540" s="27" t="str">
        <f aca="false">IF($B540="","",IFERROR(INDEX(Properties!$D$5:$D$104,MATCH($B540,Properties!$A$5:$A$104,0)),"?"))</f>
        <v/>
      </c>
      <c r="N540" s="28" t="str">
        <f aca="false">IF($B540="","",IFERROR(IF($D540="Completed",INDEX(Properties!$I$5:$I$104,MATCH($B540,Properties!$A$5:$A$104,0))*(1+IF($G540="Y",Settings!$B$8,0))+IF($H540="Y",Settings!$B$7,0)+N($I540),IF($D540="Deep clean",INDEX(Settings!$E$22:$E$26,MATCH(MIN(INDEX(Properties!$E$5:$E$104,MATCH($B540,Properties!$A$5:$A$104,0)),4),Settings!$A$22:$A$26,0))+N($I540),IF($D540="Late cancel",INDEX(Properties!$I$5:$I$104,MATCH($B540,Properties!$A$5:$A$104,0))*Settings!$B$10,0))),0))</f>
        <v/>
      </c>
      <c r="O540" s="28" t="str">
        <f aca="false">IF($B540="","",IFERROR(IF($D540="Completed",INDEX(Properties!$L$5:$L$104,MATCH($B540,Properties!$A$5:$A$104,0))+IF($G540="Y",INDEX(Properties!$I$5:$I$104,MATCH($B540,Properties!$A$5:$A$104,0))*Settings!$B$8*Settings!$B$9,0)+IF($H540="Y",Settings!$B$7*Settings!$B$9,0)+N($I540)*Settings!$B$9,IF($D540="Deep clean",INDEX(Settings!$E$22:$E$26,MATCH(MIN(INDEX(Properties!$E$5:$E$104,MATCH($B540,Properties!$A$5:$A$104,0)),4),Settings!$A$22:$A$26,0))*Settings!$B$19+N($I540)*Settings!$B$9,IF($D540="Late cancel",INDEX(Properties!$L$5:$L$104,MATCH($B540,Properties!$A$5:$A$104,0))*Settings!$B$11,0))),0))</f>
        <v/>
      </c>
      <c r="P540" s="28" t="str">
        <f aca="false">IF($B540="","",$N540-$O540)</f>
        <v/>
      </c>
      <c r="Q540" s="29" t="str">
        <f aca="false">IF($A540="","",DATE(YEAR($A540),MONTH($A540),1))</f>
        <v/>
      </c>
      <c r="R540" s="30" t="str">
        <f aca="false">IF($A540="","",$A540+MOD(6-WEEKDAY($A540),7))</f>
        <v/>
      </c>
      <c r="S540" s="31" t="str">
        <f aca="false">IF($B540="","",IF(AND($M540='Invoice Builder'!$C$5,$Q540='Invoice Builder'!$C$6,N($N540)&gt;0),COUNTIFS($M$5:$M540,'Invoice Builder'!$C$5,$Q$5:$Q540,'Invoice Builder'!$C$6,$N$5:$N540,"&gt;0"),""))</f>
        <v/>
      </c>
      <c r="T540" s="27" t="str">
        <f aca="false">IF($A540="","",IF($A540&gt;=DATE(YEAR($A540),4,6),YEAR($A540)&amp;"/"&amp;RIGHT(YEAR($A540)+1,2),YEAR($A540)-1&amp;"/"&amp;RIGHT(YEAR($A540),2)))</f>
        <v/>
      </c>
    </row>
    <row r="541" customFormat="false" ht="15" hidden="false" customHeight="false" outlineLevel="0" collapsed="false">
      <c r="A541" s="22"/>
      <c r="B541" s="23"/>
      <c r="C541" s="23"/>
      <c r="D541" s="23"/>
      <c r="E541" s="24"/>
      <c r="F541" s="24"/>
      <c r="G541" s="23"/>
      <c r="H541" s="23"/>
      <c r="I541" s="25"/>
      <c r="J541" s="23"/>
      <c r="K541" s="23"/>
      <c r="L541" s="26" t="str">
        <f aca="false">IF(OR($E541="",$F541=""),"",MOD($F541-$E541,1)*24)</f>
        <v/>
      </c>
      <c r="M541" s="27" t="str">
        <f aca="false">IF($B541="","",IFERROR(INDEX(Properties!$D$5:$D$104,MATCH($B541,Properties!$A$5:$A$104,0)),"?"))</f>
        <v/>
      </c>
      <c r="N541" s="28" t="str">
        <f aca="false">IF($B541="","",IFERROR(IF($D541="Completed",INDEX(Properties!$I$5:$I$104,MATCH($B541,Properties!$A$5:$A$104,0))*(1+IF($G541="Y",Settings!$B$8,0))+IF($H541="Y",Settings!$B$7,0)+N($I541),IF($D541="Deep clean",INDEX(Settings!$E$22:$E$26,MATCH(MIN(INDEX(Properties!$E$5:$E$104,MATCH($B541,Properties!$A$5:$A$104,0)),4),Settings!$A$22:$A$26,0))+N($I541),IF($D541="Late cancel",INDEX(Properties!$I$5:$I$104,MATCH($B541,Properties!$A$5:$A$104,0))*Settings!$B$10,0))),0))</f>
        <v/>
      </c>
      <c r="O541" s="28" t="str">
        <f aca="false">IF($B541="","",IFERROR(IF($D541="Completed",INDEX(Properties!$L$5:$L$104,MATCH($B541,Properties!$A$5:$A$104,0))+IF($G541="Y",INDEX(Properties!$I$5:$I$104,MATCH($B541,Properties!$A$5:$A$104,0))*Settings!$B$8*Settings!$B$9,0)+IF($H541="Y",Settings!$B$7*Settings!$B$9,0)+N($I541)*Settings!$B$9,IF($D541="Deep clean",INDEX(Settings!$E$22:$E$26,MATCH(MIN(INDEX(Properties!$E$5:$E$104,MATCH($B541,Properties!$A$5:$A$104,0)),4),Settings!$A$22:$A$26,0))*Settings!$B$19+N($I541)*Settings!$B$9,IF($D541="Late cancel",INDEX(Properties!$L$5:$L$104,MATCH($B541,Properties!$A$5:$A$104,0))*Settings!$B$11,0))),0))</f>
        <v/>
      </c>
      <c r="P541" s="28" t="str">
        <f aca="false">IF($B541="","",$N541-$O541)</f>
        <v/>
      </c>
      <c r="Q541" s="29" t="str">
        <f aca="false">IF($A541="","",DATE(YEAR($A541),MONTH($A541),1))</f>
        <v/>
      </c>
      <c r="R541" s="30" t="str">
        <f aca="false">IF($A541="","",$A541+MOD(6-WEEKDAY($A541),7))</f>
        <v/>
      </c>
      <c r="S541" s="31" t="str">
        <f aca="false">IF($B541="","",IF(AND($M541='Invoice Builder'!$C$5,$Q541='Invoice Builder'!$C$6,N($N541)&gt;0),COUNTIFS($M$5:$M541,'Invoice Builder'!$C$5,$Q$5:$Q541,'Invoice Builder'!$C$6,$N$5:$N541,"&gt;0"),""))</f>
        <v/>
      </c>
      <c r="T541" s="27" t="str">
        <f aca="false">IF($A541="","",IF($A541&gt;=DATE(YEAR($A541),4,6),YEAR($A541)&amp;"/"&amp;RIGHT(YEAR($A541)+1,2),YEAR($A541)-1&amp;"/"&amp;RIGHT(YEAR($A541),2)))</f>
        <v/>
      </c>
    </row>
    <row r="542" customFormat="false" ht="15" hidden="false" customHeight="false" outlineLevel="0" collapsed="false">
      <c r="A542" s="22"/>
      <c r="B542" s="23"/>
      <c r="C542" s="23"/>
      <c r="D542" s="23"/>
      <c r="E542" s="24"/>
      <c r="F542" s="24"/>
      <c r="G542" s="23"/>
      <c r="H542" s="23"/>
      <c r="I542" s="25"/>
      <c r="J542" s="23"/>
      <c r="K542" s="23"/>
      <c r="L542" s="26" t="str">
        <f aca="false">IF(OR($E542="",$F542=""),"",MOD($F542-$E542,1)*24)</f>
        <v/>
      </c>
      <c r="M542" s="27" t="str">
        <f aca="false">IF($B542="","",IFERROR(INDEX(Properties!$D$5:$D$104,MATCH($B542,Properties!$A$5:$A$104,0)),"?"))</f>
        <v/>
      </c>
      <c r="N542" s="28" t="str">
        <f aca="false">IF($B542="","",IFERROR(IF($D542="Completed",INDEX(Properties!$I$5:$I$104,MATCH($B542,Properties!$A$5:$A$104,0))*(1+IF($G542="Y",Settings!$B$8,0))+IF($H542="Y",Settings!$B$7,0)+N($I542),IF($D542="Deep clean",INDEX(Settings!$E$22:$E$26,MATCH(MIN(INDEX(Properties!$E$5:$E$104,MATCH($B542,Properties!$A$5:$A$104,0)),4),Settings!$A$22:$A$26,0))+N($I542),IF($D542="Late cancel",INDEX(Properties!$I$5:$I$104,MATCH($B542,Properties!$A$5:$A$104,0))*Settings!$B$10,0))),0))</f>
        <v/>
      </c>
      <c r="O542" s="28" t="str">
        <f aca="false">IF($B542="","",IFERROR(IF($D542="Completed",INDEX(Properties!$L$5:$L$104,MATCH($B542,Properties!$A$5:$A$104,0))+IF($G542="Y",INDEX(Properties!$I$5:$I$104,MATCH($B542,Properties!$A$5:$A$104,0))*Settings!$B$8*Settings!$B$9,0)+IF($H542="Y",Settings!$B$7*Settings!$B$9,0)+N($I542)*Settings!$B$9,IF($D542="Deep clean",INDEX(Settings!$E$22:$E$26,MATCH(MIN(INDEX(Properties!$E$5:$E$104,MATCH($B542,Properties!$A$5:$A$104,0)),4),Settings!$A$22:$A$26,0))*Settings!$B$19+N($I542)*Settings!$B$9,IF($D542="Late cancel",INDEX(Properties!$L$5:$L$104,MATCH($B542,Properties!$A$5:$A$104,0))*Settings!$B$11,0))),0))</f>
        <v/>
      </c>
      <c r="P542" s="28" t="str">
        <f aca="false">IF($B542="","",$N542-$O542)</f>
        <v/>
      </c>
      <c r="Q542" s="29" t="str">
        <f aca="false">IF($A542="","",DATE(YEAR($A542),MONTH($A542),1))</f>
        <v/>
      </c>
      <c r="R542" s="30" t="str">
        <f aca="false">IF($A542="","",$A542+MOD(6-WEEKDAY($A542),7))</f>
        <v/>
      </c>
      <c r="S542" s="31" t="str">
        <f aca="false">IF($B542="","",IF(AND($M542='Invoice Builder'!$C$5,$Q542='Invoice Builder'!$C$6,N($N542)&gt;0),COUNTIFS($M$5:$M542,'Invoice Builder'!$C$5,$Q$5:$Q542,'Invoice Builder'!$C$6,$N$5:$N542,"&gt;0"),""))</f>
        <v/>
      </c>
      <c r="T542" s="27" t="str">
        <f aca="false">IF($A542="","",IF($A542&gt;=DATE(YEAR($A542),4,6),YEAR($A542)&amp;"/"&amp;RIGHT(YEAR($A542)+1,2),YEAR($A542)-1&amp;"/"&amp;RIGHT(YEAR($A542),2)))</f>
        <v/>
      </c>
    </row>
    <row r="543" customFormat="false" ht="15" hidden="false" customHeight="false" outlineLevel="0" collapsed="false">
      <c r="A543" s="22"/>
      <c r="B543" s="23"/>
      <c r="C543" s="23"/>
      <c r="D543" s="23"/>
      <c r="E543" s="24"/>
      <c r="F543" s="24"/>
      <c r="G543" s="23"/>
      <c r="H543" s="23"/>
      <c r="I543" s="25"/>
      <c r="J543" s="23"/>
      <c r="K543" s="23"/>
      <c r="L543" s="26" t="str">
        <f aca="false">IF(OR($E543="",$F543=""),"",MOD($F543-$E543,1)*24)</f>
        <v/>
      </c>
      <c r="M543" s="27" t="str">
        <f aca="false">IF($B543="","",IFERROR(INDEX(Properties!$D$5:$D$104,MATCH($B543,Properties!$A$5:$A$104,0)),"?"))</f>
        <v/>
      </c>
      <c r="N543" s="28" t="str">
        <f aca="false">IF($B543="","",IFERROR(IF($D543="Completed",INDEX(Properties!$I$5:$I$104,MATCH($B543,Properties!$A$5:$A$104,0))*(1+IF($G543="Y",Settings!$B$8,0))+IF($H543="Y",Settings!$B$7,0)+N($I543),IF($D543="Deep clean",INDEX(Settings!$E$22:$E$26,MATCH(MIN(INDEX(Properties!$E$5:$E$104,MATCH($B543,Properties!$A$5:$A$104,0)),4),Settings!$A$22:$A$26,0))+N($I543),IF($D543="Late cancel",INDEX(Properties!$I$5:$I$104,MATCH($B543,Properties!$A$5:$A$104,0))*Settings!$B$10,0))),0))</f>
        <v/>
      </c>
      <c r="O543" s="28" t="str">
        <f aca="false">IF($B543="","",IFERROR(IF($D543="Completed",INDEX(Properties!$L$5:$L$104,MATCH($B543,Properties!$A$5:$A$104,0))+IF($G543="Y",INDEX(Properties!$I$5:$I$104,MATCH($B543,Properties!$A$5:$A$104,0))*Settings!$B$8*Settings!$B$9,0)+IF($H543="Y",Settings!$B$7*Settings!$B$9,0)+N($I543)*Settings!$B$9,IF($D543="Deep clean",INDEX(Settings!$E$22:$E$26,MATCH(MIN(INDEX(Properties!$E$5:$E$104,MATCH($B543,Properties!$A$5:$A$104,0)),4),Settings!$A$22:$A$26,0))*Settings!$B$19+N($I543)*Settings!$B$9,IF($D543="Late cancel",INDEX(Properties!$L$5:$L$104,MATCH($B543,Properties!$A$5:$A$104,0))*Settings!$B$11,0))),0))</f>
        <v/>
      </c>
      <c r="P543" s="28" t="str">
        <f aca="false">IF($B543="","",$N543-$O543)</f>
        <v/>
      </c>
      <c r="Q543" s="29" t="str">
        <f aca="false">IF($A543="","",DATE(YEAR($A543),MONTH($A543),1))</f>
        <v/>
      </c>
      <c r="R543" s="30" t="str">
        <f aca="false">IF($A543="","",$A543+MOD(6-WEEKDAY($A543),7))</f>
        <v/>
      </c>
      <c r="S543" s="31" t="str">
        <f aca="false">IF($B543="","",IF(AND($M543='Invoice Builder'!$C$5,$Q543='Invoice Builder'!$C$6,N($N543)&gt;0),COUNTIFS($M$5:$M543,'Invoice Builder'!$C$5,$Q$5:$Q543,'Invoice Builder'!$C$6,$N$5:$N543,"&gt;0"),""))</f>
        <v/>
      </c>
      <c r="T543" s="27" t="str">
        <f aca="false">IF($A543="","",IF($A543&gt;=DATE(YEAR($A543),4,6),YEAR($A543)&amp;"/"&amp;RIGHT(YEAR($A543)+1,2),YEAR($A543)-1&amp;"/"&amp;RIGHT(YEAR($A543),2)))</f>
        <v/>
      </c>
    </row>
    <row r="544" customFormat="false" ht="15" hidden="false" customHeight="false" outlineLevel="0" collapsed="false">
      <c r="A544" s="22"/>
      <c r="B544" s="23"/>
      <c r="C544" s="23"/>
      <c r="D544" s="23"/>
      <c r="E544" s="24"/>
      <c r="F544" s="24"/>
      <c r="G544" s="23"/>
      <c r="H544" s="23"/>
      <c r="I544" s="25"/>
      <c r="J544" s="23"/>
      <c r="K544" s="23"/>
      <c r="L544" s="26" t="str">
        <f aca="false">IF(OR($E544="",$F544=""),"",MOD($F544-$E544,1)*24)</f>
        <v/>
      </c>
      <c r="M544" s="27" t="str">
        <f aca="false">IF($B544="","",IFERROR(INDEX(Properties!$D$5:$D$104,MATCH($B544,Properties!$A$5:$A$104,0)),"?"))</f>
        <v/>
      </c>
      <c r="N544" s="28" t="str">
        <f aca="false">IF($B544="","",IFERROR(IF($D544="Completed",INDEX(Properties!$I$5:$I$104,MATCH($B544,Properties!$A$5:$A$104,0))*(1+IF($G544="Y",Settings!$B$8,0))+IF($H544="Y",Settings!$B$7,0)+N($I544),IF($D544="Deep clean",INDEX(Settings!$E$22:$E$26,MATCH(MIN(INDEX(Properties!$E$5:$E$104,MATCH($B544,Properties!$A$5:$A$104,0)),4),Settings!$A$22:$A$26,0))+N($I544),IF($D544="Late cancel",INDEX(Properties!$I$5:$I$104,MATCH($B544,Properties!$A$5:$A$104,0))*Settings!$B$10,0))),0))</f>
        <v/>
      </c>
      <c r="O544" s="28" t="str">
        <f aca="false">IF($B544="","",IFERROR(IF($D544="Completed",INDEX(Properties!$L$5:$L$104,MATCH($B544,Properties!$A$5:$A$104,0))+IF($G544="Y",INDEX(Properties!$I$5:$I$104,MATCH($B544,Properties!$A$5:$A$104,0))*Settings!$B$8*Settings!$B$9,0)+IF($H544="Y",Settings!$B$7*Settings!$B$9,0)+N($I544)*Settings!$B$9,IF($D544="Deep clean",INDEX(Settings!$E$22:$E$26,MATCH(MIN(INDEX(Properties!$E$5:$E$104,MATCH($B544,Properties!$A$5:$A$104,0)),4),Settings!$A$22:$A$26,0))*Settings!$B$19+N($I544)*Settings!$B$9,IF($D544="Late cancel",INDEX(Properties!$L$5:$L$104,MATCH($B544,Properties!$A$5:$A$104,0))*Settings!$B$11,0))),0))</f>
        <v/>
      </c>
      <c r="P544" s="28" t="str">
        <f aca="false">IF($B544="","",$N544-$O544)</f>
        <v/>
      </c>
      <c r="Q544" s="29" t="str">
        <f aca="false">IF($A544="","",DATE(YEAR($A544),MONTH($A544),1))</f>
        <v/>
      </c>
      <c r="R544" s="30" t="str">
        <f aca="false">IF($A544="","",$A544+MOD(6-WEEKDAY($A544),7))</f>
        <v/>
      </c>
      <c r="S544" s="31" t="str">
        <f aca="false">IF($B544="","",IF(AND($M544='Invoice Builder'!$C$5,$Q544='Invoice Builder'!$C$6,N($N544)&gt;0),COUNTIFS($M$5:$M544,'Invoice Builder'!$C$5,$Q$5:$Q544,'Invoice Builder'!$C$6,$N$5:$N544,"&gt;0"),""))</f>
        <v/>
      </c>
      <c r="T544" s="27" t="str">
        <f aca="false">IF($A544="","",IF($A544&gt;=DATE(YEAR($A544),4,6),YEAR($A544)&amp;"/"&amp;RIGHT(YEAR($A544)+1,2),YEAR($A544)-1&amp;"/"&amp;RIGHT(YEAR($A544),2)))</f>
        <v/>
      </c>
    </row>
    <row r="545" customFormat="false" ht="15" hidden="false" customHeight="false" outlineLevel="0" collapsed="false">
      <c r="A545" s="22"/>
      <c r="B545" s="23"/>
      <c r="C545" s="23"/>
      <c r="D545" s="23"/>
      <c r="E545" s="24"/>
      <c r="F545" s="24"/>
      <c r="G545" s="23"/>
      <c r="H545" s="23"/>
      <c r="I545" s="25"/>
      <c r="J545" s="23"/>
      <c r="K545" s="23"/>
      <c r="L545" s="26" t="str">
        <f aca="false">IF(OR($E545="",$F545=""),"",MOD($F545-$E545,1)*24)</f>
        <v/>
      </c>
      <c r="M545" s="27" t="str">
        <f aca="false">IF($B545="","",IFERROR(INDEX(Properties!$D$5:$D$104,MATCH($B545,Properties!$A$5:$A$104,0)),"?"))</f>
        <v/>
      </c>
      <c r="N545" s="28" t="str">
        <f aca="false">IF($B545="","",IFERROR(IF($D545="Completed",INDEX(Properties!$I$5:$I$104,MATCH($B545,Properties!$A$5:$A$104,0))*(1+IF($G545="Y",Settings!$B$8,0))+IF($H545="Y",Settings!$B$7,0)+N($I545),IF($D545="Deep clean",INDEX(Settings!$E$22:$E$26,MATCH(MIN(INDEX(Properties!$E$5:$E$104,MATCH($B545,Properties!$A$5:$A$104,0)),4),Settings!$A$22:$A$26,0))+N($I545),IF($D545="Late cancel",INDEX(Properties!$I$5:$I$104,MATCH($B545,Properties!$A$5:$A$104,0))*Settings!$B$10,0))),0))</f>
        <v/>
      </c>
      <c r="O545" s="28" t="str">
        <f aca="false">IF($B545="","",IFERROR(IF($D545="Completed",INDEX(Properties!$L$5:$L$104,MATCH($B545,Properties!$A$5:$A$104,0))+IF($G545="Y",INDEX(Properties!$I$5:$I$104,MATCH($B545,Properties!$A$5:$A$104,0))*Settings!$B$8*Settings!$B$9,0)+IF($H545="Y",Settings!$B$7*Settings!$B$9,0)+N($I545)*Settings!$B$9,IF($D545="Deep clean",INDEX(Settings!$E$22:$E$26,MATCH(MIN(INDEX(Properties!$E$5:$E$104,MATCH($B545,Properties!$A$5:$A$104,0)),4),Settings!$A$22:$A$26,0))*Settings!$B$19+N($I545)*Settings!$B$9,IF($D545="Late cancel",INDEX(Properties!$L$5:$L$104,MATCH($B545,Properties!$A$5:$A$104,0))*Settings!$B$11,0))),0))</f>
        <v/>
      </c>
      <c r="P545" s="28" t="str">
        <f aca="false">IF($B545="","",$N545-$O545)</f>
        <v/>
      </c>
      <c r="Q545" s="29" t="str">
        <f aca="false">IF($A545="","",DATE(YEAR($A545),MONTH($A545),1))</f>
        <v/>
      </c>
      <c r="R545" s="30" t="str">
        <f aca="false">IF($A545="","",$A545+MOD(6-WEEKDAY($A545),7))</f>
        <v/>
      </c>
      <c r="S545" s="31" t="str">
        <f aca="false">IF($B545="","",IF(AND($M545='Invoice Builder'!$C$5,$Q545='Invoice Builder'!$C$6,N($N545)&gt;0),COUNTIFS($M$5:$M545,'Invoice Builder'!$C$5,$Q$5:$Q545,'Invoice Builder'!$C$6,$N$5:$N545,"&gt;0"),""))</f>
        <v/>
      </c>
      <c r="T545" s="27" t="str">
        <f aca="false">IF($A545="","",IF($A545&gt;=DATE(YEAR($A545),4,6),YEAR($A545)&amp;"/"&amp;RIGHT(YEAR($A545)+1,2),YEAR($A545)-1&amp;"/"&amp;RIGHT(YEAR($A545),2)))</f>
        <v/>
      </c>
    </row>
    <row r="546" customFormat="false" ht="15" hidden="false" customHeight="false" outlineLevel="0" collapsed="false">
      <c r="A546" s="22"/>
      <c r="B546" s="23"/>
      <c r="C546" s="23"/>
      <c r="D546" s="23"/>
      <c r="E546" s="24"/>
      <c r="F546" s="24"/>
      <c r="G546" s="23"/>
      <c r="H546" s="23"/>
      <c r="I546" s="25"/>
      <c r="J546" s="23"/>
      <c r="K546" s="23"/>
      <c r="L546" s="26" t="str">
        <f aca="false">IF(OR($E546="",$F546=""),"",MOD($F546-$E546,1)*24)</f>
        <v/>
      </c>
      <c r="M546" s="27" t="str">
        <f aca="false">IF($B546="","",IFERROR(INDEX(Properties!$D$5:$D$104,MATCH($B546,Properties!$A$5:$A$104,0)),"?"))</f>
        <v/>
      </c>
      <c r="N546" s="28" t="str">
        <f aca="false">IF($B546="","",IFERROR(IF($D546="Completed",INDEX(Properties!$I$5:$I$104,MATCH($B546,Properties!$A$5:$A$104,0))*(1+IF($G546="Y",Settings!$B$8,0))+IF($H546="Y",Settings!$B$7,0)+N($I546),IF($D546="Deep clean",INDEX(Settings!$E$22:$E$26,MATCH(MIN(INDEX(Properties!$E$5:$E$104,MATCH($B546,Properties!$A$5:$A$104,0)),4),Settings!$A$22:$A$26,0))+N($I546),IF($D546="Late cancel",INDEX(Properties!$I$5:$I$104,MATCH($B546,Properties!$A$5:$A$104,0))*Settings!$B$10,0))),0))</f>
        <v/>
      </c>
      <c r="O546" s="28" t="str">
        <f aca="false">IF($B546="","",IFERROR(IF($D546="Completed",INDEX(Properties!$L$5:$L$104,MATCH($B546,Properties!$A$5:$A$104,0))+IF($G546="Y",INDEX(Properties!$I$5:$I$104,MATCH($B546,Properties!$A$5:$A$104,0))*Settings!$B$8*Settings!$B$9,0)+IF($H546="Y",Settings!$B$7*Settings!$B$9,0)+N($I546)*Settings!$B$9,IF($D546="Deep clean",INDEX(Settings!$E$22:$E$26,MATCH(MIN(INDEX(Properties!$E$5:$E$104,MATCH($B546,Properties!$A$5:$A$104,0)),4),Settings!$A$22:$A$26,0))*Settings!$B$19+N($I546)*Settings!$B$9,IF($D546="Late cancel",INDEX(Properties!$L$5:$L$104,MATCH($B546,Properties!$A$5:$A$104,0))*Settings!$B$11,0))),0))</f>
        <v/>
      </c>
      <c r="P546" s="28" t="str">
        <f aca="false">IF($B546="","",$N546-$O546)</f>
        <v/>
      </c>
      <c r="Q546" s="29" t="str">
        <f aca="false">IF($A546="","",DATE(YEAR($A546),MONTH($A546),1))</f>
        <v/>
      </c>
      <c r="R546" s="30" t="str">
        <f aca="false">IF($A546="","",$A546+MOD(6-WEEKDAY($A546),7))</f>
        <v/>
      </c>
      <c r="S546" s="31" t="str">
        <f aca="false">IF($B546="","",IF(AND($M546='Invoice Builder'!$C$5,$Q546='Invoice Builder'!$C$6,N($N546)&gt;0),COUNTIFS($M$5:$M546,'Invoice Builder'!$C$5,$Q$5:$Q546,'Invoice Builder'!$C$6,$N$5:$N546,"&gt;0"),""))</f>
        <v/>
      </c>
      <c r="T546" s="27" t="str">
        <f aca="false">IF($A546="","",IF($A546&gt;=DATE(YEAR($A546),4,6),YEAR($A546)&amp;"/"&amp;RIGHT(YEAR($A546)+1,2),YEAR($A546)-1&amp;"/"&amp;RIGHT(YEAR($A546),2)))</f>
        <v/>
      </c>
    </row>
    <row r="547" customFormat="false" ht="15" hidden="false" customHeight="false" outlineLevel="0" collapsed="false">
      <c r="A547" s="22"/>
      <c r="B547" s="23"/>
      <c r="C547" s="23"/>
      <c r="D547" s="23"/>
      <c r="E547" s="24"/>
      <c r="F547" s="24"/>
      <c r="G547" s="23"/>
      <c r="H547" s="23"/>
      <c r="I547" s="25"/>
      <c r="J547" s="23"/>
      <c r="K547" s="23"/>
      <c r="L547" s="26" t="str">
        <f aca="false">IF(OR($E547="",$F547=""),"",MOD($F547-$E547,1)*24)</f>
        <v/>
      </c>
      <c r="M547" s="27" t="str">
        <f aca="false">IF($B547="","",IFERROR(INDEX(Properties!$D$5:$D$104,MATCH($B547,Properties!$A$5:$A$104,0)),"?"))</f>
        <v/>
      </c>
      <c r="N547" s="28" t="str">
        <f aca="false">IF($B547="","",IFERROR(IF($D547="Completed",INDEX(Properties!$I$5:$I$104,MATCH($B547,Properties!$A$5:$A$104,0))*(1+IF($G547="Y",Settings!$B$8,0))+IF($H547="Y",Settings!$B$7,0)+N($I547),IF($D547="Deep clean",INDEX(Settings!$E$22:$E$26,MATCH(MIN(INDEX(Properties!$E$5:$E$104,MATCH($B547,Properties!$A$5:$A$104,0)),4),Settings!$A$22:$A$26,0))+N($I547),IF($D547="Late cancel",INDEX(Properties!$I$5:$I$104,MATCH($B547,Properties!$A$5:$A$104,0))*Settings!$B$10,0))),0))</f>
        <v/>
      </c>
      <c r="O547" s="28" t="str">
        <f aca="false">IF($B547="","",IFERROR(IF($D547="Completed",INDEX(Properties!$L$5:$L$104,MATCH($B547,Properties!$A$5:$A$104,0))+IF($G547="Y",INDEX(Properties!$I$5:$I$104,MATCH($B547,Properties!$A$5:$A$104,0))*Settings!$B$8*Settings!$B$9,0)+IF($H547="Y",Settings!$B$7*Settings!$B$9,0)+N($I547)*Settings!$B$9,IF($D547="Deep clean",INDEX(Settings!$E$22:$E$26,MATCH(MIN(INDEX(Properties!$E$5:$E$104,MATCH($B547,Properties!$A$5:$A$104,0)),4),Settings!$A$22:$A$26,0))*Settings!$B$19+N($I547)*Settings!$B$9,IF($D547="Late cancel",INDEX(Properties!$L$5:$L$104,MATCH($B547,Properties!$A$5:$A$104,0))*Settings!$B$11,0))),0))</f>
        <v/>
      </c>
      <c r="P547" s="28" t="str">
        <f aca="false">IF($B547="","",$N547-$O547)</f>
        <v/>
      </c>
      <c r="Q547" s="29" t="str">
        <f aca="false">IF($A547="","",DATE(YEAR($A547),MONTH($A547),1))</f>
        <v/>
      </c>
      <c r="R547" s="30" t="str">
        <f aca="false">IF($A547="","",$A547+MOD(6-WEEKDAY($A547),7))</f>
        <v/>
      </c>
      <c r="S547" s="31" t="str">
        <f aca="false">IF($B547="","",IF(AND($M547='Invoice Builder'!$C$5,$Q547='Invoice Builder'!$C$6,N($N547)&gt;0),COUNTIFS($M$5:$M547,'Invoice Builder'!$C$5,$Q$5:$Q547,'Invoice Builder'!$C$6,$N$5:$N547,"&gt;0"),""))</f>
        <v/>
      </c>
      <c r="T547" s="27" t="str">
        <f aca="false">IF($A547="","",IF($A547&gt;=DATE(YEAR($A547),4,6),YEAR($A547)&amp;"/"&amp;RIGHT(YEAR($A547)+1,2),YEAR($A547)-1&amp;"/"&amp;RIGHT(YEAR($A547),2)))</f>
        <v/>
      </c>
    </row>
    <row r="548" customFormat="false" ht="15" hidden="false" customHeight="false" outlineLevel="0" collapsed="false">
      <c r="A548" s="22"/>
      <c r="B548" s="23"/>
      <c r="C548" s="23"/>
      <c r="D548" s="23"/>
      <c r="E548" s="24"/>
      <c r="F548" s="24"/>
      <c r="G548" s="23"/>
      <c r="H548" s="23"/>
      <c r="I548" s="25"/>
      <c r="J548" s="23"/>
      <c r="K548" s="23"/>
      <c r="L548" s="26" t="str">
        <f aca="false">IF(OR($E548="",$F548=""),"",MOD($F548-$E548,1)*24)</f>
        <v/>
      </c>
      <c r="M548" s="27" t="str">
        <f aca="false">IF($B548="","",IFERROR(INDEX(Properties!$D$5:$D$104,MATCH($B548,Properties!$A$5:$A$104,0)),"?"))</f>
        <v/>
      </c>
      <c r="N548" s="28" t="str">
        <f aca="false">IF($B548="","",IFERROR(IF($D548="Completed",INDEX(Properties!$I$5:$I$104,MATCH($B548,Properties!$A$5:$A$104,0))*(1+IF($G548="Y",Settings!$B$8,0))+IF($H548="Y",Settings!$B$7,0)+N($I548),IF($D548="Deep clean",INDEX(Settings!$E$22:$E$26,MATCH(MIN(INDEX(Properties!$E$5:$E$104,MATCH($B548,Properties!$A$5:$A$104,0)),4),Settings!$A$22:$A$26,0))+N($I548),IF($D548="Late cancel",INDEX(Properties!$I$5:$I$104,MATCH($B548,Properties!$A$5:$A$104,0))*Settings!$B$10,0))),0))</f>
        <v/>
      </c>
      <c r="O548" s="28" t="str">
        <f aca="false">IF($B548="","",IFERROR(IF($D548="Completed",INDEX(Properties!$L$5:$L$104,MATCH($B548,Properties!$A$5:$A$104,0))+IF($G548="Y",INDEX(Properties!$I$5:$I$104,MATCH($B548,Properties!$A$5:$A$104,0))*Settings!$B$8*Settings!$B$9,0)+IF($H548="Y",Settings!$B$7*Settings!$B$9,0)+N($I548)*Settings!$B$9,IF($D548="Deep clean",INDEX(Settings!$E$22:$E$26,MATCH(MIN(INDEX(Properties!$E$5:$E$104,MATCH($B548,Properties!$A$5:$A$104,0)),4),Settings!$A$22:$A$26,0))*Settings!$B$19+N($I548)*Settings!$B$9,IF($D548="Late cancel",INDEX(Properties!$L$5:$L$104,MATCH($B548,Properties!$A$5:$A$104,0))*Settings!$B$11,0))),0))</f>
        <v/>
      </c>
      <c r="P548" s="28" t="str">
        <f aca="false">IF($B548="","",$N548-$O548)</f>
        <v/>
      </c>
      <c r="Q548" s="29" t="str">
        <f aca="false">IF($A548="","",DATE(YEAR($A548),MONTH($A548),1))</f>
        <v/>
      </c>
      <c r="R548" s="30" t="str">
        <f aca="false">IF($A548="","",$A548+MOD(6-WEEKDAY($A548),7))</f>
        <v/>
      </c>
      <c r="S548" s="31" t="str">
        <f aca="false">IF($B548="","",IF(AND($M548='Invoice Builder'!$C$5,$Q548='Invoice Builder'!$C$6,N($N548)&gt;0),COUNTIFS($M$5:$M548,'Invoice Builder'!$C$5,$Q$5:$Q548,'Invoice Builder'!$C$6,$N$5:$N548,"&gt;0"),""))</f>
        <v/>
      </c>
      <c r="T548" s="27" t="str">
        <f aca="false">IF($A548="","",IF($A548&gt;=DATE(YEAR($A548),4,6),YEAR($A548)&amp;"/"&amp;RIGHT(YEAR($A548)+1,2),YEAR($A548)-1&amp;"/"&amp;RIGHT(YEAR($A548),2)))</f>
        <v/>
      </c>
    </row>
    <row r="549" customFormat="false" ht="15" hidden="false" customHeight="false" outlineLevel="0" collapsed="false">
      <c r="A549" s="22"/>
      <c r="B549" s="23"/>
      <c r="C549" s="23"/>
      <c r="D549" s="23"/>
      <c r="E549" s="24"/>
      <c r="F549" s="24"/>
      <c r="G549" s="23"/>
      <c r="H549" s="23"/>
      <c r="I549" s="25"/>
      <c r="J549" s="23"/>
      <c r="K549" s="23"/>
      <c r="L549" s="26" t="str">
        <f aca="false">IF(OR($E549="",$F549=""),"",MOD($F549-$E549,1)*24)</f>
        <v/>
      </c>
      <c r="M549" s="27" t="str">
        <f aca="false">IF($B549="","",IFERROR(INDEX(Properties!$D$5:$D$104,MATCH($B549,Properties!$A$5:$A$104,0)),"?"))</f>
        <v/>
      </c>
      <c r="N549" s="28" t="str">
        <f aca="false">IF($B549="","",IFERROR(IF($D549="Completed",INDEX(Properties!$I$5:$I$104,MATCH($B549,Properties!$A$5:$A$104,0))*(1+IF($G549="Y",Settings!$B$8,0))+IF($H549="Y",Settings!$B$7,0)+N($I549),IF($D549="Deep clean",INDEX(Settings!$E$22:$E$26,MATCH(MIN(INDEX(Properties!$E$5:$E$104,MATCH($B549,Properties!$A$5:$A$104,0)),4),Settings!$A$22:$A$26,0))+N($I549),IF($D549="Late cancel",INDEX(Properties!$I$5:$I$104,MATCH($B549,Properties!$A$5:$A$104,0))*Settings!$B$10,0))),0))</f>
        <v/>
      </c>
      <c r="O549" s="28" t="str">
        <f aca="false">IF($B549="","",IFERROR(IF($D549="Completed",INDEX(Properties!$L$5:$L$104,MATCH($B549,Properties!$A$5:$A$104,0))+IF($G549="Y",INDEX(Properties!$I$5:$I$104,MATCH($B549,Properties!$A$5:$A$104,0))*Settings!$B$8*Settings!$B$9,0)+IF($H549="Y",Settings!$B$7*Settings!$B$9,0)+N($I549)*Settings!$B$9,IF($D549="Deep clean",INDEX(Settings!$E$22:$E$26,MATCH(MIN(INDEX(Properties!$E$5:$E$104,MATCH($B549,Properties!$A$5:$A$104,0)),4),Settings!$A$22:$A$26,0))*Settings!$B$19+N($I549)*Settings!$B$9,IF($D549="Late cancel",INDEX(Properties!$L$5:$L$104,MATCH($B549,Properties!$A$5:$A$104,0))*Settings!$B$11,0))),0))</f>
        <v/>
      </c>
      <c r="P549" s="28" t="str">
        <f aca="false">IF($B549="","",$N549-$O549)</f>
        <v/>
      </c>
      <c r="Q549" s="29" t="str">
        <f aca="false">IF($A549="","",DATE(YEAR($A549),MONTH($A549),1))</f>
        <v/>
      </c>
      <c r="R549" s="30" t="str">
        <f aca="false">IF($A549="","",$A549+MOD(6-WEEKDAY($A549),7))</f>
        <v/>
      </c>
      <c r="S549" s="31" t="str">
        <f aca="false">IF($B549="","",IF(AND($M549='Invoice Builder'!$C$5,$Q549='Invoice Builder'!$C$6,N($N549)&gt;0),COUNTIFS($M$5:$M549,'Invoice Builder'!$C$5,$Q$5:$Q549,'Invoice Builder'!$C$6,$N$5:$N549,"&gt;0"),""))</f>
        <v/>
      </c>
      <c r="T549" s="27" t="str">
        <f aca="false">IF($A549="","",IF($A549&gt;=DATE(YEAR($A549),4,6),YEAR($A549)&amp;"/"&amp;RIGHT(YEAR($A549)+1,2),YEAR($A549)-1&amp;"/"&amp;RIGHT(YEAR($A549),2)))</f>
        <v/>
      </c>
    </row>
    <row r="550" customFormat="false" ht="15" hidden="false" customHeight="false" outlineLevel="0" collapsed="false">
      <c r="A550" s="22"/>
      <c r="B550" s="23"/>
      <c r="C550" s="23"/>
      <c r="D550" s="23"/>
      <c r="E550" s="24"/>
      <c r="F550" s="24"/>
      <c r="G550" s="23"/>
      <c r="H550" s="23"/>
      <c r="I550" s="25"/>
      <c r="J550" s="23"/>
      <c r="K550" s="23"/>
      <c r="L550" s="26" t="str">
        <f aca="false">IF(OR($E550="",$F550=""),"",MOD($F550-$E550,1)*24)</f>
        <v/>
      </c>
      <c r="M550" s="27" t="str">
        <f aca="false">IF($B550="","",IFERROR(INDEX(Properties!$D$5:$D$104,MATCH($B550,Properties!$A$5:$A$104,0)),"?"))</f>
        <v/>
      </c>
      <c r="N550" s="28" t="str">
        <f aca="false">IF($B550="","",IFERROR(IF($D550="Completed",INDEX(Properties!$I$5:$I$104,MATCH($B550,Properties!$A$5:$A$104,0))*(1+IF($G550="Y",Settings!$B$8,0))+IF($H550="Y",Settings!$B$7,0)+N($I550),IF($D550="Deep clean",INDEX(Settings!$E$22:$E$26,MATCH(MIN(INDEX(Properties!$E$5:$E$104,MATCH($B550,Properties!$A$5:$A$104,0)),4),Settings!$A$22:$A$26,0))+N($I550),IF($D550="Late cancel",INDEX(Properties!$I$5:$I$104,MATCH($B550,Properties!$A$5:$A$104,0))*Settings!$B$10,0))),0))</f>
        <v/>
      </c>
      <c r="O550" s="28" t="str">
        <f aca="false">IF($B550="","",IFERROR(IF($D550="Completed",INDEX(Properties!$L$5:$L$104,MATCH($B550,Properties!$A$5:$A$104,0))+IF($G550="Y",INDEX(Properties!$I$5:$I$104,MATCH($B550,Properties!$A$5:$A$104,0))*Settings!$B$8*Settings!$B$9,0)+IF($H550="Y",Settings!$B$7*Settings!$B$9,0)+N($I550)*Settings!$B$9,IF($D550="Deep clean",INDEX(Settings!$E$22:$E$26,MATCH(MIN(INDEX(Properties!$E$5:$E$104,MATCH($B550,Properties!$A$5:$A$104,0)),4),Settings!$A$22:$A$26,0))*Settings!$B$19+N($I550)*Settings!$B$9,IF($D550="Late cancel",INDEX(Properties!$L$5:$L$104,MATCH($B550,Properties!$A$5:$A$104,0))*Settings!$B$11,0))),0))</f>
        <v/>
      </c>
      <c r="P550" s="28" t="str">
        <f aca="false">IF($B550="","",$N550-$O550)</f>
        <v/>
      </c>
      <c r="Q550" s="29" t="str">
        <f aca="false">IF($A550="","",DATE(YEAR($A550),MONTH($A550),1))</f>
        <v/>
      </c>
      <c r="R550" s="30" t="str">
        <f aca="false">IF($A550="","",$A550+MOD(6-WEEKDAY($A550),7))</f>
        <v/>
      </c>
      <c r="S550" s="31" t="str">
        <f aca="false">IF($B550="","",IF(AND($M550='Invoice Builder'!$C$5,$Q550='Invoice Builder'!$C$6,N($N550)&gt;0),COUNTIFS($M$5:$M550,'Invoice Builder'!$C$5,$Q$5:$Q550,'Invoice Builder'!$C$6,$N$5:$N550,"&gt;0"),""))</f>
        <v/>
      </c>
      <c r="T550" s="27" t="str">
        <f aca="false">IF($A550="","",IF($A550&gt;=DATE(YEAR($A550),4,6),YEAR($A550)&amp;"/"&amp;RIGHT(YEAR($A550)+1,2),YEAR($A550)-1&amp;"/"&amp;RIGHT(YEAR($A550),2)))</f>
        <v/>
      </c>
    </row>
    <row r="551" customFormat="false" ht="15" hidden="false" customHeight="false" outlineLevel="0" collapsed="false">
      <c r="A551" s="22"/>
      <c r="B551" s="23"/>
      <c r="C551" s="23"/>
      <c r="D551" s="23"/>
      <c r="E551" s="24"/>
      <c r="F551" s="24"/>
      <c r="G551" s="23"/>
      <c r="H551" s="23"/>
      <c r="I551" s="25"/>
      <c r="J551" s="23"/>
      <c r="K551" s="23"/>
      <c r="L551" s="26" t="str">
        <f aca="false">IF(OR($E551="",$F551=""),"",MOD($F551-$E551,1)*24)</f>
        <v/>
      </c>
      <c r="M551" s="27" t="str">
        <f aca="false">IF($B551="","",IFERROR(INDEX(Properties!$D$5:$D$104,MATCH($B551,Properties!$A$5:$A$104,0)),"?"))</f>
        <v/>
      </c>
      <c r="N551" s="28" t="str">
        <f aca="false">IF($B551="","",IFERROR(IF($D551="Completed",INDEX(Properties!$I$5:$I$104,MATCH($B551,Properties!$A$5:$A$104,0))*(1+IF($G551="Y",Settings!$B$8,0))+IF($H551="Y",Settings!$B$7,0)+N($I551),IF($D551="Deep clean",INDEX(Settings!$E$22:$E$26,MATCH(MIN(INDEX(Properties!$E$5:$E$104,MATCH($B551,Properties!$A$5:$A$104,0)),4),Settings!$A$22:$A$26,0))+N($I551),IF($D551="Late cancel",INDEX(Properties!$I$5:$I$104,MATCH($B551,Properties!$A$5:$A$104,0))*Settings!$B$10,0))),0))</f>
        <v/>
      </c>
      <c r="O551" s="28" t="str">
        <f aca="false">IF($B551="","",IFERROR(IF($D551="Completed",INDEX(Properties!$L$5:$L$104,MATCH($B551,Properties!$A$5:$A$104,0))+IF($G551="Y",INDEX(Properties!$I$5:$I$104,MATCH($B551,Properties!$A$5:$A$104,0))*Settings!$B$8*Settings!$B$9,0)+IF($H551="Y",Settings!$B$7*Settings!$B$9,0)+N($I551)*Settings!$B$9,IF($D551="Deep clean",INDEX(Settings!$E$22:$E$26,MATCH(MIN(INDEX(Properties!$E$5:$E$104,MATCH($B551,Properties!$A$5:$A$104,0)),4),Settings!$A$22:$A$26,0))*Settings!$B$19+N($I551)*Settings!$B$9,IF($D551="Late cancel",INDEX(Properties!$L$5:$L$104,MATCH($B551,Properties!$A$5:$A$104,0))*Settings!$B$11,0))),0))</f>
        <v/>
      </c>
      <c r="P551" s="28" t="str">
        <f aca="false">IF($B551="","",$N551-$O551)</f>
        <v/>
      </c>
      <c r="Q551" s="29" t="str">
        <f aca="false">IF($A551="","",DATE(YEAR($A551),MONTH($A551),1))</f>
        <v/>
      </c>
      <c r="R551" s="30" t="str">
        <f aca="false">IF($A551="","",$A551+MOD(6-WEEKDAY($A551),7))</f>
        <v/>
      </c>
      <c r="S551" s="31" t="str">
        <f aca="false">IF($B551="","",IF(AND($M551='Invoice Builder'!$C$5,$Q551='Invoice Builder'!$C$6,N($N551)&gt;0),COUNTIFS($M$5:$M551,'Invoice Builder'!$C$5,$Q$5:$Q551,'Invoice Builder'!$C$6,$N$5:$N551,"&gt;0"),""))</f>
        <v/>
      </c>
      <c r="T551" s="27" t="str">
        <f aca="false">IF($A551="","",IF($A551&gt;=DATE(YEAR($A551),4,6),YEAR($A551)&amp;"/"&amp;RIGHT(YEAR($A551)+1,2),YEAR($A551)-1&amp;"/"&amp;RIGHT(YEAR($A551),2)))</f>
        <v/>
      </c>
    </row>
    <row r="552" customFormat="false" ht="15" hidden="false" customHeight="false" outlineLevel="0" collapsed="false">
      <c r="A552" s="22"/>
      <c r="B552" s="23"/>
      <c r="C552" s="23"/>
      <c r="D552" s="23"/>
      <c r="E552" s="24"/>
      <c r="F552" s="24"/>
      <c r="G552" s="23"/>
      <c r="H552" s="23"/>
      <c r="I552" s="25"/>
      <c r="J552" s="23"/>
      <c r="K552" s="23"/>
      <c r="L552" s="26" t="str">
        <f aca="false">IF(OR($E552="",$F552=""),"",MOD($F552-$E552,1)*24)</f>
        <v/>
      </c>
      <c r="M552" s="27" t="str">
        <f aca="false">IF($B552="","",IFERROR(INDEX(Properties!$D$5:$D$104,MATCH($B552,Properties!$A$5:$A$104,0)),"?"))</f>
        <v/>
      </c>
      <c r="N552" s="28" t="str">
        <f aca="false">IF($B552="","",IFERROR(IF($D552="Completed",INDEX(Properties!$I$5:$I$104,MATCH($B552,Properties!$A$5:$A$104,0))*(1+IF($G552="Y",Settings!$B$8,0))+IF($H552="Y",Settings!$B$7,0)+N($I552),IF($D552="Deep clean",INDEX(Settings!$E$22:$E$26,MATCH(MIN(INDEX(Properties!$E$5:$E$104,MATCH($B552,Properties!$A$5:$A$104,0)),4),Settings!$A$22:$A$26,0))+N($I552),IF($D552="Late cancel",INDEX(Properties!$I$5:$I$104,MATCH($B552,Properties!$A$5:$A$104,0))*Settings!$B$10,0))),0))</f>
        <v/>
      </c>
      <c r="O552" s="28" t="str">
        <f aca="false">IF($B552="","",IFERROR(IF($D552="Completed",INDEX(Properties!$L$5:$L$104,MATCH($B552,Properties!$A$5:$A$104,0))+IF($G552="Y",INDEX(Properties!$I$5:$I$104,MATCH($B552,Properties!$A$5:$A$104,0))*Settings!$B$8*Settings!$B$9,0)+IF($H552="Y",Settings!$B$7*Settings!$B$9,0)+N($I552)*Settings!$B$9,IF($D552="Deep clean",INDEX(Settings!$E$22:$E$26,MATCH(MIN(INDEX(Properties!$E$5:$E$104,MATCH($B552,Properties!$A$5:$A$104,0)),4),Settings!$A$22:$A$26,0))*Settings!$B$19+N($I552)*Settings!$B$9,IF($D552="Late cancel",INDEX(Properties!$L$5:$L$104,MATCH($B552,Properties!$A$5:$A$104,0))*Settings!$B$11,0))),0))</f>
        <v/>
      </c>
      <c r="P552" s="28" t="str">
        <f aca="false">IF($B552="","",$N552-$O552)</f>
        <v/>
      </c>
      <c r="Q552" s="29" t="str">
        <f aca="false">IF($A552="","",DATE(YEAR($A552),MONTH($A552),1))</f>
        <v/>
      </c>
      <c r="R552" s="30" t="str">
        <f aca="false">IF($A552="","",$A552+MOD(6-WEEKDAY($A552),7))</f>
        <v/>
      </c>
      <c r="S552" s="31" t="str">
        <f aca="false">IF($B552="","",IF(AND($M552='Invoice Builder'!$C$5,$Q552='Invoice Builder'!$C$6,N($N552)&gt;0),COUNTIFS($M$5:$M552,'Invoice Builder'!$C$5,$Q$5:$Q552,'Invoice Builder'!$C$6,$N$5:$N552,"&gt;0"),""))</f>
        <v/>
      </c>
      <c r="T552" s="27" t="str">
        <f aca="false">IF($A552="","",IF($A552&gt;=DATE(YEAR($A552),4,6),YEAR($A552)&amp;"/"&amp;RIGHT(YEAR($A552)+1,2),YEAR($A552)-1&amp;"/"&amp;RIGHT(YEAR($A552),2)))</f>
        <v/>
      </c>
    </row>
    <row r="553" customFormat="false" ht="15" hidden="false" customHeight="false" outlineLevel="0" collapsed="false">
      <c r="A553" s="22"/>
      <c r="B553" s="23"/>
      <c r="C553" s="23"/>
      <c r="D553" s="23"/>
      <c r="E553" s="24"/>
      <c r="F553" s="24"/>
      <c r="G553" s="23"/>
      <c r="H553" s="23"/>
      <c r="I553" s="25"/>
      <c r="J553" s="23"/>
      <c r="K553" s="23"/>
      <c r="L553" s="26" t="str">
        <f aca="false">IF(OR($E553="",$F553=""),"",MOD($F553-$E553,1)*24)</f>
        <v/>
      </c>
      <c r="M553" s="27" t="str">
        <f aca="false">IF($B553="","",IFERROR(INDEX(Properties!$D$5:$D$104,MATCH($B553,Properties!$A$5:$A$104,0)),"?"))</f>
        <v/>
      </c>
      <c r="N553" s="28" t="str">
        <f aca="false">IF($B553="","",IFERROR(IF($D553="Completed",INDEX(Properties!$I$5:$I$104,MATCH($B553,Properties!$A$5:$A$104,0))*(1+IF($G553="Y",Settings!$B$8,0))+IF($H553="Y",Settings!$B$7,0)+N($I553),IF($D553="Deep clean",INDEX(Settings!$E$22:$E$26,MATCH(MIN(INDEX(Properties!$E$5:$E$104,MATCH($B553,Properties!$A$5:$A$104,0)),4),Settings!$A$22:$A$26,0))+N($I553),IF($D553="Late cancel",INDEX(Properties!$I$5:$I$104,MATCH($B553,Properties!$A$5:$A$104,0))*Settings!$B$10,0))),0))</f>
        <v/>
      </c>
      <c r="O553" s="28" t="str">
        <f aca="false">IF($B553="","",IFERROR(IF($D553="Completed",INDEX(Properties!$L$5:$L$104,MATCH($B553,Properties!$A$5:$A$104,0))+IF($G553="Y",INDEX(Properties!$I$5:$I$104,MATCH($B553,Properties!$A$5:$A$104,0))*Settings!$B$8*Settings!$B$9,0)+IF($H553="Y",Settings!$B$7*Settings!$B$9,0)+N($I553)*Settings!$B$9,IF($D553="Deep clean",INDEX(Settings!$E$22:$E$26,MATCH(MIN(INDEX(Properties!$E$5:$E$104,MATCH($B553,Properties!$A$5:$A$104,0)),4),Settings!$A$22:$A$26,0))*Settings!$B$19+N($I553)*Settings!$B$9,IF($D553="Late cancel",INDEX(Properties!$L$5:$L$104,MATCH($B553,Properties!$A$5:$A$104,0))*Settings!$B$11,0))),0))</f>
        <v/>
      </c>
      <c r="P553" s="28" t="str">
        <f aca="false">IF($B553="","",$N553-$O553)</f>
        <v/>
      </c>
      <c r="Q553" s="29" t="str">
        <f aca="false">IF($A553="","",DATE(YEAR($A553),MONTH($A553),1))</f>
        <v/>
      </c>
      <c r="R553" s="30" t="str">
        <f aca="false">IF($A553="","",$A553+MOD(6-WEEKDAY($A553),7))</f>
        <v/>
      </c>
      <c r="S553" s="31" t="str">
        <f aca="false">IF($B553="","",IF(AND($M553='Invoice Builder'!$C$5,$Q553='Invoice Builder'!$C$6,N($N553)&gt;0),COUNTIFS($M$5:$M553,'Invoice Builder'!$C$5,$Q$5:$Q553,'Invoice Builder'!$C$6,$N$5:$N553,"&gt;0"),""))</f>
        <v/>
      </c>
      <c r="T553" s="27" t="str">
        <f aca="false">IF($A553="","",IF($A553&gt;=DATE(YEAR($A553),4,6),YEAR($A553)&amp;"/"&amp;RIGHT(YEAR($A553)+1,2),YEAR($A553)-1&amp;"/"&amp;RIGHT(YEAR($A553),2)))</f>
        <v/>
      </c>
    </row>
    <row r="554" customFormat="false" ht="15" hidden="false" customHeight="false" outlineLevel="0" collapsed="false">
      <c r="A554" s="22"/>
      <c r="B554" s="23"/>
      <c r="C554" s="23"/>
      <c r="D554" s="23"/>
      <c r="E554" s="24"/>
      <c r="F554" s="24"/>
      <c r="G554" s="23"/>
      <c r="H554" s="23"/>
      <c r="I554" s="25"/>
      <c r="J554" s="23"/>
      <c r="K554" s="23"/>
      <c r="L554" s="26" t="str">
        <f aca="false">IF(OR($E554="",$F554=""),"",MOD($F554-$E554,1)*24)</f>
        <v/>
      </c>
      <c r="M554" s="27" t="str">
        <f aca="false">IF($B554="","",IFERROR(INDEX(Properties!$D$5:$D$104,MATCH($B554,Properties!$A$5:$A$104,0)),"?"))</f>
        <v/>
      </c>
      <c r="N554" s="28" t="str">
        <f aca="false">IF($B554="","",IFERROR(IF($D554="Completed",INDEX(Properties!$I$5:$I$104,MATCH($B554,Properties!$A$5:$A$104,0))*(1+IF($G554="Y",Settings!$B$8,0))+IF($H554="Y",Settings!$B$7,0)+N($I554),IF($D554="Deep clean",INDEX(Settings!$E$22:$E$26,MATCH(MIN(INDEX(Properties!$E$5:$E$104,MATCH($B554,Properties!$A$5:$A$104,0)),4),Settings!$A$22:$A$26,0))+N($I554),IF($D554="Late cancel",INDEX(Properties!$I$5:$I$104,MATCH($B554,Properties!$A$5:$A$104,0))*Settings!$B$10,0))),0))</f>
        <v/>
      </c>
      <c r="O554" s="28" t="str">
        <f aca="false">IF($B554="","",IFERROR(IF($D554="Completed",INDEX(Properties!$L$5:$L$104,MATCH($B554,Properties!$A$5:$A$104,0))+IF($G554="Y",INDEX(Properties!$I$5:$I$104,MATCH($B554,Properties!$A$5:$A$104,0))*Settings!$B$8*Settings!$B$9,0)+IF($H554="Y",Settings!$B$7*Settings!$B$9,0)+N($I554)*Settings!$B$9,IF($D554="Deep clean",INDEX(Settings!$E$22:$E$26,MATCH(MIN(INDEX(Properties!$E$5:$E$104,MATCH($B554,Properties!$A$5:$A$104,0)),4),Settings!$A$22:$A$26,0))*Settings!$B$19+N($I554)*Settings!$B$9,IF($D554="Late cancel",INDEX(Properties!$L$5:$L$104,MATCH($B554,Properties!$A$5:$A$104,0))*Settings!$B$11,0))),0))</f>
        <v/>
      </c>
      <c r="P554" s="28" t="str">
        <f aca="false">IF($B554="","",$N554-$O554)</f>
        <v/>
      </c>
      <c r="Q554" s="29" t="str">
        <f aca="false">IF($A554="","",DATE(YEAR($A554),MONTH($A554),1))</f>
        <v/>
      </c>
      <c r="R554" s="30" t="str">
        <f aca="false">IF($A554="","",$A554+MOD(6-WEEKDAY($A554),7))</f>
        <v/>
      </c>
      <c r="S554" s="31" t="str">
        <f aca="false">IF($B554="","",IF(AND($M554='Invoice Builder'!$C$5,$Q554='Invoice Builder'!$C$6,N($N554)&gt;0),COUNTIFS($M$5:$M554,'Invoice Builder'!$C$5,$Q$5:$Q554,'Invoice Builder'!$C$6,$N$5:$N554,"&gt;0"),""))</f>
        <v/>
      </c>
      <c r="T554" s="27" t="str">
        <f aca="false">IF($A554="","",IF($A554&gt;=DATE(YEAR($A554),4,6),YEAR($A554)&amp;"/"&amp;RIGHT(YEAR($A554)+1,2),YEAR($A554)-1&amp;"/"&amp;RIGHT(YEAR($A554),2)))</f>
        <v/>
      </c>
    </row>
    <row r="555" customFormat="false" ht="15" hidden="false" customHeight="false" outlineLevel="0" collapsed="false">
      <c r="A555" s="22"/>
      <c r="B555" s="23"/>
      <c r="C555" s="23"/>
      <c r="D555" s="23"/>
      <c r="E555" s="24"/>
      <c r="F555" s="24"/>
      <c r="G555" s="23"/>
      <c r="H555" s="23"/>
      <c r="I555" s="25"/>
      <c r="J555" s="23"/>
      <c r="K555" s="23"/>
      <c r="L555" s="26" t="str">
        <f aca="false">IF(OR($E555="",$F555=""),"",MOD($F555-$E555,1)*24)</f>
        <v/>
      </c>
      <c r="M555" s="27" t="str">
        <f aca="false">IF($B555="","",IFERROR(INDEX(Properties!$D$5:$D$104,MATCH($B555,Properties!$A$5:$A$104,0)),"?"))</f>
        <v/>
      </c>
      <c r="N555" s="28" t="str">
        <f aca="false">IF($B555="","",IFERROR(IF($D555="Completed",INDEX(Properties!$I$5:$I$104,MATCH($B555,Properties!$A$5:$A$104,0))*(1+IF($G555="Y",Settings!$B$8,0))+IF($H555="Y",Settings!$B$7,0)+N($I555),IF($D555="Deep clean",INDEX(Settings!$E$22:$E$26,MATCH(MIN(INDEX(Properties!$E$5:$E$104,MATCH($B555,Properties!$A$5:$A$104,0)),4),Settings!$A$22:$A$26,0))+N($I555),IF($D555="Late cancel",INDEX(Properties!$I$5:$I$104,MATCH($B555,Properties!$A$5:$A$104,0))*Settings!$B$10,0))),0))</f>
        <v/>
      </c>
      <c r="O555" s="28" t="str">
        <f aca="false">IF($B555="","",IFERROR(IF($D555="Completed",INDEX(Properties!$L$5:$L$104,MATCH($B555,Properties!$A$5:$A$104,0))+IF($G555="Y",INDEX(Properties!$I$5:$I$104,MATCH($B555,Properties!$A$5:$A$104,0))*Settings!$B$8*Settings!$B$9,0)+IF($H555="Y",Settings!$B$7*Settings!$B$9,0)+N($I555)*Settings!$B$9,IF($D555="Deep clean",INDEX(Settings!$E$22:$E$26,MATCH(MIN(INDEX(Properties!$E$5:$E$104,MATCH($B555,Properties!$A$5:$A$104,0)),4),Settings!$A$22:$A$26,0))*Settings!$B$19+N($I555)*Settings!$B$9,IF($D555="Late cancel",INDEX(Properties!$L$5:$L$104,MATCH($B555,Properties!$A$5:$A$104,0))*Settings!$B$11,0))),0))</f>
        <v/>
      </c>
      <c r="P555" s="28" t="str">
        <f aca="false">IF($B555="","",$N555-$O555)</f>
        <v/>
      </c>
      <c r="Q555" s="29" t="str">
        <f aca="false">IF($A555="","",DATE(YEAR($A555),MONTH($A555),1))</f>
        <v/>
      </c>
      <c r="R555" s="30" t="str">
        <f aca="false">IF($A555="","",$A555+MOD(6-WEEKDAY($A555),7))</f>
        <v/>
      </c>
      <c r="S555" s="31" t="str">
        <f aca="false">IF($B555="","",IF(AND($M555='Invoice Builder'!$C$5,$Q555='Invoice Builder'!$C$6,N($N555)&gt;0),COUNTIFS($M$5:$M555,'Invoice Builder'!$C$5,$Q$5:$Q555,'Invoice Builder'!$C$6,$N$5:$N555,"&gt;0"),""))</f>
        <v/>
      </c>
      <c r="T555" s="27" t="str">
        <f aca="false">IF($A555="","",IF($A555&gt;=DATE(YEAR($A555),4,6),YEAR($A555)&amp;"/"&amp;RIGHT(YEAR($A555)+1,2),YEAR($A555)-1&amp;"/"&amp;RIGHT(YEAR($A555),2)))</f>
        <v/>
      </c>
    </row>
    <row r="556" customFormat="false" ht="15" hidden="false" customHeight="false" outlineLevel="0" collapsed="false">
      <c r="A556" s="22"/>
      <c r="B556" s="23"/>
      <c r="C556" s="23"/>
      <c r="D556" s="23"/>
      <c r="E556" s="24"/>
      <c r="F556" s="24"/>
      <c r="G556" s="23"/>
      <c r="H556" s="23"/>
      <c r="I556" s="25"/>
      <c r="J556" s="23"/>
      <c r="K556" s="23"/>
      <c r="L556" s="26" t="str">
        <f aca="false">IF(OR($E556="",$F556=""),"",MOD($F556-$E556,1)*24)</f>
        <v/>
      </c>
      <c r="M556" s="27" t="str">
        <f aca="false">IF($B556="","",IFERROR(INDEX(Properties!$D$5:$D$104,MATCH($B556,Properties!$A$5:$A$104,0)),"?"))</f>
        <v/>
      </c>
      <c r="N556" s="28" t="str">
        <f aca="false">IF($B556="","",IFERROR(IF($D556="Completed",INDEX(Properties!$I$5:$I$104,MATCH($B556,Properties!$A$5:$A$104,0))*(1+IF($G556="Y",Settings!$B$8,0))+IF($H556="Y",Settings!$B$7,0)+N($I556),IF($D556="Deep clean",INDEX(Settings!$E$22:$E$26,MATCH(MIN(INDEX(Properties!$E$5:$E$104,MATCH($B556,Properties!$A$5:$A$104,0)),4),Settings!$A$22:$A$26,0))+N($I556),IF($D556="Late cancel",INDEX(Properties!$I$5:$I$104,MATCH($B556,Properties!$A$5:$A$104,0))*Settings!$B$10,0))),0))</f>
        <v/>
      </c>
      <c r="O556" s="28" t="str">
        <f aca="false">IF($B556="","",IFERROR(IF($D556="Completed",INDEX(Properties!$L$5:$L$104,MATCH($B556,Properties!$A$5:$A$104,0))+IF($G556="Y",INDEX(Properties!$I$5:$I$104,MATCH($B556,Properties!$A$5:$A$104,0))*Settings!$B$8*Settings!$B$9,0)+IF($H556="Y",Settings!$B$7*Settings!$B$9,0)+N($I556)*Settings!$B$9,IF($D556="Deep clean",INDEX(Settings!$E$22:$E$26,MATCH(MIN(INDEX(Properties!$E$5:$E$104,MATCH($B556,Properties!$A$5:$A$104,0)),4),Settings!$A$22:$A$26,0))*Settings!$B$19+N($I556)*Settings!$B$9,IF($D556="Late cancel",INDEX(Properties!$L$5:$L$104,MATCH($B556,Properties!$A$5:$A$104,0))*Settings!$B$11,0))),0))</f>
        <v/>
      </c>
      <c r="P556" s="28" t="str">
        <f aca="false">IF($B556="","",$N556-$O556)</f>
        <v/>
      </c>
      <c r="Q556" s="29" t="str">
        <f aca="false">IF($A556="","",DATE(YEAR($A556),MONTH($A556),1))</f>
        <v/>
      </c>
      <c r="R556" s="30" t="str">
        <f aca="false">IF($A556="","",$A556+MOD(6-WEEKDAY($A556),7))</f>
        <v/>
      </c>
      <c r="S556" s="31" t="str">
        <f aca="false">IF($B556="","",IF(AND($M556='Invoice Builder'!$C$5,$Q556='Invoice Builder'!$C$6,N($N556)&gt;0),COUNTIFS($M$5:$M556,'Invoice Builder'!$C$5,$Q$5:$Q556,'Invoice Builder'!$C$6,$N$5:$N556,"&gt;0"),""))</f>
        <v/>
      </c>
      <c r="T556" s="27" t="str">
        <f aca="false">IF($A556="","",IF($A556&gt;=DATE(YEAR($A556),4,6),YEAR($A556)&amp;"/"&amp;RIGHT(YEAR($A556)+1,2),YEAR($A556)-1&amp;"/"&amp;RIGHT(YEAR($A556),2)))</f>
        <v/>
      </c>
    </row>
    <row r="557" customFormat="false" ht="15" hidden="false" customHeight="false" outlineLevel="0" collapsed="false">
      <c r="A557" s="22"/>
      <c r="B557" s="23"/>
      <c r="C557" s="23"/>
      <c r="D557" s="23"/>
      <c r="E557" s="24"/>
      <c r="F557" s="24"/>
      <c r="G557" s="23"/>
      <c r="H557" s="23"/>
      <c r="I557" s="25"/>
      <c r="J557" s="23"/>
      <c r="K557" s="23"/>
      <c r="L557" s="26" t="str">
        <f aca="false">IF(OR($E557="",$F557=""),"",MOD($F557-$E557,1)*24)</f>
        <v/>
      </c>
      <c r="M557" s="27" t="str">
        <f aca="false">IF($B557="","",IFERROR(INDEX(Properties!$D$5:$D$104,MATCH($B557,Properties!$A$5:$A$104,0)),"?"))</f>
        <v/>
      </c>
      <c r="N557" s="28" t="str">
        <f aca="false">IF($B557="","",IFERROR(IF($D557="Completed",INDEX(Properties!$I$5:$I$104,MATCH($B557,Properties!$A$5:$A$104,0))*(1+IF($G557="Y",Settings!$B$8,0))+IF($H557="Y",Settings!$B$7,0)+N($I557),IF($D557="Deep clean",INDEX(Settings!$E$22:$E$26,MATCH(MIN(INDEX(Properties!$E$5:$E$104,MATCH($B557,Properties!$A$5:$A$104,0)),4),Settings!$A$22:$A$26,0))+N($I557),IF($D557="Late cancel",INDEX(Properties!$I$5:$I$104,MATCH($B557,Properties!$A$5:$A$104,0))*Settings!$B$10,0))),0))</f>
        <v/>
      </c>
      <c r="O557" s="28" t="str">
        <f aca="false">IF($B557="","",IFERROR(IF($D557="Completed",INDEX(Properties!$L$5:$L$104,MATCH($B557,Properties!$A$5:$A$104,0))+IF($G557="Y",INDEX(Properties!$I$5:$I$104,MATCH($B557,Properties!$A$5:$A$104,0))*Settings!$B$8*Settings!$B$9,0)+IF($H557="Y",Settings!$B$7*Settings!$B$9,0)+N($I557)*Settings!$B$9,IF($D557="Deep clean",INDEX(Settings!$E$22:$E$26,MATCH(MIN(INDEX(Properties!$E$5:$E$104,MATCH($B557,Properties!$A$5:$A$104,0)),4),Settings!$A$22:$A$26,0))*Settings!$B$19+N($I557)*Settings!$B$9,IF($D557="Late cancel",INDEX(Properties!$L$5:$L$104,MATCH($B557,Properties!$A$5:$A$104,0))*Settings!$B$11,0))),0))</f>
        <v/>
      </c>
      <c r="P557" s="28" t="str">
        <f aca="false">IF($B557="","",$N557-$O557)</f>
        <v/>
      </c>
      <c r="Q557" s="29" t="str">
        <f aca="false">IF($A557="","",DATE(YEAR($A557),MONTH($A557),1))</f>
        <v/>
      </c>
      <c r="R557" s="30" t="str">
        <f aca="false">IF($A557="","",$A557+MOD(6-WEEKDAY($A557),7))</f>
        <v/>
      </c>
      <c r="S557" s="31" t="str">
        <f aca="false">IF($B557="","",IF(AND($M557='Invoice Builder'!$C$5,$Q557='Invoice Builder'!$C$6,N($N557)&gt;0),COUNTIFS($M$5:$M557,'Invoice Builder'!$C$5,$Q$5:$Q557,'Invoice Builder'!$C$6,$N$5:$N557,"&gt;0"),""))</f>
        <v/>
      </c>
      <c r="T557" s="27" t="str">
        <f aca="false">IF($A557="","",IF($A557&gt;=DATE(YEAR($A557),4,6),YEAR($A557)&amp;"/"&amp;RIGHT(YEAR($A557)+1,2),YEAR($A557)-1&amp;"/"&amp;RIGHT(YEAR($A557),2)))</f>
        <v/>
      </c>
    </row>
    <row r="558" customFormat="false" ht="15" hidden="false" customHeight="false" outlineLevel="0" collapsed="false">
      <c r="A558" s="22"/>
      <c r="B558" s="23"/>
      <c r="C558" s="23"/>
      <c r="D558" s="23"/>
      <c r="E558" s="24"/>
      <c r="F558" s="24"/>
      <c r="G558" s="23"/>
      <c r="H558" s="23"/>
      <c r="I558" s="25"/>
      <c r="J558" s="23"/>
      <c r="K558" s="23"/>
      <c r="L558" s="26" t="str">
        <f aca="false">IF(OR($E558="",$F558=""),"",MOD($F558-$E558,1)*24)</f>
        <v/>
      </c>
      <c r="M558" s="27" t="str">
        <f aca="false">IF($B558="","",IFERROR(INDEX(Properties!$D$5:$D$104,MATCH($B558,Properties!$A$5:$A$104,0)),"?"))</f>
        <v/>
      </c>
      <c r="N558" s="28" t="str">
        <f aca="false">IF($B558="","",IFERROR(IF($D558="Completed",INDEX(Properties!$I$5:$I$104,MATCH($B558,Properties!$A$5:$A$104,0))*(1+IF($G558="Y",Settings!$B$8,0))+IF($H558="Y",Settings!$B$7,0)+N($I558),IF($D558="Deep clean",INDEX(Settings!$E$22:$E$26,MATCH(MIN(INDEX(Properties!$E$5:$E$104,MATCH($B558,Properties!$A$5:$A$104,0)),4),Settings!$A$22:$A$26,0))+N($I558),IF($D558="Late cancel",INDEX(Properties!$I$5:$I$104,MATCH($B558,Properties!$A$5:$A$104,0))*Settings!$B$10,0))),0))</f>
        <v/>
      </c>
      <c r="O558" s="28" t="str">
        <f aca="false">IF($B558="","",IFERROR(IF($D558="Completed",INDEX(Properties!$L$5:$L$104,MATCH($B558,Properties!$A$5:$A$104,0))+IF($G558="Y",INDEX(Properties!$I$5:$I$104,MATCH($B558,Properties!$A$5:$A$104,0))*Settings!$B$8*Settings!$B$9,0)+IF($H558="Y",Settings!$B$7*Settings!$B$9,0)+N($I558)*Settings!$B$9,IF($D558="Deep clean",INDEX(Settings!$E$22:$E$26,MATCH(MIN(INDEX(Properties!$E$5:$E$104,MATCH($B558,Properties!$A$5:$A$104,0)),4),Settings!$A$22:$A$26,0))*Settings!$B$19+N($I558)*Settings!$B$9,IF($D558="Late cancel",INDEX(Properties!$L$5:$L$104,MATCH($B558,Properties!$A$5:$A$104,0))*Settings!$B$11,0))),0))</f>
        <v/>
      </c>
      <c r="P558" s="28" t="str">
        <f aca="false">IF($B558="","",$N558-$O558)</f>
        <v/>
      </c>
      <c r="Q558" s="29" t="str">
        <f aca="false">IF($A558="","",DATE(YEAR($A558),MONTH($A558),1))</f>
        <v/>
      </c>
      <c r="R558" s="30" t="str">
        <f aca="false">IF($A558="","",$A558+MOD(6-WEEKDAY($A558),7))</f>
        <v/>
      </c>
      <c r="S558" s="31" t="str">
        <f aca="false">IF($B558="","",IF(AND($M558='Invoice Builder'!$C$5,$Q558='Invoice Builder'!$C$6,N($N558)&gt;0),COUNTIFS($M$5:$M558,'Invoice Builder'!$C$5,$Q$5:$Q558,'Invoice Builder'!$C$6,$N$5:$N558,"&gt;0"),""))</f>
        <v/>
      </c>
      <c r="T558" s="27" t="str">
        <f aca="false">IF($A558="","",IF($A558&gt;=DATE(YEAR($A558),4,6),YEAR($A558)&amp;"/"&amp;RIGHT(YEAR($A558)+1,2),YEAR($A558)-1&amp;"/"&amp;RIGHT(YEAR($A558),2)))</f>
        <v/>
      </c>
    </row>
    <row r="559" customFormat="false" ht="15" hidden="false" customHeight="false" outlineLevel="0" collapsed="false">
      <c r="A559" s="22"/>
      <c r="B559" s="23"/>
      <c r="C559" s="23"/>
      <c r="D559" s="23"/>
      <c r="E559" s="24"/>
      <c r="F559" s="24"/>
      <c r="G559" s="23"/>
      <c r="H559" s="23"/>
      <c r="I559" s="25"/>
      <c r="J559" s="23"/>
      <c r="K559" s="23"/>
      <c r="L559" s="26" t="str">
        <f aca="false">IF(OR($E559="",$F559=""),"",MOD($F559-$E559,1)*24)</f>
        <v/>
      </c>
      <c r="M559" s="27" t="str">
        <f aca="false">IF($B559="","",IFERROR(INDEX(Properties!$D$5:$D$104,MATCH($B559,Properties!$A$5:$A$104,0)),"?"))</f>
        <v/>
      </c>
      <c r="N559" s="28" t="str">
        <f aca="false">IF($B559="","",IFERROR(IF($D559="Completed",INDEX(Properties!$I$5:$I$104,MATCH($B559,Properties!$A$5:$A$104,0))*(1+IF($G559="Y",Settings!$B$8,0))+IF($H559="Y",Settings!$B$7,0)+N($I559),IF($D559="Deep clean",INDEX(Settings!$E$22:$E$26,MATCH(MIN(INDEX(Properties!$E$5:$E$104,MATCH($B559,Properties!$A$5:$A$104,0)),4),Settings!$A$22:$A$26,0))+N($I559),IF($D559="Late cancel",INDEX(Properties!$I$5:$I$104,MATCH($B559,Properties!$A$5:$A$104,0))*Settings!$B$10,0))),0))</f>
        <v/>
      </c>
      <c r="O559" s="28" t="str">
        <f aca="false">IF($B559="","",IFERROR(IF($D559="Completed",INDEX(Properties!$L$5:$L$104,MATCH($B559,Properties!$A$5:$A$104,0))+IF($G559="Y",INDEX(Properties!$I$5:$I$104,MATCH($B559,Properties!$A$5:$A$104,0))*Settings!$B$8*Settings!$B$9,0)+IF($H559="Y",Settings!$B$7*Settings!$B$9,0)+N($I559)*Settings!$B$9,IF($D559="Deep clean",INDEX(Settings!$E$22:$E$26,MATCH(MIN(INDEX(Properties!$E$5:$E$104,MATCH($B559,Properties!$A$5:$A$104,0)),4),Settings!$A$22:$A$26,0))*Settings!$B$19+N($I559)*Settings!$B$9,IF($D559="Late cancel",INDEX(Properties!$L$5:$L$104,MATCH($B559,Properties!$A$5:$A$104,0))*Settings!$B$11,0))),0))</f>
        <v/>
      </c>
      <c r="P559" s="28" t="str">
        <f aca="false">IF($B559="","",$N559-$O559)</f>
        <v/>
      </c>
      <c r="Q559" s="29" t="str">
        <f aca="false">IF($A559="","",DATE(YEAR($A559),MONTH($A559),1))</f>
        <v/>
      </c>
      <c r="R559" s="30" t="str">
        <f aca="false">IF($A559="","",$A559+MOD(6-WEEKDAY($A559),7))</f>
        <v/>
      </c>
      <c r="S559" s="31" t="str">
        <f aca="false">IF($B559="","",IF(AND($M559='Invoice Builder'!$C$5,$Q559='Invoice Builder'!$C$6,N($N559)&gt;0),COUNTIFS($M$5:$M559,'Invoice Builder'!$C$5,$Q$5:$Q559,'Invoice Builder'!$C$6,$N$5:$N559,"&gt;0"),""))</f>
        <v/>
      </c>
      <c r="T559" s="27" t="str">
        <f aca="false">IF($A559="","",IF($A559&gt;=DATE(YEAR($A559),4,6),YEAR($A559)&amp;"/"&amp;RIGHT(YEAR($A559)+1,2),YEAR($A559)-1&amp;"/"&amp;RIGHT(YEAR($A559),2)))</f>
        <v/>
      </c>
    </row>
    <row r="560" customFormat="false" ht="15" hidden="false" customHeight="false" outlineLevel="0" collapsed="false">
      <c r="A560" s="22"/>
      <c r="B560" s="23"/>
      <c r="C560" s="23"/>
      <c r="D560" s="23"/>
      <c r="E560" s="24"/>
      <c r="F560" s="24"/>
      <c r="G560" s="23"/>
      <c r="H560" s="23"/>
      <c r="I560" s="25"/>
      <c r="J560" s="23"/>
      <c r="K560" s="23"/>
      <c r="L560" s="26" t="str">
        <f aca="false">IF(OR($E560="",$F560=""),"",MOD($F560-$E560,1)*24)</f>
        <v/>
      </c>
      <c r="M560" s="27" t="str">
        <f aca="false">IF($B560="","",IFERROR(INDEX(Properties!$D$5:$D$104,MATCH($B560,Properties!$A$5:$A$104,0)),"?"))</f>
        <v/>
      </c>
      <c r="N560" s="28" t="str">
        <f aca="false">IF($B560="","",IFERROR(IF($D560="Completed",INDEX(Properties!$I$5:$I$104,MATCH($B560,Properties!$A$5:$A$104,0))*(1+IF($G560="Y",Settings!$B$8,0))+IF($H560="Y",Settings!$B$7,0)+N($I560),IF($D560="Deep clean",INDEX(Settings!$E$22:$E$26,MATCH(MIN(INDEX(Properties!$E$5:$E$104,MATCH($B560,Properties!$A$5:$A$104,0)),4),Settings!$A$22:$A$26,0))+N($I560),IF($D560="Late cancel",INDEX(Properties!$I$5:$I$104,MATCH($B560,Properties!$A$5:$A$104,0))*Settings!$B$10,0))),0))</f>
        <v/>
      </c>
      <c r="O560" s="28" t="str">
        <f aca="false">IF($B560="","",IFERROR(IF($D560="Completed",INDEX(Properties!$L$5:$L$104,MATCH($B560,Properties!$A$5:$A$104,0))+IF($G560="Y",INDEX(Properties!$I$5:$I$104,MATCH($B560,Properties!$A$5:$A$104,0))*Settings!$B$8*Settings!$B$9,0)+IF($H560="Y",Settings!$B$7*Settings!$B$9,0)+N($I560)*Settings!$B$9,IF($D560="Deep clean",INDEX(Settings!$E$22:$E$26,MATCH(MIN(INDEX(Properties!$E$5:$E$104,MATCH($B560,Properties!$A$5:$A$104,0)),4),Settings!$A$22:$A$26,0))*Settings!$B$19+N($I560)*Settings!$B$9,IF($D560="Late cancel",INDEX(Properties!$L$5:$L$104,MATCH($B560,Properties!$A$5:$A$104,0))*Settings!$B$11,0))),0))</f>
        <v/>
      </c>
      <c r="P560" s="28" t="str">
        <f aca="false">IF($B560="","",$N560-$O560)</f>
        <v/>
      </c>
      <c r="Q560" s="29" t="str">
        <f aca="false">IF($A560="","",DATE(YEAR($A560),MONTH($A560),1))</f>
        <v/>
      </c>
      <c r="R560" s="30" t="str">
        <f aca="false">IF($A560="","",$A560+MOD(6-WEEKDAY($A560),7))</f>
        <v/>
      </c>
      <c r="S560" s="31" t="str">
        <f aca="false">IF($B560="","",IF(AND($M560='Invoice Builder'!$C$5,$Q560='Invoice Builder'!$C$6,N($N560)&gt;0),COUNTIFS($M$5:$M560,'Invoice Builder'!$C$5,$Q$5:$Q560,'Invoice Builder'!$C$6,$N$5:$N560,"&gt;0"),""))</f>
        <v/>
      </c>
      <c r="T560" s="27" t="str">
        <f aca="false">IF($A560="","",IF($A560&gt;=DATE(YEAR($A560),4,6),YEAR($A560)&amp;"/"&amp;RIGHT(YEAR($A560)+1,2),YEAR($A560)-1&amp;"/"&amp;RIGHT(YEAR($A560),2)))</f>
        <v/>
      </c>
    </row>
    <row r="561" customFormat="false" ht="15" hidden="false" customHeight="false" outlineLevel="0" collapsed="false">
      <c r="A561" s="22"/>
      <c r="B561" s="23"/>
      <c r="C561" s="23"/>
      <c r="D561" s="23"/>
      <c r="E561" s="24"/>
      <c r="F561" s="24"/>
      <c r="G561" s="23"/>
      <c r="H561" s="23"/>
      <c r="I561" s="25"/>
      <c r="J561" s="23"/>
      <c r="K561" s="23"/>
      <c r="L561" s="26" t="str">
        <f aca="false">IF(OR($E561="",$F561=""),"",MOD($F561-$E561,1)*24)</f>
        <v/>
      </c>
      <c r="M561" s="27" t="str">
        <f aca="false">IF($B561="","",IFERROR(INDEX(Properties!$D$5:$D$104,MATCH($B561,Properties!$A$5:$A$104,0)),"?"))</f>
        <v/>
      </c>
      <c r="N561" s="28" t="str">
        <f aca="false">IF($B561="","",IFERROR(IF($D561="Completed",INDEX(Properties!$I$5:$I$104,MATCH($B561,Properties!$A$5:$A$104,0))*(1+IF($G561="Y",Settings!$B$8,0))+IF($H561="Y",Settings!$B$7,0)+N($I561),IF($D561="Deep clean",INDEX(Settings!$E$22:$E$26,MATCH(MIN(INDEX(Properties!$E$5:$E$104,MATCH($B561,Properties!$A$5:$A$104,0)),4),Settings!$A$22:$A$26,0))+N($I561),IF($D561="Late cancel",INDEX(Properties!$I$5:$I$104,MATCH($B561,Properties!$A$5:$A$104,0))*Settings!$B$10,0))),0))</f>
        <v/>
      </c>
      <c r="O561" s="28" t="str">
        <f aca="false">IF($B561="","",IFERROR(IF($D561="Completed",INDEX(Properties!$L$5:$L$104,MATCH($B561,Properties!$A$5:$A$104,0))+IF($G561="Y",INDEX(Properties!$I$5:$I$104,MATCH($B561,Properties!$A$5:$A$104,0))*Settings!$B$8*Settings!$B$9,0)+IF($H561="Y",Settings!$B$7*Settings!$B$9,0)+N($I561)*Settings!$B$9,IF($D561="Deep clean",INDEX(Settings!$E$22:$E$26,MATCH(MIN(INDEX(Properties!$E$5:$E$104,MATCH($B561,Properties!$A$5:$A$104,0)),4),Settings!$A$22:$A$26,0))*Settings!$B$19+N($I561)*Settings!$B$9,IF($D561="Late cancel",INDEX(Properties!$L$5:$L$104,MATCH($B561,Properties!$A$5:$A$104,0))*Settings!$B$11,0))),0))</f>
        <v/>
      </c>
      <c r="P561" s="28" t="str">
        <f aca="false">IF($B561="","",$N561-$O561)</f>
        <v/>
      </c>
      <c r="Q561" s="29" t="str">
        <f aca="false">IF($A561="","",DATE(YEAR($A561),MONTH($A561),1))</f>
        <v/>
      </c>
      <c r="R561" s="30" t="str">
        <f aca="false">IF($A561="","",$A561+MOD(6-WEEKDAY($A561),7))</f>
        <v/>
      </c>
      <c r="S561" s="31" t="str">
        <f aca="false">IF($B561="","",IF(AND($M561='Invoice Builder'!$C$5,$Q561='Invoice Builder'!$C$6,N($N561)&gt;0),COUNTIFS($M$5:$M561,'Invoice Builder'!$C$5,$Q$5:$Q561,'Invoice Builder'!$C$6,$N$5:$N561,"&gt;0"),""))</f>
        <v/>
      </c>
      <c r="T561" s="27" t="str">
        <f aca="false">IF($A561="","",IF($A561&gt;=DATE(YEAR($A561),4,6),YEAR($A561)&amp;"/"&amp;RIGHT(YEAR($A561)+1,2),YEAR($A561)-1&amp;"/"&amp;RIGHT(YEAR($A561),2)))</f>
        <v/>
      </c>
    </row>
    <row r="562" customFormat="false" ht="15" hidden="false" customHeight="false" outlineLevel="0" collapsed="false">
      <c r="A562" s="22"/>
      <c r="B562" s="23"/>
      <c r="C562" s="23"/>
      <c r="D562" s="23"/>
      <c r="E562" s="24"/>
      <c r="F562" s="24"/>
      <c r="G562" s="23"/>
      <c r="H562" s="23"/>
      <c r="I562" s="25"/>
      <c r="J562" s="23"/>
      <c r="K562" s="23"/>
      <c r="L562" s="26" t="str">
        <f aca="false">IF(OR($E562="",$F562=""),"",MOD($F562-$E562,1)*24)</f>
        <v/>
      </c>
      <c r="M562" s="27" t="str">
        <f aca="false">IF($B562="","",IFERROR(INDEX(Properties!$D$5:$D$104,MATCH($B562,Properties!$A$5:$A$104,0)),"?"))</f>
        <v/>
      </c>
      <c r="N562" s="28" t="str">
        <f aca="false">IF($B562="","",IFERROR(IF($D562="Completed",INDEX(Properties!$I$5:$I$104,MATCH($B562,Properties!$A$5:$A$104,0))*(1+IF($G562="Y",Settings!$B$8,0))+IF($H562="Y",Settings!$B$7,0)+N($I562),IF($D562="Deep clean",INDEX(Settings!$E$22:$E$26,MATCH(MIN(INDEX(Properties!$E$5:$E$104,MATCH($B562,Properties!$A$5:$A$104,0)),4),Settings!$A$22:$A$26,0))+N($I562),IF($D562="Late cancel",INDEX(Properties!$I$5:$I$104,MATCH($B562,Properties!$A$5:$A$104,0))*Settings!$B$10,0))),0))</f>
        <v/>
      </c>
      <c r="O562" s="28" t="str">
        <f aca="false">IF($B562="","",IFERROR(IF($D562="Completed",INDEX(Properties!$L$5:$L$104,MATCH($B562,Properties!$A$5:$A$104,0))+IF($G562="Y",INDEX(Properties!$I$5:$I$104,MATCH($B562,Properties!$A$5:$A$104,0))*Settings!$B$8*Settings!$B$9,0)+IF($H562="Y",Settings!$B$7*Settings!$B$9,0)+N($I562)*Settings!$B$9,IF($D562="Deep clean",INDEX(Settings!$E$22:$E$26,MATCH(MIN(INDEX(Properties!$E$5:$E$104,MATCH($B562,Properties!$A$5:$A$104,0)),4),Settings!$A$22:$A$26,0))*Settings!$B$19+N($I562)*Settings!$B$9,IF($D562="Late cancel",INDEX(Properties!$L$5:$L$104,MATCH($B562,Properties!$A$5:$A$104,0))*Settings!$B$11,0))),0))</f>
        <v/>
      </c>
      <c r="P562" s="28" t="str">
        <f aca="false">IF($B562="","",$N562-$O562)</f>
        <v/>
      </c>
      <c r="Q562" s="29" t="str">
        <f aca="false">IF($A562="","",DATE(YEAR($A562),MONTH($A562),1))</f>
        <v/>
      </c>
      <c r="R562" s="30" t="str">
        <f aca="false">IF($A562="","",$A562+MOD(6-WEEKDAY($A562),7))</f>
        <v/>
      </c>
      <c r="S562" s="31" t="str">
        <f aca="false">IF($B562="","",IF(AND($M562='Invoice Builder'!$C$5,$Q562='Invoice Builder'!$C$6,N($N562)&gt;0),COUNTIFS($M$5:$M562,'Invoice Builder'!$C$5,$Q$5:$Q562,'Invoice Builder'!$C$6,$N$5:$N562,"&gt;0"),""))</f>
        <v/>
      </c>
      <c r="T562" s="27" t="str">
        <f aca="false">IF($A562="","",IF($A562&gt;=DATE(YEAR($A562),4,6),YEAR($A562)&amp;"/"&amp;RIGHT(YEAR($A562)+1,2),YEAR($A562)-1&amp;"/"&amp;RIGHT(YEAR($A562),2)))</f>
        <v/>
      </c>
    </row>
    <row r="563" customFormat="false" ht="15" hidden="false" customHeight="false" outlineLevel="0" collapsed="false">
      <c r="A563" s="22"/>
      <c r="B563" s="23"/>
      <c r="C563" s="23"/>
      <c r="D563" s="23"/>
      <c r="E563" s="24"/>
      <c r="F563" s="24"/>
      <c r="G563" s="23"/>
      <c r="H563" s="23"/>
      <c r="I563" s="25"/>
      <c r="J563" s="23"/>
      <c r="K563" s="23"/>
      <c r="L563" s="26" t="str">
        <f aca="false">IF(OR($E563="",$F563=""),"",MOD($F563-$E563,1)*24)</f>
        <v/>
      </c>
      <c r="M563" s="27" t="str">
        <f aca="false">IF($B563="","",IFERROR(INDEX(Properties!$D$5:$D$104,MATCH($B563,Properties!$A$5:$A$104,0)),"?"))</f>
        <v/>
      </c>
      <c r="N563" s="28" t="str">
        <f aca="false">IF($B563="","",IFERROR(IF($D563="Completed",INDEX(Properties!$I$5:$I$104,MATCH($B563,Properties!$A$5:$A$104,0))*(1+IF($G563="Y",Settings!$B$8,0))+IF($H563="Y",Settings!$B$7,0)+N($I563),IF($D563="Deep clean",INDEX(Settings!$E$22:$E$26,MATCH(MIN(INDEX(Properties!$E$5:$E$104,MATCH($B563,Properties!$A$5:$A$104,0)),4),Settings!$A$22:$A$26,0))+N($I563),IF($D563="Late cancel",INDEX(Properties!$I$5:$I$104,MATCH($B563,Properties!$A$5:$A$104,0))*Settings!$B$10,0))),0))</f>
        <v/>
      </c>
      <c r="O563" s="28" t="str">
        <f aca="false">IF($B563="","",IFERROR(IF($D563="Completed",INDEX(Properties!$L$5:$L$104,MATCH($B563,Properties!$A$5:$A$104,0))+IF($G563="Y",INDEX(Properties!$I$5:$I$104,MATCH($B563,Properties!$A$5:$A$104,0))*Settings!$B$8*Settings!$B$9,0)+IF($H563="Y",Settings!$B$7*Settings!$B$9,0)+N($I563)*Settings!$B$9,IF($D563="Deep clean",INDEX(Settings!$E$22:$E$26,MATCH(MIN(INDEX(Properties!$E$5:$E$104,MATCH($B563,Properties!$A$5:$A$104,0)),4),Settings!$A$22:$A$26,0))*Settings!$B$19+N($I563)*Settings!$B$9,IF($D563="Late cancel",INDEX(Properties!$L$5:$L$104,MATCH($B563,Properties!$A$5:$A$104,0))*Settings!$B$11,0))),0))</f>
        <v/>
      </c>
      <c r="P563" s="28" t="str">
        <f aca="false">IF($B563="","",$N563-$O563)</f>
        <v/>
      </c>
      <c r="Q563" s="29" t="str">
        <f aca="false">IF($A563="","",DATE(YEAR($A563),MONTH($A563),1))</f>
        <v/>
      </c>
      <c r="R563" s="30" t="str">
        <f aca="false">IF($A563="","",$A563+MOD(6-WEEKDAY($A563),7))</f>
        <v/>
      </c>
      <c r="S563" s="31" t="str">
        <f aca="false">IF($B563="","",IF(AND($M563='Invoice Builder'!$C$5,$Q563='Invoice Builder'!$C$6,N($N563)&gt;0),COUNTIFS($M$5:$M563,'Invoice Builder'!$C$5,$Q$5:$Q563,'Invoice Builder'!$C$6,$N$5:$N563,"&gt;0"),""))</f>
        <v/>
      </c>
      <c r="T563" s="27" t="str">
        <f aca="false">IF($A563="","",IF($A563&gt;=DATE(YEAR($A563),4,6),YEAR($A563)&amp;"/"&amp;RIGHT(YEAR($A563)+1,2),YEAR($A563)-1&amp;"/"&amp;RIGHT(YEAR($A563),2)))</f>
        <v/>
      </c>
    </row>
    <row r="564" customFormat="false" ht="15" hidden="false" customHeight="false" outlineLevel="0" collapsed="false">
      <c r="A564" s="22"/>
      <c r="B564" s="23"/>
      <c r="C564" s="23"/>
      <c r="D564" s="23"/>
      <c r="E564" s="24"/>
      <c r="F564" s="24"/>
      <c r="G564" s="23"/>
      <c r="H564" s="23"/>
      <c r="I564" s="25"/>
      <c r="J564" s="23"/>
      <c r="K564" s="23"/>
      <c r="L564" s="26" t="str">
        <f aca="false">IF(OR($E564="",$F564=""),"",MOD($F564-$E564,1)*24)</f>
        <v/>
      </c>
      <c r="M564" s="27" t="str">
        <f aca="false">IF($B564="","",IFERROR(INDEX(Properties!$D$5:$D$104,MATCH($B564,Properties!$A$5:$A$104,0)),"?"))</f>
        <v/>
      </c>
      <c r="N564" s="28" t="str">
        <f aca="false">IF($B564="","",IFERROR(IF($D564="Completed",INDEX(Properties!$I$5:$I$104,MATCH($B564,Properties!$A$5:$A$104,0))*(1+IF($G564="Y",Settings!$B$8,0))+IF($H564="Y",Settings!$B$7,0)+N($I564),IF($D564="Deep clean",INDEX(Settings!$E$22:$E$26,MATCH(MIN(INDEX(Properties!$E$5:$E$104,MATCH($B564,Properties!$A$5:$A$104,0)),4),Settings!$A$22:$A$26,0))+N($I564),IF($D564="Late cancel",INDEX(Properties!$I$5:$I$104,MATCH($B564,Properties!$A$5:$A$104,0))*Settings!$B$10,0))),0))</f>
        <v/>
      </c>
      <c r="O564" s="28" t="str">
        <f aca="false">IF($B564="","",IFERROR(IF($D564="Completed",INDEX(Properties!$L$5:$L$104,MATCH($B564,Properties!$A$5:$A$104,0))+IF($G564="Y",INDEX(Properties!$I$5:$I$104,MATCH($B564,Properties!$A$5:$A$104,0))*Settings!$B$8*Settings!$B$9,0)+IF($H564="Y",Settings!$B$7*Settings!$B$9,0)+N($I564)*Settings!$B$9,IF($D564="Deep clean",INDEX(Settings!$E$22:$E$26,MATCH(MIN(INDEX(Properties!$E$5:$E$104,MATCH($B564,Properties!$A$5:$A$104,0)),4),Settings!$A$22:$A$26,0))*Settings!$B$19+N($I564)*Settings!$B$9,IF($D564="Late cancel",INDEX(Properties!$L$5:$L$104,MATCH($B564,Properties!$A$5:$A$104,0))*Settings!$B$11,0))),0))</f>
        <v/>
      </c>
      <c r="P564" s="28" t="str">
        <f aca="false">IF($B564="","",$N564-$O564)</f>
        <v/>
      </c>
      <c r="Q564" s="29" t="str">
        <f aca="false">IF($A564="","",DATE(YEAR($A564),MONTH($A564),1))</f>
        <v/>
      </c>
      <c r="R564" s="30" t="str">
        <f aca="false">IF($A564="","",$A564+MOD(6-WEEKDAY($A564),7))</f>
        <v/>
      </c>
      <c r="S564" s="31" t="str">
        <f aca="false">IF($B564="","",IF(AND($M564='Invoice Builder'!$C$5,$Q564='Invoice Builder'!$C$6,N($N564)&gt;0),COUNTIFS($M$5:$M564,'Invoice Builder'!$C$5,$Q$5:$Q564,'Invoice Builder'!$C$6,$N$5:$N564,"&gt;0"),""))</f>
        <v/>
      </c>
      <c r="T564" s="27" t="str">
        <f aca="false">IF($A564="","",IF($A564&gt;=DATE(YEAR($A564),4,6),YEAR($A564)&amp;"/"&amp;RIGHT(YEAR($A564)+1,2),YEAR($A564)-1&amp;"/"&amp;RIGHT(YEAR($A564),2)))</f>
        <v/>
      </c>
    </row>
    <row r="565" customFormat="false" ht="15" hidden="false" customHeight="false" outlineLevel="0" collapsed="false">
      <c r="A565" s="22"/>
      <c r="B565" s="23"/>
      <c r="C565" s="23"/>
      <c r="D565" s="23"/>
      <c r="E565" s="24"/>
      <c r="F565" s="24"/>
      <c r="G565" s="23"/>
      <c r="H565" s="23"/>
      <c r="I565" s="25"/>
      <c r="J565" s="23"/>
      <c r="K565" s="23"/>
      <c r="L565" s="26" t="str">
        <f aca="false">IF(OR($E565="",$F565=""),"",MOD($F565-$E565,1)*24)</f>
        <v/>
      </c>
      <c r="M565" s="27" t="str">
        <f aca="false">IF($B565="","",IFERROR(INDEX(Properties!$D$5:$D$104,MATCH($B565,Properties!$A$5:$A$104,0)),"?"))</f>
        <v/>
      </c>
      <c r="N565" s="28" t="str">
        <f aca="false">IF($B565="","",IFERROR(IF($D565="Completed",INDEX(Properties!$I$5:$I$104,MATCH($B565,Properties!$A$5:$A$104,0))*(1+IF($G565="Y",Settings!$B$8,0))+IF($H565="Y",Settings!$B$7,0)+N($I565),IF($D565="Deep clean",INDEX(Settings!$E$22:$E$26,MATCH(MIN(INDEX(Properties!$E$5:$E$104,MATCH($B565,Properties!$A$5:$A$104,0)),4),Settings!$A$22:$A$26,0))+N($I565),IF($D565="Late cancel",INDEX(Properties!$I$5:$I$104,MATCH($B565,Properties!$A$5:$A$104,0))*Settings!$B$10,0))),0))</f>
        <v/>
      </c>
      <c r="O565" s="28" t="str">
        <f aca="false">IF($B565="","",IFERROR(IF($D565="Completed",INDEX(Properties!$L$5:$L$104,MATCH($B565,Properties!$A$5:$A$104,0))+IF($G565="Y",INDEX(Properties!$I$5:$I$104,MATCH($B565,Properties!$A$5:$A$104,0))*Settings!$B$8*Settings!$B$9,0)+IF($H565="Y",Settings!$B$7*Settings!$B$9,0)+N($I565)*Settings!$B$9,IF($D565="Deep clean",INDEX(Settings!$E$22:$E$26,MATCH(MIN(INDEX(Properties!$E$5:$E$104,MATCH($B565,Properties!$A$5:$A$104,0)),4),Settings!$A$22:$A$26,0))*Settings!$B$19+N($I565)*Settings!$B$9,IF($D565="Late cancel",INDEX(Properties!$L$5:$L$104,MATCH($B565,Properties!$A$5:$A$104,0))*Settings!$B$11,0))),0))</f>
        <v/>
      </c>
      <c r="P565" s="28" t="str">
        <f aca="false">IF($B565="","",$N565-$O565)</f>
        <v/>
      </c>
      <c r="Q565" s="29" t="str">
        <f aca="false">IF($A565="","",DATE(YEAR($A565),MONTH($A565),1))</f>
        <v/>
      </c>
      <c r="R565" s="30" t="str">
        <f aca="false">IF($A565="","",$A565+MOD(6-WEEKDAY($A565),7))</f>
        <v/>
      </c>
      <c r="S565" s="31" t="str">
        <f aca="false">IF($B565="","",IF(AND($M565='Invoice Builder'!$C$5,$Q565='Invoice Builder'!$C$6,N($N565)&gt;0),COUNTIFS($M$5:$M565,'Invoice Builder'!$C$5,$Q$5:$Q565,'Invoice Builder'!$C$6,$N$5:$N565,"&gt;0"),""))</f>
        <v/>
      </c>
      <c r="T565" s="27" t="str">
        <f aca="false">IF($A565="","",IF($A565&gt;=DATE(YEAR($A565),4,6),YEAR($A565)&amp;"/"&amp;RIGHT(YEAR($A565)+1,2),YEAR($A565)-1&amp;"/"&amp;RIGHT(YEAR($A565),2)))</f>
        <v/>
      </c>
    </row>
    <row r="566" customFormat="false" ht="15" hidden="false" customHeight="false" outlineLevel="0" collapsed="false">
      <c r="A566" s="22"/>
      <c r="B566" s="23"/>
      <c r="C566" s="23"/>
      <c r="D566" s="23"/>
      <c r="E566" s="24"/>
      <c r="F566" s="24"/>
      <c r="G566" s="23"/>
      <c r="H566" s="23"/>
      <c r="I566" s="25"/>
      <c r="J566" s="23"/>
      <c r="K566" s="23"/>
      <c r="L566" s="26" t="str">
        <f aca="false">IF(OR($E566="",$F566=""),"",MOD($F566-$E566,1)*24)</f>
        <v/>
      </c>
      <c r="M566" s="27" t="str">
        <f aca="false">IF($B566="","",IFERROR(INDEX(Properties!$D$5:$D$104,MATCH($B566,Properties!$A$5:$A$104,0)),"?"))</f>
        <v/>
      </c>
      <c r="N566" s="28" t="str">
        <f aca="false">IF($B566="","",IFERROR(IF($D566="Completed",INDEX(Properties!$I$5:$I$104,MATCH($B566,Properties!$A$5:$A$104,0))*(1+IF($G566="Y",Settings!$B$8,0))+IF($H566="Y",Settings!$B$7,0)+N($I566),IF($D566="Deep clean",INDEX(Settings!$E$22:$E$26,MATCH(MIN(INDEX(Properties!$E$5:$E$104,MATCH($B566,Properties!$A$5:$A$104,0)),4),Settings!$A$22:$A$26,0))+N($I566),IF($D566="Late cancel",INDEX(Properties!$I$5:$I$104,MATCH($B566,Properties!$A$5:$A$104,0))*Settings!$B$10,0))),0))</f>
        <v/>
      </c>
      <c r="O566" s="28" t="str">
        <f aca="false">IF($B566="","",IFERROR(IF($D566="Completed",INDEX(Properties!$L$5:$L$104,MATCH($B566,Properties!$A$5:$A$104,0))+IF($G566="Y",INDEX(Properties!$I$5:$I$104,MATCH($B566,Properties!$A$5:$A$104,0))*Settings!$B$8*Settings!$B$9,0)+IF($H566="Y",Settings!$B$7*Settings!$B$9,0)+N($I566)*Settings!$B$9,IF($D566="Deep clean",INDEX(Settings!$E$22:$E$26,MATCH(MIN(INDEX(Properties!$E$5:$E$104,MATCH($B566,Properties!$A$5:$A$104,0)),4),Settings!$A$22:$A$26,0))*Settings!$B$19+N($I566)*Settings!$B$9,IF($D566="Late cancel",INDEX(Properties!$L$5:$L$104,MATCH($B566,Properties!$A$5:$A$104,0))*Settings!$B$11,0))),0))</f>
        <v/>
      </c>
      <c r="P566" s="28" t="str">
        <f aca="false">IF($B566="","",$N566-$O566)</f>
        <v/>
      </c>
      <c r="Q566" s="29" t="str">
        <f aca="false">IF($A566="","",DATE(YEAR($A566),MONTH($A566),1))</f>
        <v/>
      </c>
      <c r="R566" s="30" t="str">
        <f aca="false">IF($A566="","",$A566+MOD(6-WEEKDAY($A566),7))</f>
        <v/>
      </c>
      <c r="S566" s="31" t="str">
        <f aca="false">IF($B566="","",IF(AND($M566='Invoice Builder'!$C$5,$Q566='Invoice Builder'!$C$6,N($N566)&gt;0),COUNTIFS($M$5:$M566,'Invoice Builder'!$C$5,$Q$5:$Q566,'Invoice Builder'!$C$6,$N$5:$N566,"&gt;0"),""))</f>
        <v/>
      </c>
      <c r="T566" s="27" t="str">
        <f aca="false">IF($A566="","",IF($A566&gt;=DATE(YEAR($A566),4,6),YEAR($A566)&amp;"/"&amp;RIGHT(YEAR($A566)+1,2),YEAR($A566)-1&amp;"/"&amp;RIGHT(YEAR($A566),2)))</f>
        <v/>
      </c>
    </row>
    <row r="567" customFormat="false" ht="15" hidden="false" customHeight="false" outlineLevel="0" collapsed="false">
      <c r="A567" s="22"/>
      <c r="B567" s="23"/>
      <c r="C567" s="23"/>
      <c r="D567" s="23"/>
      <c r="E567" s="24"/>
      <c r="F567" s="24"/>
      <c r="G567" s="23"/>
      <c r="H567" s="23"/>
      <c r="I567" s="25"/>
      <c r="J567" s="23"/>
      <c r="K567" s="23"/>
      <c r="L567" s="26" t="str">
        <f aca="false">IF(OR($E567="",$F567=""),"",MOD($F567-$E567,1)*24)</f>
        <v/>
      </c>
      <c r="M567" s="27" t="str">
        <f aca="false">IF($B567="","",IFERROR(INDEX(Properties!$D$5:$D$104,MATCH($B567,Properties!$A$5:$A$104,0)),"?"))</f>
        <v/>
      </c>
      <c r="N567" s="28" t="str">
        <f aca="false">IF($B567="","",IFERROR(IF($D567="Completed",INDEX(Properties!$I$5:$I$104,MATCH($B567,Properties!$A$5:$A$104,0))*(1+IF($G567="Y",Settings!$B$8,0))+IF($H567="Y",Settings!$B$7,0)+N($I567),IF($D567="Deep clean",INDEX(Settings!$E$22:$E$26,MATCH(MIN(INDEX(Properties!$E$5:$E$104,MATCH($B567,Properties!$A$5:$A$104,0)),4),Settings!$A$22:$A$26,0))+N($I567),IF($D567="Late cancel",INDEX(Properties!$I$5:$I$104,MATCH($B567,Properties!$A$5:$A$104,0))*Settings!$B$10,0))),0))</f>
        <v/>
      </c>
      <c r="O567" s="28" t="str">
        <f aca="false">IF($B567="","",IFERROR(IF($D567="Completed",INDEX(Properties!$L$5:$L$104,MATCH($B567,Properties!$A$5:$A$104,0))+IF($G567="Y",INDEX(Properties!$I$5:$I$104,MATCH($B567,Properties!$A$5:$A$104,0))*Settings!$B$8*Settings!$B$9,0)+IF($H567="Y",Settings!$B$7*Settings!$B$9,0)+N($I567)*Settings!$B$9,IF($D567="Deep clean",INDEX(Settings!$E$22:$E$26,MATCH(MIN(INDEX(Properties!$E$5:$E$104,MATCH($B567,Properties!$A$5:$A$104,0)),4),Settings!$A$22:$A$26,0))*Settings!$B$19+N($I567)*Settings!$B$9,IF($D567="Late cancel",INDEX(Properties!$L$5:$L$104,MATCH($B567,Properties!$A$5:$A$104,0))*Settings!$B$11,0))),0))</f>
        <v/>
      </c>
      <c r="P567" s="28" t="str">
        <f aca="false">IF($B567="","",$N567-$O567)</f>
        <v/>
      </c>
      <c r="Q567" s="29" t="str">
        <f aca="false">IF($A567="","",DATE(YEAR($A567),MONTH($A567),1))</f>
        <v/>
      </c>
      <c r="R567" s="30" t="str">
        <f aca="false">IF($A567="","",$A567+MOD(6-WEEKDAY($A567),7))</f>
        <v/>
      </c>
      <c r="S567" s="31" t="str">
        <f aca="false">IF($B567="","",IF(AND($M567='Invoice Builder'!$C$5,$Q567='Invoice Builder'!$C$6,N($N567)&gt;0),COUNTIFS($M$5:$M567,'Invoice Builder'!$C$5,$Q$5:$Q567,'Invoice Builder'!$C$6,$N$5:$N567,"&gt;0"),""))</f>
        <v/>
      </c>
      <c r="T567" s="27" t="str">
        <f aca="false">IF($A567="","",IF($A567&gt;=DATE(YEAR($A567),4,6),YEAR($A567)&amp;"/"&amp;RIGHT(YEAR($A567)+1,2),YEAR($A567)-1&amp;"/"&amp;RIGHT(YEAR($A567),2)))</f>
        <v/>
      </c>
    </row>
    <row r="568" customFormat="false" ht="15" hidden="false" customHeight="false" outlineLevel="0" collapsed="false">
      <c r="A568" s="22"/>
      <c r="B568" s="23"/>
      <c r="C568" s="23"/>
      <c r="D568" s="23"/>
      <c r="E568" s="24"/>
      <c r="F568" s="24"/>
      <c r="G568" s="23"/>
      <c r="H568" s="23"/>
      <c r="I568" s="25"/>
      <c r="J568" s="23"/>
      <c r="K568" s="23"/>
      <c r="L568" s="26" t="str">
        <f aca="false">IF(OR($E568="",$F568=""),"",MOD($F568-$E568,1)*24)</f>
        <v/>
      </c>
      <c r="M568" s="27" t="str">
        <f aca="false">IF($B568="","",IFERROR(INDEX(Properties!$D$5:$D$104,MATCH($B568,Properties!$A$5:$A$104,0)),"?"))</f>
        <v/>
      </c>
      <c r="N568" s="28" t="str">
        <f aca="false">IF($B568="","",IFERROR(IF($D568="Completed",INDEX(Properties!$I$5:$I$104,MATCH($B568,Properties!$A$5:$A$104,0))*(1+IF($G568="Y",Settings!$B$8,0))+IF($H568="Y",Settings!$B$7,0)+N($I568),IF($D568="Deep clean",INDEX(Settings!$E$22:$E$26,MATCH(MIN(INDEX(Properties!$E$5:$E$104,MATCH($B568,Properties!$A$5:$A$104,0)),4),Settings!$A$22:$A$26,0))+N($I568),IF($D568="Late cancel",INDEX(Properties!$I$5:$I$104,MATCH($B568,Properties!$A$5:$A$104,0))*Settings!$B$10,0))),0))</f>
        <v/>
      </c>
      <c r="O568" s="28" t="str">
        <f aca="false">IF($B568="","",IFERROR(IF($D568="Completed",INDEX(Properties!$L$5:$L$104,MATCH($B568,Properties!$A$5:$A$104,0))+IF($G568="Y",INDEX(Properties!$I$5:$I$104,MATCH($B568,Properties!$A$5:$A$104,0))*Settings!$B$8*Settings!$B$9,0)+IF($H568="Y",Settings!$B$7*Settings!$B$9,0)+N($I568)*Settings!$B$9,IF($D568="Deep clean",INDEX(Settings!$E$22:$E$26,MATCH(MIN(INDEX(Properties!$E$5:$E$104,MATCH($B568,Properties!$A$5:$A$104,0)),4),Settings!$A$22:$A$26,0))*Settings!$B$19+N($I568)*Settings!$B$9,IF($D568="Late cancel",INDEX(Properties!$L$5:$L$104,MATCH($B568,Properties!$A$5:$A$104,0))*Settings!$B$11,0))),0))</f>
        <v/>
      </c>
      <c r="P568" s="28" t="str">
        <f aca="false">IF($B568="","",$N568-$O568)</f>
        <v/>
      </c>
      <c r="Q568" s="29" t="str">
        <f aca="false">IF($A568="","",DATE(YEAR($A568),MONTH($A568),1))</f>
        <v/>
      </c>
      <c r="R568" s="30" t="str">
        <f aca="false">IF($A568="","",$A568+MOD(6-WEEKDAY($A568),7))</f>
        <v/>
      </c>
      <c r="S568" s="31" t="str">
        <f aca="false">IF($B568="","",IF(AND($M568='Invoice Builder'!$C$5,$Q568='Invoice Builder'!$C$6,N($N568)&gt;0),COUNTIFS($M$5:$M568,'Invoice Builder'!$C$5,$Q$5:$Q568,'Invoice Builder'!$C$6,$N$5:$N568,"&gt;0"),""))</f>
        <v/>
      </c>
      <c r="T568" s="27" t="str">
        <f aca="false">IF($A568="","",IF($A568&gt;=DATE(YEAR($A568),4,6),YEAR($A568)&amp;"/"&amp;RIGHT(YEAR($A568)+1,2),YEAR($A568)-1&amp;"/"&amp;RIGHT(YEAR($A568),2)))</f>
        <v/>
      </c>
    </row>
    <row r="569" customFormat="false" ht="15" hidden="false" customHeight="false" outlineLevel="0" collapsed="false">
      <c r="A569" s="22"/>
      <c r="B569" s="23"/>
      <c r="C569" s="23"/>
      <c r="D569" s="23"/>
      <c r="E569" s="24"/>
      <c r="F569" s="24"/>
      <c r="G569" s="23"/>
      <c r="H569" s="23"/>
      <c r="I569" s="25"/>
      <c r="J569" s="23"/>
      <c r="K569" s="23"/>
      <c r="L569" s="26" t="str">
        <f aca="false">IF(OR($E569="",$F569=""),"",MOD($F569-$E569,1)*24)</f>
        <v/>
      </c>
      <c r="M569" s="27" t="str">
        <f aca="false">IF($B569="","",IFERROR(INDEX(Properties!$D$5:$D$104,MATCH($B569,Properties!$A$5:$A$104,0)),"?"))</f>
        <v/>
      </c>
      <c r="N569" s="28" t="str">
        <f aca="false">IF($B569="","",IFERROR(IF($D569="Completed",INDEX(Properties!$I$5:$I$104,MATCH($B569,Properties!$A$5:$A$104,0))*(1+IF($G569="Y",Settings!$B$8,0))+IF($H569="Y",Settings!$B$7,0)+N($I569),IF($D569="Deep clean",INDEX(Settings!$E$22:$E$26,MATCH(MIN(INDEX(Properties!$E$5:$E$104,MATCH($B569,Properties!$A$5:$A$104,0)),4),Settings!$A$22:$A$26,0))+N($I569),IF($D569="Late cancel",INDEX(Properties!$I$5:$I$104,MATCH($B569,Properties!$A$5:$A$104,0))*Settings!$B$10,0))),0))</f>
        <v/>
      </c>
      <c r="O569" s="28" t="str">
        <f aca="false">IF($B569="","",IFERROR(IF($D569="Completed",INDEX(Properties!$L$5:$L$104,MATCH($B569,Properties!$A$5:$A$104,0))+IF($G569="Y",INDEX(Properties!$I$5:$I$104,MATCH($B569,Properties!$A$5:$A$104,0))*Settings!$B$8*Settings!$B$9,0)+IF($H569="Y",Settings!$B$7*Settings!$B$9,0)+N($I569)*Settings!$B$9,IF($D569="Deep clean",INDEX(Settings!$E$22:$E$26,MATCH(MIN(INDEX(Properties!$E$5:$E$104,MATCH($B569,Properties!$A$5:$A$104,0)),4),Settings!$A$22:$A$26,0))*Settings!$B$19+N($I569)*Settings!$B$9,IF($D569="Late cancel",INDEX(Properties!$L$5:$L$104,MATCH($B569,Properties!$A$5:$A$104,0))*Settings!$B$11,0))),0))</f>
        <v/>
      </c>
      <c r="P569" s="28" t="str">
        <f aca="false">IF($B569="","",$N569-$O569)</f>
        <v/>
      </c>
      <c r="Q569" s="29" t="str">
        <f aca="false">IF($A569="","",DATE(YEAR($A569),MONTH($A569),1))</f>
        <v/>
      </c>
      <c r="R569" s="30" t="str">
        <f aca="false">IF($A569="","",$A569+MOD(6-WEEKDAY($A569),7))</f>
        <v/>
      </c>
      <c r="S569" s="31" t="str">
        <f aca="false">IF($B569="","",IF(AND($M569='Invoice Builder'!$C$5,$Q569='Invoice Builder'!$C$6,N($N569)&gt;0),COUNTIFS($M$5:$M569,'Invoice Builder'!$C$5,$Q$5:$Q569,'Invoice Builder'!$C$6,$N$5:$N569,"&gt;0"),""))</f>
        <v/>
      </c>
      <c r="T569" s="27" t="str">
        <f aca="false">IF($A569="","",IF($A569&gt;=DATE(YEAR($A569),4,6),YEAR($A569)&amp;"/"&amp;RIGHT(YEAR($A569)+1,2),YEAR($A569)-1&amp;"/"&amp;RIGHT(YEAR($A569),2)))</f>
        <v/>
      </c>
    </row>
    <row r="570" customFormat="false" ht="15" hidden="false" customHeight="false" outlineLevel="0" collapsed="false">
      <c r="A570" s="22"/>
      <c r="B570" s="23"/>
      <c r="C570" s="23"/>
      <c r="D570" s="23"/>
      <c r="E570" s="24"/>
      <c r="F570" s="24"/>
      <c r="G570" s="23"/>
      <c r="H570" s="23"/>
      <c r="I570" s="25"/>
      <c r="J570" s="23"/>
      <c r="K570" s="23"/>
      <c r="L570" s="26" t="str">
        <f aca="false">IF(OR($E570="",$F570=""),"",MOD($F570-$E570,1)*24)</f>
        <v/>
      </c>
      <c r="M570" s="27" t="str">
        <f aca="false">IF($B570="","",IFERROR(INDEX(Properties!$D$5:$D$104,MATCH($B570,Properties!$A$5:$A$104,0)),"?"))</f>
        <v/>
      </c>
      <c r="N570" s="28" t="str">
        <f aca="false">IF($B570="","",IFERROR(IF($D570="Completed",INDEX(Properties!$I$5:$I$104,MATCH($B570,Properties!$A$5:$A$104,0))*(1+IF($G570="Y",Settings!$B$8,0))+IF($H570="Y",Settings!$B$7,0)+N($I570),IF($D570="Deep clean",INDEX(Settings!$E$22:$E$26,MATCH(MIN(INDEX(Properties!$E$5:$E$104,MATCH($B570,Properties!$A$5:$A$104,0)),4),Settings!$A$22:$A$26,0))+N($I570),IF($D570="Late cancel",INDEX(Properties!$I$5:$I$104,MATCH($B570,Properties!$A$5:$A$104,0))*Settings!$B$10,0))),0))</f>
        <v/>
      </c>
      <c r="O570" s="28" t="str">
        <f aca="false">IF($B570="","",IFERROR(IF($D570="Completed",INDEX(Properties!$L$5:$L$104,MATCH($B570,Properties!$A$5:$A$104,0))+IF($G570="Y",INDEX(Properties!$I$5:$I$104,MATCH($B570,Properties!$A$5:$A$104,0))*Settings!$B$8*Settings!$B$9,0)+IF($H570="Y",Settings!$B$7*Settings!$B$9,0)+N($I570)*Settings!$B$9,IF($D570="Deep clean",INDEX(Settings!$E$22:$E$26,MATCH(MIN(INDEX(Properties!$E$5:$E$104,MATCH($B570,Properties!$A$5:$A$104,0)),4),Settings!$A$22:$A$26,0))*Settings!$B$19+N($I570)*Settings!$B$9,IF($D570="Late cancel",INDEX(Properties!$L$5:$L$104,MATCH($B570,Properties!$A$5:$A$104,0))*Settings!$B$11,0))),0))</f>
        <v/>
      </c>
      <c r="P570" s="28" t="str">
        <f aca="false">IF($B570="","",$N570-$O570)</f>
        <v/>
      </c>
      <c r="Q570" s="29" t="str">
        <f aca="false">IF($A570="","",DATE(YEAR($A570),MONTH($A570),1))</f>
        <v/>
      </c>
      <c r="R570" s="30" t="str">
        <f aca="false">IF($A570="","",$A570+MOD(6-WEEKDAY($A570),7))</f>
        <v/>
      </c>
      <c r="S570" s="31" t="str">
        <f aca="false">IF($B570="","",IF(AND($M570='Invoice Builder'!$C$5,$Q570='Invoice Builder'!$C$6,N($N570)&gt;0),COUNTIFS($M$5:$M570,'Invoice Builder'!$C$5,$Q$5:$Q570,'Invoice Builder'!$C$6,$N$5:$N570,"&gt;0"),""))</f>
        <v/>
      </c>
      <c r="T570" s="27" t="str">
        <f aca="false">IF($A570="","",IF($A570&gt;=DATE(YEAR($A570),4,6),YEAR($A570)&amp;"/"&amp;RIGHT(YEAR($A570)+1,2),YEAR($A570)-1&amp;"/"&amp;RIGHT(YEAR($A570),2)))</f>
        <v/>
      </c>
    </row>
    <row r="571" customFormat="false" ht="15" hidden="false" customHeight="false" outlineLevel="0" collapsed="false">
      <c r="A571" s="22"/>
      <c r="B571" s="23"/>
      <c r="C571" s="23"/>
      <c r="D571" s="23"/>
      <c r="E571" s="24"/>
      <c r="F571" s="24"/>
      <c r="G571" s="23"/>
      <c r="H571" s="23"/>
      <c r="I571" s="25"/>
      <c r="J571" s="23"/>
      <c r="K571" s="23"/>
      <c r="L571" s="26" t="str">
        <f aca="false">IF(OR($E571="",$F571=""),"",MOD($F571-$E571,1)*24)</f>
        <v/>
      </c>
      <c r="M571" s="27" t="str">
        <f aca="false">IF($B571="","",IFERROR(INDEX(Properties!$D$5:$D$104,MATCH($B571,Properties!$A$5:$A$104,0)),"?"))</f>
        <v/>
      </c>
      <c r="N571" s="28" t="str">
        <f aca="false">IF($B571="","",IFERROR(IF($D571="Completed",INDEX(Properties!$I$5:$I$104,MATCH($B571,Properties!$A$5:$A$104,0))*(1+IF($G571="Y",Settings!$B$8,0))+IF($H571="Y",Settings!$B$7,0)+N($I571),IF($D571="Deep clean",INDEX(Settings!$E$22:$E$26,MATCH(MIN(INDEX(Properties!$E$5:$E$104,MATCH($B571,Properties!$A$5:$A$104,0)),4),Settings!$A$22:$A$26,0))+N($I571),IF($D571="Late cancel",INDEX(Properties!$I$5:$I$104,MATCH($B571,Properties!$A$5:$A$104,0))*Settings!$B$10,0))),0))</f>
        <v/>
      </c>
      <c r="O571" s="28" t="str">
        <f aca="false">IF($B571="","",IFERROR(IF($D571="Completed",INDEX(Properties!$L$5:$L$104,MATCH($B571,Properties!$A$5:$A$104,0))+IF($G571="Y",INDEX(Properties!$I$5:$I$104,MATCH($B571,Properties!$A$5:$A$104,0))*Settings!$B$8*Settings!$B$9,0)+IF($H571="Y",Settings!$B$7*Settings!$B$9,0)+N($I571)*Settings!$B$9,IF($D571="Deep clean",INDEX(Settings!$E$22:$E$26,MATCH(MIN(INDEX(Properties!$E$5:$E$104,MATCH($B571,Properties!$A$5:$A$104,0)),4),Settings!$A$22:$A$26,0))*Settings!$B$19+N($I571)*Settings!$B$9,IF($D571="Late cancel",INDEX(Properties!$L$5:$L$104,MATCH($B571,Properties!$A$5:$A$104,0))*Settings!$B$11,0))),0))</f>
        <v/>
      </c>
      <c r="P571" s="28" t="str">
        <f aca="false">IF($B571="","",$N571-$O571)</f>
        <v/>
      </c>
      <c r="Q571" s="29" t="str">
        <f aca="false">IF($A571="","",DATE(YEAR($A571),MONTH($A571),1))</f>
        <v/>
      </c>
      <c r="R571" s="30" t="str">
        <f aca="false">IF($A571="","",$A571+MOD(6-WEEKDAY($A571),7))</f>
        <v/>
      </c>
      <c r="S571" s="31" t="str">
        <f aca="false">IF($B571="","",IF(AND($M571='Invoice Builder'!$C$5,$Q571='Invoice Builder'!$C$6,N($N571)&gt;0),COUNTIFS($M$5:$M571,'Invoice Builder'!$C$5,$Q$5:$Q571,'Invoice Builder'!$C$6,$N$5:$N571,"&gt;0"),""))</f>
        <v/>
      </c>
      <c r="T571" s="27" t="str">
        <f aca="false">IF($A571="","",IF($A571&gt;=DATE(YEAR($A571),4,6),YEAR($A571)&amp;"/"&amp;RIGHT(YEAR($A571)+1,2),YEAR($A571)-1&amp;"/"&amp;RIGHT(YEAR($A571),2)))</f>
        <v/>
      </c>
    </row>
    <row r="572" customFormat="false" ht="15" hidden="false" customHeight="false" outlineLevel="0" collapsed="false">
      <c r="A572" s="22"/>
      <c r="B572" s="23"/>
      <c r="C572" s="23"/>
      <c r="D572" s="23"/>
      <c r="E572" s="24"/>
      <c r="F572" s="24"/>
      <c r="G572" s="23"/>
      <c r="H572" s="23"/>
      <c r="I572" s="25"/>
      <c r="J572" s="23"/>
      <c r="K572" s="23"/>
      <c r="L572" s="26" t="str">
        <f aca="false">IF(OR($E572="",$F572=""),"",MOD($F572-$E572,1)*24)</f>
        <v/>
      </c>
      <c r="M572" s="27" t="str">
        <f aca="false">IF($B572="","",IFERROR(INDEX(Properties!$D$5:$D$104,MATCH($B572,Properties!$A$5:$A$104,0)),"?"))</f>
        <v/>
      </c>
      <c r="N572" s="28" t="str">
        <f aca="false">IF($B572="","",IFERROR(IF($D572="Completed",INDEX(Properties!$I$5:$I$104,MATCH($B572,Properties!$A$5:$A$104,0))*(1+IF($G572="Y",Settings!$B$8,0))+IF($H572="Y",Settings!$B$7,0)+N($I572),IF($D572="Deep clean",INDEX(Settings!$E$22:$E$26,MATCH(MIN(INDEX(Properties!$E$5:$E$104,MATCH($B572,Properties!$A$5:$A$104,0)),4),Settings!$A$22:$A$26,0))+N($I572),IF($D572="Late cancel",INDEX(Properties!$I$5:$I$104,MATCH($B572,Properties!$A$5:$A$104,0))*Settings!$B$10,0))),0))</f>
        <v/>
      </c>
      <c r="O572" s="28" t="str">
        <f aca="false">IF($B572="","",IFERROR(IF($D572="Completed",INDEX(Properties!$L$5:$L$104,MATCH($B572,Properties!$A$5:$A$104,0))+IF($G572="Y",INDEX(Properties!$I$5:$I$104,MATCH($B572,Properties!$A$5:$A$104,0))*Settings!$B$8*Settings!$B$9,0)+IF($H572="Y",Settings!$B$7*Settings!$B$9,0)+N($I572)*Settings!$B$9,IF($D572="Deep clean",INDEX(Settings!$E$22:$E$26,MATCH(MIN(INDEX(Properties!$E$5:$E$104,MATCH($B572,Properties!$A$5:$A$104,0)),4),Settings!$A$22:$A$26,0))*Settings!$B$19+N($I572)*Settings!$B$9,IF($D572="Late cancel",INDEX(Properties!$L$5:$L$104,MATCH($B572,Properties!$A$5:$A$104,0))*Settings!$B$11,0))),0))</f>
        <v/>
      </c>
      <c r="P572" s="28" t="str">
        <f aca="false">IF($B572="","",$N572-$O572)</f>
        <v/>
      </c>
      <c r="Q572" s="29" t="str">
        <f aca="false">IF($A572="","",DATE(YEAR($A572),MONTH($A572),1))</f>
        <v/>
      </c>
      <c r="R572" s="30" t="str">
        <f aca="false">IF($A572="","",$A572+MOD(6-WEEKDAY($A572),7))</f>
        <v/>
      </c>
      <c r="S572" s="31" t="str">
        <f aca="false">IF($B572="","",IF(AND($M572='Invoice Builder'!$C$5,$Q572='Invoice Builder'!$C$6,N($N572)&gt;0),COUNTIFS($M$5:$M572,'Invoice Builder'!$C$5,$Q$5:$Q572,'Invoice Builder'!$C$6,$N$5:$N572,"&gt;0"),""))</f>
        <v/>
      </c>
      <c r="T572" s="27" t="str">
        <f aca="false">IF($A572="","",IF($A572&gt;=DATE(YEAR($A572),4,6),YEAR($A572)&amp;"/"&amp;RIGHT(YEAR($A572)+1,2),YEAR($A572)-1&amp;"/"&amp;RIGHT(YEAR($A572),2)))</f>
        <v/>
      </c>
    </row>
    <row r="573" customFormat="false" ht="15" hidden="false" customHeight="false" outlineLevel="0" collapsed="false">
      <c r="A573" s="22"/>
      <c r="B573" s="23"/>
      <c r="C573" s="23"/>
      <c r="D573" s="23"/>
      <c r="E573" s="24"/>
      <c r="F573" s="24"/>
      <c r="G573" s="23"/>
      <c r="H573" s="23"/>
      <c r="I573" s="25"/>
      <c r="J573" s="23"/>
      <c r="K573" s="23"/>
      <c r="L573" s="26" t="str">
        <f aca="false">IF(OR($E573="",$F573=""),"",MOD($F573-$E573,1)*24)</f>
        <v/>
      </c>
      <c r="M573" s="27" t="str">
        <f aca="false">IF($B573="","",IFERROR(INDEX(Properties!$D$5:$D$104,MATCH($B573,Properties!$A$5:$A$104,0)),"?"))</f>
        <v/>
      </c>
      <c r="N573" s="28" t="str">
        <f aca="false">IF($B573="","",IFERROR(IF($D573="Completed",INDEX(Properties!$I$5:$I$104,MATCH($B573,Properties!$A$5:$A$104,0))*(1+IF($G573="Y",Settings!$B$8,0))+IF($H573="Y",Settings!$B$7,0)+N($I573),IF($D573="Deep clean",INDEX(Settings!$E$22:$E$26,MATCH(MIN(INDEX(Properties!$E$5:$E$104,MATCH($B573,Properties!$A$5:$A$104,0)),4),Settings!$A$22:$A$26,0))+N($I573),IF($D573="Late cancel",INDEX(Properties!$I$5:$I$104,MATCH($B573,Properties!$A$5:$A$104,0))*Settings!$B$10,0))),0))</f>
        <v/>
      </c>
      <c r="O573" s="28" t="str">
        <f aca="false">IF($B573="","",IFERROR(IF($D573="Completed",INDEX(Properties!$L$5:$L$104,MATCH($B573,Properties!$A$5:$A$104,0))+IF($G573="Y",INDEX(Properties!$I$5:$I$104,MATCH($B573,Properties!$A$5:$A$104,0))*Settings!$B$8*Settings!$B$9,0)+IF($H573="Y",Settings!$B$7*Settings!$B$9,0)+N($I573)*Settings!$B$9,IF($D573="Deep clean",INDEX(Settings!$E$22:$E$26,MATCH(MIN(INDEX(Properties!$E$5:$E$104,MATCH($B573,Properties!$A$5:$A$104,0)),4),Settings!$A$22:$A$26,0))*Settings!$B$19+N($I573)*Settings!$B$9,IF($D573="Late cancel",INDEX(Properties!$L$5:$L$104,MATCH($B573,Properties!$A$5:$A$104,0))*Settings!$B$11,0))),0))</f>
        <v/>
      </c>
      <c r="P573" s="28" t="str">
        <f aca="false">IF($B573="","",$N573-$O573)</f>
        <v/>
      </c>
      <c r="Q573" s="29" t="str">
        <f aca="false">IF($A573="","",DATE(YEAR($A573),MONTH($A573),1))</f>
        <v/>
      </c>
      <c r="R573" s="30" t="str">
        <f aca="false">IF($A573="","",$A573+MOD(6-WEEKDAY($A573),7))</f>
        <v/>
      </c>
      <c r="S573" s="31" t="str">
        <f aca="false">IF($B573="","",IF(AND($M573='Invoice Builder'!$C$5,$Q573='Invoice Builder'!$C$6,N($N573)&gt;0),COUNTIFS($M$5:$M573,'Invoice Builder'!$C$5,$Q$5:$Q573,'Invoice Builder'!$C$6,$N$5:$N573,"&gt;0"),""))</f>
        <v/>
      </c>
      <c r="T573" s="27" t="str">
        <f aca="false">IF($A573="","",IF($A573&gt;=DATE(YEAR($A573),4,6),YEAR($A573)&amp;"/"&amp;RIGHT(YEAR($A573)+1,2),YEAR($A573)-1&amp;"/"&amp;RIGHT(YEAR($A573),2)))</f>
        <v/>
      </c>
    </row>
    <row r="574" customFormat="false" ht="15" hidden="false" customHeight="false" outlineLevel="0" collapsed="false">
      <c r="A574" s="22"/>
      <c r="B574" s="23"/>
      <c r="C574" s="23"/>
      <c r="D574" s="23"/>
      <c r="E574" s="24"/>
      <c r="F574" s="24"/>
      <c r="G574" s="23"/>
      <c r="H574" s="23"/>
      <c r="I574" s="25"/>
      <c r="J574" s="23"/>
      <c r="K574" s="23"/>
      <c r="L574" s="26" t="str">
        <f aca="false">IF(OR($E574="",$F574=""),"",MOD($F574-$E574,1)*24)</f>
        <v/>
      </c>
      <c r="M574" s="27" t="str">
        <f aca="false">IF($B574="","",IFERROR(INDEX(Properties!$D$5:$D$104,MATCH($B574,Properties!$A$5:$A$104,0)),"?"))</f>
        <v/>
      </c>
      <c r="N574" s="28" t="str">
        <f aca="false">IF($B574="","",IFERROR(IF($D574="Completed",INDEX(Properties!$I$5:$I$104,MATCH($B574,Properties!$A$5:$A$104,0))*(1+IF($G574="Y",Settings!$B$8,0))+IF($H574="Y",Settings!$B$7,0)+N($I574),IF($D574="Deep clean",INDEX(Settings!$E$22:$E$26,MATCH(MIN(INDEX(Properties!$E$5:$E$104,MATCH($B574,Properties!$A$5:$A$104,0)),4),Settings!$A$22:$A$26,0))+N($I574),IF($D574="Late cancel",INDEX(Properties!$I$5:$I$104,MATCH($B574,Properties!$A$5:$A$104,0))*Settings!$B$10,0))),0))</f>
        <v/>
      </c>
      <c r="O574" s="28" t="str">
        <f aca="false">IF($B574="","",IFERROR(IF($D574="Completed",INDEX(Properties!$L$5:$L$104,MATCH($B574,Properties!$A$5:$A$104,0))+IF($G574="Y",INDEX(Properties!$I$5:$I$104,MATCH($B574,Properties!$A$5:$A$104,0))*Settings!$B$8*Settings!$B$9,0)+IF($H574="Y",Settings!$B$7*Settings!$B$9,0)+N($I574)*Settings!$B$9,IF($D574="Deep clean",INDEX(Settings!$E$22:$E$26,MATCH(MIN(INDEX(Properties!$E$5:$E$104,MATCH($B574,Properties!$A$5:$A$104,0)),4),Settings!$A$22:$A$26,0))*Settings!$B$19+N($I574)*Settings!$B$9,IF($D574="Late cancel",INDEX(Properties!$L$5:$L$104,MATCH($B574,Properties!$A$5:$A$104,0))*Settings!$B$11,0))),0))</f>
        <v/>
      </c>
      <c r="P574" s="28" t="str">
        <f aca="false">IF($B574="","",$N574-$O574)</f>
        <v/>
      </c>
      <c r="Q574" s="29" t="str">
        <f aca="false">IF($A574="","",DATE(YEAR($A574),MONTH($A574),1))</f>
        <v/>
      </c>
      <c r="R574" s="30" t="str">
        <f aca="false">IF($A574="","",$A574+MOD(6-WEEKDAY($A574),7))</f>
        <v/>
      </c>
      <c r="S574" s="31" t="str">
        <f aca="false">IF($B574="","",IF(AND($M574='Invoice Builder'!$C$5,$Q574='Invoice Builder'!$C$6,N($N574)&gt;0),COUNTIFS($M$5:$M574,'Invoice Builder'!$C$5,$Q$5:$Q574,'Invoice Builder'!$C$6,$N$5:$N574,"&gt;0"),""))</f>
        <v/>
      </c>
      <c r="T574" s="27" t="str">
        <f aca="false">IF($A574="","",IF($A574&gt;=DATE(YEAR($A574),4,6),YEAR($A574)&amp;"/"&amp;RIGHT(YEAR($A574)+1,2),YEAR($A574)-1&amp;"/"&amp;RIGHT(YEAR($A574),2)))</f>
        <v/>
      </c>
    </row>
    <row r="575" customFormat="false" ht="15" hidden="false" customHeight="false" outlineLevel="0" collapsed="false">
      <c r="A575" s="22"/>
      <c r="B575" s="23"/>
      <c r="C575" s="23"/>
      <c r="D575" s="23"/>
      <c r="E575" s="24"/>
      <c r="F575" s="24"/>
      <c r="G575" s="23"/>
      <c r="H575" s="23"/>
      <c r="I575" s="25"/>
      <c r="J575" s="23"/>
      <c r="K575" s="23"/>
      <c r="L575" s="26" t="str">
        <f aca="false">IF(OR($E575="",$F575=""),"",MOD($F575-$E575,1)*24)</f>
        <v/>
      </c>
      <c r="M575" s="27" t="str">
        <f aca="false">IF($B575="","",IFERROR(INDEX(Properties!$D$5:$D$104,MATCH($B575,Properties!$A$5:$A$104,0)),"?"))</f>
        <v/>
      </c>
      <c r="N575" s="28" t="str">
        <f aca="false">IF($B575="","",IFERROR(IF($D575="Completed",INDEX(Properties!$I$5:$I$104,MATCH($B575,Properties!$A$5:$A$104,0))*(1+IF($G575="Y",Settings!$B$8,0))+IF($H575="Y",Settings!$B$7,0)+N($I575),IF($D575="Deep clean",INDEX(Settings!$E$22:$E$26,MATCH(MIN(INDEX(Properties!$E$5:$E$104,MATCH($B575,Properties!$A$5:$A$104,0)),4),Settings!$A$22:$A$26,0))+N($I575),IF($D575="Late cancel",INDEX(Properties!$I$5:$I$104,MATCH($B575,Properties!$A$5:$A$104,0))*Settings!$B$10,0))),0))</f>
        <v/>
      </c>
      <c r="O575" s="28" t="str">
        <f aca="false">IF($B575="","",IFERROR(IF($D575="Completed",INDEX(Properties!$L$5:$L$104,MATCH($B575,Properties!$A$5:$A$104,0))+IF($G575="Y",INDEX(Properties!$I$5:$I$104,MATCH($B575,Properties!$A$5:$A$104,0))*Settings!$B$8*Settings!$B$9,0)+IF($H575="Y",Settings!$B$7*Settings!$B$9,0)+N($I575)*Settings!$B$9,IF($D575="Deep clean",INDEX(Settings!$E$22:$E$26,MATCH(MIN(INDEX(Properties!$E$5:$E$104,MATCH($B575,Properties!$A$5:$A$104,0)),4),Settings!$A$22:$A$26,0))*Settings!$B$19+N($I575)*Settings!$B$9,IF($D575="Late cancel",INDEX(Properties!$L$5:$L$104,MATCH($B575,Properties!$A$5:$A$104,0))*Settings!$B$11,0))),0))</f>
        <v/>
      </c>
      <c r="P575" s="28" t="str">
        <f aca="false">IF($B575="","",$N575-$O575)</f>
        <v/>
      </c>
      <c r="Q575" s="29" t="str">
        <f aca="false">IF($A575="","",DATE(YEAR($A575),MONTH($A575),1))</f>
        <v/>
      </c>
      <c r="R575" s="30" t="str">
        <f aca="false">IF($A575="","",$A575+MOD(6-WEEKDAY($A575),7))</f>
        <v/>
      </c>
      <c r="S575" s="31" t="str">
        <f aca="false">IF($B575="","",IF(AND($M575='Invoice Builder'!$C$5,$Q575='Invoice Builder'!$C$6,N($N575)&gt;0),COUNTIFS($M$5:$M575,'Invoice Builder'!$C$5,$Q$5:$Q575,'Invoice Builder'!$C$6,$N$5:$N575,"&gt;0"),""))</f>
        <v/>
      </c>
      <c r="T575" s="27" t="str">
        <f aca="false">IF($A575="","",IF($A575&gt;=DATE(YEAR($A575),4,6),YEAR($A575)&amp;"/"&amp;RIGHT(YEAR($A575)+1,2),YEAR($A575)-1&amp;"/"&amp;RIGHT(YEAR($A575),2)))</f>
        <v/>
      </c>
    </row>
    <row r="576" customFormat="false" ht="15" hidden="false" customHeight="false" outlineLevel="0" collapsed="false">
      <c r="A576" s="22"/>
      <c r="B576" s="23"/>
      <c r="C576" s="23"/>
      <c r="D576" s="23"/>
      <c r="E576" s="24"/>
      <c r="F576" s="24"/>
      <c r="G576" s="23"/>
      <c r="H576" s="23"/>
      <c r="I576" s="25"/>
      <c r="J576" s="23"/>
      <c r="K576" s="23"/>
      <c r="L576" s="26" t="str">
        <f aca="false">IF(OR($E576="",$F576=""),"",MOD($F576-$E576,1)*24)</f>
        <v/>
      </c>
      <c r="M576" s="27" t="str">
        <f aca="false">IF($B576="","",IFERROR(INDEX(Properties!$D$5:$D$104,MATCH($B576,Properties!$A$5:$A$104,0)),"?"))</f>
        <v/>
      </c>
      <c r="N576" s="28" t="str">
        <f aca="false">IF($B576="","",IFERROR(IF($D576="Completed",INDEX(Properties!$I$5:$I$104,MATCH($B576,Properties!$A$5:$A$104,0))*(1+IF($G576="Y",Settings!$B$8,0))+IF($H576="Y",Settings!$B$7,0)+N($I576),IF($D576="Deep clean",INDEX(Settings!$E$22:$E$26,MATCH(MIN(INDEX(Properties!$E$5:$E$104,MATCH($B576,Properties!$A$5:$A$104,0)),4),Settings!$A$22:$A$26,0))+N($I576),IF($D576="Late cancel",INDEX(Properties!$I$5:$I$104,MATCH($B576,Properties!$A$5:$A$104,0))*Settings!$B$10,0))),0))</f>
        <v/>
      </c>
      <c r="O576" s="28" t="str">
        <f aca="false">IF($B576="","",IFERROR(IF($D576="Completed",INDEX(Properties!$L$5:$L$104,MATCH($B576,Properties!$A$5:$A$104,0))+IF($G576="Y",INDEX(Properties!$I$5:$I$104,MATCH($B576,Properties!$A$5:$A$104,0))*Settings!$B$8*Settings!$B$9,0)+IF($H576="Y",Settings!$B$7*Settings!$B$9,0)+N($I576)*Settings!$B$9,IF($D576="Deep clean",INDEX(Settings!$E$22:$E$26,MATCH(MIN(INDEX(Properties!$E$5:$E$104,MATCH($B576,Properties!$A$5:$A$104,0)),4),Settings!$A$22:$A$26,0))*Settings!$B$19+N($I576)*Settings!$B$9,IF($D576="Late cancel",INDEX(Properties!$L$5:$L$104,MATCH($B576,Properties!$A$5:$A$104,0))*Settings!$B$11,0))),0))</f>
        <v/>
      </c>
      <c r="P576" s="28" t="str">
        <f aca="false">IF($B576="","",$N576-$O576)</f>
        <v/>
      </c>
      <c r="Q576" s="29" t="str">
        <f aca="false">IF($A576="","",DATE(YEAR($A576),MONTH($A576),1))</f>
        <v/>
      </c>
      <c r="R576" s="30" t="str">
        <f aca="false">IF($A576="","",$A576+MOD(6-WEEKDAY($A576),7))</f>
        <v/>
      </c>
      <c r="S576" s="31" t="str">
        <f aca="false">IF($B576="","",IF(AND($M576='Invoice Builder'!$C$5,$Q576='Invoice Builder'!$C$6,N($N576)&gt;0),COUNTIFS($M$5:$M576,'Invoice Builder'!$C$5,$Q$5:$Q576,'Invoice Builder'!$C$6,$N$5:$N576,"&gt;0"),""))</f>
        <v/>
      </c>
      <c r="T576" s="27" t="str">
        <f aca="false">IF($A576="","",IF($A576&gt;=DATE(YEAR($A576),4,6),YEAR($A576)&amp;"/"&amp;RIGHT(YEAR($A576)+1,2),YEAR($A576)-1&amp;"/"&amp;RIGHT(YEAR($A576),2)))</f>
        <v/>
      </c>
    </row>
    <row r="577" customFormat="false" ht="15" hidden="false" customHeight="false" outlineLevel="0" collapsed="false">
      <c r="A577" s="22"/>
      <c r="B577" s="23"/>
      <c r="C577" s="23"/>
      <c r="D577" s="23"/>
      <c r="E577" s="24"/>
      <c r="F577" s="24"/>
      <c r="G577" s="23"/>
      <c r="H577" s="23"/>
      <c r="I577" s="25"/>
      <c r="J577" s="23"/>
      <c r="K577" s="23"/>
      <c r="L577" s="26" t="str">
        <f aca="false">IF(OR($E577="",$F577=""),"",MOD($F577-$E577,1)*24)</f>
        <v/>
      </c>
      <c r="M577" s="27" t="str">
        <f aca="false">IF($B577="","",IFERROR(INDEX(Properties!$D$5:$D$104,MATCH($B577,Properties!$A$5:$A$104,0)),"?"))</f>
        <v/>
      </c>
      <c r="N577" s="28" t="str">
        <f aca="false">IF($B577="","",IFERROR(IF($D577="Completed",INDEX(Properties!$I$5:$I$104,MATCH($B577,Properties!$A$5:$A$104,0))*(1+IF($G577="Y",Settings!$B$8,0))+IF($H577="Y",Settings!$B$7,0)+N($I577),IF($D577="Deep clean",INDEX(Settings!$E$22:$E$26,MATCH(MIN(INDEX(Properties!$E$5:$E$104,MATCH($B577,Properties!$A$5:$A$104,0)),4),Settings!$A$22:$A$26,0))+N($I577),IF($D577="Late cancel",INDEX(Properties!$I$5:$I$104,MATCH($B577,Properties!$A$5:$A$104,0))*Settings!$B$10,0))),0))</f>
        <v/>
      </c>
      <c r="O577" s="28" t="str">
        <f aca="false">IF($B577="","",IFERROR(IF($D577="Completed",INDEX(Properties!$L$5:$L$104,MATCH($B577,Properties!$A$5:$A$104,0))+IF($G577="Y",INDEX(Properties!$I$5:$I$104,MATCH($B577,Properties!$A$5:$A$104,0))*Settings!$B$8*Settings!$B$9,0)+IF($H577="Y",Settings!$B$7*Settings!$B$9,0)+N($I577)*Settings!$B$9,IF($D577="Deep clean",INDEX(Settings!$E$22:$E$26,MATCH(MIN(INDEX(Properties!$E$5:$E$104,MATCH($B577,Properties!$A$5:$A$104,0)),4),Settings!$A$22:$A$26,0))*Settings!$B$19+N($I577)*Settings!$B$9,IF($D577="Late cancel",INDEX(Properties!$L$5:$L$104,MATCH($B577,Properties!$A$5:$A$104,0))*Settings!$B$11,0))),0))</f>
        <v/>
      </c>
      <c r="P577" s="28" t="str">
        <f aca="false">IF($B577="","",$N577-$O577)</f>
        <v/>
      </c>
      <c r="Q577" s="29" t="str">
        <f aca="false">IF($A577="","",DATE(YEAR($A577),MONTH($A577),1))</f>
        <v/>
      </c>
      <c r="R577" s="30" t="str">
        <f aca="false">IF($A577="","",$A577+MOD(6-WEEKDAY($A577),7))</f>
        <v/>
      </c>
      <c r="S577" s="31" t="str">
        <f aca="false">IF($B577="","",IF(AND($M577='Invoice Builder'!$C$5,$Q577='Invoice Builder'!$C$6,N($N577)&gt;0),COUNTIFS($M$5:$M577,'Invoice Builder'!$C$5,$Q$5:$Q577,'Invoice Builder'!$C$6,$N$5:$N577,"&gt;0"),""))</f>
        <v/>
      </c>
      <c r="T577" s="27" t="str">
        <f aca="false">IF($A577="","",IF($A577&gt;=DATE(YEAR($A577),4,6),YEAR($A577)&amp;"/"&amp;RIGHT(YEAR($A577)+1,2),YEAR($A577)-1&amp;"/"&amp;RIGHT(YEAR($A577),2)))</f>
        <v/>
      </c>
    </row>
    <row r="578" customFormat="false" ht="15" hidden="false" customHeight="false" outlineLevel="0" collapsed="false">
      <c r="A578" s="22"/>
      <c r="B578" s="23"/>
      <c r="C578" s="23"/>
      <c r="D578" s="23"/>
      <c r="E578" s="24"/>
      <c r="F578" s="24"/>
      <c r="G578" s="23"/>
      <c r="H578" s="23"/>
      <c r="I578" s="25"/>
      <c r="J578" s="23"/>
      <c r="K578" s="23"/>
      <c r="L578" s="26" t="str">
        <f aca="false">IF(OR($E578="",$F578=""),"",MOD($F578-$E578,1)*24)</f>
        <v/>
      </c>
      <c r="M578" s="27" t="str">
        <f aca="false">IF($B578="","",IFERROR(INDEX(Properties!$D$5:$D$104,MATCH($B578,Properties!$A$5:$A$104,0)),"?"))</f>
        <v/>
      </c>
      <c r="N578" s="28" t="str">
        <f aca="false">IF($B578="","",IFERROR(IF($D578="Completed",INDEX(Properties!$I$5:$I$104,MATCH($B578,Properties!$A$5:$A$104,0))*(1+IF($G578="Y",Settings!$B$8,0))+IF($H578="Y",Settings!$B$7,0)+N($I578),IF($D578="Deep clean",INDEX(Settings!$E$22:$E$26,MATCH(MIN(INDEX(Properties!$E$5:$E$104,MATCH($B578,Properties!$A$5:$A$104,0)),4),Settings!$A$22:$A$26,0))+N($I578),IF($D578="Late cancel",INDEX(Properties!$I$5:$I$104,MATCH($B578,Properties!$A$5:$A$104,0))*Settings!$B$10,0))),0))</f>
        <v/>
      </c>
      <c r="O578" s="28" t="str">
        <f aca="false">IF($B578="","",IFERROR(IF($D578="Completed",INDEX(Properties!$L$5:$L$104,MATCH($B578,Properties!$A$5:$A$104,0))+IF($G578="Y",INDEX(Properties!$I$5:$I$104,MATCH($B578,Properties!$A$5:$A$104,0))*Settings!$B$8*Settings!$B$9,0)+IF($H578="Y",Settings!$B$7*Settings!$B$9,0)+N($I578)*Settings!$B$9,IF($D578="Deep clean",INDEX(Settings!$E$22:$E$26,MATCH(MIN(INDEX(Properties!$E$5:$E$104,MATCH($B578,Properties!$A$5:$A$104,0)),4),Settings!$A$22:$A$26,0))*Settings!$B$19+N($I578)*Settings!$B$9,IF($D578="Late cancel",INDEX(Properties!$L$5:$L$104,MATCH($B578,Properties!$A$5:$A$104,0))*Settings!$B$11,0))),0))</f>
        <v/>
      </c>
      <c r="P578" s="28" t="str">
        <f aca="false">IF($B578="","",$N578-$O578)</f>
        <v/>
      </c>
      <c r="Q578" s="29" t="str">
        <f aca="false">IF($A578="","",DATE(YEAR($A578),MONTH($A578),1))</f>
        <v/>
      </c>
      <c r="R578" s="30" t="str">
        <f aca="false">IF($A578="","",$A578+MOD(6-WEEKDAY($A578),7))</f>
        <v/>
      </c>
      <c r="S578" s="31" t="str">
        <f aca="false">IF($B578="","",IF(AND($M578='Invoice Builder'!$C$5,$Q578='Invoice Builder'!$C$6,N($N578)&gt;0),COUNTIFS($M$5:$M578,'Invoice Builder'!$C$5,$Q$5:$Q578,'Invoice Builder'!$C$6,$N$5:$N578,"&gt;0"),""))</f>
        <v/>
      </c>
      <c r="T578" s="27" t="str">
        <f aca="false">IF($A578="","",IF($A578&gt;=DATE(YEAR($A578),4,6),YEAR($A578)&amp;"/"&amp;RIGHT(YEAR($A578)+1,2),YEAR($A578)-1&amp;"/"&amp;RIGHT(YEAR($A578),2)))</f>
        <v/>
      </c>
    </row>
    <row r="579" customFormat="false" ht="15" hidden="false" customHeight="false" outlineLevel="0" collapsed="false">
      <c r="A579" s="22"/>
      <c r="B579" s="23"/>
      <c r="C579" s="23"/>
      <c r="D579" s="23"/>
      <c r="E579" s="24"/>
      <c r="F579" s="24"/>
      <c r="G579" s="23"/>
      <c r="H579" s="23"/>
      <c r="I579" s="25"/>
      <c r="J579" s="23"/>
      <c r="K579" s="23"/>
      <c r="L579" s="26" t="str">
        <f aca="false">IF(OR($E579="",$F579=""),"",MOD($F579-$E579,1)*24)</f>
        <v/>
      </c>
      <c r="M579" s="27" t="str">
        <f aca="false">IF($B579="","",IFERROR(INDEX(Properties!$D$5:$D$104,MATCH($B579,Properties!$A$5:$A$104,0)),"?"))</f>
        <v/>
      </c>
      <c r="N579" s="28" t="str">
        <f aca="false">IF($B579="","",IFERROR(IF($D579="Completed",INDEX(Properties!$I$5:$I$104,MATCH($B579,Properties!$A$5:$A$104,0))*(1+IF($G579="Y",Settings!$B$8,0))+IF($H579="Y",Settings!$B$7,0)+N($I579),IF($D579="Deep clean",INDEX(Settings!$E$22:$E$26,MATCH(MIN(INDEX(Properties!$E$5:$E$104,MATCH($B579,Properties!$A$5:$A$104,0)),4),Settings!$A$22:$A$26,0))+N($I579),IF($D579="Late cancel",INDEX(Properties!$I$5:$I$104,MATCH($B579,Properties!$A$5:$A$104,0))*Settings!$B$10,0))),0))</f>
        <v/>
      </c>
      <c r="O579" s="28" t="str">
        <f aca="false">IF($B579="","",IFERROR(IF($D579="Completed",INDEX(Properties!$L$5:$L$104,MATCH($B579,Properties!$A$5:$A$104,0))+IF($G579="Y",INDEX(Properties!$I$5:$I$104,MATCH($B579,Properties!$A$5:$A$104,0))*Settings!$B$8*Settings!$B$9,0)+IF($H579="Y",Settings!$B$7*Settings!$B$9,0)+N($I579)*Settings!$B$9,IF($D579="Deep clean",INDEX(Settings!$E$22:$E$26,MATCH(MIN(INDEX(Properties!$E$5:$E$104,MATCH($B579,Properties!$A$5:$A$104,0)),4),Settings!$A$22:$A$26,0))*Settings!$B$19+N($I579)*Settings!$B$9,IF($D579="Late cancel",INDEX(Properties!$L$5:$L$104,MATCH($B579,Properties!$A$5:$A$104,0))*Settings!$B$11,0))),0))</f>
        <v/>
      </c>
      <c r="P579" s="28" t="str">
        <f aca="false">IF($B579="","",$N579-$O579)</f>
        <v/>
      </c>
      <c r="Q579" s="29" t="str">
        <f aca="false">IF($A579="","",DATE(YEAR($A579),MONTH($A579),1))</f>
        <v/>
      </c>
      <c r="R579" s="30" t="str">
        <f aca="false">IF($A579="","",$A579+MOD(6-WEEKDAY($A579),7))</f>
        <v/>
      </c>
      <c r="S579" s="31" t="str">
        <f aca="false">IF($B579="","",IF(AND($M579='Invoice Builder'!$C$5,$Q579='Invoice Builder'!$C$6,N($N579)&gt;0),COUNTIFS($M$5:$M579,'Invoice Builder'!$C$5,$Q$5:$Q579,'Invoice Builder'!$C$6,$N$5:$N579,"&gt;0"),""))</f>
        <v/>
      </c>
      <c r="T579" s="27" t="str">
        <f aca="false">IF($A579="","",IF($A579&gt;=DATE(YEAR($A579),4,6),YEAR($A579)&amp;"/"&amp;RIGHT(YEAR($A579)+1,2),YEAR($A579)-1&amp;"/"&amp;RIGHT(YEAR($A579),2)))</f>
        <v/>
      </c>
    </row>
    <row r="580" customFormat="false" ht="15" hidden="false" customHeight="false" outlineLevel="0" collapsed="false">
      <c r="A580" s="22"/>
      <c r="B580" s="23"/>
      <c r="C580" s="23"/>
      <c r="D580" s="23"/>
      <c r="E580" s="24"/>
      <c r="F580" s="24"/>
      <c r="G580" s="23"/>
      <c r="H580" s="23"/>
      <c r="I580" s="25"/>
      <c r="J580" s="23"/>
      <c r="K580" s="23"/>
      <c r="L580" s="26" t="str">
        <f aca="false">IF(OR($E580="",$F580=""),"",MOD($F580-$E580,1)*24)</f>
        <v/>
      </c>
      <c r="M580" s="27" t="str">
        <f aca="false">IF($B580="","",IFERROR(INDEX(Properties!$D$5:$D$104,MATCH($B580,Properties!$A$5:$A$104,0)),"?"))</f>
        <v/>
      </c>
      <c r="N580" s="28" t="str">
        <f aca="false">IF($B580="","",IFERROR(IF($D580="Completed",INDEX(Properties!$I$5:$I$104,MATCH($B580,Properties!$A$5:$A$104,0))*(1+IF($G580="Y",Settings!$B$8,0))+IF($H580="Y",Settings!$B$7,0)+N($I580),IF($D580="Deep clean",INDEX(Settings!$E$22:$E$26,MATCH(MIN(INDEX(Properties!$E$5:$E$104,MATCH($B580,Properties!$A$5:$A$104,0)),4),Settings!$A$22:$A$26,0))+N($I580),IF($D580="Late cancel",INDEX(Properties!$I$5:$I$104,MATCH($B580,Properties!$A$5:$A$104,0))*Settings!$B$10,0))),0))</f>
        <v/>
      </c>
      <c r="O580" s="28" t="str">
        <f aca="false">IF($B580="","",IFERROR(IF($D580="Completed",INDEX(Properties!$L$5:$L$104,MATCH($B580,Properties!$A$5:$A$104,0))+IF($G580="Y",INDEX(Properties!$I$5:$I$104,MATCH($B580,Properties!$A$5:$A$104,0))*Settings!$B$8*Settings!$B$9,0)+IF($H580="Y",Settings!$B$7*Settings!$B$9,0)+N($I580)*Settings!$B$9,IF($D580="Deep clean",INDEX(Settings!$E$22:$E$26,MATCH(MIN(INDEX(Properties!$E$5:$E$104,MATCH($B580,Properties!$A$5:$A$104,0)),4),Settings!$A$22:$A$26,0))*Settings!$B$19+N($I580)*Settings!$B$9,IF($D580="Late cancel",INDEX(Properties!$L$5:$L$104,MATCH($B580,Properties!$A$5:$A$104,0))*Settings!$B$11,0))),0))</f>
        <v/>
      </c>
      <c r="P580" s="28" t="str">
        <f aca="false">IF($B580="","",$N580-$O580)</f>
        <v/>
      </c>
      <c r="Q580" s="29" t="str">
        <f aca="false">IF($A580="","",DATE(YEAR($A580),MONTH($A580),1))</f>
        <v/>
      </c>
      <c r="R580" s="30" t="str">
        <f aca="false">IF($A580="","",$A580+MOD(6-WEEKDAY($A580),7))</f>
        <v/>
      </c>
      <c r="S580" s="31" t="str">
        <f aca="false">IF($B580="","",IF(AND($M580='Invoice Builder'!$C$5,$Q580='Invoice Builder'!$C$6,N($N580)&gt;0),COUNTIFS($M$5:$M580,'Invoice Builder'!$C$5,$Q$5:$Q580,'Invoice Builder'!$C$6,$N$5:$N580,"&gt;0"),""))</f>
        <v/>
      </c>
      <c r="T580" s="27" t="str">
        <f aca="false">IF($A580="","",IF($A580&gt;=DATE(YEAR($A580),4,6),YEAR($A580)&amp;"/"&amp;RIGHT(YEAR($A580)+1,2),YEAR($A580)-1&amp;"/"&amp;RIGHT(YEAR($A580),2)))</f>
        <v/>
      </c>
    </row>
    <row r="581" customFormat="false" ht="15" hidden="false" customHeight="false" outlineLevel="0" collapsed="false">
      <c r="A581" s="22"/>
      <c r="B581" s="23"/>
      <c r="C581" s="23"/>
      <c r="D581" s="23"/>
      <c r="E581" s="24"/>
      <c r="F581" s="24"/>
      <c r="G581" s="23"/>
      <c r="H581" s="23"/>
      <c r="I581" s="25"/>
      <c r="J581" s="23"/>
      <c r="K581" s="23"/>
      <c r="L581" s="26" t="str">
        <f aca="false">IF(OR($E581="",$F581=""),"",MOD($F581-$E581,1)*24)</f>
        <v/>
      </c>
      <c r="M581" s="27" t="str">
        <f aca="false">IF($B581="","",IFERROR(INDEX(Properties!$D$5:$D$104,MATCH($B581,Properties!$A$5:$A$104,0)),"?"))</f>
        <v/>
      </c>
      <c r="N581" s="28" t="str">
        <f aca="false">IF($B581="","",IFERROR(IF($D581="Completed",INDEX(Properties!$I$5:$I$104,MATCH($B581,Properties!$A$5:$A$104,0))*(1+IF($G581="Y",Settings!$B$8,0))+IF($H581="Y",Settings!$B$7,0)+N($I581),IF($D581="Deep clean",INDEX(Settings!$E$22:$E$26,MATCH(MIN(INDEX(Properties!$E$5:$E$104,MATCH($B581,Properties!$A$5:$A$104,0)),4),Settings!$A$22:$A$26,0))+N($I581),IF($D581="Late cancel",INDEX(Properties!$I$5:$I$104,MATCH($B581,Properties!$A$5:$A$104,0))*Settings!$B$10,0))),0))</f>
        <v/>
      </c>
      <c r="O581" s="28" t="str">
        <f aca="false">IF($B581="","",IFERROR(IF($D581="Completed",INDEX(Properties!$L$5:$L$104,MATCH($B581,Properties!$A$5:$A$104,0))+IF($G581="Y",INDEX(Properties!$I$5:$I$104,MATCH($B581,Properties!$A$5:$A$104,0))*Settings!$B$8*Settings!$B$9,0)+IF($H581="Y",Settings!$B$7*Settings!$B$9,0)+N($I581)*Settings!$B$9,IF($D581="Deep clean",INDEX(Settings!$E$22:$E$26,MATCH(MIN(INDEX(Properties!$E$5:$E$104,MATCH($B581,Properties!$A$5:$A$104,0)),4),Settings!$A$22:$A$26,0))*Settings!$B$19+N($I581)*Settings!$B$9,IF($D581="Late cancel",INDEX(Properties!$L$5:$L$104,MATCH($B581,Properties!$A$5:$A$104,0))*Settings!$B$11,0))),0))</f>
        <v/>
      </c>
      <c r="P581" s="28" t="str">
        <f aca="false">IF($B581="","",$N581-$O581)</f>
        <v/>
      </c>
      <c r="Q581" s="29" t="str">
        <f aca="false">IF($A581="","",DATE(YEAR($A581),MONTH($A581),1))</f>
        <v/>
      </c>
      <c r="R581" s="30" t="str">
        <f aca="false">IF($A581="","",$A581+MOD(6-WEEKDAY($A581),7))</f>
        <v/>
      </c>
      <c r="S581" s="31" t="str">
        <f aca="false">IF($B581="","",IF(AND($M581='Invoice Builder'!$C$5,$Q581='Invoice Builder'!$C$6,N($N581)&gt;0),COUNTIFS($M$5:$M581,'Invoice Builder'!$C$5,$Q$5:$Q581,'Invoice Builder'!$C$6,$N$5:$N581,"&gt;0"),""))</f>
        <v/>
      </c>
      <c r="T581" s="27" t="str">
        <f aca="false">IF($A581="","",IF($A581&gt;=DATE(YEAR($A581),4,6),YEAR($A581)&amp;"/"&amp;RIGHT(YEAR($A581)+1,2),YEAR($A581)-1&amp;"/"&amp;RIGHT(YEAR($A581),2)))</f>
        <v/>
      </c>
    </row>
    <row r="582" customFormat="false" ht="15" hidden="false" customHeight="false" outlineLevel="0" collapsed="false">
      <c r="A582" s="22"/>
      <c r="B582" s="23"/>
      <c r="C582" s="23"/>
      <c r="D582" s="23"/>
      <c r="E582" s="24"/>
      <c r="F582" s="24"/>
      <c r="G582" s="23"/>
      <c r="H582" s="23"/>
      <c r="I582" s="25"/>
      <c r="J582" s="23"/>
      <c r="K582" s="23"/>
      <c r="L582" s="26" t="str">
        <f aca="false">IF(OR($E582="",$F582=""),"",MOD($F582-$E582,1)*24)</f>
        <v/>
      </c>
      <c r="M582" s="27" t="str">
        <f aca="false">IF($B582="","",IFERROR(INDEX(Properties!$D$5:$D$104,MATCH($B582,Properties!$A$5:$A$104,0)),"?"))</f>
        <v/>
      </c>
      <c r="N582" s="28" t="str">
        <f aca="false">IF($B582="","",IFERROR(IF($D582="Completed",INDEX(Properties!$I$5:$I$104,MATCH($B582,Properties!$A$5:$A$104,0))*(1+IF($G582="Y",Settings!$B$8,0))+IF($H582="Y",Settings!$B$7,0)+N($I582),IF($D582="Deep clean",INDEX(Settings!$E$22:$E$26,MATCH(MIN(INDEX(Properties!$E$5:$E$104,MATCH($B582,Properties!$A$5:$A$104,0)),4),Settings!$A$22:$A$26,0))+N($I582),IF($D582="Late cancel",INDEX(Properties!$I$5:$I$104,MATCH($B582,Properties!$A$5:$A$104,0))*Settings!$B$10,0))),0))</f>
        <v/>
      </c>
      <c r="O582" s="28" t="str">
        <f aca="false">IF($B582="","",IFERROR(IF($D582="Completed",INDEX(Properties!$L$5:$L$104,MATCH($B582,Properties!$A$5:$A$104,0))+IF($G582="Y",INDEX(Properties!$I$5:$I$104,MATCH($B582,Properties!$A$5:$A$104,0))*Settings!$B$8*Settings!$B$9,0)+IF($H582="Y",Settings!$B$7*Settings!$B$9,0)+N($I582)*Settings!$B$9,IF($D582="Deep clean",INDEX(Settings!$E$22:$E$26,MATCH(MIN(INDEX(Properties!$E$5:$E$104,MATCH($B582,Properties!$A$5:$A$104,0)),4),Settings!$A$22:$A$26,0))*Settings!$B$19+N($I582)*Settings!$B$9,IF($D582="Late cancel",INDEX(Properties!$L$5:$L$104,MATCH($B582,Properties!$A$5:$A$104,0))*Settings!$B$11,0))),0))</f>
        <v/>
      </c>
      <c r="P582" s="28" t="str">
        <f aca="false">IF($B582="","",$N582-$O582)</f>
        <v/>
      </c>
      <c r="Q582" s="29" t="str">
        <f aca="false">IF($A582="","",DATE(YEAR($A582),MONTH($A582),1))</f>
        <v/>
      </c>
      <c r="R582" s="30" t="str">
        <f aca="false">IF($A582="","",$A582+MOD(6-WEEKDAY($A582),7))</f>
        <v/>
      </c>
      <c r="S582" s="31" t="str">
        <f aca="false">IF($B582="","",IF(AND($M582='Invoice Builder'!$C$5,$Q582='Invoice Builder'!$C$6,N($N582)&gt;0),COUNTIFS($M$5:$M582,'Invoice Builder'!$C$5,$Q$5:$Q582,'Invoice Builder'!$C$6,$N$5:$N582,"&gt;0"),""))</f>
        <v/>
      </c>
      <c r="T582" s="27" t="str">
        <f aca="false">IF($A582="","",IF($A582&gt;=DATE(YEAR($A582),4,6),YEAR($A582)&amp;"/"&amp;RIGHT(YEAR($A582)+1,2),YEAR($A582)-1&amp;"/"&amp;RIGHT(YEAR($A582),2)))</f>
        <v/>
      </c>
    </row>
    <row r="583" customFormat="false" ht="15" hidden="false" customHeight="false" outlineLevel="0" collapsed="false">
      <c r="A583" s="22"/>
      <c r="B583" s="23"/>
      <c r="C583" s="23"/>
      <c r="D583" s="23"/>
      <c r="E583" s="24"/>
      <c r="F583" s="24"/>
      <c r="G583" s="23"/>
      <c r="H583" s="23"/>
      <c r="I583" s="25"/>
      <c r="J583" s="23"/>
      <c r="K583" s="23"/>
      <c r="L583" s="26" t="str">
        <f aca="false">IF(OR($E583="",$F583=""),"",MOD($F583-$E583,1)*24)</f>
        <v/>
      </c>
      <c r="M583" s="27" t="str">
        <f aca="false">IF($B583="","",IFERROR(INDEX(Properties!$D$5:$D$104,MATCH($B583,Properties!$A$5:$A$104,0)),"?"))</f>
        <v/>
      </c>
      <c r="N583" s="28" t="str">
        <f aca="false">IF($B583="","",IFERROR(IF($D583="Completed",INDEX(Properties!$I$5:$I$104,MATCH($B583,Properties!$A$5:$A$104,0))*(1+IF($G583="Y",Settings!$B$8,0))+IF($H583="Y",Settings!$B$7,0)+N($I583),IF($D583="Deep clean",INDEX(Settings!$E$22:$E$26,MATCH(MIN(INDEX(Properties!$E$5:$E$104,MATCH($B583,Properties!$A$5:$A$104,0)),4),Settings!$A$22:$A$26,0))+N($I583),IF($D583="Late cancel",INDEX(Properties!$I$5:$I$104,MATCH($B583,Properties!$A$5:$A$104,0))*Settings!$B$10,0))),0))</f>
        <v/>
      </c>
      <c r="O583" s="28" t="str">
        <f aca="false">IF($B583="","",IFERROR(IF($D583="Completed",INDEX(Properties!$L$5:$L$104,MATCH($B583,Properties!$A$5:$A$104,0))+IF($G583="Y",INDEX(Properties!$I$5:$I$104,MATCH($B583,Properties!$A$5:$A$104,0))*Settings!$B$8*Settings!$B$9,0)+IF($H583="Y",Settings!$B$7*Settings!$B$9,0)+N($I583)*Settings!$B$9,IF($D583="Deep clean",INDEX(Settings!$E$22:$E$26,MATCH(MIN(INDEX(Properties!$E$5:$E$104,MATCH($B583,Properties!$A$5:$A$104,0)),4),Settings!$A$22:$A$26,0))*Settings!$B$19+N($I583)*Settings!$B$9,IF($D583="Late cancel",INDEX(Properties!$L$5:$L$104,MATCH($B583,Properties!$A$5:$A$104,0))*Settings!$B$11,0))),0))</f>
        <v/>
      </c>
      <c r="P583" s="28" t="str">
        <f aca="false">IF($B583="","",$N583-$O583)</f>
        <v/>
      </c>
      <c r="Q583" s="29" t="str">
        <f aca="false">IF($A583="","",DATE(YEAR($A583),MONTH($A583),1))</f>
        <v/>
      </c>
      <c r="R583" s="30" t="str">
        <f aca="false">IF($A583="","",$A583+MOD(6-WEEKDAY($A583),7))</f>
        <v/>
      </c>
      <c r="S583" s="31" t="str">
        <f aca="false">IF($B583="","",IF(AND($M583='Invoice Builder'!$C$5,$Q583='Invoice Builder'!$C$6,N($N583)&gt;0),COUNTIFS($M$5:$M583,'Invoice Builder'!$C$5,$Q$5:$Q583,'Invoice Builder'!$C$6,$N$5:$N583,"&gt;0"),""))</f>
        <v/>
      </c>
      <c r="T583" s="27" t="str">
        <f aca="false">IF($A583="","",IF($A583&gt;=DATE(YEAR($A583),4,6),YEAR($A583)&amp;"/"&amp;RIGHT(YEAR($A583)+1,2),YEAR($A583)-1&amp;"/"&amp;RIGHT(YEAR($A583),2)))</f>
        <v/>
      </c>
    </row>
    <row r="584" customFormat="false" ht="15" hidden="false" customHeight="false" outlineLevel="0" collapsed="false">
      <c r="A584" s="22"/>
      <c r="B584" s="23"/>
      <c r="C584" s="23"/>
      <c r="D584" s="23"/>
      <c r="E584" s="24"/>
      <c r="F584" s="24"/>
      <c r="G584" s="23"/>
      <c r="H584" s="23"/>
      <c r="I584" s="25"/>
      <c r="J584" s="23"/>
      <c r="K584" s="23"/>
      <c r="L584" s="26" t="str">
        <f aca="false">IF(OR($E584="",$F584=""),"",MOD($F584-$E584,1)*24)</f>
        <v/>
      </c>
      <c r="M584" s="27" t="str">
        <f aca="false">IF($B584="","",IFERROR(INDEX(Properties!$D$5:$D$104,MATCH($B584,Properties!$A$5:$A$104,0)),"?"))</f>
        <v/>
      </c>
      <c r="N584" s="28" t="str">
        <f aca="false">IF($B584="","",IFERROR(IF($D584="Completed",INDEX(Properties!$I$5:$I$104,MATCH($B584,Properties!$A$5:$A$104,0))*(1+IF($G584="Y",Settings!$B$8,0))+IF($H584="Y",Settings!$B$7,0)+N($I584),IF($D584="Deep clean",INDEX(Settings!$E$22:$E$26,MATCH(MIN(INDEX(Properties!$E$5:$E$104,MATCH($B584,Properties!$A$5:$A$104,0)),4),Settings!$A$22:$A$26,0))+N($I584),IF($D584="Late cancel",INDEX(Properties!$I$5:$I$104,MATCH($B584,Properties!$A$5:$A$104,0))*Settings!$B$10,0))),0))</f>
        <v/>
      </c>
      <c r="O584" s="28" t="str">
        <f aca="false">IF($B584="","",IFERROR(IF($D584="Completed",INDEX(Properties!$L$5:$L$104,MATCH($B584,Properties!$A$5:$A$104,0))+IF($G584="Y",INDEX(Properties!$I$5:$I$104,MATCH($B584,Properties!$A$5:$A$104,0))*Settings!$B$8*Settings!$B$9,0)+IF($H584="Y",Settings!$B$7*Settings!$B$9,0)+N($I584)*Settings!$B$9,IF($D584="Deep clean",INDEX(Settings!$E$22:$E$26,MATCH(MIN(INDEX(Properties!$E$5:$E$104,MATCH($B584,Properties!$A$5:$A$104,0)),4),Settings!$A$22:$A$26,0))*Settings!$B$19+N($I584)*Settings!$B$9,IF($D584="Late cancel",INDEX(Properties!$L$5:$L$104,MATCH($B584,Properties!$A$5:$A$104,0))*Settings!$B$11,0))),0))</f>
        <v/>
      </c>
      <c r="P584" s="28" t="str">
        <f aca="false">IF($B584="","",$N584-$O584)</f>
        <v/>
      </c>
      <c r="Q584" s="29" t="str">
        <f aca="false">IF($A584="","",DATE(YEAR($A584),MONTH($A584),1))</f>
        <v/>
      </c>
      <c r="R584" s="30" t="str">
        <f aca="false">IF($A584="","",$A584+MOD(6-WEEKDAY($A584),7))</f>
        <v/>
      </c>
      <c r="S584" s="31" t="str">
        <f aca="false">IF($B584="","",IF(AND($M584='Invoice Builder'!$C$5,$Q584='Invoice Builder'!$C$6,N($N584)&gt;0),COUNTIFS($M$5:$M584,'Invoice Builder'!$C$5,$Q$5:$Q584,'Invoice Builder'!$C$6,$N$5:$N584,"&gt;0"),""))</f>
        <v/>
      </c>
      <c r="T584" s="27" t="str">
        <f aca="false">IF($A584="","",IF($A584&gt;=DATE(YEAR($A584),4,6),YEAR($A584)&amp;"/"&amp;RIGHT(YEAR($A584)+1,2),YEAR($A584)-1&amp;"/"&amp;RIGHT(YEAR($A584),2)))</f>
        <v/>
      </c>
    </row>
    <row r="585" customFormat="false" ht="15" hidden="false" customHeight="false" outlineLevel="0" collapsed="false">
      <c r="A585" s="22"/>
      <c r="B585" s="23"/>
      <c r="C585" s="23"/>
      <c r="D585" s="23"/>
      <c r="E585" s="24"/>
      <c r="F585" s="24"/>
      <c r="G585" s="23"/>
      <c r="H585" s="23"/>
      <c r="I585" s="25"/>
      <c r="J585" s="23"/>
      <c r="K585" s="23"/>
      <c r="L585" s="26" t="str">
        <f aca="false">IF(OR($E585="",$F585=""),"",MOD($F585-$E585,1)*24)</f>
        <v/>
      </c>
      <c r="M585" s="27" t="str">
        <f aca="false">IF($B585="","",IFERROR(INDEX(Properties!$D$5:$D$104,MATCH($B585,Properties!$A$5:$A$104,0)),"?"))</f>
        <v/>
      </c>
      <c r="N585" s="28" t="str">
        <f aca="false">IF($B585="","",IFERROR(IF($D585="Completed",INDEX(Properties!$I$5:$I$104,MATCH($B585,Properties!$A$5:$A$104,0))*(1+IF($G585="Y",Settings!$B$8,0))+IF($H585="Y",Settings!$B$7,0)+N($I585),IF($D585="Deep clean",INDEX(Settings!$E$22:$E$26,MATCH(MIN(INDEX(Properties!$E$5:$E$104,MATCH($B585,Properties!$A$5:$A$104,0)),4),Settings!$A$22:$A$26,0))+N($I585),IF($D585="Late cancel",INDEX(Properties!$I$5:$I$104,MATCH($B585,Properties!$A$5:$A$104,0))*Settings!$B$10,0))),0))</f>
        <v/>
      </c>
      <c r="O585" s="28" t="str">
        <f aca="false">IF($B585="","",IFERROR(IF($D585="Completed",INDEX(Properties!$L$5:$L$104,MATCH($B585,Properties!$A$5:$A$104,0))+IF($G585="Y",INDEX(Properties!$I$5:$I$104,MATCH($B585,Properties!$A$5:$A$104,0))*Settings!$B$8*Settings!$B$9,0)+IF($H585="Y",Settings!$B$7*Settings!$B$9,0)+N($I585)*Settings!$B$9,IF($D585="Deep clean",INDEX(Settings!$E$22:$E$26,MATCH(MIN(INDEX(Properties!$E$5:$E$104,MATCH($B585,Properties!$A$5:$A$104,0)),4),Settings!$A$22:$A$26,0))*Settings!$B$19+N($I585)*Settings!$B$9,IF($D585="Late cancel",INDEX(Properties!$L$5:$L$104,MATCH($B585,Properties!$A$5:$A$104,0))*Settings!$B$11,0))),0))</f>
        <v/>
      </c>
      <c r="P585" s="28" t="str">
        <f aca="false">IF($B585="","",$N585-$O585)</f>
        <v/>
      </c>
      <c r="Q585" s="29" t="str">
        <f aca="false">IF($A585="","",DATE(YEAR($A585),MONTH($A585),1))</f>
        <v/>
      </c>
      <c r="R585" s="30" t="str">
        <f aca="false">IF($A585="","",$A585+MOD(6-WEEKDAY($A585),7))</f>
        <v/>
      </c>
      <c r="S585" s="31" t="str">
        <f aca="false">IF($B585="","",IF(AND($M585='Invoice Builder'!$C$5,$Q585='Invoice Builder'!$C$6,N($N585)&gt;0),COUNTIFS($M$5:$M585,'Invoice Builder'!$C$5,$Q$5:$Q585,'Invoice Builder'!$C$6,$N$5:$N585,"&gt;0"),""))</f>
        <v/>
      </c>
      <c r="T585" s="27" t="str">
        <f aca="false">IF($A585="","",IF($A585&gt;=DATE(YEAR($A585),4,6),YEAR($A585)&amp;"/"&amp;RIGHT(YEAR($A585)+1,2),YEAR($A585)-1&amp;"/"&amp;RIGHT(YEAR($A585),2)))</f>
        <v/>
      </c>
    </row>
    <row r="586" customFormat="false" ht="15" hidden="false" customHeight="false" outlineLevel="0" collapsed="false">
      <c r="A586" s="22"/>
      <c r="B586" s="23"/>
      <c r="C586" s="23"/>
      <c r="D586" s="23"/>
      <c r="E586" s="24"/>
      <c r="F586" s="24"/>
      <c r="G586" s="23"/>
      <c r="H586" s="23"/>
      <c r="I586" s="25"/>
      <c r="J586" s="23"/>
      <c r="K586" s="23"/>
      <c r="L586" s="26" t="str">
        <f aca="false">IF(OR($E586="",$F586=""),"",MOD($F586-$E586,1)*24)</f>
        <v/>
      </c>
      <c r="M586" s="27" t="str">
        <f aca="false">IF($B586="","",IFERROR(INDEX(Properties!$D$5:$D$104,MATCH($B586,Properties!$A$5:$A$104,0)),"?"))</f>
        <v/>
      </c>
      <c r="N586" s="28" t="str">
        <f aca="false">IF($B586="","",IFERROR(IF($D586="Completed",INDEX(Properties!$I$5:$I$104,MATCH($B586,Properties!$A$5:$A$104,0))*(1+IF($G586="Y",Settings!$B$8,0))+IF($H586="Y",Settings!$B$7,0)+N($I586),IF($D586="Deep clean",INDEX(Settings!$E$22:$E$26,MATCH(MIN(INDEX(Properties!$E$5:$E$104,MATCH($B586,Properties!$A$5:$A$104,0)),4),Settings!$A$22:$A$26,0))+N($I586),IF($D586="Late cancel",INDEX(Properties!$I$5:$I$104,MATCH($B586,Properties!$A$5:$A$104,0))*Settings!$B$10,0))),0))</f>
        <v/>
      </c>
      <c r="O586" s="28" t="str">
        <f aca="false">IF($B586="","",IFERROR(IF($D586="Completed",INDEX(Properties!$L$5:$L$104,MATCH($B586,Properties!$A$5:$A$104,0))+IF($G586="Y",INDEX(Properties!$I$5:$I$104,MATCH($B586,Properties!$A$5:$A$104,0))*Settings!$B$8*Settings!$B$9,0)+IF($H586="Y",Settings!$B$7*Settings!$B$9,0)+N($I586)*Settings!$B$9,IF($D586="Deep clean",INDEX(Settings!$E$22:$E$26,MATCH(MIN(INDEX(Properties!$E$5:$E$104,MATCH($B586,Properties!$A$5:$A$104,0)),4),Settings!$A$22:$A$26,0))*Settings!$B$19+N($I586)*Settings!$B$9,IF($D586="Late cancel",INDEX(Properties!$L$5:$L$104,MATCH($B586,Properties!$A$5:$A$104,0))*Settings!$B$11,0))),0))</f>
        <v/>
      </c>
      <c r="P586" s="28" t="str">
        <f aca="false">IF($B586="","",$N586-$O586)</f>
        <v/>
      </c>
      <c r="Q586" s="29" t="str">
        <f aca="false">IF($A586="","",DATE(YEAR($A586),MONTH($A586),1))</f>
        <v/>
      </c>
      <c r="R586" s="30" t="str">
        <f aca="false">IF($A586="","",$A586+MOD(6-WEEKDAY($A586),7))</f>
        <v/>
      </c>
      <c r="S586" s="31" t="str">
        <f aca="false">IF($B586="","",IF(AND($M586='Invoice Builder'!$C$5,$Q586='Invoice Builder'!$C$6,N($N586)&gt;0),COUNTIFS($M$5:$M586,'Invoice Builder'!$C$5,$Q$5:$Q586,'Invoice Builder'!$C$6,$N$5:$N586,"&gt;0"),""))</f>
        <v/>
      </c>
      <c r="T586" s="27" t="str">
        <f aca="false">IF($A586="","",IF($A586&gt;=DATE(YEAR($A586),4,6),YEAR($A586)&amp;"/"&amp;RIGHT(YEAR($A586)+1,2),YEAR($A586)-1&amp;"/"&amp;RIGHT(YEAR($A586),2)))</f>
        <v/>
      </c>
    </row>
    <row r="587" customFormat="false" ht="15" hidden="false" customHeight="false" outlineLevel="0" collapsed="false">
      <c r="A587" s="22"/>
      <c r="B587" s="23"/>
      <c r="C587" s="23"/>
      <c r="D587" s="23"/>
      <c r="E587" s="24"/>
      <c r="F587" s="24"/>
      <c r="G587" s="23"/>
      <c r="H587" s="23"/>
      <c r="I587" s="25"/>
      <c r="J587" s="23"/>
      <c r="K587" s="23"/>
      <c r="L587" s="26" t="str">
        <f aca="false">IF(OR($E587="",$F587=""),"",MOD($F587-$E587,1)*24)</f>
        <v/>
      </c>
      <c r="M587" s="27" t="str">
        <f aca="false">IF($B587="","",IFERROR(INDEX(Properties!$D$5:$D$104,MATCH($B587,Properties!$A$5:$A$104,0)),"?"))</f>
        <v/>
      </c>
      <c r="N587" s="28" t="str">
        <f aca="false">IF($B587="","",IFERROR(IF($D587="Completed",INDEX(Properties!$I$5:$I$104,MATCH($B587,Properties!$A$5:$A$104,0))*(1+IF($G587="Y",Settings!$B$8,0))+IF($H587="Y",Settings!$B$7,0)+N($I587),IF($D587="Deep clean",INDEX(Settings!$E$22:$E$26,MATCH(MIN(INDEX(Properties!$E$5:$E$104,MATCH($B587,Properties!$A$5:$A$104,0)),4),Settings!$A$22:$A$26,0))+N($I587),IF($D587="Late cancel",INDEX(Properties!$I$5:$I$104,MATCH($B587,Properties!$A$5:$A$104,0))*Settings!$B$10,0))),0))</f>
        <v/>
      </c>
      <c r="O587" s="28" t="str">
        <f aca="false">IF($B587="","",IFERROR(IF($D587="Completed",INDEX(Properties!$L$5:$L$104,MATCH($B587,Properties!$A$5:$A$104,0))+IF($G587="Y",INDEX(Properties!$I$5:$I$104,MATCH($B587,Properties!$A$5:$A$104,0))*Settings!$B$8*Settings!$B$9,0)+IF($H587="Y",Settings!$B$7*Settings!$B$9,0)+N($I587)*Settings!$B$9,IF($D587="Deep clean",INDEX(Settings!$E$22:$E$26,MATCH(MIN(INDEX(Properties!$E$5:$E$104,MATCH($B587,Properties!$A$5:$A$104,0)),4),Settings!$A$22:$A$26,0))*Settings!$B$19+N($I587)*Settings!$B$9,IF($D587="Late cancel",INDEX(Properties!$L$5:$L$104,MATCH($B587,Properties!$A$5:$A$104,0))*Settings!$B$11,0))),0))</f>
        <v/>
      </c>
      <c r="P587" s="28" t="str">
        <f aca="false">IF($B587="","",$N587-$O587)</f>
        <v/>
      </c>
      <c r="Q587" s="29" t="str">
        <f aca="false">IF($A587="","",DATE(YEAR($A587),MONTH($A587),1))</f>
        <v/>
      </c>
      <c r="R587" s="30" t="str">
        <f aca="false">IF($A587="","",$A587+MOD(6-WEEKDAY($A587),7))</f>
        <v/>
      </c>
      <c r="S587" s="31" t="str">
        <f aca="false">IF($B587="","",IF(AND($M587='Invoice Builder'!$C$5,$Q587='Invoice Builder'!$C$6,N($N587)&gt;0),COUNTIFS($M$5:$M587,'Invoice Builder'!$C$5,$Q$5:$Q587,'Invoice Builder'!$C$6,$N$5:$N587,"&gt;0"),""))</f>
        <v/>
      </c>
      <c r="T587" s="27" t="str">
        <f aca="false">IF($A587="","",IF($A587&gt;=DATE(YEAR($A587),4,6),YEAR($A587)&amp;"/"&amp;RIGHT(YEAR($A587)+1,2),YEAR($A587)-1&amp;"/"&amp;RIGHT(YEAR($A587),2)))</f>
        <v/>
      </c>
    </row>
    <row r="588" customFormat="false" ht="15" hidden="false" customHeight="false" outlineLevel="0" collapsed="false">
      <c r="A588" s="22"/>
      <c r="B588" s="23"/>
      <c r="C588" s="23"/>
      <c r="D588" s="23"/>
      <c r="E588" s="24"/>
      <c r="F588" s="24"/>
      <c r="G588" s="23"/>
      <c r="H588" s="23"/>
      <c r="I588" s="25"/>
      <c r="J588" s="23"/>
      <c r="K588" s="23"/>
      <c r="L588" s="26" t="str">
        <f aca="false">IF(OR($E588="",$F588=""),"",MOD($F588-$E588,1)*24)</f>
        <v/>
      </c>
      <c r="M588" s="27" t="str">
        <f aca="false">IF($B588="","",IFERROR(INDEX(Properties!$D$5:$D$104,MATCH($B588,Properties!$A$5:$A$104,0)),"?"))</f>
        <v/>
      </c>
      <c r="N588" s="28" t="str">
        <f aca="false">IF($B588="","",IFERROR(IF($D588="Completed",INDEX(Properties!$I$5:$I$104,MATCH($B588,Properties!$A$5:$A$104,0))*(1+IF($G588="Y",Settings!$B$8,0))+IF($H588="Y",Settings!$B$7,0)+N($I588),IF($D588="Deep clean",INDEX(Settings!$E$22:$E$26,MATCH(MIN(INDEX(Properties!$E$5:$E$104,MATCH($B588,Properties!$A$5:$A$104,0)),4),Settings!$A$22:$A$26,0))+N($I588),IF($D588="Late cancel",INDEX(Properties!$I$5:$I$104,MATCH($B588,Properties!$A$5:$A$104,0))*Settings!$B$10,0))),0))</f>
        <v/>
      </c>
      <c r="O588" s="28" t="str">
        <f aca="false">IF($B588="","",IFERROR(IF($D588="Completed",INDEX(Properties!$L$5:$L$104,MATCH($B588,Properties!$A$5:$A$104,0))+IF($G588="Y",INDEX(Properties!$I$5:$I$104,MATCH($B588,Properties!$A$5:$A$104,0))*Settings!$B$8*Settings!$B$9,0)+IF($H588="Y",Settings!$B$7*Settings!$B$9,0)+N($I588)*Settings!$B$9,IF($D588="Deep clean",INDEX(Settings!$E$22:$E$26,MATCH(MIN(INDEX(Properties!$E$5:$E$104,MATCH($B588,Properties!$A$5:$A$104,0)),4),Settings!$A$22:$A$26,0))*Settings!$B$19+N($I588)*Settings!$B$9,IF($D588="Late cancel",INDEX(Properties!$L$5:$L$104,MATCH($B588,Properties!$A$5:$A$104,0))*Settings!$B$11,0))),0))</f>
        <v/>
      </c>
      <c r="P588" s="28" t="str">
        <f aca="false">IF($B588="","",$N588-$O588)</f>
        <v/>
      </c>
      <c r="Q588" s="29" t="str">
        <f aca="false">IF($A588="","",DATE(YEAR($A588),MONTH($A588),1))</f>
        <v/>
      </c>
      <c r="R588" s="30" t="str">
        <f aca="false">IF($A588="","",$A588+MOD(6-WEEKDAY($A588),7))</f>
        <v/>
      </c>
      <c r="S588" s="31" t="str">
        <f aca="false">IF($B588="","",IF(AND($M588='Invoice Builder'!$C$5,$Q588='Invoice Builder'!$C$6,N($N588)&gt;0),COUNTIFS($M$5:$M588,'Invoice Builder'!$C$5,$Q$5:$Q588,'Invoice Builder'!$C$6,$N$5:$N588,"&gt;0"),""))</f>
        <v/>
      </c>
      <c r="T588" s="27" t="str">
        <f aca="false">IF($A588="","",IF($A588&gt;=DATE(YEAR($A588),4,6),YEAR($A588)&amp;"/"&amp;RIGHT(YEAR($A588)+1,2),YEAR($A588)-1&amp;"/"&amp;RIGHT(YEAR($A588),2)))</f>
        <v/>
      </c>
    </row>
    <row r="589" customFormat="false" ht="15" hidden="false" customHeight="false" outlineLevel="0" collapsed="false">
      <c r="A589" s="22"/>
      <c r="B589" s="23"/>
      <c r="C589" s="23"/>
      <c r="D589" s="23"/>
      <c r="E589" s="24"/>
      <c r="F589" s="24"/>
      <c r="G589" s="23"/>
      <c r="H589" s="23"/>
      <c r="I589" s="25"/>
      <c r="J589" s="23"/>
      <c r="K589" s="23"/>
      <c r="L589" s="26" t="str">
        <f aca="false">IF(OR($E589="",$F589=""),"",MOD($F589-$E589,1)*24)</f>
        <v/>
      </c>
      <c r="M589" s="27" t="str">
        <f aca="false">IF($B589="","",IFERROR(INDEX(Properties!$D$5:$D$104,MATCH($B589,Properties!$A$5:$A$104,0)),"?"))</f>
        <v/>
      </c>
      <c r="N589" s="28" t="str">
        <f aca="false">IF($B589="","",IFERROR(IF($D589="Completed",INDEX(Properties!$I$5:$I$104,MATCH($B589,Properties!$A$5:$A$104,0))*(1+IF($G589="Y",Settings!$B$8,0))+IF($H589="Y",Settings!$B$7,0)+N($I589),IF($D589="Deep clean",INDEX(Settings!$E$22:$E$26,MATCH(MIN(INDEX(Properties!$E$5:$E$104,MATCH($B589,Properties!$A$5:$A$104,0)),4),Settings!$A$22:$A$26,0))+N($I589),IF($D589="Late cancel",INDEX(Properties!$I$5:$I$104,MATCH($B589,Properties!$A$5:$A$104,0))*Settings!$B$10,0))),0))</f>
        <v/>
      </c>
      <c r="O589" s="28" t="str">
        <f aca="false">IF($B589="","",IFERROR(IF($D589="Completed",INDEX(Properties!$L$5:$L$104,MATCH($B589,Properties!$A$5:$A$104,0))+IF($G589="Y",INDEX(Properties!$I$5:$I$104,MATCH($B589,Properties!$A$5:$A$104,0))*Settings!$B$8*Settings!$B$9,0)+IF($H589="Y",Settings!$B$7*Settings!$B$9,0)+N($I589)*Settings!$B$9,IF($D589="Deep clean",INDEX(Settings!$E$22:$E$26,MATCH(MIN(INDEX(Properties!$E$5:$E$104,MATCH($B589,Properties!$A$5:$A$104,0)),4),Settings!$A$22:$A$26,0))*Settings!$B$19+N($I589)*Settings!$B$9,IF($D589="Late cancel",INDEX(Properties!$L$5:$L$104,MATCH($B589,Properties!$A$5:$A$104,0))*Settings!$B$11,0))),0))</f>
        <v/>
      </c>
      <c r="P589" s="28" t="str">
        <f aca="false">IF($B589="","",$N589-$O589)</f>
        <v/>
      </c>
      <c r="Q589" s="29" t="str">
        <f aca="false">IF($A589="","",DATE(YEAR($A589),MONTH($A589),1))</f>
        <v/>
      </c>
      <c r="R589" s="30" t="str">
        <f aca="false">IF($A589="","",$A589+MOD(6-WEEKDAY($A589),7))</f>
        <v/>
      </c>
      <c r="S589" s="31" t="str">
        <f aca="false">IF($B589="","",IF(AND($M589='Invoice Builder'!$C$5,$Q589='Invoice Builder'!$C$6,N($N589)&gt;0),COUNTIFS($M$5:$M589,'Invoice Builder'!$C$5,$Q$5:$Q589,'Invoice Builder'!$C$6,$N$5:$N589,"&gt;0"),""))</f>
        <v/>
      </c>
      <c r="T589" s="27" t="str">
        <f aca="false">IF($A589="","",IF($A589&gt;=DATE(YEAR($A589),4,6),YEAR($A589)&amp;"/"&amp;RIGHT(YEAR($A589)+1,2),YEAR($A589)-1&amp;"/"&amp;RIGHT(YEAR($A589),2)))</f>
        <v/>
      </c>
    </row>
    <row r="590" customFormat="false" ht="15" hidden="false" customHeight="false" outlineLevel="0" collapsed="false">
      <c r="A590" s="22"/>
      <c r="B590" s="23"/>
      <c r="C590" s="23"/>
      <c r="D590" s="23"/>
      <c r="E590" s="24"/>
      <c r="F590" s="24"/>
      <c r="G590" s="23"/>
      <c r="H590" s="23"/>
      <c r="I590" s="25"/>
      <c r="J590" s="23"/>
      <c r="K590" s="23"/>
      <c r="L590" s="26" t="str">
        <f aca="false">IF(OR($E590="",$F590=""),"",MOD($F590-$E590,1)*24)</f>
        <v/>
      </c>
      <c r="M590" s="27" t="str">
        <f aca="false">IF($B590="","",IFERROR(INDEX(Properties!$D$5:$D$104,MATCH($B590,Properties!$A$5:$A$104,0)),"?"))</f>
        <v/>
      </c>
      <c r="N590" s="28" t="str">
        <f aca="false">IF($B590="","",IFERROR(IF($D590="Completed",INDEX(Properties!$I$5:$I$104,MATCH($B590,Properties!$A$5:$A$104,0))*(1+IF($G590="Y",Settings!$B$8,0))+IF($H590="Y",Settings!$B$7,0)+N($I590),IF($D590="Deep clean",INDEX(Settings!$E$22:$E$26,MATCH(MIN(INDEX(Properties!$E$5:$E$104,MATCH($B590,Properties!$A$5:$A$104,0)),4),Settings!$A$22:$A$26,0))+N($I590),IF($D590="Late cancel",INDEX(Properties!$I$5:$I$104,MATCH($B590,Properties!$A$5:$A$104,0))*Settings!$B$10,0))),0))</f>
        <v/>
      </c>
      <c r="O590" s="28" t="str">
        <f aca="false">IF($B590="","",IFERROR(IF($D590="Completed",INDEX(Properties!$L$5:$L$104,MATCH($B590,Properties!$A$5:$A$104,0))+IF($G590="Y",INDEX(Properties!$I$5:$I$104,MATCH($B590,Properties!$A$5:$A$104,0))*Settings!$B$8*Settings!$B$9,0)+IF($H590="Y",Settings!$B$7*Settings!$B$9,0)+N($I590)*Settings!$B$9,IF($D590="Deep clean",INDEX(Settings!$E$22:$E$26,MATCH(MIN(INDEX(Properties!$E$5:$E$104,MATCH($B590,Properties!$A$5:$A$104,0)),4),Settings!$A$22:$A$26,0))*Settings!$B$19+N($I590)*Settings!$B$9,IF($D590="Late cancel",INDEX(Properties!$L$5:$L$104,MATCH($B590,Properties!$A$5:$A$104,0))*Settings!$B$11,0))),0))</f>
        <v/>
      </c>
      <c r="P590" s="28" t="str">
        <f aca="false">IF($B590="","",$N590-$O590)</f>
        <v/>
      </c>
      <c r="Q590" s="29" t="str">
        <f aca="false">IF($A590="","",DATE(YEAR($A590),MONTH($A590),1))</f>
        <v/>
      </c>
      <c r="R590" s="30" t="str">
        <f aca="false">IF($A590="","",$A590+MOD(6-WEEKDAY($A590),7))</f>
        <v/>
      </c>
      <c r="S590" s="31" t="str">
        <f aca="false">IF($B590="","",IF(AND($M590='Invoice Builder'!$C$5,$Q590='Invoice Builder'!$C$6,N($N590)&gt;0),COUNTIFS($M$5:$M590,'Invoice Builder'!$C$5,$Q$5:$Q590,'Invoice Builder'!$C$6,$N$5:$N590,"&gt;0"),""))</f>
        <v/>
      </c>
      <c r="T590" s="27" t="str">
        <f aca="false">IF($A590="","",IF($A590&gt;=DATE(YEAR($A590),4,6),YEAR($A590)&amp;"/"&amp;RIGHT(YEAR($A590)+1,2),YEAR($A590)-1&amp;"/"&amp;RIGHT(YEAR($A590),2)))</f>
        <v/>
      </c>
    </row>
    <row r="591" customFormat="false" ht="15" hidden="false" customHeight="false" outlineLevel="0" collapsed="false">
      <c r="A591" s="22"/>
      <c r="B591" s="23"/>
      <c r="C591" s="23"/>
      <c r="D591" s="23"/>
      <c r="E591" s="24"/>
      <c r="F591" s="24"/>
      <c r="G591" s="23"/>
      <c r="H591" s="23"/>
      <c r="I591" s="25"/>
      <c r="J591" s="23"/>
      <c r="K591" s="23"/>
      <c r="L591" s="26" t="str">
        <f aca="false">IF(OR($E591="",$F591=""),"",MOD($F591-$E591,1)*24)</f>
        <v/>
      </c>
      <c r="M591" s="27" t="str">
        <f aca="false">IF($B591="","",IFERROR(INDEX(Properties!$D$5:$D$104,MATCH($B591,Properties!$A$5:$A$104,0)),"?"))</f>
        <v/>
      </c>
      <c r="N591" s="28" t="str">
        <f aca="false">IF($B591="","",IFERROR(IF($D591="Completed",INDEX(Properties!$I$5:$I$104,MATCH($B591,Properties!$A$5:$A$104,0))*(1+IF($G591="Y",Settings!$B$8,0))+IF($H591="Y",Settings!$B$7,0)+N($I591),IF($D591="Deep clean",INDEX(Settings!$E$22:$E$26,MATCH(MIN(INDEX(Properties!$E$5:$E$104,MATCH($B591,Properties!$A$5:$A$104,0)),4),Settings!$A$22:$A$26,0))+N($I591),IF($D591="Late cancel",INDEX(Properties!$I$5:$I$104,MATCH($B591,Properties!$A$5:$A$104,0))*Settings!$B$10,0))),0))</f>
        <v/>
      </c>
      <c r="O591" s="28" t="str">
        <f aca="false">IF($B591="","",IFERROR(IF($D591="Completed",INDEX(Properties!$L$5:$L$104,MATCH($B591,Properties!$A$5:$A$104,0))+IF($G591="Y",INDEX(Properties!$I$5:$I$104,MATCH($B591,Properties!$A$5:$A$104,0))*Settings!$B$8*Settings!$B$9,0)+IF($H591="Y",Settings!$B$7*Settings!$B$9,0)+N($I591)*Settings!$B$9,IF($D591="Deep clean",INDEX(Settings!$E$22:$E$26,MATCH(MIN(INDEX(Properties!$E$5:$E$104,MATCH($B591,Properties!$A$5:$A$104,0)),4),Settings!$A$22:$A$26,0))*Settings!$B$19+N($I591)*Settings!$B$9,IF($D591="Late cancel",INDEX(Properties!$L$5:$L$104,MATCH($B591,Properties!$A$5:$A$104,0))*Settings!$B$11,0))),0))</f>
        <v/>
      </c>
      <c r="P591" s="28" t="str">
        <f aca="false">IF($B591="","",$N591-$O591)</f>
        <v/>
      </c>
      <c r="Q591" s="29" t="str">
        <f aca="false">IF($A591="","",DATE(YEAR($A591),MONTH($A591),1))</f>
        <v/>
      </c>
      <c r="R591" s="30" t="str">
        <f aca="false">IF($A591="","",$A591+MOD(6-WEEKDAY($A591),7))</f>
        <v/>
      </c>
      <c r="S591" s="31" t="str">
        <f aca="false">IF($B591="","",IF(AND($M591='Invoice Builder'!$C$5,$Q591='Invoice Builder'!$C$6,N($N591)&gt;0),COUNTIFS($M$5:$M591,'Invoice Builder'!$C$5,$Q$5:$Q591,'Invoice Builder'!$C$6,$N$5:$N591,"&gt;0"),""))</f>
        <v/>
      </c>
      <c r="T591" s="27" t="str">
        <f aca="false">IF($A591="","",IF($A591&gt;=DATE(YEAR($A591),4,6),YEAR($A591)&amp;"/"&amp;RIGHT(YEAR($A591)+1,2),YEAR($A591)-1&amp;"/"&amp;RIGHT(YEAR($A591),2)))</f>
        <v/>
      </c>
    </row>
    <row r="592" customFormat="false" ht="15" hidden="false" customHeight="false" outlineLevel="0" collapsed="false">
      <c r="A592" s="22"/>
      <c r="B592" s="23"/>
      <c r="C592" s="23"/>
      <c r="D592" s="23"/>
      <c r="E592" s="24"/>
      <c r="F592" s="24"/>
      <c r="G592" s="23"/>
      <c r="H592" s="23"/>
      <c r="I592" s="25"/>
      <c r="J592" s="23"/>
      <c r="K592" s="23"/>
      <c r="L592" s="26" t="str">
        <f aca="false">IF(OR($E592="",$F592=""),"",MOD($F592-$E592,1)*24)</f>
        <v/>
      </c>
      <c r="M592" s="27" t="str">
        <f aca="false">IF($B592="","",IFERROR(INDEX(Properties!$D$5:$D$104,MATCH($B592,Properties!$A$5:$A$104,0)),"?"))</f>
        <v/>
      </c>
      <c r="N592" s="28" t="str">
        <f aca="false">IF($B592="","",IFERROR(IF($D592="Completed",INDEX(Properties!$I$5:$I$104,MATCH($B592,Properties!$A$5:$A$104,0))*(1+IF($G592="Y",Settings!$B$8,0))+IF($H592="Y",Settings!$B$7,0)+N($I592),IF($D592="Deep clean",INDEX(Settings!$E$22:$E$26,MATCH(MIN(INDEX(Properties!$E$5:$E$104,MATCH($B592,Properties!$A$5:$A$104,0)),4),Settings!$A$22:$A$26,0))+N($I592),IF($D592="Late cancel",INDEX(Properties!$I$5:$I$104,MATCH($B592,Properties!$A$5:$A$104,0))*Settings!$B$10,0))),0))</f>
        <v/>
      </c>
      <c r="O592" s="28" t="str">
        <f aca="false">IF($B592="","",IFERROR(IF($D592="Completed",INDEX(Properties!$L$5:$L$104,MATCH($B592,Properties!$A$5:$A$104,0))+IF($G592="Y",INDEX(Properties!$I$5:$I$104,MATCH($B592,Properties!$A$5:$A$104,0))*Settings!$B$8*Settings!$B$9,0)+IF($H592="Y",Settings!$B$7*Settings!$B$9,0)+N($I592)*Settings!$B$9,IF($D592="Deep clean",INDEX(Settings!$E$22:$E$26,MATCH(MIN(INDEX(Properties!$E$5:$E$104,MATCH($B592,Properties!$A$5:$A$104,0)),4),Settings!$A$22:$A$26,0))*Settings!$B$19+N($I592)*Settings!$B$9,IF($D592="Late cancel",INDEX(Properties!$L$5:$L$104,MATCH($B592,Properties!$A$5:$A$104,0))*Settings!$B$11,0))),0))</f>
        <v/>
      </c>
      <c r="P592" s="28" t="str">
        <f aca="false">IF($B592="","",$N592-$O592)</f>
        <v/>
      </c>
      <c r="Q592" s="29" t="str">
        <f aca="false">IF($A592="","",DATE(YEAR($A592),MONTH($A592),1))</f>
        <v/>
      </c>
      <c r="R592" s="30" t="str">
        <f aca="false">IF($A592="","",$A592+MOD(6-WEEKDAY($A592),7))</f>
        <v/>
      </c>
      <c r="S592" s="31" t="str">
        <f aca="false">IF($B592="","",IF(AND($M592='Invoice Builder'!$C$5,$Q592='Invoice Builder'!$C$6,N($N592)&gt;0),COUNTIFS($M$5:$M592,'Invoice Builder'!$C$5,$Q$5:$Q592,'Invoice Builder'!$C$6,$N$5:$N592,"&gt;0"),""))</f>
        <v/>
      </c>
      <c r="T592" s="27" t="str">
        <f aca="false">IF($A592="","",IF($A592&gt;=DATE(YEAR($A592),4,6),YEAR($A592)&amp;"/"&amp;RIGHT(YEAR($A592)+1,2),YEAR($A592)-1&amp;"/"&amp;RIGHT(YEAR($A592),2)))</f>
        <v/>
      </c>
    </row>
    <row r="593" customFormat="false" ht="15" hidden="false" customHeight="false" outlineLevel="0" collapsed="false">
      <c r="A593" s="22"/>
      <c r="B593" s="23"/>
      <c r="C593" s="23"/>
      <c r="D593" s="23"/>
      <c r="E593" s="24"/>
      <c r="F593" s="24"/>
      <c r="G593" s="23"/>
      <c r="H593" s="23"/>
      <c r="I593" s="25"/>
      <c r="J593" s="23"/>
      <c r="K593" s="23"/>
      <c r="L593" s="26" t="str">
        <f aca="false">IF(OR($E593="",$F593=""),"",MOD($F593-$E593,1)*24)</f>
        <v/>
      </c>
      <c r="M593" s="27" t="str">
        <f aca="false">IF($B593="","",IFERROR(INDEX(Properties!$D$5:$D$104,MATCH($B593,Properties!$A$5:$A$104,0)),"?"))</f>
        <v/>
      </c>
      <c r="N593" s="28" t="str">
        <f aca="false">IF($B593="","",IFERROR(IF($D593="Completed",INDEX(Properties!$I$5:$I$104,MATCH($B593,Properties!$A$5:$A$104,0))*(1+IF($G593="Y",Settings!$B$8,0))+IF($H593="Y",Settings!$B$7,0)+N($I593),IF($D593="Deep clean",INDEX(Settings!$E$22:$E$26,MATCH(MIN(INDEX(Properties!$E$5:$E$104,MATCH($B593,Properties!$A$5:$A$104,0)),4),Settings!$A$22:$A$26,0))+N($I593),IF($D593="Late cancel",INDEX(Properties!$I$5:$I$104,MATCH($B593,Properties!$A$5:$A$104,0))*Settings!$B$10,0))),0))</f>
        <v/>
      </c>
      <c r="O593" s="28" t="str">
        <f aca="false">IF($B593="","",IFERROR(IF($D593="Completed",INDEX(Properties!$L$5:$L$104,MATCH($B593,Properties!$A$5:$A$104,0))+IF($G593="Y",INDEX(Properties!$I$5:$I$104,MATCH($B593,Properties!$A$5:$A$104,0))*Settings!$B$8*Settings!$B$9,0)+IF($H593="Y",Settings!$B$7*Settings!$B$9,0)+N($I593)*Settings!$B$9,IF($D593="Deep clean",INDEX(Settings!$E$22:$E$26,MATCH(MIN(INDEX(Properties!$E$5:$E$104,MATCH($B593,Properties!$A$5:$A$104,0)),4),Settings!$A$22:$A$26,0))*Settings!$B$19+N($I593)*Settings!$B$9,IF($D593="Late cancel",INDEX(Properties!$L$5:$L$104,MATCH($B593,Properties!$A$5:$A$104,0))*Settings!$B$11,0))),0))</f>
        <v/>
      </c>
      <c r="P593" s="28" t="str">
        <f aca="false">IF($B593="","",$N593-$O593)</f>
        <v/>
      </c>
      <c r="Q593" s="29" t="str">
        <f aca="false">IF($A593="","",DATE(YEAR($A593),MONTH($A593),1))</f>
        <v/>
      </c>
      <c r="R593" s="30" t="str">
        <f aca="false">IF($A593="","",$A593+MOD(6-WEEKDAY($A593),7))</f>
        <v/>
      </c>
      <c r="S593" s="31" t="str">
        <f aca="false">IF($B593="","",IF(AND($M593='Invoice Builder'!$C$5,$Q593='Invoice Builder'!$C$6,N($N593)&gt;0),COUNTIFS($M$5:$M593,'Invoice Builder'!$C$5,$Q$5:$Q593,'Invoice Builder'!$C$6,$N$5:$N593,"&gt;0"),""))</f>
        <v/>
      </c>
      <c r="T593" s="27" t="str">
        <f aca="false">IF($A593="","",IF($A593&gt;=DATE(YEAR($A593),4,6),YEAR($A593)&amp;"/"&amp;RIGHT(YEAR($A593)+1,2),YEAR($A593)-1&amp;"/"&amp;RIGHT(YEAR($A593),2)))</f>
        <v/>
      </c>
    </row>
    <row r="594" customFormat="false" ht="15" hidden="false" customHeight="false" outlineLevel="0" collapsed="false">
      <c r="A594" s="22"/>
      <c r="B594" s="23"/>
      <c r="C594" s="23"/>
      <c r="D594" s="23"/>
      <c r="E594" s="24"/>
      <c r="F594" s="24"/>
      <c r="G594" s="23"/>
      <c r="H594" s="23"/>
      <c r="I594" s="25"/>
      <c r="J594" s="23"/>
      <c r="K594" s="23"/>
      <c r="L594" s="26" t="str">
        <f aca="false">IF(OR($E594="",$F594=""),"",MOD($F594-$E594,1)*24)</f>
        <v/>
      </c>
      <c r="M594" s="27" t="str">
        <f aca="false">IF($B594="","",IFERROR(INDEX(Properties!$D$5:$D$104,MATCH($B594,Properties!$A$5:$A$104,0)),"?"))</f>
        <v/>
      </c>
      <c r="N594" s="28" t="str">
        <f aca="false">IF($B594="","",IFERROR(IF($D594="Completed",INDEX(Properties!$I$5:$I$104,MATCH($B594,Properties!$A$5:$A$104,0))*(1+IF($G594="Y",Settings!$B$8,0))+IF($H594="Y",Settings!$B$7,0)+N($I594),IF($D594="Deep clean",INDEX(Settings!$E$22:$E$26,MATCH(MIN(INDEX(Properties!$E$5:$E$104,MATCH($B594,Properties!$A$5:$A$104,0)),4),Settings!$A$22:$A$26,0))+N($I594),IF($D594="Late cancel",INDEX(Properties!$I$5:$I$104,MATCH($B594,Properties!$A$5:$A$104,0))*Settings!$B$10,0))),0))</f>
        <v/>
      </c>
      <c r="O594" s="28" t="str">
        <f aca="false">IF($B594="","",IFERROR(IF($D594="Completed",INDEX(Properties!$L$5:$L$104,MATCH($B594,Properties!$A$5:$A$104,0))+IF($G594="Y",INDEX(Properties!$I$5:$I$104,MATCH($B594,Properties!$A$5:$A$104,0))*Settings!$B$8*Settings!$B$9,0)+IF($H594="Y",Settings!$B$7*Settings!$B$9,0)+N($I594)*Settings!$B$9,IF($D594="Deep clean",INDEX(Settings!$E$22:$E$26,MATCH(MIN(INDEX(Properties!$E$5:$E$104,MATCH($B594,Properties!$A$5:$A$104,0)),4),Settings!$A$22:$A$26,0))*Settings!$B$19+N($I594)*Settings!$B$9,IF($D594="Late cancel",INDEX(Properties!$L$5:$L$104,MATCH($B594,Properties!$A$5:$A$104,0))*Settings!$B$11,0))),0))</f>
        <v/>
      </c>
      <c r="P594" s="28" t="str">
        <f aca="false">IF($B594="","",$N594-$O594)</f>
        <v/>
      </c>
      <c r="Q594" s="29" t="str">
        <f aca="false">IF($A594="","",DATE(YEAR($A594),MONTH($A594),1))</f>
        <v/>
      </c>
      <c r="R594" s="30" t="str">
        <f aca="false">IF($A594="","",$A594+MOD(6-WEEKDAY($A594),7))</f>
        <v/>
      </c>
      <c r="S594" s="31" t="str">
        <f aca="false">IF($B594="","",IF(AND($M594='Invoice Builder'!$C$5,$Q594='Invoice Builder'!$C$6,N($N594)&gt;0),COUNTIFS($M$5:$M594,'Invoice Builder'!$C$5,$Q$5:$Q594,'Invoice Builder'!$C$6,$N$5:$N594,"&gt;0"),""))</f>
        <v/>
      </c>
      <c r="T594" s="27" t="str">
        <f aca="false">IF($A594="","",IF($A594&gt;=DATE(YEAR($A594),4,6),YEAR($A594)&amp;"/"&amp;RIGHT(YEAR($A594)+1,2),YEAR($A594)-1&amp;"/"&amp;RIGHT(YEAR($A594),2)))</f>
        <v/>
      </c>
    </row>
    <row r="595" customFormat="false" ht="15" hidden="false" customHeight="false" outlineLevel="0" collapsed="false">
      <c r="A595" s="22"/>
      <c r="B595" s="23"/>
      <c r="C595" s="23"/>
      <c r="D595" s="23"/>
      <c r="E595" s="24"/>
      <c r="F595" s="24"/>
      <c r="G595" s="23"/>
      <c r="H595" s="23"/>
      <c r="I595" s="25"/>
      <c r="J595" s="23"/>
      <c r="K595" s="23"/>
      <c r="L595" s="26" t="str">
        <f aca="false">IF(OR($E595="",$F595=""),"",MOD($F595-$E595,1)*24)</f>
        <v/>
      </c>
      <c r="M595" s="27" t="str">
        <f aca="false">IF($B595="","",IFERROR(INDEX(Properties!$D$5:$D$104,MATCH($B595,Properties!$A$5:$A$104,0)),"?"))</f>
        <v/>
      </c>
      <c r="N595" s="28" t="str">
        <f aca="false">IF($B595="","",IFERROR(IF($D595="Completed",INDEX(Properties!$I$5:$I$104,MATCH($B595,Properties!$A$5:$A$104,0))*(1+IF($G595="Y",Settings!$B$8,0))+IF($H595="Y",Settings!$B$7,0)+N($I595),IF($D595="Deep clean",INDEX(Settings!$E$22:$E$26,MATCH(MIN(INDEX(Properties!$E$5:$E$104,MATCH($B595,Properties!$A$5:$A$104,0)),4),Settings!$A$22:$A$26,0))+N($I595),IF($D595="Late cancel",INDEX(Properties!$I$5:$I$104,MATCH($B595,Properties!$A$5:$A$104,0))*Settings!$B$10,0))),0))</f>
        <v/>
      </c>
      <c r="O595" s="28" t="str">
        <f aca="false">IF($B595="","",IFERROR(IF($D595="Completed",INDEX(Properties!$L$5:$L$104,MATCH($B595,Properties!$A$5:$A$104,0))+IF($G595="Y",INDEX(Properties!$I$5:$I$104,MATCH($B595,Properties!$A$5:$A$104,0))*Settings!$B$8*Settings!$B$9,0)+IF($H595="Y",Settings!$B$7*Settings!$B$9,0)+N($I595)*Settings!$B$9,IF($D595="Deep clean",INDEX(Settings!$E$22:$E$26,MATCH(MIN(INDEX(Properties!$E$5:$E$104,MATCH($B595,Properties!$A$5:$A$104,0)),4),Settings!$A$22:$A$26,0))*Settings!$B$19+N($I595)*Settings!$B$9,IF($D595="Late cancel",INDEX(Properties!$L$5:$L$104,MATCH($B595,Properties!$A$5:$A$104,0))*Settings!$B$11,0))),0))</f>
        <v/>
      </c>
      <c r="P595" s="28" t="str">
        <f aca="false">IF($B595="","",$N595-$O595)</f>
        <v/>
      </c>
      <c r="Q595" s="29" t="str">
        <f aca="false">IF($A595="","",DATE(YEAR($A595),MONTH($A595),1))</f>
        <v/>
      </c>
      <c r="R595" s="30" t="str">
        <f aca="false">IF($A595="","",$A595+MOD(6-WEEKDAY($A595),7))</f>
        <v/>
      </c>
      <c r="S595" s="31" t="str">
        <f aca="false">IF($B595="","",IF(AND($M595='Invoice Builder'!$C$5,$Q595='Invoice Builder'!$C$6,N($N595)&gt;0),COUNTIFS($M$5:$M595,'Invoice Builder'!$C$5,$Q$5:$Q595,'Invoice Builder'!$C$6,$N$5:$N595,"&gt;0"),""))</f>
        <v/>
      </c>
      <c r="T595" s="27" t="str">
        <f aca="false">IF($A595="","",IF($A595&gt;=DATE(YEAR($A595),4,6),YEAR($A595)&amp;"/"&amp;RIGHT(YEAR($A595)+1,2),YEAR($A595)-1&amp;"/"&amp;RIGHT(YEAR($A595),2)))</f>
        <v/>
      </c>
    </row>
    <row r="596" customFormat="false" ht="15" hidden="false" customHeight="false" outlineLevel="0" collapsed="false">
      <c r="A596" s="22"/>
      <c r="B596" s="23"/>
      <c r="C596" s="23"/>
      <c r="D596" s="23"/>
      <c r="E596" s="24"/>
      <c r="F596" s="24"/>
      <c r="G596" s="23"/>
      <c r="H596" s="23"/>
      <c r="I596" s="25"/>
      <c r="J596" s="23"/>
      <c r="K596" s="23"/>
      <c r="L596" s="26" t="str">
        <f aca="false">IF(OR($E596="",$F596=""),"",MOD($F596-$E596,1)*24)</f>
        <v/>
      </c>
      <c r="M596" s="27" t="str">
        <f aca="false">IF($B596="","",IFERROR(INDEX(Properties!$D$5:$D$104,MATCH($B596,Properties!$A$5:$A$104,0)),"?"))</f>
        <v/>
      </c>
      <c r="N596" s="28" t="str">
        <f aca="false">IF($B596="","",IFERROR(IF($D596="Completed",INDEX(Properties!$I$5:$I$104,MATCH($B596,Properties!$A$5:$A$104,0))*(1+IF($G596="Y",Settings!$B$8,0))+IF($H596="Y",Settings!$B$7,0)+N($I596),IF($D596="Deep clean",INDEX(Settings!$E$22:$E$26,MATCH(MIN(INDEX(Properties!$E$5:$E$104,MATCH($B596,Properties!$A$5:$A$104,0)),4),Settings!$A$22:$A$26,0))+N($I596),IF($D596="Late cancel",INDEX(Properties!$I$5:$I$104,MATCH($B596,Properties!$A$5:$A$104,0))*Settings!$B$10,0))),0))</f>
        <v/>
      </c>
      <c r="O596" s="28" t="str">
        <f aca="false">IF($B596="","",IFERROR(IF($D596="Completed",INDEX(Properties!$L$5:$L$104,MATCH($B596,Properties!$A$5:$A$104,0))+IF($G596="Y",INDEX(Properties!$I$5:$I$104,MATCH($B596,Properties!$A$5:$A$104,0))*Settings!$B$8*Settings!$B$9,0)+IF($H596="Y",Settings!$B$7*Settings!$B$9,0)+N($I596)*Settings!$B$9,IF($D596="Deep clean",INDEX(Settings!$E$22:$E$26,MATCH(MIN(INDEX(Properties!$E$5:$E$104,MATCH($B596,Properties!$A$5:$A$104,0)),4),Settings!$A$22:$A$26,0))*Settings!$B$19+N($I596)*Settings!$B$9,IF($D596="Late cancel",INDEX(Properties!$L$5:$L$104,MATCH($B596,Properties!$A$5:$A$104,0))*Settings!$B$11,0))),0))</f>
        <v/>
      </c>
      <c r="P596" s="28" t="str">
        <f aca="false">IF($B596="","",$N596-$O596)</f>
        <v/>
      </c>
      <c r="Q596" s="29" t="str">
        <f aca="false">IF($A596="","",DATE(YEAR($A596),MONTH($A596),1))</f>
        <v/>
      </c>
      <c r="R596" s="30" t="str">
        <f aca="false">IF($A596="","",$A596+MOD(6-WEEKDAY($A596),7))</f>
        <v/>
      </c>
      <c r="S596" s="31" t="str">
        <f aca="false">IF($B596="","",IF(AND($M596='Invoice Builder'!$C$5,$Q596='Invoice Builder'!$C$6,N($N596)&gt;0),COUNTIFS($M$5:$M596,'Invoice Builder'!$C$5,$Q$5:$Q596,'Invoice Builder'!$C$6,$N$5:$N596,"&gt;0"),""))</f>
        <v/>
      </c>
      <c r="T596" s="27" t="str">
        <f aca="false">IF($A596="","",IF($A596&gt;=DATE(YEAR($A596),4,6),YEAR($A596)&amp;"/"&amp;RIGHT(YEAR($A596)+1,2),YEAR($A596)-1&amp;"/"&amp;RIGHT(YEAR($A596),2)))</f>
        <v/>
      </c>
    </row>
    <row r="597" customFormat="false" ht="15" hidden="false" customHeight="false" outlineLevel="0" collapsed="false">
      <c r="A597" s="22"/>
      <c r="B597" s="23"/>
      <c r="C597" s="23"/>
      <c r="D597" s="23"/>
      <c r="E597" s="24"/>
      <c r="F597" s="24"/>
      <c r="G597" s="23"/>
      <c r="H597" s="23"/>
      <c r="I597" s="25"/>
      <c r="J597" s="23"/>
      <c r="K597" s="23"/>
      <c r="L597" s="26" t="str">
        <f aca="false">IF(OR($E597="",$F597=""),"",MOD($F597-$E597,1)*24)</f>
        <v/>
      </c>
      <c r="M597" s="27" t="str">
        <f aca="false">IF($B597="","",IFERROR(INDEX(Properties!$D$5:$D$104,MATCH($B597,Properties!$A$5:$A$104,0)),"?"))</f>
        <v/>
      </c>
      <c r="N597" s="28" t="str">
        <f aca="false">IF($B597="","",IFERROR(IF($D597="Completed",INDEX(Properties!$I$5:$I$104,MATCH($B597,Properties!$A$5:$A$104,0))*(1+IF($G597="Y",Settings!$B$8,0))+IF($H597="Y",Settings!$B$7,0)+N($I597),IF($D597="Deep clean",INDEX(Settings!$E$22:$E$26,MATCH(MIN(INDEX(Properties!$E$5:$E$104,MATCH($B597,Properties!$A$5:$A$104,0)),4),Settings!$A$22:$A$26,0))+N($I597),IF($D597="Late cancel",INDEX(Properties!$I$5:$I$104,MATCH($B597,Properties!$A$5:$A$104,0))*Settings!$B$10,0))),0))</f>
        <v/>
      </c>
      <c r="O597" s="28" t="str">
        <f aca="false">IF($B597="","",IFERROR(IF($D597="Completed",INDEX(Properties!$L$5:$L$104,MATCH($B597,Properties!$A$5:$A$104,0))+IF($G597="Y",INDEX(Properties!$I$5:$I$104,MATCH($B597,Properties!$A$5:$A$104,0))*Settings!$B$8*Settings!$B$9,0)+IF($H597="Y",Settings!$B$7*Settings!$B$9,0)+N($I597)*Settings!$B$9,IF($D597="Deep clean",INDEX(Settings!$E$22:$E$26,MATCH(MIN(INDEX(Properties!$E$5:$E$104,MATCH($B597,Properties!$A$5:$A$104,0)),4),Settings!$A$22:$A$26,0))*Settings!$B$19+N($I597)*Settings!$B$9,IF($D597="Late cancel",INDEX(Properties!$L$5:$L$104,MATCH($B597,Properties!$A$5:$A$104,0))*Settings!$B$11,0))),0))</f>
        <v/>
      </c>
      <c r="P597" s="28" t="str">
        <f aca="false">IF($B597="","",$N597-$O597)</f>
        <v/>
      </c>
      <c r="Q597" s="29" t="str">
        <f aca="false">IF($A597="","",DATE(YEAR($A597),MONTH($A597),1))</f>
        <v/>
      </c>
      <c r="R597" s="30" t="str">
        <f aca="false">IF($A597="","",$A597+MOD(6-WEEKDAY($A597),7))</f>
        <v/>
      </c>
      <c r="S597" s="31" t="str">
        <f aca="false">IF($B597="","",IF(AND($M597='Invoice Builder'!$C$5,$Q597='Invoice Builder'!$C$6,N($N597)&gt;0),COUNTIFS($M$5:$M597,'Invoice Builder'!$C$5,$Q$5:$Q597,'Invoice Builder'!$C$6,$N$5:$N597,"&gt;0"),""))</f>
        <v/>
      </c>
      <c r="T597" s="27" t="str">
        <f aca="false">IF($A597="","",IF($A597&gt;=DATE(YEAR($A597),4,6),YEAR($A597)&amp;"/"&amp;RIGHT(YEAR($A597)+1,2),YEAR($A597)-1&amp;"/"&amp;RIGHT(YEAR($A597),2)))</f>
        <v/>
      </c>
    </row>
    <row r="598" customFormat="false" ht="15" hidden="false" customHeight="false" outlineLevel="0" collapsed="false">
      <c r="A598" s="22"/>
      <c r="B598" s="23"/>
      <c r="C598" s="23"/>
      <c r="D598" s="23"/>
      <c r="E598" s="24"/>
      <c r="F598" s="24"/>
      <c r="G598" s="23"/>
      <c r="H598" s="23"/>
      <c r="I598" s="25"/>
      <c r="J598" s="23"/>
      <c r="K598" s="23"/>
      <c r="L598" s="26" t="str">
        <f aca="false">IF(OR($E598="",$F598=""),"",MOD($F598-$E598,1)*24)</f>
        <v/>
      </c>
      <c r="M598" s="27" t="str">
        <f aca="false">IF($B598="","",IFERROR(INDEX(Properties!$D$5:$D$104,MATCH($B598,Properties!$A$5:$A$104,0)),"?"))</f>
        <v/>
      </c>
      <c r="N598" s="28" t="str">
        <f aca="false">IF($B598="","",IFERROR(IF($D598="Completed",INDEX(Properties!$I$5:$I$104,MATCH($B598,Properties!$A$5:$A$104,0))*(1+IF($G598="Y",Settings!$B$8,0))+IF($H598="Y",Settings!$B$7,0)+N($I598),IF($D598="Deep clean",INDEX(Settings!$E$22:$E$26,MATCH(MIN(INDEX(Properties!$E$5:$E$104,MATCH($B598,Properties!$A$5:$A$104,0)),4),Settings!$A$22:$A$26,0))+N($I598),IF($D598="Late cancel",INDEX(Properties!$I$5:$I$104,MATCH($B598,Properties!$A$5:$A$104,0))*Settings!$B$10,0))),0))</f>
        <v/>
      </c>
      <c r="O598" s="28" t="str">
        <f aca="false">IF($B598="","",IFERROR(IF($D598="Completed",INDEX(Properties!$L$5:$L$104,MATCH($B598,Properties!$A$5:$A$104,0))+IF($G598="Y",INDEX(Properties!$I$5:$I$104,MATCH($B598,Properties!$A$5:$A$104,0))*Settings!$B$8*Settings!$B$9,0)+IF($H598="Y",Settings!$B$7*Settings!$B$9,0)+N($I598)*Settings!$B$9,IF($D598="Deep clean",INDEX(Settings!$E$22:$E$26,MATCH(MIN(INDEX(Properties!$E$5:$E$104,MATCH($B598,Properties!$A$5:$A$104,0)),4),Settings!$A$22:$A$26,0))*Settings!$B$19+N($I598)*Settings!$B$9,IF($D598="Late cancel",INDEX(Properties!$L$5:$L$104,MATCH($B598,Properties!$A$5:$A$104,0))*Settings!$B$11,0))),0))</f>
        <v/>
      </c>
      <c r="P598" s="28" t="str">
        <f aca="false">IF($B598="","",$N598-$O598)</f>
        <v/>
      </c>
      <c r="Q598" s="29" t="str">
        <f aca="false">IF($A598="","",DATE(YEAR($A598),MONTH($A598),1))</f>
        <v/>
      </c>
      <c r="R598" s="30" t="str">
        <f aca="false">IF($A598="","",$A598+MOD(6-WEEKDAY($A598),7))</f>
        <v/>
      </c>
      <c r="S598" s="31" t="str">
        <f aca="false">IF($B598="","",IF(AND($M598='Invoice Builder'!$C$5,$Q598='Invoice Builder'!$C$6,N($N598)&gt;0),COUNTIFS($M$5:$M598,'Invoice Builder'!$C$5,$Q$5:$Q598,'Invoice Builder'!$C$6,$N$5:$N598,"&gt;0"),""))</f>
        <v/>
      </c>
      <c r="T598" s="27" t="str">
        <f aca="false">IF($A598="","",IF($A598&gt;=DATE(YEAR($A598),4,6),YEAR($A598)&amp;"/"&amp;RIGHT(YEAR($A598)+1,2),YEAR($A598)-1&amp;"/"&amp;RIGHT(YEAR($A598),2)))</f>
        <v/>
      </c>
    </row>
    <row r="599" customFormat="false" ht="15" hidden="false" customHeight="false" outlineLevel="0" collapsed="false">
      <c r="A599" s="22"/>
      <c r="B599" s="23"/>
      <c r="C599" s="23"/>
      <c r="D599" s="23"/>
      <c r="E599" s="24"/>
      <c r="F599" s="24"/>
      <c r="G599" s="23"/>
      <c r="H599" s="23"/>
      <c r="I599" s="25"/>
      <c r="J599" s="23"/>
      <c r="K599" s="23"/>
      <c r="L599" s="26" t="str">
        <f aca="false">IF(OR($E599="",$F599=""),"",MOD($F599-$E599,1)*24)</f>
        <v/>
      </c>
      <c r="M599" s="27" t="str">
        <f aca="false">IF($B599="","",IFERROR(INDEX(Properties!$D$5:$D$104,MATCH($B599,Properties!$A$5:$A$104,0)),"?"))</f>
        <v/>
      </c>
      <c r="N599" s="28" t="str">
        <f aca="false">IF($B599="","",IFERROR(IF($D599="Completed",INDEX(Properties!$I$5:$I$104,MATCH($B599,Properties!$A$5:$A$104,0))*(1+IF($G599="Y",Settings!$B$8,0))+IF($H599="Y",Settings!$B$7,0)+N($I599),IF($D599="Deep clean",INDEX(Settings!$E$22:$E$26,MATCH(MIN(INDEX(Properties!$E$5:$E$104,MATCH($B599,Properties!$A$5:$A$104,0)),4),Settings!$A$22:$A$26,0))+N($I599),IF($D599="Late cancel",INDEX(Properties!$I$5:$I$104,MATCH($B599,Properties!$A$5:$A$104,0))*Settings!$B$10,0))),0))</f>
        <v/>
      </c>
      <c r="O599" s="28" t="str">
        <f aca="false">IF($B599="","",IFERROR(IF($D599="Completed",INDEX(Properties!$L$5:$L$104,MATCH($B599,Properties!$A$5:$A$104,0))+IF($G599="Y",INDEX(Properties!$I$5:$I$104,MATCH($B599,Properties!$A$5:$A$104,0))*Settings!$B$8*Settings!$B$9,0)+IF($H599="Y",Settings!$B$7*Settings!$B$9,0)+N($I599)*Settings!$B$9,IF($D599="Deep clean",INDEX(Settings!$E$22:$E$26,MATCH(MIN(INDEX(Properties!$E$5:$E$104,MATCH($B599,Properties!$A$5:$A$104,0)),4),Settings!$A$22:$A$26,0))*Settings!$B$19+N($I599)*Settings!$B$9,IF($D599="Late cancel",INDEX(Properties!$L$5:$L$104,MATCH($B599,Properties!$A$5:$A$104,0))*Settings!$B$11,0))),0))</f>
        <v/>
      </c>
      <c r="P599" s="28" t="str">
        <f aca="false">IF($B599="","",$N599-$O599)</f>
        <v/>
      </c>
      <c r="Q599" s="29" t="str">
        <f aca="false">IF($A599="","",DATE(YEAR($A599),MONTH($A599),1))</f>
        <v/>
      </c>
      <c r="R599" s="30" t="str">
        <f aca="false">IF($A599="","",$A599+MOD(6-WEEKDAY($A599),7))</f>
        <v/>
      </c>
      <c r="S599" s="31" t="str">
        <f aca="false">IF($B599="","",IF(AND($M599='Invoice Builder'!$C$5,$Q599='Invoice Builder'!$C$6,N($N599)&gt;0),COUNTIFS($M$5:$M599,'Invoice Builder'!$C$5,$Q$5:$Q599,'Invoice Builder'!$C$6,$N$5:$N599,"&gt;0"),""))</f>
        <v/>
      </c>
      <c r="T599" s="27" t="str">
        <f aca="false">IF($A599="","",IF($A599&gt;=DATE(YEAR($A599),4,6),YEAR($A599)&amp;"/"&amp;RIGHT(YEAR($A599)+1,2),YEAR($A599)-1&amp;"/"&amp;RIGHT(YEAR($A599),2)))</f>
        <v/>
      </c>
    </row>
    <row r="600" customFormat="false" ht="15" hidden="false" customHeight="false" outlineLevel="0" collapsed="false">
      <c r="A600" s="22"/>
      <c r="B600" s="23"/>
      <c r="C600" s="23"/>
      <c r="D600" s="23"/>
      <c r="E600" s="24"/>
      <c r="F600" s="24"/>
      <c r="G600" s="23"/>
      <c r="H600" s="23"/>
      <c r="I600" s="25"/>
      <c r="J600" s="23"/>
      <c r="K600" s="23"/>
      <c r="L600" s="26" t="str">
        <f aca="false">IF(OR($E600="",$F600=""),"",MOD($F600-$E600,1)*24)</f>
        <v/>
      </c>
      <c r="M600" s="27" t="str">
        <f aca="false">IF($B600="","",IFERROR(INDEX(Properties!$D$5:$D$104,MATCH($B600,Properties!$A$5:$A$104,0)),"?"))</f>
        <v/>
      </c>
      <c r="N600" s="28" t="str">
        <f aca="false">IF($B600="","",IFERROR(IF($D600="Completed",INDEX(Properties!$I$5:$I$104,MATCH($B600,Properties!$A$5:$A$104,0))*(1+IF($G600="Y",Settings!$B$8,0))+IF($H600="Y",Settings!$B$7,0)+N($I600),IF($D600="Deep clean",INDEX(Settings!$E$22:$E$26,MATCH(MIN(INDEX(Properties!$E$5:$E$104,MATCH($B600,Properties!$A$5:$A$104,0)),4),Settings!$A$22:$A$26,0))+N($I600),IF($D600="Late cancel",INDEX(Properties!$I$5:$I$104,MATCH($B600,Properties!$A$5:$A$104,0))*Settings!$B$10,0))),0))</f>
        <v/>
      </c>
      <c r="O600" s="28" t="str">
        <f aca="false">IF($B600="","",IFERROR(IF($D600="Completed",INDEX(Properties!$L$5:$L$104,MATCH($B600,Properties!$A$5:$A$104,0))+IF($G600="Y",INDEX(Properties!$I$5:$I$104,MATCH($B600,Properties!$A$5:$A$104,0))*Settings!$B$8*Settings!$B$9,0)+IF($H600="Y",Settings!$B$7*Settings!$B$9,0)+N($I600)*Settings!$B$9,IF($D600="Deep clean",INDEX(Settings!$E$22:$E$26,MATCH(MIN(INDEX(Properties!$E$5:$E$104,MATCH($B600,Properties!$A$5:$A$104,0)),4),Settings!$A$22:$A$26,0))*Settings!$B$19+N($I600)*Settings!$B$9,IF($D600="Late cancel",INDEX(Properties!$L$5:$L$104,MATCH($B600,Properties!$A$5:$A$104,0))*Settings!$B$11,0))),0))</f>
        <v/>
      </c>
      <c r="P600" s="28" t="str">
        <f aca="false">IF($B600="","",$N600-$O600)</f>
        <v/>
      </c>
      <c r="Q600" s="29" t="str">
        <f aca="false">IF($A600="","",DATE(YEAR($A600),MONTH($A600),1))</f>
        <v/>
      </c>
      <c r="R600" s="30" t="str">
        <f aca="false">IF($A600="","",$A600+MOD(6-WEEKDAY($A600),7))</f>
        <v/>
      </c>
      <c r="S600" s="31" t="str">
        <f aca="false">IF($B600="","",IF(AND($M600='Invoice Builder'!$C$5,$Q600='Invoice Builder'!$C$6,N($N600)&gt;0),COUNTIFS($M$5:$M600,'Invoice Builder'!$C$5,$Q$5:$Q600,'Invoice Builder'!$C$6,$N$5:$N600,"&gt;0"),""))</f>
        <v/>
      </c>
      <c r="T600" s="27" t="str">
        <f aca="false">IF($A600="","",IF($A600&gt;=DATE(YEAR($A600),4,6),YEAR($A600)&amp;"/"&amp;RIGHT(YEAR($A600)+1,2),YEAR($A600)-1&amp;"/"&amp;RIGHT(YEAR($A600),2)))</f>
        <v/>
      </c>
    </row>
    <row r="601" customFormat="false" ht="15" hidden="false" customHeight="false" outlineLevel="0" collapsed="false">
      <c r="A601" s="22"/>
      <c r="B601" s="23"/>
      <c r="C601" s="23"/>
      <c r="D601" s="23"/>
      <c r="E601" s="24"/>
      <c r="F601" s="24"/>
      <c r="G601" s="23"/>
      <c r="H601" s="23"/>
      <c r="I601" s="25"/>
      <c r="J601" s="23"/>
      <c r="K601" s="23"/>
      <c r="L601" s="26" t="str">
        <f aca="false">IF(OR($E601="",$F601=""),"",MOD($F601-$E601,1)*24)</f>
        <v/>
      </c>
      <c r="M601" s="27" t="str">
        <f aca="false">IF($B601="","",IFERROR(INDEX(Properties!$D$5:$D$104,MATCH($B601,Properties!$A$5:$A$104,0)),"?"))</f>
        <v/>
      </c>
      <c r="N601" s="28" t="str">
        <f aca="false">IF($B601="","",IFERROR(IF($D601="Completed",INDEX(Properties!$I$5:$I$104,MATCH($B601,Properties!$A$5:$A$104,0))*(1+IF($G601="Y",Settings!$B$8,0))+IF($H601="Y",Settings!$B$7,0)+N($I601),IF($D601="Deep clean",INDEX(Settings!$E$22:$E$26,MATCH(MIN(INDEX(Properties!$E$5:$E$104,MATCH($B601,Properties!$A$5:$A$104,0)),4),Settings!$A$22:$A$26,0))+N($I601),IF($D601="Late cancel",INDEX(Properties!$I$5:$I$104,MATCH($B601,Properties!$A$5:$A$104,0))*Settings!$B$10,0))),0))</f>
        <v/>
      </c>
      <c r="O601" s="28" t="str">
        <f aca="false">IF($B601="","",IFERROR(IF($D601="Completed",INDEX(Properties!$L$5:$L$104,MATCH($B601,Properties!$A$5:$A$104,0))+IF($G601="Y",INDEX(Properties!$I$5:$I$104,MATCH($B601,Properties!$A$5:$A$104,0))*Settings!$B$8*Settings!$B$9,0)+IF($H601="Y",Settings!$B$7*Settings!$B$9,0)+N($I601)*Settings!$B$9,IF($D601="Deep clean",INDEX(Settings!$E$22:$E$26,MATCH(MIN(INDEX(Properties!$E$5:$E$104,MATCH($B601,Properties!$A$5:$A$104,0)),4),Settings!$A$22:$A$26,0))*Settings!$B$19+N($I601)*Settings!$B$9,IF($D601="Late cancel",INDEX(Properties!$L$5:$L$104,MATCH($B601,Properties!$A$5:$A$104,0))*Settings!$B$11,0))),0))</f>
        <v/>
      </c>
      <c r="P601" s="28" t="str">
        <f aca="false">IF($B601="","",$N601-$O601)</f>
        <v/>
      </c>
      <c r="Q601" s="29" t="str">
        <f aca="false">IF($A601="","",DATE(YEAR($A601),MONTH($A601),1))</f>
        <v/>
      </c>
      <c r="R601" s="30" t="str">
        <f aca="false">IF($A601="","",$A601+MOD(6-WEEKDAY($A601),7))</f>
        <v/>
      </c>
      <c r="S601" s="31" t="str">
        <f aca="false">IF($B601="","",IF(AND($M601='Invoice Builder'!$C$5,$Q601='Invoice Builder'!$C$6,N($N601)&gt;0),COUNTIFS($M$5:$M601,'Invoice Builder'!$C$5,$Q$5:$Q601,'Invoice Builder'!$C$6,$N$5:$N601,"&gt;0"),""))</f>
        <v/>
      </c>
      <c r="T601" s="27" t="str">
        <f aca="false">IF($A601="","",IF($A601&gt;=DATE(YEAR($A601),4,6),YEAR($A601)&amp;"/"&amp;RIGHT(YEAR($A601)+1,2),YEAR($A601)-1&amp;"/"&amp;RIGHT(YEAR($A601),2)))</f>
        <v/>
      </c>
    </row>
    <row r="602" customFormat="false" ht="15" hidden="false" customHeight="false" outlineLevel="0" collapsed="false">
      <c r="A602" s="22"/>
      <c r="B602" s="23"/>
      <c r="C602" s="23"/>
      <c r="D602" s="23"/>
      <c r="E602" s="24"/>
      <c r="F602" s="24"/>
      <c r="G602" s="23"/>
      <c r="H602" s="23"/>
      <c r="I602" s="25"/>
      <c r="J602" s="23"/>
      <c r="K602" s="23"/>
      <c r="L602" s="26" t="str">
        <f aca="false">IF(OR($E602="",$F602=""),"",MOD($F602-$E602,1)*24)</f>
        <v/>
      </c>
      <c r="M602" s="27" t="str">
        <f aca="false">IF($B602="","",IFERROR(INDEX(Properties!$D$5:$D$104,MATCH($B602,Properties!$A$5:$A$104,0)),"?"))</f>
        <v/>
      </c>
      <c r="N602" s="28" t="str">
        <f aca="false">IF($B602="","",IFERROR(IF($D602="Completed",INDEX(Properties!$I$5:$I$104,MATCH($B602,Properties!$A$5:$A$104,0))*(1+IF($G602="Y",Settings!$B$8,0))+IF($H602="Y",Settings!$B$7,0)+N($I602),IF($D602="Deep clean",INDEX(Settings!$E$22:$E$26,MATCH(MIN(INDEX(Properties!$E$5:$E$104,MATCH($B602,Properties!$A$5:$A$104,0)),4),Settings!$A$22:$A$26,0))+N($I602),IF($D602="Late cancel",INDEX(Properties!$I$5:$I$104,MATCH($B602,Properties!$A$5:$A$104,0))*Settings!$B$10,0))),0))</f>
        <v/>
      </c>
      <c r="O602" s="28" t="str">
        <f aca="false">IF($B602="","",IFERROR(IF($D602="Completed",INDEX(Properties!$L$5:$L$104,MATCH($B602,Properties!$A$5:$A$104,0))+IF($G602="Y",INDEX(Properties!$I$5:$I$104,MATCH($B602,Properties!$A$5:$A$104,0))*Settings!$B$8*Settings!$B$9,0)+IF($H602="Y",Settings!$B$7*Settings!$B$9,0)+N($I602)*Settings!$B$9,IF($D602="Deep clean",INDEX(Settings!$E$22:$E$26,MATCH(MIN(INDEX(Properties!$E$5:$E$104,MATCH($B602,Properties!$A$5:$A$104,0)),4),Settings!$A$22:$A$26,0))*Settings!$B$19+N($I602)*Settings!$B$9,IF($D602="Late cancel",INDEX(Properties!$L$5:$L$104,MATCH($B602,Properties!$A$5:$A$104,0))*Settings!$B$11,0))),0))</f>
        <v/>
      </c>
      <c r="P602" s="28" t="str">
        <f aca="false">IF($B602="","",$N602-$O602)</f>
        <v/>
      </c>
      <c r="Q602" s="29" t="str">
        <f aca="false">IF($A602="","",DATE(YEAR($A602),MONTH($A602),1))</f>
        <v/>
      </c>
      <c r="R602" s="30" t="str">
        <f aca="false">IF($A602="","",$A602+MOD(6-WEEKDAY($A602),7))</f>
        <v/>
      </c>
      <c r="S602" s="31" t="str">
        <f aca="false">IF($B602="","",IF(AND($M602='Invoice Builder'!$C$5,$Q602='Invoice Builder'!$C$6,N($N602)&gt;0),COUNTIFS($M$5:$M602,'Invoice Builder'!$C$5,$Q$5:$Q602,'Invoice Builder'!$C$6,$N$5:$N602,"&gt;0"),""))</f>
        <v/>
      </c>
      <c r="T602" s="27" t="str">
        <f aca="false">IF($A602="","",IF($A602&gt;=DATE(YEAR($A602),4,6),YEAR($A602)&amp;"/"&amp;RIGHT(YEAR($A602)+1,2),YEAR($A602)-1&amp;"/"&amp;RIGHT(YEAR($A602),2)))</f>
        <v/>
      </c>
    </row>
    <row r="603" customFormat="false" ht="15" hidden="false" customHeight="false" outlineLevel="0" collapsed="false">
      <c r="A603" s="22"/>
      <c r="B603" s="23"/>
      <c r="C603" s="23"/>
      <c r="D603" s="23"/>
      <c r="E603" s="24"/>
      <c r="F603" s="24"/>
      <c r="G603" s="23"/>
      <c r="H603" s="23"/>
      <c r="I603" s="25"/>
      <c r="J603" s="23"/>
      <c r="K603" s="23"/>
      <c r="L603" s="26" t="str">
        <f aca="false">IF(OR($E603="",$F603=""),"",MOD($F603-$E603,1)*24)</f>
        <v/>
      </c>
      <c r="M603" s="27" t="str">
        <f aca="false">IF($B603="","",IFERROR(INDEX(Properties!$D$5:$D$104,MATCH($B603,Properties!$A$5:$A$104,0)),"?"))</f>
        <v/>
      </c>
      <c r="N603" s="28" t="str">
        <f aca="false">IF($B603="","",IFERROR(IF($D603="Completed",INDEX(Properties!$I$5:$I$104,MATCH($B603,Properties!$A$5:$A$104,0))*(1+IF($G603="Y",Settings!$B$8,0))+IF($H603="Y",Settings!$B$7,0)+N($I603),IF($D603="Deep clean",INDEX(Settings!$E$22:$E$26,MATCH(MIN(INDEX(Properties!$E$5:$E$104,MATCH($B603,Properties!$A$5:$A$104,0)),4),Settings!$A$22:$A$26,0))+N($I603),IF($D603="Late cancel",INDEX(Properties!$I$5:$I$104,MATCH($B603,Properties!$A$5:$A$104,0))*Settings!$B$10,0))),0))</f>
        <v/>
      </c>
      <c r="O603" s="28" t="str">
        <f aca="false">IF($B603="","",IFERROR(IF($D603="Completed",INDEX(Properties!$L$5:$L$104,MATCH($B603,Properties!$A$5:$A$104,0))+IF($G603="Y",INDEX(Properties!$I$5:$I$104,MATCH($B603,Properties!$A$5:$A$104,0))*Settings!$B$8*Settings!$B$9,0)+IF($H603="Y",Settings!$B$7*Settings!$B$9,0)+N($I603)*Settings!$B$9,IF($D603="Deep clean",INDEX(Settings!$E$22:$E$26,MATCH(MIN(INDEX(Properties!$E$5:$E$104,MATCH($B603,Properties!$A$5:$A$104,0)),4),Settings!$A$22:$A$26,0))*Settings!$B$19+N($I603)*Settings!$B$9,IF($D603="Late cancel",INDEX(Properties!$L$5:$L$104,MATCH($B603,Properties!$A$5:$A$104,0))*Settings!$B$11,0))),0))</f>
        <v/>
      </c>
      <c r="P603" s="28" t="str">
        <f aca="false">IF($B603="","",$N603-$O603)</f>
        <v/>
      </c>
      <c r="Q603" s="29" t="str">
        <f aca="false">IF($A603="","",DATE(YEAR($A603),MONTH($A603),1))</f>
        <v/>
      </c>
      <c r="R603" s="30" t="str">
        <f aca="false">IF($A603="","",$A603+MOD(6-WEEKDAY($A603),7))</f>
        <v/>
      </c>
      <c r="S603" s="31" t="str">
        <f aca="false">IF($B603="","",IF(AND($M603='Invoice Builder'!$C$5,$Q603='Invoice Builder'!$C$6,N($N603)&gt;0),COUNTIFS($M$5:$M603,'Invoice Builder'!$C$5,$Q$5:$Q603,'Invoice Builder'!$C$6,$N$5:$N603,"&gt;0"),""))</f>
        <v/>
      </c>
      <c r="T603" s="27" t="str">
        <f aca="false">IF($A603="","",IF($A603&gt;=DATE(YEAR($A603),4,6),YEAR($A603)&amp;"/"&amp;RIGHT(YEAR($A603)+1,2),YEAR($A603)-1&amp;"/"&amp;RIGHT(YEAR($A603),2)))</f>
        <v/>
      </c>
    </row>
    <row r="604" customFormat="false" ht="15" hidden="false" customHeight="false" outlineLevel="0" collapsed="false">
      <c r="A604" s="22"/>
      <c r="B604" s="23"/>
      <c r="C604" s="23"/>
      <c r="D604" s="23"/>
      <c r="E604" s="24"/>
      <c r="F604" s="24"/>
      <c r="G604" s="23"/>
      <c r="H604" s="23"/>
      <c r="I604" s="25"/>
      <c r="J604" s="23"/>
      <c r="K604" s="23"/>
      <c r="L604" s="26" t="str">
        <f aca="false">IF(OR($E604="",$F604=""),"",MOD($F604-$E604,1)*24)</f>
        <v/>
      </c>
      <c r="M604" s="27" t="str">
        <f aca="false">IF($B604="","",IFERROR(INDEX(Properties!$D$5:$D$104,MATCH($B604,Properties!$A$5:$A$104,0)),"?"))</f>
        <v/>
      </c>
      <c r="N604" s="28" t="str">
        <f aca="false">IF($B604="","",IFERROR(IF($D604="Completed",INDEX(Properties!$I$5:$I$104,MATCH($B604,Properties!$A$5:$A$104,0))*(1+IF($G604="Y",Settings!$B$8,0))+IF($H604="Y",Settings!$B$7,0)+N($I604),IF($D604="Deep clean",INDEX(Settings!$E$22:$E$26,MATCH(MIN(INDEX(Properties!$E$5:$E$104,MATCH($B604,Properties!$A$5:$A$104,0)),4),Settings!$A$22:$A$26,0))+N($I604),IF($D604="Late cancel",INDEX(Properties!$I$5:$I$104,MATCH($B604,Properties!$A$5:$A$104,0))*Settings!$B$10,0))),0))</f>
        <v/>
      </c>
      <c r="O604" s="28" t="str">
        <f aca="false">IF($B604="","",IFERROR(IF($D604="Completed",INDEX(Properties!$L$5:$L$104,MATCH($B604,Properties!$A$5:$A$104,0))+IF($G604="Y",INDEX(Properties!$I$5:$I$104,MATCH($B604,Properties!$A$5:$A$104,0))*Settings!$B$8*Settings!$B$9,0)+IF($H604="Y",Settings!$B$7*Settings!$B$9,0)+N($I604)*Settings!$B$9,IF($D604="Deep clean",INDEX(Settings!$E$22:$E$26,MATCH(MIN(INDEX(Properties!$E$5:$E$104,MATCH($B604,Properties!$A$5:$A$104,0)),4),Settings!$A$22:$A$26,0))*Settings!$B$19+N($I604)*Settings!$B$9,IF($D604="Late cancel",INDEX(Properties!$L$5:$L$104,MATCH($B604,Properties!$A$5:$A$104,0))*Settings!$B$11,0))),0))</f>
        <v/>
      </c>
      <c r="P604" s="28" t="str">
        <f aca="false">IF($B604="","",$N604-$O604)</f>
        <v/>
      </c>
      <c r="Q604" s="29" t="str">
        <f aca="false">IF($A604="","",DATE(YEAR($A604),MONTH($A604),1))</f>
        <v/>
      </c>
      <c r="R604" s="30" t="str">
        <f aca="false">IF($A604="","",$A604+MOD(6-WEEKDAY($A604),7))</f>
        <v/>
      </c>
      <c r="S604" s="31" t="str">
        <f aca="false">IF($B604="","",IF(AND($M604='Invoice Builder'!$C$5,$Q604='Invoice Builder'!$C$6,N($N604)&gt;0),COUNTIFS($M$5:$M604,'Invoice Builder'!$C$5,$Q$5:$Q604,'Invoice Builder'!$C$6,$N$5:$N604,"&gt;0"),""))</f>
        <v/>
      </c>
      <c r="T604" s="27" t="str">
        <f aca="false">IF($A604="","",IF($A604&gt;=DATE(YEAR($A604),4,6),YEAR($A604)&amp;"/"&amp;RIGHT(YEAR($A604)+1,2),YEAR($A604)-1&amp;"/"&amp;RIGHT(YEAR($A604),2)))</f>
        <v/>
      </c>
    </row>
    <row r="605" customFormat="false" ht="15" hidden="false" customHeight="false" outlineLevel="0" collapsed="false">
      <c r="A605" s="22"/>
      <c r="B605" s="23"/>
      <c r="C605" s="23"/>
      <c r="D605" s="23"/>
      <c r="E605" s="24"/>
      <c r="F605" s="24"/>
      <c r="G605" s="23"/>
      <c r="H605" s="23"/>
      <c r="I605" s="25"/>
      <c r="J605" s="23"/>
      <c r="K605" s="23"/>
      <c r="L605" s="26" t="str">
        <f aca="false">IF(OR($E605="",$F605=""),"",MOD($F605-$E605,1)*24)</f>
        <v/>
      </c>
      <c r="M605" s="27" t="str">
        <f aca="false">IF($B605="","",IFERROR(INDEX(Properties!$D$5:$D$104,MATCH($B605,Properties!$A$5:$A$104,0)),"?"))</f>
        <v/>
      </c>
      <c r="N605" s="28" t="str">
        <f aca="false">IF($B605="","",IFERROR(IF($D605="Completed",INDEX(Properties!$I$5:$I$104,MATCH($B605,Properties!$A$5:$A$104,0))*(1+IF($G605="Y",Settings!$B$8,0))+IF($H605="Y",Settings!$B$7,0)+N($I605),IF($D605="Deep clean",INDEX(Settings!$E$22:$E$26,MATCH(MIN(INDEX(Properties!$E$5:$E$104,MATCH($B605,Properties!$A$5:$A$104,0)),4),Settings!$A$22:$A$26,0))+N($I605),IF($D605="Late cancel",INDEX(Properties!$I$5:$I$104,MATCH($B605,Properties!$A$5:$A$104,0))*Settings!$B$10,0))),0))</f>
        <v/>
      </c>
      <c r="O605" s="28" t="str">
        <f aca="false">IF($B605="","",IFERROR(IF($D605="Completed",INDEX(Properties!$L$5:$L$104,MATCH($B605,Properties!$A$5:$A$104,0))+IF($G605="Y",INDEX(Properties!$I$5:$I$104,MATCH($B605,Properties!$A$5:$A$104,0))*Settings!$B$8*Settings!$B$9,0)+IF($H605="Y",Settings!$B$7*Settings!$B$9,0)+N($I605)*Settings!$B$9,IF($D605="Deep clean",INDEX(Settings!$E$22:$E$26,MATCH(MIN(INDEX(Properties!$E$5:$E$104,MATCH($B605,Properties!$A$5:$A$104,0)),4),Settings!$A$22:$A$26,0))*Settings!$B$19+N($I605)*Settings!$B$9,IF($D605="Late cancel",INDEX(Properties!$L$5:$L$104,MATCH($B605,Properties!$A$5:$A$104,0))*Settings!$B$11,0))),0))</f>
        <v/>
      </c>
      <c r="P605" s="28" t="str">
        <f aca="false">IF($B605="","",$N605-$O605)</f>
        <v/>
      </c>
      <c r="Q605" s="29" t="str">
        <f aca="false">IF($A605="","",DATE(YEAR($A605),MONTH($A605),1))</f>
        <v/>
      </c>
      <c r="R605" s="30" t="str">
        <f aca="false">IF($A605="","",$A605+MOD(6-WEEKDAY($A605),7))</f>
        <v/>
      </c>
      <c r="S605" s="31" t="str">
        <f aca="false">IF($B605="","",IF(AND($M605='Invoice Builder'!$C$5,$Q605='Invoice Builder'!$C$6,N($N605)&gt;0),COUNTIFS($M$5:$M605,'Invoice Builder'!$C$5,$Q$5:$Q605,'Invoice Builder'!$C$6,$N$5:$N605,"&gt;0"),""))</f>
        <v/>
      </c>
      <c r="T605" s="27" t="str">
        <f aca="false">IF($A605="","",IF($A605&gt;=DATE(YEAR($A605),4,6),YEAR($A605)&amp;"/"&amp;RIGHT(YEAR($A605)+1,2),YEAR($A605)-1&amp;"/"&amp;RIGHT(YEAR($A605),2)))</f>
        <v/>
      </c>
    </row>
    <row r="606" customFormat="false" ht="15" hidden="false" customHeight="false" outlineLevel="0" collapsed="false">
      <c r="A606" s="22"/>
      <c r="B606" s="23"/>
      <c r="C606" s="23"/>
      <c r="D606" s="23"/>
      <c r="E606" s="24"/>
      <c r="F606" s="24"/>
      <c r="G606" s="23"/>
      <c r="H606" s="23"/>
      <c r="I606" s="25"/>
      <c r="J606" s="23"/>
      <c r="K606" s="23"/>
      <c r="L606" s="26" t="str">
        <f aca="false">IF(OR($E606="",$F606=""),"",MOD($F606-$E606,1)*24)</f>
        <v/>
      </c>
      <c r="M606" s="27" t="str">
        <f aca="false">IF($B606="","",IFERROR(INDEX(Properties!$D$5:$D$104,MATCH($B606,Properties!$A$5:$A$104,0)),"?"))</f>
        <v/>
      </c>
      <c r="N606" s="28" t="str">
        <f aca="false">IF($B606="","",IFERROR(IF($D606="Completed",INDEX(Properties!$I$5:$I$104,MATCH($B606,Properties!$A$5:$A$104,0))*(1+IF($G606="Y",Settings!$B$8,0))+IF($H606="Y",Settings!$B$7,0)+N($I606),IF($D606="Deep clean",INDEX(Settings!$E$22:$E$26,MATCH(MIN(INDEX(Properties!$E$5:$E$104,MATCH($B606,Properties!$A$5:$A$104,0)),4),Settings!$A$22:$A$26,0))+N($I606),IF($D606="Late cancel",INDEX(Properties!$I$5:$I$104,MATCH($B606,Properties!$A$5:$A$104,0))*Settings!$B$10,0))),0))</f>
        <v/>
      </c>
      <c r="O606" s="28" t="str">
        <f aca="false">IF($B606="","",IFERROR(IF($D606="Completed",INDEX(Properties!$L$5:$L$104,MATCH($B606,Properties!$A$5:$A$104,0))+IF($G606="Y",INDEX(Properties!$I$5:$I$104,MATCH($B606,Properties!$A$5:$A$104,0))*Settings!$B$8*Settings!$B$9,0)+IF($H606="Y",Settings!$B$7*Settings!$B$9,0)+N($I606)*Settings!$B$9,IF($D606="Deep clean",INDEX(Settings!$E$22:$E$26,MATCH(MIN(INDEX(Properties!$E$5:$E$104,MATCH($B606,Properties!$A$5:$A$104,0)),4),Settings!$A$22:$A$26,0))*Settings!$B$19+N($I606)*Settings!$B$9,IF($D606="Late cancel",INDEX(Properties!$L$5:$L$104,MATCH($B606,Properties!$A$5:$A$104,0))*Settings!$B$11,0))),0))</f>
        <v/>
      </c>
      <c r="P606" s="28" t="str">
        <f aca="false">IF($B606="","",$N606-$O606)</f>
        <v/>
      </c>
      <c r="Q606" s="29" t="str">
        <f aca="false">IF($A606="","",DATE(YEAR($A606),MONTH($A606),1))</f>
        <v/>
      </c>
      <c r="R606" s="30" t="str">
        <f aca="false">IF($A606="","",$A606+MOD(6-WEEKDAY($A606),7))</f>
        <v/>
      </c>
      <c r="S606" s="31" t="str">
        <f aca="false">IF($B606="","",IF(AND($M606='Invoice Builder'!$C$5,$Q606='Invoice Builder'!$C$6,N($N606)&gt;0),COUNTIFS($M$5:$M606,'Invoice Builder'!$C$5,$Q$5:$Q606,'Invoice Builder'!$C$6,$N$5:$N606,"&gt;0"),""))</f>
        <v/>
      </c>
      <c r="T606" s="27" t="str">
        <f aca="false">IF($A606="","",IF($A606&gt;=DATE(YEAR($A606),4,6),YEAR($A606)&amp;"/"&amp;RIGHT(YEAR($A606)+1,2),YEAR($A606)-1&amp;"/"&amp;RIGHT(YEAR($A606),2)))</f>
        <v/>
      </c>
    </row>
    <row r="607" customFormat="false" ht="15" hidden="false" customHeight="false" outlineLevel="0" collapsed="false">
      <c r="A607" s="22"/>
      <c r="B607" s="23"/>
      <c r="C607" s="23"/>
      <c r="D607" s="23"/>
      <c r="E607" s="24"/>
      <c r="F607" s="24"/>
      <c r="G607" s="23"/>
      <c r="H607" s="23"/>
      <c r="I607" s="25"/>
      <c r="J607" s="23"/>
      <c r="K607" s="23"/>
      <c r="L607" s="26" t="str">
        <f aca="false">IF(OR($E607="",$F607=""),"",MOD($F607-$E607,1)*24)</f>
        <v/>
      </c>
      <c r="M607" s="27" t="str">
        <f aca="false">IF($B607="","",IFERROR(INDEX(Properties!$D$5:$D$104,MATCH($B607,Properties!$A$5:$A$104,0)),"?"))</f>
        <v/>
      </c>
      <c r="N607" s="28" t="str">
        <f aca="false">IF($B607="","",IFERROR(IF($D607="Completed",INDEX(Properties!$I$5:$I$104,MATCH($B607,Properties!$A$5:$A$104,0))*(1+IF($G607="Y",Settings!$B$8,0))+IF($H607="Y",Settings!$B$7,0)+N($I607),IF($D607="Deep clean",INDEX(Settings!$E$22:$E$26,MATCH(MIN(INDEX(Properties!$E$5:$E$104,MATCH($B607,Properties!$A$5:$A$104,0)),4),Settings!$A$22:$A$26,0))+N($I607),IF($D607="Late cancel",INDEX(Properties!$I$5:$I$104,MATCH($B607,Properties!$A$5:$A$104,0))*Settings!$B$10,0))),0))</f>
        <v/>
      </c>
      <c r="O607" s="28" t="str">
        <f aca="false">IF($B607="","",IFERROR(IF($D607="Completed",INDEX(Properties!$L$5:$L$104,MATCH($B607,Properties!$A$5:$A$104,0))+IF($G607="Y",INDEX(Properties!$I$5:$I$104,MATCH($B607,Properties!$A$5:$A$104,0))*Settings!$B$8*Settings!$B$9,0)+IF($H607="Y",Settings!$B$7*Settings!$B$9,0)+N($I607)*Settings!$B$9,IF($D607="Deep clean",INDEX(Settings!$E$22:$E$26,MATCH(MIN(INDEX(Properties!$E$5:$E$104,MATCH($B607,Properties!$A$5:$A$104,0)),4),Settings!$A$22:$A$26,0))*Settings!$B$19+N($I607)*Settings!$B$9,IF($D607="Late cancel",INDEX(Properties!$L$5:$L$104,MATCH($B607,Properties!$A$5:$A$104,0))*Settings!$B$11,0))),0))</f>
        <v/>
      </c>
      <c r="P607" s="28" t="str">
        <f aca="false">IF($B607="","",$N607-$O607)</f>
        <v/>
      </c>
      <c r="Q607" s="29" t="str">
        <f aca="false">IF($A607="","",DATE(YEAR($A607),MONTH($A607),1))</f>
        <v/>
      </c>
      <c r="R607" s="30" t="str">
        <f aca="false">IF($A607="","",$A607+MOD(6-WEEKDAY($A607),7))</f>
        <v/>
      </c>
      <c r="S607" s="31" t="str">
        <f aca="false">IF($B607="","",IF(AND($M607='Invoice Builder'!$C$5,$Q607='Invoice Builder'!$C$6,N($N607)&gt;0),COUNTIFS($M$5:$M607,'Invoice Builder'!$C$5,$Q$5:$Q607,'Invoice Builder'!$C$6,$N$5:$N607,"&gt;0"),""))</f>
        <v/>
      </c>
      <c r="T607" s="27" t="str">
        <f aca="false">IF($A607="","",IF($A607&gt;=DATE(YEAR($A607),4,6),YEAR($A607)&amp;"/"&amp;RIGHT(YEAR($A607)+1,2),YEAR($A607)-1&amp;"/"&amp;RIGHT(YEAR($A607),2)))</f>
        <v/>
      </c>
    </row>
    <row r="608" customFormat="false" ht="15" hidden="false" customHeight="false" outlineLevel="0" collapsed="false">
      <c r="A608" s="22"/>
      <c r="B608" s="23"/>
      <c r="C608" s="23"/>
      <c r="D608" s="23"/>
      <c r="E608" s="24"/>
      <c r="F608" s="24"/>
      <c r="G608" s="23"/>
      <c r="H608" s="23"/>
      <c r="I608" s="25"/>
      <c r="J608" s="23"/>
      <c r="K608" s="23"/>
      <c r="L608" s="26" t="str">
        <f aca="false">IF(OR($E608="",$F608=""),"",MOD($F608-$E608,1)*24)</f>
        <v/>
      </c>
      <c r="M608" s="27" t="str">
        <f aca="false">IF($B608="","",IFERROR(INDEX(Properties!$D$5:$D$104,MATCH($B608,Properties!$A$5:$A$104,0)),"?"))</f>
        <v/>
      </c>
      <c r="N608" s="28" t="str">
        <f aca="false">IF($B608="","",IFERROR(IF($D608="Completed",INDEX(Properties!$I$5:$I$104,MATCH($B608,Properties!$A$5:$A$104,0))*(1+IF($G608="Y",Settings!$B$8,0))+IF($H608="Y",Settings!$B$7,0)+N($I608),IF($D608="Deep clean",INDEX(Settings!$E$22:$E$26,MATCH(MIN(INDEX(Properties!$E$5:$E$104,MATCH($B608,Properties!$A$5:$A$104,0)),4),Settings!$A$22:$A$26,0))+N($I608),IF($D608="Late cancel",INDEX(Properties!$I$5:$I$104,MATCH($B608,Properties!$A$5:$A$104,0))*Settings!$B$10,0))),0))</f>
        <v/>
      </c>
      <c r="O608" s="28" t="str">
        <f aca="false">IF($B608="","",IFERROR(IF($D608="Completed",INDEX(Properties!$L$5:$L$104,MATCH($B608,Properties!$A$5:$A$104,0))+IF($G608="Y",INDEX(Properties!$I$5:$I$104,MATCH($B608,Properties!$A$5:$A$104,0))*Settings!$B$8*Settings!$B$9,0)+IF($H608="Y",Settings!$B$7*Settings!$B$9,0)+N($I608)*Settings!$B$9,IF($D608="Deep clean",INDEX(Settings!$E$22:$E$26,MATCH(MIN(INDEX(Properties!$E$5:$E$104,MATCH($B608,Properties!$A$5:$A$104,0)),4),Settings!$A$22:$A$26,0))*Settings!$B$19+N($I608)*Settings!$B$9,IF($D608="Late cancel",INDEX(Properties!$L$5:$L$104,MATCH($B608,Properties!$A$5:$A$104,0))*Settings!$B$11,0))),0))</f>
        <v/>
      </c>
      <c r="P608" s="28" t="str">
        <f aca="false">IF($B608="","",$N608-$O608)</f>
        <v/>
      </c>
      <c r="Q608" s="29" t="str">
        <f aca="false">IF($A608="","",DATE(YEAR($A608),MONTH($A608),1))</f>
        <v/>
      </c>
      <c r="R608" s="30" t="str">
        <f aca="false">IF($A608="","",$A608+MOD(6-WEEKDAY($A608),7))</f>
        <v/>
      </c>
      <c r="S608" s="31" t="str">
        <f aca="false">IF($B608="","",IF(AND($M608='Invoice Builder'!$C$5,$Q608='Invoice Builder'!$C$6,N($N608)&gt;0),COUNTIFS($M$5:$M608,'Invoice Builder'!$C$5,$Q$5:$Q608,'Invoice Builder'!$C$6,$N$5:$N608,"&gt;0"),""))</f>
        <v/>
      </c>
      <c r="T608" s="27" t="str">
        <f aca="false">IF($A608="","",IF($A608&gt;=DATE(YEAR($A608),4,6),YEAR($A608)&amp;"/"&amp;RIGHT(YEAR($A608)+1,2),YEAR($A608)-1&amp;"/"&amp;RIGHT(YEAR($A608),2)))</f>
        <v/>
      </c>
    </row>
    <row r="609" customFormat="false" ht="15" hidden="false" customHeight="false" outlineLevel="0" collapsed="false">
      <c r="A609" s="22"/>
      <c r="B609" s="23"/>
      <c r="C609" s="23"/>
      <c r="D609" s="23"/>
      <c r="E609" s="24"/>
      <c r="F609" s="24"/>
      <c r="G609" s="23"/>
      <c r="H609" s="23"/>
      <c r="I609" s="25"/>
      <c r="J609" s="23"/>
      <c r="K609" s="23"/>
      <c r="L609" s="26" t="str">
        <f aca="false">IF(OR($E609="",$F609=""),"",MOD($F609-$E609,1)*24)</f>
        <v/>
      </c>
      <c r="M609" s="27" t="str">
        <f aca="false">IF($B609="","",IFERROR(INDEX(Properties!$D$5:$D$104,MATCH($B609,Properties!$A$5:$A$104,0)),"?"))</f>
        <v/>
      </c>
      <c r="N609" s="28" t="str">
        <f aca="false">IF($B609="","",IFERROR(IF($D609="Completed",INDEX(Properties!$I$5:$I$104,MATCH($B609,Properties!$A$5:$A$104,0))*(1+IF($G609="Y",Settings!$B$8,0))+IF($H609="Y",Settings!$B$7,0)+N($I609),IF($D609="Deep clean",INDEX(Settings!$E$22:$E$26,MATCH(MIN(INDEX(Properties!$E$5:$E$104,MATCH($B609,Properties!$A$5:$A$104,0)),4),Settings!$A$22:$A$26,0))+N($I609),IF($D609="Late cancel",INDEX(Properties!$I$5:$I$104,MATCH($B609,Properties!$A$5:$A$104,0))*Settings!$B$10,0))),0))</f>
        <v/>
      </c>
      <c r="O609" s="28" t="str">
        <f aca="false">IF($B609="","",IFERROR(IF($D609="Completed",INDEX(Properties!$L$5:$L$104,MATCH($B609,Properties!$A$5:$A$104,0))+IF($G609="Y",INDEX(Properties!$I$5:$I$104,MATCH($B609,Properties!$A$5:$A$104,0))*Settings!$B$8*Settings!$B$9,0)+IF($H609="Y",Settings!$B$7*Settings!$B$9,0)+N($I609)*Settings!$B$9,IF($D609="Deep clean",INDEX(Settings!$E$22:$E$26,MATCH(MIN(INDEX(Properties!$E$5:$E$104,MATCH($B609,Properties!$A$5:$A$104,0)),4),Settings!$A$22:$A$26,0))*Settings!$B$19+N($I609)*Settings!$B$9,IF($D609="Late cancel",INDEX(Properties!$L$5:$L$104,MATCH($B609,Properties!$A$5:$A$104,0))*Settings!$B$11,0))),0))</f>
        <v/>
      </c>
      <c r="P609" s="28" t="str">
        <f aca="false">IF($B609="","",$N609-$O609)</f>
        <v/>
      </c>
      <c r="Q609" s="29" t="str">
        <f aca="false">IF($A609="","",DATE(YEAR($A609),MONTH($A609),1))</f>
        <v/>
      </c>
      <c r="R609" s="30" t="str">
        <f aca="false">IF($A609="","",$A609+MOD(6-WEEKDAY($A609),7))</f>
        <v/>
      </c>
      <c r="S609" s="31" t="str">
        <f aca="false">IF($B609="","",IF(AND($M609='Invoice Builder'!$C$5,$Q609='Invoice Builder'!$C$6,N($N609)&gt;0),COUNTIFS($M$5:$M609,'Invoice Builder'!$C$5,$Q$5:$Q609,'Invoice Builder'!$C$6,$N$5:$N609,"&gt;0"),""))</f>
        <v/>
      </c>
      <c r="T609" s="27" t="str">
        <f aca="false">IF($A609="","",IF($A609&gt;=DATE(YEAR($A609),4,6),YEAR($A609)&amp;"/"&amp;RIGHT(YEAR($A609)+1,2),YEAR($A609)-1&amp;"/"&amp;RIGHT(YEAR($A609),2)))</f>
        <v/>
      </c>
    </row>
    <row r="610" customFormat="false" ht="15" hidden="false" customHeight="false" outlineLevel="0" collapsed="false">
      <c r="A610" s="22"/>
      <c r="B610" s="23"/>
      <c r="C610" s="23"/>
      <c r="D610" s="23"/>
      <c r="E610" s="24"/>
      <c r="F610" s="24"/>
      <c r="G610" s="23"/>
      <c r="H610" s="23"/>
      <c r="I610" s="25"/>
      <c r="J610" s="23"/>
      <c r="K610" s="23"/>
      <c r="L610" s="26" t="str">
        <f aca="false">IF(OR($E610="",$F610=""),"",MOD($F610-$E610,1)*24)</f>
        <v/>
      </c>
      <c r="M610" s="27" t="str">
        <f aca="false">IF($B610="","",IFERROR(INDEX(Properties!$D$5:$D$104,MATCH($B610,Properties!$A$5:$A$104,0)),"?"))</f>
        <v/>
      </c>
      <c r="N610" s="28" t="str">
        <f aca="false">IF($B610="","",IFERROR(IF($D610="Completed",INDEX(Properties!$I$5:$I$104,MATCH($B610,Properties!$A$5:$A$104,0))*(1+IF($G610="Y",Settings!$B$8,0))+IF($H610="Y",Settings!$B$7,0)+N($I610),IF($D610="Deep clean",INDEX(Settings!$E$22:$E$26,MATCH(MIN(INDEX(Properties!$E$5:$E$104,MATCH($B610,Properties!$A$5:$A$104,0)),4),Settings!$A$22:$A$26,0))+N($I610),IF($D610="Late cancel",INDEX(Properties!$I$5:$I$104,MATCH($B610,Properties!$A$5:$A$104,0))*Settings!$B$10,0))),0))</f>
        <v/>
      </c>
      <c r="O610" s="28" t="str">
        <f aca="false">IF($B610="","",IFERROR(IF($D610="Completed",INDEX(Properties!$L$5:$L$104,MATCH($B610,Properties!$A$5:$A$104,0))+IF($G610="Y",INDEX(Properties!$I$5:$I$104,MATCH($B610,Properties!$A$5:$A$104,0))*Settings!$B$8*Settings!$B$9,0)+IF($H610="Y",Settings!$B$7*Settings!$B$9,0)+N($I610)*Settings!$B$9,IF($D610="Deep clean",INDEX(Settings!$E$22:$E$26,MATCH(MIN(INDEX(Properties!$E$5:$E$104,MATCH($B610,Properties!$A$5:$A$104,0)),4),Settings!$A$22:$A$26,0))*Settings!$B$19+N($I610)*Settings!$B$9,IF($D610="Late cancel",INDEX(Properties!$L$5:$L$104,MATCH($B610,Properties!$A$5:$A$104,0))*Settings!$B$11,0))),0))</f>
        <v/>
      </c>
      <c r="P610" s="28" t="str">
        <f aca="false">IF($B610="","",$N610-$O610)</f>
        <v/>
      </c>
      <c r="Q610" s="29" t="str">
        <f aca="false">IF($A610="","",DATE(YEAR($A610),MONTH($A610),1))</f>
        <v/>
      </c>
      <c r="R610" s="30" t="str">
        <f aca="false">IF($A610="","",$A610+MOD(6-WEEKDAY($A610),7))</f>
        <v/>
      </c>
      <c r="S610" s="31" t="str">
        <f aca="false">IF($B610="","",IF(AND($M610='Invoice Builder'!$C$5,$Q610='Invoice Builder'!$C$6,N($N610)&gt;0),COUNTIFS($M$5:$M610,'Invoice Builder'!$C$5,$Q$5:$Q610,'Invoice Builder'!$C$6,$N$5:$N610,"&gt;0"),""))</f>
        <v/>
      </c>
      <c r="T610" s="27" t="str">
        <f aca="false">IF($A610="","",IF($A610&gt;=DATE(YEAR($A610),4,6),YEAR($A610)&amp;"/"&amp;RIGHT(YEAR($A610)+1,2),YEAR($A610)-1&amp;"/"&amp;RIGHT(YEAR($A610),2)))</f>
        <v/>
      </c>
    </row>
    <row r="611" customFormat="false" ht="15" hidden="false" customHeight="false" outlineLevel="0" collapsed="false">
      <c r="A611" s="22"/>
      <c r="B611" s="23"/>
      <c r="C611" s="23"/>
      <c r="D611" s="23"/>
      <c r="E611" s="24"/>
      <c r="F611" s="24"/>
      <c r="G611" s="23"/>
      <c r="H611" s="23"/>
      <c r="I611" s="25"/>
      <c r="J611" s="23"/>
      <c r="K611" s="23"/>
      <c r="L611" s="26" t="str">
        <f aca="false">IF(OR($E611="",$F611=""),"",MOD($F611-$E611,1)*24)</f>
        <v/>
      </c>
      <c r="M611" s="27" t="str">
        <f aca="false">IF($B611="","",IFERROR(INDEX(Properties!$D$5:$D$104,MATCH($B611,Properties!$A$5:$A$104,0)),"?"))</f>
        <v/>
      </c>
      <c r="N611" s="28" t="str">
        <f aca="false">IF($B611="","",IFERROR(IF($D611="Completed",INDEX(Properties!$I$5:$I$104,MATCH($B611,Properties!$A$5:$A$104,0))*(1+IF($G611="Y",Settings!$B$8,0))+IF($H611="Y",Settings!$B$7,0)+N($I611),IF($D611="Deep clean",INDEX(Settings!$E$22:$E$26,MATCH(MIN(INDEX(Properties!$E$5:$E$104,MATCH($B611,Properties!$A$5:$A$104,0)),4),Settings!$A$22:$A$26,0))+N($I611),IF($D611="Late cancel",INDEX(Properties!$I$5:$I$104,MATCH($B611,Properties!$A$5:$A$104,0))*Settings!$B$10,0))),0))</f>
        <v/>
      </c>
      <c r="O611" s="28" t="str">
        <f aca="false">IF($B611="","",IFERROR(IF($D611="Completed",INDEX(Properties!$L$5:$L$104,MATCH($B611,Properties!$A$5:$A$104,0))+IF($G611="Y",INDEX(Properties!$I$5:$I$104,MATCH($B611,Properties!$A$5:$A$104,0))*Settings!$B$8*Settings!$B$9,0)+IF($H611="Y",Settings!$B$7*Settings!$B$9,0)+N($I611)*Settings!$B$9,IF($D611="Deep clean",INDEX(Settings!$E$22:$E$26,MATCH(MIN(INDEX(Properties!$E$5:$E$104,MATCH($B611,Properties!$A$5:$A$104,0)),4),Settings!$A$22:$A$26,0))*Settings!$B$19+N($I611)*Settings!$B$9,IF($D611="Late cancel",INDEX(Properties!$L$5:$L$104,MATCH($B611,Properties!$A$5:$A$104,0))*Settings!$B$11,0))),0))</f>
        <v/>
      </c>
      <c r="P611" s="28" t="str">
        <f aca="false">IF($B611="","",$N611-$O611)</f>
        <v/>
      </c>
      <c r="Q611" s="29" t="str">
        <f aca="false">IF($A611="","",DATE(YEAR($A611),MONTH($A611),1))</f>
        <v/>
      </c>
      <c r="R611" s="30" t="str">
        <f aca="false">IF($A611="","",$A611+MOD(6-WEEKDAY($A611),7))</f>
        <v/>
      </c>
      <c r="S611" s="31" t="str">
        <f aca="false">IF($B611="","",IF(AND($M611='Invoice Builder'!$C$5,$Q611='Invoice Builder'!$C$6,N($N611)&gt;0),COUNTIFS($M$5:$M611,'Invoice Builder'!$C$5,$Q$5:$Q611,'Invoice Builder'!$C$6,$N$5:$N611,"&gt;0"),""))</f>
        <v/>
      </c>
      <c r="T611" s="27" t="str">
        <f aca="false">IF($A611="","",IF($A611&gt;=DATE(YEAR($A611),4,6),YEAR($A611)&amp;"/"&amp;RIGHT(YEAR($A611)+1,2),YEAR($A611)-1&amp;"/"&amp;RIGHT(YEAR($A611),2)))</f>
        <v/>
      </c>
    </row>
    <row r="612" customFormat="false" ht="15" hidden="false" customHeight="false" outlineLevel="0" collapsed="false">
      <c r="A612" s="22"/>
      <c r="B612" s="23"/>
      <c r="C612" s="23"/>
      <c r="D612" s="23"/>
      <c r="E612" s="24"/>
      <c r="F612" s="24"/>
      <c r="G612" s="23"/>
      <c r="H612" s="23"/>
      <c r="I612" s="25"/>
      <c r="J612" s="23"/>
      <c r="K612" s="23"/>
      <c r="L612" s="26" t="str">
        <f aca="false">IF(OR($E612="",$F612=""),"",MOD($F612-$E612,1)*24)</f>
        <v/>
      </c>
      <c r="M612" s="27" t="str">
        <f aca="false">IF($B612="","",IFERROR(INDEX(Properties!$D$5:$D$104,MATCH($B612,Properties!$A$5:$A$104,0)),"?"))</f>
        <v/>
      </c>
      <c r="N612" s="28" t="str">
        <f aca="false">IF($B612="","",IFERROR(IF($D612="Completed",INDEX(Properties!$I$5:$I$104,MATCH($B612,Properties!$A$5:$A$104,0))*(1+IF($G612="Y",Settings!$B$8,0))+IF($H612="Y",Settings!$B$7,0)+N($I612),IF($D612="Deep clean",INDEX(Settings!$E$22:$E$26,MATCH(MIN(INDEX(Properties!$E$5:$E$104,MATCH($B612,Properties!$A$5:$A$104,0)),4),Settings!$A$22:$A$26,0))+N($I612),IF($D612="Late cancel",INDEX(Properties!$I$5:$I$104,MATCH($B612,Properties!$A$5:$A$104,0))*Settings!$B$10,0))),0))</f>
        <v/>
      </c>
      <c r="O612" s="28" t="str">
        <f aca="false">IF($B612="","",IFERROR(IF($D612="Completed",INDEX(Properties!$L$5:$L$104,MATCH($B612,Properties!$A$5:$A$104,0))+IF($G612="Y",INDEX(Properties!$I$5:$I$104,MATCH($B612,Properties!$A$5:$A$104,0))*Settings!$B$8*Settings!$B$9,0)+IF($H612="Y",Settings!$B$7*Settings!$B$9,0)+N($I612)*Settings!$B$9,IF($D612="Deep clean",INDEX(Settings!$E$22:$E$26,MATCH(MIN(INDEX(Properties!$E$5:$E$104,MATCH($B612,Properties!$A$5:$A$104,0)),4),Settings!$A$22:$A$26,0))*Settings!$B$19+N($I612)*Settings!$B$9,IF($D612="Late cancel",INDEX(Properties!$L$5:$L$104,MATCH($B612,Properties!$A$5:$A$104,0))*Settings!$B$11,0))),0))</f>
        <v/>
      </c>
      <c r="P612" s="28" t="str">
        <f aca="false">IF($B612="","",$N612-$O612)</f>
        <v/>
      </c>
      <c r="Q612" s="29" t="str">
        <f aca="false">IF($A612="","",DATE(YEAR($A612),MONTH($A612),1))</f>
        <v/>
      </c>
      <c r="R612" s="30" t="str">
        <f aca="false">IF($A612="","",$A612+MOD(6-WEEKDAY($A612),7))</f>
        <v/>
      </c>
      <c r="S612" s="31" t="str">
        <f aca="false">IF($B612="","",IF(AND($M612='Invoice Builder'!$C$5,$Q612='Invoice Builder'!$C$6,N($N612)&gt;0),COUNTIFS($M$5:$M612,'Invoice Builder'!$C$5,$Q$5:$Q612,'Invoice Builder'!$C$6,$N$5:$N612,"&gt;0"),""))</f>
        <v/>
      </c>
      <c r="T612" s="27" t="str">
        <f aca="false">IF($A612="","",IF($A612&gt;=DATE(YEAR($A612),4,6),YEAR($A612)&amp;"/"&amp;RIGHT(YEAR($A612)+1,2),YEAR($A612)-1&amp;"/"&amp;RIGHT(YEAR($A612),2)))</f>
        <v/>
      </c>
    </row>
    <row r="613" customFormat="false" ht="15" hidden="false" customHeight="false" outlineLevel="0" collapsed="false">
      <c r="A613" s="22"/>
      <c r="B613" s="23"/>
      <c r="C613" s="23"/>
      <c r="D613" s="23"/>
      <c r="E613" s="24"/>
      <c r="F613" s="24"/>
      <c r="G613" s="23"/>
      <c r="H613" s="23"/>
      <c r="I613" s="25"/>
      <c r="J613" s="23"/>
      <c r="K613" s="23"/>
      <c r="L613" s="26" t="str">
        <f aca="false">IF(OR($E613="",$F613=""),"",MOD($F613-$E613,1)*24)</f>
        <v/>
      </c>
      <c r="M613" s="27" t="str">
        <f aca="false">IF($B613="","",IFERROR(INDEX(Properties!$D$5:$D$104,MATCH($B613,Properties!$A$5:$A$104,0)),"?"))</f>
        <v/>
      </c>
      <c r="N613" s="28" t="str">
        <f aca="false">IF($B613="","",IFERROR(IF($D613="Completed",INDEX(Properties!$I$5:$I$104,MATCH($B613,Properties!$A$5:$A$104,0))*(1+IF($G613="Y",Settings!$B$8,0))+IF($H613="Y",Settings!$B$7,0)+N($I613),IF($D613="Deep clean",INDEX(Settings!$E$22:$E$26,MATCH(MIN(INDEX(Properties!$E$5:$E$104,MATCH($B613,Properties!$A$5:$A$104,0)),4),Settings!$A$22:$A$26,0))+N($I613),IF($D613="Late cancel",INDEX(Properties!$I$5:$I$104,MATCH($B613,Properties!$A$5:$A$104,0))*Settings!$B$10,0))),0))</f>
        <v/>
      </c>
      <c r="O613" s="28" t="str">
        <f aca="false">IF($B613="","",IFERROR(IF($D613="Completed",INDEX(Properties!$L$5:$L$104,MATCH($B613,Properties!$A$5:$A$104,0))+IF($G613="Y",INDEX(Properties!$I$5:$I$104,MATCH($B613,Properties!$A$5:$A$104,0))*Settings!$B$8*Settings!$B$9,0)+IF($H613="Y",Settings!$B$7*Settings!$B$9,0)+N($I613)*Settings!$B$9,IF($D613="Deep clean",INDEX(Settings!$E$22:$E$26,MATCH(MIN(INDEX(Properties!$E$5:$E$104,MATCH($B613,Properties!$A$5:$A$104,0)),4),Settings!$A$22:$A$26,0))*Settings!$B$19+N($I613)*Settings!$B$9,IF($D613="Late cancel",INDEX(Properties!$L$5:$L$104,MATCH($B613,Properties!$A$5:$A$104,0))*Settings!$B$11,0))),0))</f>
        <v/>
      </c>
      <c r="P613" s="28" t="str">
        <f aca="false">IF($B613="","",$N613-$O613)</f>
        <v/>
      </c>
      <c r="Q613" s="29" t="str">
        <f aca="false">IF($A613="","",DATE(YEAR($A613),MONTH($A613),1))</f>
        <v/>
      </c>
      <c r="R613" s="30" t="str">
        <f aca="false">IF($A613="","",$A613+MOD(6-WEEKDAY($A613),7))</f>
        <v/>
      </c>
      <c r="S613" s="31" t="str">
        <f aca="false">IF($B613="","",IF(AND($M613='Invoice Builder'!$C$5,$Q613='Invoice Builder'!$C$6,N($N613)&gt;0),COUNTIFS($M$5:$M613,'Invoice Builder'!$C$5,$Q$5:$Q613,'Invoice Builder'!$C$6,$N$5:$N613,"&gt;0"),""))</f>
        <v/>
      </c>
      <c r="T613" s="27" t="str">
        <f aca="false">IF($A613="","",IF($A613&gt;=DATE(YEAR($A613),4,6),YEAR($A613)&amp;"/"&amp;RIGHT(YEAR($A613)+1,2),YEAR($A613)-1&amp;"/"&amp;RIGHT(YEAR($A613),2)))</f>
        <v/>
      </c>
    </row>
    <row r="614" customFormat="false" ht="15" hidden="false" customHeight="false" outlineLevel="0" collapsed="false">
      <c r="A614" s="22"/>
      <c r="B614" s="23"/>
      <c r="C614" s="23"/>
      <c r="D614" s="23"/>
      <c r="E614" s="24"/>
      <c r="F614" s="24"/>
      <c r="G614" s="23"/>
      <c r="H614" s="23"/>
      <c r="I614" s="25"/>
      <c r="J614" s="23"/>
      <c r="K614" s="23"/>
      <c r="L614" s="26" t="str">
        <f aca="false">IF(OR($E614="",$F614=""),"",MOD($F614-$E614,1)*24)</f>
        <v/>
      </c>
      <c r="M614" s="27" t="str">
        <f aca="false">IF($B614="","",IFERROR(INDEX(Properties!$D$5:$D$104,MATCH($B614,Properties!$A$5:$A$104,0)),"?"))</f>
        <v/>
      </c>
      <c r="N614" s="28" t="str">
        <f aca="false">IF($B614="","",IFERROR(IF($D614="Completed",INDEX(Properties!$I$5:$I$104,MATCH($B614,Properties!$A$5:$A$104,0))*(1+IF($G614="Y",Settings!$B$8,0))+IF($H614="Y",Settings!$B$7,0)+N($I614),IF($D614="Deep clean",INDEX(Settings!$E$22:$E$26,MATCH(MIN(INDEX(Properties!$E$5:$E$104,MATCH($B614,Properties!$A$5:$A$104,0)),4),Settings!$A$22:$A$26,0))+N($I614),IF($D614="Late cancel",INDEX(Properties!$I$5:$I$104,MATCH($B614,Properties!$A$5:$A$104,0))*Settings!$B$10,0))),0))</f>
        <v/>
      </c>
      <c r="O614" s="28" t="str">
        <f aca="false">IF($B614="","",IFERROR(IF($D614="Completed",INDEX(Properties!$L$5:$L$104,MATCH($B614,Properties!$A$5:$A$104,0))+IF($G614="Y",INDEX(Properties!$I$5:$I$104,MATCH($B614,Properties!$A$5:$A$104,0))*Settings!$B$8*Settings!$B$9,0)+IF($H614="Y",Settings!$B$7*Settings!$B$9,0)+N($I614)*Settings!$B$9,IF($D614="Deep clean",INDEX(Settings!$E$22:$E$26,MATCH(MIN(INDEX(Properties!$E$5:$E$104,MATCH($B614,Properties!$A$5:$A$104,0)),4),Settings!$A$22:$A$26,0))*Settings!$B$19+N($I614)*Settings!$B$9,IF($D614="Late cancel",INDEX(Properties!$L$5:$L$104,MATCH($B614,Properties!$A$5:$A$104,0))*Settings!$B$11,0))),0))</f>
        <v/>
      </c>
      <c r="P614" s="28" t="str">
        <f aca="false">IF($B614="","",$N614-$O614)</f>
        <v/>
      </c>
      <c r="Q614" s="29" t="str">
        <f aca="false">IF($A614="","",DATE(YEAR($A614),MONTH($A614),1))</f>
        <v/>
      </c>
      <c r="R614" s="30" t="str">
        <f aca="false">IF($A614="","",$A614+MOD(6-WEEKDAY($A614),7))</f>
        <v/>
      </c>
      <c r="S614" s="31" t="str">
        <f aca="false">IF($B614="","",IF(AND($M614='Invoice Builder'!$C$5,$Q614='Invoice Builder'!$C$6,N($N614)&gt;0),COUNTIFS($M$5:$M614,'Invoice Builder'!$C$5,$Q$5:$Q614,'Invoice Builder'!$C$6,$N$5:$N614,"&gt;0"),""))</f>
        <v/>
      </c>
      <c r="T614" s="27" t="str">
        <f aca="false">IF($A614="","",IF($A614&gt;=DATE(YEAR($A614),4,6),YEAR($A614)&amp;"/"&amp;RIGHT(YEAR($A614)+1,2),YEAR($A614)-1&amp;"/"&amp;RIGHT(YEAR($A614),2)))</f>
        <v/>
      </c>
    </row>
    <row r="615" customFormat="false" ht="15" hidden="false" customHeight="false" outlineLevel="0" collapsed="false">
      <c r="A615" s="22"/>
      <c r="B615" s="23"/>
      <c r="C615" s="23"/>
      <c r="D615" s="23"/>
      <c r="E615" s="24"/>
      <c r="F615" s="24"/>
      <c r="G615" s="23"/>
      <c r="H615" s="23"/>
      <c r="I615" s="25"/>
      <c r="J615" s="23"/>
      <c r="K615" s="23"/>
      <c r="L615" s="26" t="str">
        <f aca="false">IF(OR($E615="",$F615=""),"",MOD($F615-$E615,1)*24)</f>
        <v/>
      </c>
      <c r="M615" s="27" t="str">
        <f aca="false">IF($B615="","",IFERROR(INDEX(Properties!$D$5:$D$104,MATCH($B615,Properties!$A$5:$A$104,0)),"?"))</f>
        <v/>
      </c>
      <c r="N615" s="28" t="str">
        <f aca="false">IF($B615="","",IFERROR(IF($D615="Completed",INDEX(Properties!$I$5:$I$104,MATCH($B615,Properties!$A$5:$A$104,0))*(1+IF($G615="Y",Settings!$B$8,0))+IF($H615="Y",Settings!$B$7,0)+N($I615),IF($D615="Deep clean",INDEX(Settings!$E$22:$E$26,MATCH(MIN(INDEX(Properties!$E$5:$E$104,MATCH($B615,Properties!$A$5:$A$104,0)),4),Settings!$A$22:$A$26,0))+N($I615),IF($D615="Late cancel",INDEX(Properties!$I$5:$I$104,MATCH($B615,Properties!$A$5:$A$104,0))*Settings!$B$10,0))),0))</f>
        <v/>
      </c>
      <c r="O615" s="28" t="str">
        <f aca="false">IF($B615="","",IFERROR(IF($D615="Completed",INDEX(Properties!$L$5:$L$104,MATCH($B615,Properties!$A$5:$A$104,0))+IF($G615="Y",INDEX(Properties!$I$5:$I$104,MATCH($B615,Properties!$A$5:$A$104,0))*Settings!$B$8*Settings!$B$9,0)+IF($H615="Y",Settings!$B$7*Settings!$B$9,0)+N($I615)*Settings!$B$9,IF($D615="Deep clean",INDEX(Settings!$E$22:$E$26,MATCH(MIN(INDEX(Properties!$E$5:$E$104,MATCH($B615,Properties!$A$5:$A$104,0)),4),Settings!$A$22:$A$26,0))*Settings!$B$19+N($I615)*Settings!$B$9,IF($D615="Late cancel",INDEX(Properties!$L$5:$L$104,MATCH($B615,Properties!$A$5:$A$104,0))*Settings!$B$11,0))),0))</f>
        <v/>
      </c>
      <c r="P615" s="28" t="str">
        <f aca="false">IF($B615="","",$N615-$O615)</f>
        <v/>
      </c>
      <c r="Q615" s="29" t="str">
        <f aca="false">IF($A615="","",DATE(YEAR($A615),MONTH($A615),1))</f>
        <v/>
      </c>
      <c r="R615" s="30" t="str">
        <f aca="false">IF($A615="","",$A615+MOD(6-WEEKDAY($A615),7))</f>
        <v/>
      </c>
      <c r="S615" s="31" t="str">
        <f aca="false">IF($B615="","",IF(AND($M615='Invoice Builder'!$C$5,$Q615='Invoice Builder'!$C$6,N($N615)&gt;0),COUNTIFS($M$5:$M615,'Invoice Builder'!$C$5,$Q$5:$Q615,'Invoice Builder'!$C$6,$N$5:$N615,"&gt;0"),""))</f>
        <v/>
      </c>
      <c r="T615" s="27" t="str">
        <f aca="false">IF($A615="","",IF($A615&gt;=DATE(YEAR($A615),4,6),YEAR($A615)&amp;"/"&amp;RIGHT(YEAR($A615)+1,2),YEAR($A615)-1&amp;"/"&amp;RIGHT(YEAR($A615),2)))</f>
        <v/>
      </c>
    </row>
    <row r="616" customFormat="false" ht="15" hidden="false" customHeight="false" outlineLevel="0" collapsed="false">
      <c r="A616" s="22"/>
      <c r="B616" s="23"/>
      <c r="C616" s="23"/>
      <c r="D616" s="23"/>
      <c r="E616" s="24"/>
      <c r="F616" s="24"/>
      <c r="G616" s="23"/>
      <c r="H616" s="23"/>
      <c r="I616" s="25"/>
      <c r="J616" s="23"/>
      <c r="K616" s="23"/>
      <c r="L616" s="26" t="str">
        <f aca="false">IF(OR($E616="",$F616=""),"",MOD($F616-$E616,1)*24)</f>
        <v/>
      </c>
      <c r="M616" s="27" t="str">
        <f aca="false">IF($B616="","",IFERROR(INDEX(Properties!$D$5:$D$104,MATCH($B616,Properties!$A$5:$A$104,0)),"?"))</f>
        <v/>
      </c>
      <c r="N616" s="28" t="str">
        <f aca="false">IF($B616="","",IFERROR(IF($D616="Completed",INDEX(Properties!$I$5:$I$104,MATCH($B616,Properties!$A$5:$A$104,0))*(1+IF($G616="Y",Settings!$B$8,0))+IF($H616="Y",Settings!$B$7,0)+N($I616),IF($D616="Deep clean",INDEX(Settings!$E$22:$E$26,MATCH(MIN(INDEX(Properties!$E$5:$E$104,MATCH($B616,Properties!$A$5:$A$104,0)),4),Settings!$A$22:$A$26,0))+N($I616),IF($D616="Late cancel",INDEX(Properties!$I$5:$I$104,MATCH($B616,Properties!$A$5:$A$104,0))*Settings!$B$10,0))),0))</f>
        <v/>
      </c>
      <c r="O616" s="28" t="str">
        <f aca="false">IF($B616="","",IFERROR(IF($D616="Completed",INDEX(Properties!$L$5:$L$104,MATCH($B616,Properties!$A$5:$A$104,0))+IF($G616="Y",INDEX(Properties!$I$5:$I$104,MATCH($B616,Properties!$A$5:$A$104,0))*Settings!$B$8*Settings!$B$9,0)+IF($H616="Y",Settings!$B$7*Settings!$B$9,0)+N($I616)*Settings!$B$9,IF($D616="Deep clean",INDEX(Settings!$E$22:$E$26,MATCH(MIN(INDEX(Properties!$E$5:$E$104,MATCH($B616,Properties!$A$5:$A$104,0)),4),Settings!$A$22:$A$26,0))*Settings!$B$19+N($I616)*Settings!$B$9,IF($D616="Late cancel",INDEX(Properties!$L$5:$L$104,MATCH($B616,Properties!$A$5:$A$104,0))*Settings!$B$11,0))),0))</f>
        <v/>
      </c>
      <c r="P616" s="28" t="str">
        <f aca="false">IF($B616="","",$N616-$O616)</f>
        <v/>
      </c>
      <c r="Q616" s="29" t="str">
        <f aca="false">IF($A616="","",DATE(YEAR($A616),MONTH($A616),1))</f>
        <v/>
      </c>
      <c r="R616" s="30" t="str">
        <f aca="false">IF($A616="","",$A616+MOD(6-WEEKDAY($A616),7))</f>
        <v/>
      </c>
      <c r="S616" s="31" t="str">
        <f aca="false">IF($B616="","",IF(AND($M616='Invoice Builder'!$C$5,$Q616='Invoice Builder'!$C$6,N($N616)&gt;0),COUNTIFS($M$5:$M616,'Invoice Builder'!$C$5,$Q$5:$Q616,'Invoice Builder'!$C$6,$N$5:$N616,"&gt;0"),""))</f>
        <v/>
      </c>
      <c r="T616" s="27" t="str">
        <f aca="false">IF($A616="","",IF($A616&gt;=DATE(YEAR($A616),4,6),YEAR($A616)&amp;"/"&amp;RIGHT(YEAR($A616)+1,2),YEAR($A616)-1&amp;"/"&amp;RIGHT(YEAR($A616),2)))</f>
        <v/>
      </c>
    </row>
    <row r="617" customFormat="false" ht="15" hidden="false" customHeight="false" outlineLevel="0" collapsed="false">
      <c r="A617" s="22"/>
      <c r="B617" s="23"/>
      <c r="C617" s="23"/>
      <c r="D617" s="23"/>
      <c r="E617" s="24"/>
      <c r="F617" s="24"/>
      <c r="G617" s="23"/>
      <c r="H617" s="23"/>
      <c r="I617" s="25"/>
      <c r="J617" s="23"/>
      <c r="K617" s="23"/>
      <c r="L617" s="26" t="str">
        <f aca="false">IF(OR($E617="",$F617=""),"",MOD($F617-$E617,1)*24)</f>
        <v/>
      </c>
      <c r="M617" s="27" t="str">
        <f aca="false">IF($B617="","",IFERROR(INDEX(Properties!$D$5:$D$104,MATCH($B617,Properties!$A$5:$A$104,0)),"?"))</f>
        <v/>
      </c>
      <c r="N617" s="28" t="str">
        <f aca="false">IF($B617="","",IFERROR(IF($D617="Completed",INDEX(Properties!$I$5:$I$104,MATCH($B617,Properties!$A$5:$A$104,0))*(1+IF($G617="Y",Settings!$B$8,0))+IF($H617="Y",Settings!$B$7,0)+N($I617),IF($D617="Deep clean",INDEX(Settings!$E$22:$E$26,MATCH(MIN(INDEX(Properties!$E$5:$E$104,MATCH($B617,Properties!$A$5:$A$104,0)),4),Settings!$A$22:$A$26,0))+N($I617),IF($D617="Late cancel",INDEX(Properties!$I$5:$I$104,MATCH($B617,Properties!$A$5:$A$104,0))*Settings!$B$10,0))),0))</f>
        <v/>
      </c>
      <c r="O617" s="28" t="str">
        <f aca="false">IF($B617="","",IFERROR(IF($D617="Completed",INDEX(Properties!$L$5:$L$104,MATCH($B617,Properties!$A$5:$A$104,0))+IF($G617="Y",INDEX(Properties!$I$5:$I$104,MATCH($B617,Properties!$A$5:$A$104,0))*Settings!$B$8*Settings!$B$9,0)+IF($H617="Y",Settings!$B$7*Settings!$B$9,0)+N($I617)*Settings!$B$9,IF($D617="Deep clean",INDEX(Settings!$E$22:$E$26,MATCH(MIN(INDEX(Properties!$E$5:$E$104,MATCH($B617,Properties!$A$5:$A$104,0)),4),Settings!$A$22:$A$26,0))*Settings!$B$19+N($I617)*Settings!$B$9,IF($D617="Late cancel",INDEX(Properties!$L$5:$L$104,MATCH($B617,Properties!$A$5:$A$104,0))*Settings!$B$11,0))),0))</f>
        <v/>
      </c>
      <c r="P617" s="28" t="str">
        <f aca="false">IF($B617="","",$N617-$O617)</f>
        <v/>
      </c>
      <c r="Q617" s="29" t="str">
        <f aca="false">IF($A617="","",DATE(YEAR($A617),MONTH($A617),1))</f>
        <v/>
      </c>
      <c r="R617" s="30" t="str">
        <f aca="false">IF($A617="","",$A617+MOD(6-WEEKDAY($A617),7))</f>
        <v/>
      </c>
      <c r="S617" s="31" t="str">
        <f aca="false">IF($B617="","",IF(AND($M617='Invoice Builder'!$C$5,$Q617='Invoice Builder'!$C$6,N($N617)&gt;0),COUNTIFS($M$5:$M617,'Invoice Builder'!$C$5,$Q$5:$Q617,'Invoice Builder'!$C$6,$N$5:$N617,"&gt;0"),""))</f>
        <v/>
      </c>
      <c r="T617" s="27" t="str">
        <f aca="false">IF($A617="","",IF($A617&gt;=DATE(YEAR($A617),4,6),YEAR($A617)&amp;"/"&amp;RIGHT(YEAR($A617)+1,2),YEAR($A617)-1&amp;"/"&amp;RIGHT(YEAR($A617),2)))</f>
        <v/>
      </c>
    </row>
    <row r="618" customFormat="false" ht="15" hidden="false" customHeight="false" outlineLevel="0" collapsed="false">
      <c r="A618" s="22"/>
      <c r="B618" s="23"/>
      <c r="C618" s="23"/>
      <c r="D618" s="23"/>
      <c r="E618" s="24"/>
      <c r="F618" s="24"/>
      <c r="G618" s="23"/>
      <c r="H618" s="23"/>
      <c r="I618" s="25"/>
      <c r="J618" s="23"/>
      <c r="K618" s="23"/>
      <c r="L618" s="26" t="str">
        <f aca="false">IF(OR($E618="",$F618=""),"",MOD($F618-$E618,1)*24)</f>
        <v/>
      </c>
      <c r="M618" s="27" t="str">
        <f aca="false">IF($B618="","",IFERROR(INDEX(Properties!$D$5:$D$104,MATCH($B618,Properties!$A$5:$A$104,0)),"?"))</f>
        <v/>
      </c>
      <c r="N618" s="28" t="str">
        <f aca="false">IF($B618="","",IFERROR(IF($D618="Completed",INDEX(Properties!$I$5:$I$104,MATCH($B618,Properties!$A$5:$A$104,0))*(1+IF($G618="Y",Settings!$B$8,0))+IF($H618="Y",Settings!$B$7,0)+N($I618),IF($D618="Deep clean",INDEX(Settings!$E$22:$E$26,MATCH(MIN(INDEX(Properties!$E$5:$E$104,MATCH($B618,Properties!$A$5:$A$104,0)),4),Settings!$A$22:$A$26,0))+N($I618),IF($D618="Late cancel",INDEX(Properties!$I$5:$I$104,MATCH($B618,Properties!$A$5:$A$104,0))*Settings!$B$10,0))),0))</f>
        <v/>
      </c>
      <c r="O618" s="28" t="str">
        <f aca="false">IF($B618="","",IFERROR(IF($D618="Completed",INDEX(Properties!$L$5:$L$104,MATCH($B618,Properties!$A$5:$A$104,0))+IF($G618="Y",INDEX(Properties!$I$5:$I$104,MATCH($B618,Properties!$A$5:$A$104,0))*Settings!$B$8*Settings!$B$9,0)+IF($H618="Y",Settings!$B$7*Settings!$B$9,0)+N($I618)*Settings!$B$9,IF($D618="Deep clean",INDEX(Settings!$E$22:$E$26,MATCH(MIN(INDEX(Properties!$E$5:$E$104,MATCH($B618,Properties!$A$5:$A$104,0)),4),Settings!$A$22:$A$26,0))*Settings!$B$19+N($I618)*Settings!$B$9,IF($D618="Late cancel",INDEX(Properties!$L$5:$L$104,MATCH($B618,Properties!$A$5:$A$104,0))*Settings!$B$11,0))),0))</f>
        <v/>
      </c>
      <c r="P618" s="28" t="str">
        <f aca="false">IF($B618="","",$N618-$O618)</f>
        <v/>
      </c>
      <c r="Q618" s="29" t="str">
        <f aca="false">IF($A618="","",DATE(YEAR($A618),MONTH($A618),1))</f>
        <v/>
      </c>
      <c r="R618" s="30" t="str">
        <f aca="false">IF($A618="","",$A618+MOD(6-WEEKDAY($A618),7))</f>
        <v/>
      </c>
      <c r="S618" s="31" t="str">
        <f aca="false">IF($B618="","",IF(AND($M618='Invoice Builder'!$C$5,$Q618='Invoice Builder'!$C$6,N($N618)&gt;0),COUNTIFS($M$5:$M618,'Invoice Builder'!$C$5,$Q$5:$Q618,'Invoice Builder'!$C$6,$N$5:$N618,"&gt;0"),""))</f>
        <v/>
      </c>
      <c r="T618" s="27" t="str">
        <f aca="false">IF($A618="","",IF($A618&gt;=DATE(YEAR($A618),4,6),YEAR($A618)&amp;"/"&amp;RIGHT(YEAR($A618)+1,2),YEAR($A618)-1&amp;"/"&amp;RIGHT(YEAR($A618),2)))</f>
        <v/>
      </c>
    </row>
    <row r="619" customFormat="false" ht="15" hidden="false" customHeight="false" outlineLevel="0" collapsed="false">
      <c r="A619" s="22"/>
      <c r="B619" s="23"/>
      <c r="C619" s="23"/>
      <c r="D619" s="23"/>
      <c r="E619" s="24"/>
      <c r="F619" s="24"/>
      <c r="G619" s="23"/>
      <c r="H619" s="23"/>
      <c r="I619" s="25"/>
      <c r="J619" s="23"/>
      <c r="K619" s="23"/>
      <c r="L619" s="26" t="str">
        <f aca="false">IF(OR($E619="",$F619=""),"",MOD($F619-$E619,1)*24)</f>
        <v/>
      </c>
      <c r="M619" s="27" t="str">
        <f aca="false">IF($B619="","",IFERROR(INDEX(Properties!$D$5:$D$104,MATCH($B619,Properties!$A$5:$A$104,0)),"?"))</f>
        <v/>
      </c>
      <c r="N619" s="28" t="str">
        <f aca="false">IF($B619="","",IFERROR(IF($D619="Completed",INDEX(Properties!$I$5:$I$104,MATCH($B619,Properties!$A$5:$A$104,0))*(1+IF($G619="Y",Settings!$B$8,0))+IF($H619="Y",Settings!$B$7,0)+N($I619),IF($D619="Deep clean",INDEX(Settings!$E$22:$E$26,MATCH(MIN(INDEX(Properties!$E$5:$E$104,MATCH($B619,Properties!$A$5:$A$104,0)),4),Settings!$A$22:$A$26,0))+N($I619),IF($D619="Late cancel",INDEX(Properties!$I$5:$I$104,MATCH($B619,Properties!$A$5:$A$104,0))*Settings!$B$10,0))),0))</f>
        <v/>
      </c>
      <c r="O619" s="28" t="str">
        <f aca="false">IF($B619="","",IFERROR(IF($D619="Completed",INDEX(Properties!$L$5:$L$104,MATCH($B619,Properties!$A$5:$A$104,0))+IF($G619="Y",INDEX(Properties!$I$5:$I$104,MATCH($B619,Properties!$A$5:$A$104,0))*Settings!$B$8*Settings!$B$9,0)+IF($H619="Y",Settings!$B$7*Settings!$B$9,0)+N($I619)*Settings!$B$9,IF($D619="Deep clean",INDEX(Settings!$E$22:$E$26,MATCH(MIN(INDEX(Properties!$E$5:$E$104,MATCH($B619,Properties!$A$5:$A$104,0)),4),Settings!$A$22:$A$26,0))*Settings!$B$19+N($I619)*Settings!$B$9,IF($D619="Late cancel",INDEX(Properties!$L$5:$L$104,MATCH($B619,Properties!$A$5:$A$104,0))*Settings!$B$11,0))),0))</f>
        <v/>
      </c>
      <c r="P619" s="28" t="str">
        <f aca="false">IF($B619="","",$N619-$O619)</f>
        <v/>
      </c>
      <c r="Q619" s="29" t="str">
        <f aca="false">IF($A619="","",DATE(YEAR($A619),MONTH($A619),1))</f>
        <v/>
      </c>
      <c r="R619" s="30" t="str">
        <f aca="false">IF($A619="","",$A619+MOD(6-WEEKDAY($A619),7))</f>
        <v/>
      </c>
      <c r="S619" s="31" t="str">
        <f aca="false">IF($B619="","",IF(AND($M619='Invoice Builder'!$C$5,$Q619='Invoice Builder'!$C$6,N($N619)&gt;0),COUNTIFS($M$5:$M619,'Invoice Builder'!$C$5,$Q$5:$Q619,'Invoice Builder'!$C$6,$N$5:$N619,"&gt;0"),""))</f>
        <v/>
      </c>
      <c r="T619" s="27" t="str">
        <f aca="false">IF($A619="","",IF($A619&gt;=DATE(YEAR($A619),4,6),YEAR($A619)&amp;"/"&amp;RIGHT(YEAR($A619)+1,2),YEAR($A619)-1&amp;"/"&amp;RIGHT(YEAR($A619),2)))</f>
        <v/>
      </c>
    </row>
    <row r="620" customFormat="false" ht="15" hidden="false" customHeight="false" outlineLevel="0" collapsed="false">
      <c r="A620" s="22"/>
      <c r="B620" s="23"/>
      <c r="C620" s="23"/>
      <c r="D620" s="23"/>
      <c r="E620" s="24"/>
      <c r="F620" s="24"/>
      <c r="G620" s="23"/>
      <c r="H620" s="23"/>
      <c r="I620" s="25"/>
      <c r="J620" s="23"/>
      <c r="K620" s="23"/>
      <c r="L620" s="26" t="str">
        <f aca="false">IF(OR($E620="",$F620=""),"",MOD($F620-$E620,1)*24)</f>
        <v/>
      </c>
      <c r="M620" s="27" t="str">
        <f aca="false">IF($B620="","",IFERROR(INDEX(Properties!$D$5:$D$104,MATCH($B620,Properties!$A$5:$A$104,0)),"?"))</f>
        <v/>
      </c>
      <c r="N620" s="28" t="str">
        <f aca="false">IF($B620="","",IFERROR(IF($D620="Completed",INDEX(Properties!$I$5:$I$104,MATCH($B620,Properties!$A$5:$A$104,0))*(1+IF($G620="Y",Settings!$B$8,0))+IF($H620="Y",Settings!$B$7,0)+N($I620),IF($D620="Deep clean",INDEX(Settings!$E$22:$E$26,MATCH(MIN(INDEX(Properties!$E$5:$E$104,MATCH($B620,Properties!$A$5:$A$104,0)),4),Settings!$A$22:$A$26,0))+N($I620),IF($D620="Late cancel",INDEX(Properties!$I$5:$I$104,MATCH($B620,Properties!$A$5:$A$104,0))*Settings!$B$10,0))),0))</f>
        <v/>
      </c>
      <c r="O620" s="28" t="str">
        <f aca="false">IF($B620="","",IFERROR(IF($D620="Completed",INDEX(Properties!$L$5:$L$104,MATCH($B620,Properties!$A$5:$A$104,0))+IF($G620="Y",INDEX(Properties!$I$5:$I$104,MATCH($B620,Properties!$A$5:$A$104,0))*Settings!$B$8*Settings!$B$9,0)+IF($H620="Y",Settings!$B$7*Settings!$B$9,0)+N($I620)*Settings!$B$9,IF($D620="Deep clean",INDEX(Settings!$E$22:$E$26,MATCH(MIN(INDEX(Properties!$E$5:$E$104,MATCH($B620,Properties!$A$5:$A$104,0)),4),Settings!$A$22:$A$26,0))*Settings!$B$19+N($I620)*Settings!$B$9,IF($D620="Late cancel",INDEX(Properties!$L$5:$L$104,MATCH($B620,Properties!$A$5:$A$104,0))*Settings!$B$11,0))),0))</f>
        <v/>
      </c>
      <c r="P620" s="28" t="str">
        <f aca="false">IF($B620="","",$N620-$O620)</f>
        <v/>
      </c>
      <c r="Q620" s="29" t="str">
        <f aca="false">IF($A620="","",DATE(YEAR($A620),MONTH($A620),1))</f>
        <v/>
      </c>
      <c r="R620" s="30" t="str">
        <f aca="false">IF($A620="","",$A620+MOD(6-WEEKDAY($A620),7))</f>
        <v/>
      </c>
      <c r="S620" s="31" t="str">
        <f aca="false">IF($B620="","",IF(AND($M620='Invoice Builder'!$C$5,$Q620='Invoice Builder'!$C$6,N($N620)&gt;0),COUNTIFS($M$5:$M620,'Invoice Builder'!$C$5,$Q$5:$Q620,'Invoice Builder'!$C$6,$N$5:$N620,"&gt;0"),""))</f>
        <v/>
      </c>
      <c r="T620" s="27" t="str">
        <f aca="false">IF($A620="","",IF($A620&gt;=DATE(YEAR($A620),4,6),YEAR($A620)&amp;"/"&amp;RIGHT(YEAR($A620)+1,2),YEAR($A620)-1&amp;"/"&amp;RIGHT(YEAR($A620),2)))</f>
        <v/>
      </c>
    </row>
    <row r="621" customFormat="false" ht="15" hidden="false" customHeight="false" outlineLevel="0" collapsed="false">
      <c r="A621" s="22"/>
      <c r="B621" s="23"/>
      <c r="C621" s="23"/>
      <c r="D621" s="23"/>
      <c r="E621" s="24"/>
      <c r="F621" s="24"/>
      <c r="G621" s="23"/>
      <c r="H621" s="23"/>
      <c r="I621" s="25"/>
      <c r="J621" s="23"/>
      <c r="K621" s="23"/>
      <c r="L621" s="26" t="str">
        <f aca="false">IF(OR($E621="",$F621=""),"",MOD($F621-$E621,1)*24)</f>
        <v/>
      </c>
      <c r="M621" s="27" t="str">
        <f aca="false">IF($B621="","",IFERROR(INDEX(Properties!$D$5:$D$104,MATCH($B621,Properties!$A$5:$A$104,0)),"?"))</f>
        <v/>
      </c>
      <c r="N621" s="28" t="str">
        <f aca="false">IF($B621="","",IFERROR(IF($D621="Completed",INDEX(Properties!$I$5:$I$104,MATCH($B621,Properties!$A$5:$A$104,0))*(1+IF($G621="Y",Settings!$B$8,0))+IF($H621="Y",Settings!$B$7,0)+N($I621),IF($D621="Deep clean",INDEX(Settings!$E$22:$E$26,MATCH(MIN(INDEX(Properties!$E$5:$E$104,MATCH($B621,Properties!$A$5:$A$104,0)),4),Settings!$A$22:$A$26,0))+N($I621),IF($D621="Late cancel",INDEX(Properties!$I$5:$I$104,MATCH($B621,Properties!$A$5:$A$104,0))*Settings!$B$10,0))),0))</f>
        <v/>
      </c>
      <c r="O621" s="28" t="str">
        <f aca="false">IF($B621="","",IFERROR(IF($D621="Completed",INDEX(Properties!$L$5:$L$104,MATCH($B621,Properties!$A$5:$A$104,0))+IF($G621="Y",INDEX(Properties!$I$5:$I$104,MATCH($B621,Properties!$A$5:$A$104,0))*Settings!$B$8*Settings!$B$9,0)+IF($H621="Y",Settings!$B$7*Settings!$B$9,0)+N($I621)*Settings!$B$9,IF($D621="Deep clean",INDEX(Settings!$E$22:$E$26,MATCH(MIN(INDEX(Properties!$E$5:$E$104,MATCH($B621,Properties!$A$5:$A$104,0)),4),Settings!$A$22:$A$26,0))*Settings!$B$19+N($I621)*Settings!$B$9,IF($D621="Late cancel",INDEX(Properties!$L$5:$L$104,MATCH($B621,Properties!$A$5:$A$104,0))*Settings!$B$11,0))),0))</f>
        <v/>
      </c>
      <c r="P621" s="28" t="str">
        <f aca="false">IF($B621="","",$N621-$O621)</f>
        <v/>
      </c>
      <c r="Q621" s="29" t="str">
        <f aca="false">IF($A621="","",DATE(YEAR($A621),MONTH($A621),1))</f>
        <v/>
      </c>
      <c r="R621" s="30" t="str">
        <f aca="false">IF($A621="","",$A621+MOD(6-WEEKDAY($A621),7))</f>
        <v/>
      </c>
      <c r="S621" s="31" t="str">
        <f aca="false">IF($B621="","",IF(AND($M621='Invoice Builder'!$C$5,$Q621='Invoice Builder'!$C$6,N($N621)&gt;0),COUNTIFS($M$5:$M621,'Invoice Builder'!$C$5,$Q$5:$Q621,'Invoice Builder'!$C$6,$N$5:$N621,"&gt;0"),""))</f>
        <v/>
      </c>
      <c r="T621" s="27" t="str">
        <f aca="false">IF($A621="","",IF($A621&gt;=DATE(YEAR($A621),4,6),YEAR($A621)&amp;"/"&amp;RIGHT(YEAR($A621)+1,2),YEAR($A621)-1&amp;"/"&amp;RIGHT(YEAR($A621),2)))</f>
        <v/>
      </c>
    </row>
    <row r="622" customFormat="false" ht="15" hidden="false" customHeight="false" outlineLevel="0" collapsed="false">
      <c r="A622" s="22"/>
      <c r="B622" s="23"/>
      <c r="C622" s="23"/>
      <c r="D622" s="23"/>
      <c r="E622" s="24"/>
      <c r="F622" s="24"/>
      <c r="G622" s="23"/>
      <c r="H622" s="23"/>
      <c r="I622" s="25"/>
      <c r="J622" s="23"/>
      <c r="K622" s="23"/>
      <c r="L622" s="26" t="str">
        <f aca="false">IF(OR($E622="",$F622=""),"",MOD($F622-$E622,1)*24)</f>
        <v/>
      </c>
      <c r="M622" s="27" t="str">
        <f aca="false">IF($B622="","",IFERROR(INDEX(Properties!$D$5:$D$104,MATCH($B622,Properties!$A$5:$A$104,0)),"?"))</f>
        <v/>
      </c>
      <c r="N622" s="28" t="str">
        <f aca="false">IF($B622="","",IFERROR(IF($D622="Completed",INDEX(Properties!$I$5:$I$104,MATCH($B622,Properties!$A$5:$A$104,0))*(1+IF($G622="Y",Settings!$B$8,0))+IF($H622="Y",Settings!$B$7,0)+N($I622),IF($D622="Deep clean",INDEX(Settings!$E$22:$E$26,MATCH(MIN(INDEX(Properties!$E$5:$E$104,MATCH($B622,Properties!$A$5:$A$104,0)),4),Settings!$A$22:$A$26,0))+N($I622),IF($D622="Late cancel",INDEX(Properties!$I$5:$I$104,MATCH($B622,Properties!$A$5:$A$104,0))*Settings!$B$10,0))),0))</f>
        <v/>
      </c>
      <c r="O622" s="28" t="str">
        <f aca="false">IF($B622="","",IFERROR(IF($D622="Completed",INDEX(Properties!$L$5:$L$104,MATCH($B622,Properties!$A$5:$A$104,0))+IF($G622="Y",INDEX(Properties!$I$5:$I$104,MATCH($B622,Properties!$A$5:$A$104,0))*Settings!$B$8*Settings!$B$9,0)+IF($H622="Y",Settings!$B$7*Settings!$B$9,0)+N($I622)*Settings!$B$9,IF($D622="Deep clean",INDEX(Settings!$E$22:$E$26,MATCH(MIN(INDEX(Properties!$E$5:$E$104,MATCH($B622,Properties!$A$5:$A$104,0)),4),Settings!$A$22:$A$26,0))*Settings!$B$19+N($I622)*Settings!$B$9,IF($D622="Late cancel",INDEX(Properties!$L$5:$L$104,MATCH($B622,Properties!$A$5:$A$104,0))*Settings!$B$11,0))),0))</f>
        <v/>
      </c>
      <c r="P622" s="28" t="str">
        <f aca="false">IF($B622="","",$N622-$O622)</f>
        <v/>
      </c>
      <c r="Q622" s="29" t="str">
        <f aca="false">IF($A622="","",DATE(YEAR($A622),MONTH($A622),1))</f>
        <v/>
      </c>
      <c r="R622" s="30" t="str">
        <f aca="false">IF($A622="","",$A622+MOD(6-WEEKDAY($A622),7))</f>
        <v/>
      </c>
      <c r="S622" s="31" t="str">
        <f aca="false">IF($B622="","",IF(AND($M622='Invoice Builder'!$C$5,$Q622='Invoice Builder'!$C$6,N($N622)&gt;0),COUNTIFS($M$5:$M622,'Invoice Builder'!$C$5,$Q$5:$Q622,'Invoice Builder'!$C$6,$N$5:$N622,"&gt;0"),""))</f>
        <v/>
      </c>
      <c r="T622" s="27" t="str">
        <f aca="false">IF($A622="","",IF($A622&gt;=DATE(YEAR($A622),4,6),YEAR($A622)&amp;"/"&amp;RIGHT(YEAR($A622)+1,2),YEAR($A622)-1&amp;"/"&amp;RIGHT(YEAR($A622),2)))</f>
        <v/>
      </c>
    </row>
    <row r="623" customFormat="false" ht="15" hidden="false" customHeight="false" outlineLevel="0" collapsed="false">
      <c r="A623" s="22"/>
      <c r="B623" s="23"/>
      <c r="C623" s="23"/>
      <c r="D623" s="23"/>
      <c r="E623" s="24"/>
      <c r="F623" s="24"/>
      <c r="G623" s="23"/>
      <c r="H623" s="23"/>
      <c r="I623" s="25"/>
      <c r="J623" s="23"/>
      <c r="K623" s="23"/>
      <c r="L623" s="26" t="str">
        <f aca="false">IF(OR($E623="",$F623=""),"",MOD($F623-$E623,1)*24)</f>
        <v/>
      </c>
      <c r="M623" s="27" t="str">
        <f aca="false">IF($B623="","",IFERROR(INDEX(Properties!$D$5:$D$104,MATCH($B623,Properties!$A$5:$A$104,0)),"?"))</f>
        <v/>
      </c>
      <c r="N623" s="28" t="str">
        <f aca="false">IF($B623="","",IFERROR(IF($D623="Completed",INDEX(Properties!$I$5:$I$104,MATCH($B623,Properties!$A$5:$A$104,0))*(1+IF($G623="Y",Settings!$B$8,0))+IF($H623="Y",Settings!$B$7,0)+N($I623),IF($D623="Deep clean",INDEX(Settings!$E$22:$E$26,MATCH(MIN(INDEX(Properties!$E$5:$E$104,MATCH($B623,Properties!$A$5:$A$104,0)),4),Settings!$A$22:$A$26,0))+N($I623),IF($D623="Late cancel",INDEX(Properties!$I$5:$I$104,MATCH($B623,Properties!$A$5:$A$104,0))*Settings!$B$10,0))),0))</f>
        <v/>
      </c>
      <c r="O623" s="28" t="str">
        <f aca="false">IF($B623="","",IFERROR(IF($D623="Completed",INDEX(Properties!$L$5:$L$104,MATCH($B623,Properties!$A$5:$A$104,0))+IF($G623="Y",INDEX(Properties!$I$5:$I$104,MATCH($B623,Properties!$A$5:$A$104,0))*Settings!$B$8*Settings!$B$9,0)+IF($H623="Y",Settings!$B$7*Settings!$B$9,0)+N($I623)*Settings!$B$9,IF($D623="Deep clean",INDEX(Settings!$E$22:$E$26,MATCH(MIN(INDEX(Properties!$E$5:$E$104,MATCH($B623,Properties!$A$5:$A$104,0)),4),Settings!$A$22:$A$26,0))*Settings!$B$19+N($I623)*Settings!$B$9,IF($D623="Late cancel",INDEX(Properties!$L$5:$L$104,MATCH($B623,Properties!$A$5:$A$104,0))*Settings!$B$11,0))),0))</f>
        <v/>
      </c>
      <c r="P623" s="28" t="str">
        <f aca="false">IF($B623="","",$N623-$O623)</f>
        <v/>
      </c>
      <c r="Q623" s="29" t="str">
        <f aca="false">IF($A623="","",DATE(YEAR($A623),MONTH($A623),1))</f>
        <v/>
      </c>
      <c r="R623" s="30" t="str">
        <f aca="false">IF($A623="","",$A623+MOD(6-WEEKDAY($A623),7))</f>
        <v/>
      </c>
      <c r="S623" s="31" t="str">
        <f aca="false">IF($B623="","",IF(AND($M623='Invoice Builder'!$C$5,$Q623='Invoice Builder'!$C$6,N($N623)&gt;0),COUNTIFS($M$5:$M623,'Invoice Builder'!$C$5,$Q$5:$Q623,'Invoice Builder'!$C$6,$N$5:$N623,"&gt;0"),""))</f>
        <v/>
      </c>
      <c r="T623" s="27" t="str">
        <f aca="false">IF($A623="","",IF($A623&gt;=DATE(YEAR($A623),4,6),YEAR($A623)&amp;"/"&amp;RIGHT(YEAR($A623)+1,2),YEAR($A623)-1&amp;"/"&amp;RIGHT(YEAR($A623),2)))</f>
        <v/>
      </c>
    </row>
    <row r="624" customFormat="false" ht="15" hidden="false" customHeight="false" outlineLevel="0" collapsed="false">
      <c r="A624" s="22"/>
      <c r="B624" s="23"/>
      <c r="C624" s="23"/>
      <c r="D624" s="23"/>
      <c r="E624" s="24"/>
      <c r="F624" s="24"/>
      <c r="G624" s="23"/>
      <c r="H624" s="23"/>
      <c r="I624" s="25"/>
      <c r="J624" s="23"/>
      <c r="K624" s="23"/>
      <c r="L624" s="26" t="str">
        <f aca="false">IF(OR($E624="",$F624=""),"",MOD($F624-$E624,1)*24)</f>
        <v/>
      </c>
      <c r="M624" s="27" t="str">
        <f aca="false">IF($B624="","",IFERROR(INDEX(Properties!$D$5:$D$104,MATCH($B624,Properties!$A$5:$A$104,0)),"?"))</f>
        <v/>
      </c>
      <c r="N624" s="28" t="str">
        <f aca="false">IF($B624="","",IFERROR(IF($D624="Completed",INDEX(Properties!$I$5:$I$104,MATCH($B624,Properties!$A$5:$A$104,0))*(1+IF($G624="Y",Settings!$B$8,0))+IF($H624="Y",Settings!$B$7,0)+N($I624),IF($D624="Deep clean",INDEX(Settings!$E$22:$E$26,MATCH(MIN(INDEX(Properties!$E$5:$E$104,MATCH($B624,Properties!$A$5:$A$104,0)),4),Settings!$A$22:$A$26,0))+N($I624),IF($D624="Late cancel",INDEX(Properties!$I$5:$I$104,MATCH($B624,Properties!$A$5:$A$104,0))*Settings!$B$10,0))),0))</f>
        <v/>
      </c>
      <c r="O624" s="28" t="str">
        <f aca="false">IF($B624="","",IFERROR(IF($D624="Completed",INDEX(Properties!$L$5:$L$104,MATCH($B624,Properties!$A$5:$A$104,0))+IF($G624="Y",INDEX(Properties!$I$5:$I$104,MATCH($B624,Properties!$A$5:$A$104,0))*Settings!$B$8*Settings!$B$9,0)+IF($H624="Y",Settings!$B$7*Settings!$B$9,0)+N($I624)*Settings!$B$9,IF($D624="Deep clean",INDEX(Settings!$E$22:$E$26,MATCH(MIN(INDEX(Properties!$E$5:$E$104,MATCH($B624,Properties!$A$5:$A$104,0)),4),Settings!$A$22:$A$26,0))*Settings!$B$19+N($I624)*Settings!$B$9,IF($D624="Late cancel",INDEX(Properties!$L$5:$L$104,MATCH($B624,Properties!$A$5:$A$104,0))*Settings!$B$11,0))),0))</f>
        <v/>
      </c>
      <c r="P624" s="28" t="str">
        <f aca="false">IF($B624="","",$N624-$O624)</f>
        <v/>
      </c>
      <c r="Q624" s="29" t="str">
        <f aca="false">IF($A624="","",DATE(YEAR($A624),MONTH($A624),1))</f>
        <v/>
      </c>
      <c r="R624" s="30" t="str">
        <f aca="false">IF($A624="","",$A624+MOD(6-WEEKDAY($A624),7))</f>
        <v/>
      </c>
      <c r="S624" s="31" t="str">
        <f aca="false">IF($B624="","",IF(AND($M624='Invoice Builder'!$C$5,$Q624='Invoice Builder'!$C$6,N($N624)&gt;0),COUNTIFS($M$5:$M624,'Invoice Builder'!$C$5,$Q$5:$Q624,'Invoice Builder'!$C$6,$N$5:$N624,"&gt;0"),""))</f>
        <v/>
      </c>
      <c r="T624" s="27" t="str">
        <f aca="false">IF($A624="","",IF($A624&gt;=DATE(YEAR($A624),4,6),YEAR($A624)&amp;"/"&amp;RIGHT(YEAR($A624)+1,2),YEAR($A624)-1&amp;"/"&amp;RIGHT(YEAR($A624),2)))</f>
        <v/>
      </c>
    </row>
    <row r="625" customFormat="false" ht="15" hidden="false" customHeight="false" outlineLevel="0" collapsed="false">
      <c r="A625" s="22"/>
      <c r="B625" s="23"/>
      <c r="C625" s="23"/>
      <c r="D625" s="23"/>
      <c r="E625" s="24"/>
      <c r="F625" s="24"/>
      <c r="G625" s="23"/>
      <c r="H625" s="23"/>
      <c r="I625" s="25"/>
      <c r="J625" s="23"/>
      <c r="K625" s="23"/>
      <c r="L625" s="26" t="str">
        <f aca="false">IF(OR($E625="",$F625=""),"",MOD($F625-$E625,1)*24)</f>
        <v/>
      </c>
      <c r="M625" s="27" t="str">
        <f aca="false">IF($B625="","",IFERROR(INDEX(Properties!$D$5:$D$104,MATCH($B625,Properties!$A$5:$A$104,0)),"?"))</f>
        <v/>
      </c>
      <c r="N625" s="28" t="str">
        <f aca="false">IF($B625="","",IFERROR(IF($D625="Completed",INDEX(Properties!$I$5:$I$104,MATCH($B625,Properties!$A$5:$A$104,0))*(1+IF($G625="Y",Settings!$B$8,0))+IF($H625="Y",Settings!$B$7,0)+N($I625),IF($D625="Deep clean",INDEX(Settings!$E$22:$E$26,MATCH(MIN(INDEX(Properties!$E$5:$E$104,MATCH($B625,Properties!$A$5:$A$104,0)),4),Settings!$A$22:$A$26,0))+N($I625),IF($D625="Late cancel",INDEX(Properties!$I$5:$I$104,MATCH($B625,Properties!$A$5:$A$104,0))*Settings!$B$10,0))),0))</f>
        <v/>
      </c>
      <c r="O625" s="28" t="str">
        <f aca="false">IF($B625="","",IFERROR(IF($D625="Completed",INDEX(Properties!$L$5:$L$104,MATCH($B625,Properties!$A$5:$A$104,0))+IF($G625="Y",INDEX(Properties!$I$5:$I$104,MATCH($B625,Properties!$A$5:$A$104,0))*Settings!$B$8*Settings!$B$9,0)+IF($H625="Y",Settings!$B$7*Settings!$B$9,0)+N($I625)*Settings!$B$9,IF($D625="Deep clean",INDEX(Settings!$E$22:$E$26,MATCH(MIN(INDEX(Properties!$E$5:$E$104,MATCH($B625,Properties!$A$5:$A$104,0)),4),Settings!$A$22:$A$26,0))*Settings!$B$19+N($I625)*Settings!$B$9,IF($D625="Late cancel",INDEX(Properties!$L$5:$L$104,MATCH($B625,Properties!$A$5:$A$104,0))*Settings!$B$11,0))),0))</f>
        <v/>
      </c>
      <c r="P625" s="28" t="str">
        <f aca="false">IF($B625="","",$N625-$O625)</f>
        <v/>
      </c>
      <c r="Q625" s="29" t="str">
        <f aca="false">IF($A625="","",DATE(YEAR($A625),MONTH($A625),1))</f>
        <v/>
      </c>
      <c r="R625" s="30" t="str">
        <f aca="false">IF($A625="","",$A625+MOD(6-WEEKDAY($A625),7))</f>
        <v/>
      </c>
      <c r="S625" s="31" t="str">
        <f aca="false">IF($B625="","",IF(AND($M625='Invoice Builder'!$C$5,$Q625='Invoice Builder'!$C$6,N($N625)&gt;0),COUNTIFS($M$5:$M625,'Invoice Builder'!$C$5,$Q$5:$Q625,'Invoice Builder'!$C$6,$N$5:$N625,"&gt;0"),""))</f>
        <v/>
      </c>
      <c r="T625" s="27" t="str">
        <f aca="false">IF($A625="","",IF($A625&gt;=DATE(YEAR($A625),4,6),YEAR($A625)&amp;"/"&amp;RIGHT(YEAR($A625)+1,2),YEAR($A625)-1&amp;"/"&amp;RIGHT(YEAR($A625),2)))</f>
        <v/>
      </c>
    </row>
    <row r="626" customFormat="false" ht="15" hidden="false" customHeight="false" outlineLevel="0" collapsed="false">
      <c r="A626" s="22"/>
      <c r="B626" s="23"/>
      <c r="C626" s="23"/>
      <c r="D626" s="23"/>
      <c r="E626" s="24"/>
      <c r="F626" s="24"/>
      <c r="G626" s="23"/>
      <c r="H626" s="23"/>
      <c r="I626" s="25"/>
      <c r="J626" s="23"/>
      <c r="K626" s="23"/>
      <c r="L626" s="26" t="str">
        <f aca="false">IF(OR($E626="",$F626=""),"",MOD($F626-$E626,1)*24)</f>
        <v/>
      </c>
      <c r="M626" s="27" t="str">
        <f aca="false">IF($B626="","",IFERROR(INDEX(Properties!$D$5:$D$104,MATCH($B626,Properties!$A$5:$A$104,0)),"?"))</f>
        <v/>
      </c>
      <c r="N626" s="28" t="str">
        <f aca="false">IF($B626="","",IFERROR(IF($D626="Completed",INDEX(Properties!$I$5:$I$104,MATCH($B626,Properties!$A$5:$A$104,0))*(1+IF($G626="Y",Settings!$B$8,0))+IF($H626="Y",Settings!$B$7,0)+N($I626),IF($D626="Deep clean",INDEX(Settings!$E$22:$E$26,MATCH(MIN(INDEX(Properties!$E$5:$E$104,MATCH($B626,Properties!$A$5:$A$104,0)),4),Settings!$A$22:$A$26,0))+N($I626),IF($D626="Late cancel",INDEX(Properties!$I$5:$I$104,MATCH($B626,Properties!$A$5:$A$104,0))*Settings!$B$10,0))),0))</f>
        <v/>
      </c>
      <c r="O626" s="28" t="str">
        <f aca="false">IF($B626="","",IFERROR(IF($D626="Completed",INDEX(Properties!$L$5:$L$104,MATCH($B626,Properties!$A$5:$A$104,0))+IF($G626="Y",INDEX(Properties!$I$5:$I$104,MATCH($B626,Properties!$A$5:$A$104,0))*Settings!$B$8*Settings!$B$9,0)+IF($H626="Y",Settings!$B$7*Settings!$B$9,0)+N($I626)*Settings!$B$9,IF($D626="Deep clean",INDEX(Settings!$E$22:$E$26,MATCH(MIN(INDEX(Properties!$E$5:$E$104,MATCH($B626,Properties!$A$5:$A$104,0)),4),Settings!$A$22:$A$26,0))*Settings!$B$19+N($I626)*Settings!$B$9,IF($D626="Late cancel",INDEX(Properties!$L$5:$L$104,MATCH($B626,Properties!$A$5:$A$104,0))*Settings!$B$11,0))),0))</f>
        <v/>
      </c>
      <c r="P626" s="28" t="str">
        <f aca="false">IF($B626="","",$N626-$O626)</f>
        <v/>
      </c>
      <c r="Q626" s="29" t="str">
        <f aca="false">IF($A626="","",DATE(YEAR($A626),MONTH($A626),1))</f>
        <v/>
      </c>
      <c r="R626" s="30" t="str">
        <f aca="false">IF($A626="","",$A626+MOD(6-WEEKDAY($A626),7))</f>
        <v/>
      </c>
      <c r="S626" s="31" t="str">
        <f aca="false">IF($B626="","",IF(AND($M626='Invoice Builder'!$C$5,$Q626='Invoice Builder'!$C$6,N($N626)&gt;0),COUNTIFS($M$5:$M626,'Invoice Builder'!$C$5,$Q$5:$Q626,'Invoice Builder'!$C$6,$N$5:$N626,"&gt;0"),""))</f>
        <v/>
      </c>
      <c r="T626" s="27" t="str">
        <f aca="false">IF($A626="","",IF($A626&gt;=DATE(YEAR($A626),4,6),YEAR($A626)&amp;"/"&amp;RIGHT(YEAR($A626)+1,2),YEAR($A626)-1&amp;"/"&amp;RIGHT(YEAR($A626),2)))</f>
        <v/>
      </c>
    </row>
    <row r="627" customFormat="false" ht="15" hidden="false" customHeight="false" outlineLevel="0" collapsed="false">
      <c r="A627" s="22"/>
      <c r="B627" s="23"/>
      <c r="C627" s="23"/>
      <c r="D627" s="23"/>
      <c r="E627" s="24"/>
      <c r="F627" s="24"/>
      <c r="G627" s="23"/>
      <c r="H627" s="23"/>
      <c r="I627" s="25"/>
      <c r="J627" s="23"/>
      <c r="K627" s="23"/>
      <c r="L627" s="26" t="str">
        <f aca="false">IF(OR($E627="",$F627=""),"",MOD($F627-$E627,1)*24)</f>
        <v/>
      </c>
      <c r="M627" s="27" t="str">
        <f aca="false">IF($B627="","",IFERROR(INDEX(Properties!$D$5:$D$104,MATCH($B627,Properties!$A$5:$A$104,0)),"?"))</f>
        <v/>
      </c>
      <c r="N627" s="28" t="str">
        <f aca="false">IF($B627="","",IFERROR(IF($D627="Completed",INDEX(Properties!$I$5:$I$104,MATCH($B627,Properties!$A$5:$A$104,0))*(1+IF($G627="Y",Settings!$B$8,0))+IF($H627="Y",Settings!$B$7,0)+N($I627),IF($D627="Deep clean",INDEX(Settings!$E$22:$E$26,MATCH(MIN(INDEX(Properties!$E$5:$E$104,MATCH($B627,Properties!$A$5:$A$104,0)),4),Settings!$A$22:$A$26,0))+N($I627),IF($D627="Late cancel",INDEX(Properties!$I$5:$I$104,MATCH($B627,Properties!$A$5:$A$104,0))*Settings!$B$10,0))),0))</f>
        <v/>
      </c>
      <c r="O627" s="28" t="str">
        <f aca="false">IF($B627="","",IFERROR(IF($D627="Completed",INDEX(Properties!$L$5:$L$104,MATCH($B627,Properties!$A$5:$A$104,0))+IF($G627="Y",INDEX(Properties!$I$5:$I$104,MATCH($B627,Properties!$A$5:$A$104,0))*Settings!$B$8*Settings!$B$9,0)+IF($H627="Y",Settings!$B$7*Settings!$B$9,0)+N($I627)*Settings!$B$9,IF($D627="Deep clean",INDEX(Settings!$E$22:$E$26,MATCH(MIN(INDEX(Properties!$E$5:$E$104,MATCH($B627,Properties!$A$5:$A$104,0)),4),Settings!$A$22:$A$26,0))*Settings!$B$19+N($I627)*Settings!$B$9,IF($D627="Late cancel",INDEX(Properties!$L$5:$L$104,MATCH($B627,Properties!$A$5:$A$104,0))*Settings!$B$11,0))),0))</f>
        <v/>
      </c>
      <c r="P627" s="28" t="str">
        <f aca="false">IF($B627="","",$N627-$O627)</f>
        <v/>
      </c>
      <c r="Q627" s="29" t="str">
        <f aca="false">IF($A627="","",DATE(YEAR($A627),MONTH($A627),1))</f>
        <v/>
      </c>
      <c r="R627" s="30" t="str">
        <f aca="false">IF($A627="","",$A627+MOD(6-WEEKDAY($A627),7))</f>
        <v/>
      </c>
      <c r="S627" s="31" t="str">
        <f aca="false">IF($B627="","",IF(AND($M627='Invoice Builder'!$C$5,$Q627='Invoice Builder'!$C$6,N($N627)&gt;0),COUNTIFS($M$5:$M627,'Invoice Builder'!$C$5,$Q$5:$Q627,'Invoice Builder'!$C$6,$N$5:$N627,"&gt;0"),""))</f>
        <v/>
      </c>
      <c r="T627" s="27" t="str">
        <f aca="false">IF($A627="","",IF($A627&gt;=DATE(YEAR($A627),4,6),YEAR($A627)&amp;"/"&amp;RIGHT(YEAR($A627)+1,2),YEAR($A627)-1&amp;"/"&amp;RIGHT(YEAR($A627),2)))</f>
        <v/>
      </c>
    </row>
    <row r="628" customFormat="false" ht="15" hidden="false" customHeight="false" outlineLevel="0" collapsed="false">
      <c r="A628" s="22"/>
      <c r="B628" s="23"/>
      <c r="C628" s="23"/>
      <c r="D628" s="23"/>
      <c r="E628" s="24"/>
      <c r="F628" s="24"/>
      <c r="G628" s="23"/>
      <c r="H628" s="23"/>
      <c r="I628" s="25"/>
      <c r="J628" s="23"/>
      <c r="K628" s="23"/>
      <c r="L628" s="26" t="str">
        <f aca="false">IF(OR($E628="",$F628=""),"",MOD($F628-$E628,1)*24)</f>
        <v/>
      </c>
      <c r="M628" s="27" t="str">
        <f aca="false">IF($B628="","",IFERROR(INDEX(Properties!$D$5:$D$104,MATCH($B628,Properties!$A$5:$A$104,0)),"?"))</f>
        <v/>
      </c>
      <c r="N628" s="28" t="str">
        <f aca="false">IF($B628="","",IFERROR(IF($D628="Completed",INDEX(Properties!$I$5:$I$104,MATCH($B628,Properties!$A$5:$A$104,0))*(1+IF($G628="Y",Settings!$B$8,0))+IF($H628="Y",Settings!$B$7,0)+N($I628),IF($D628="Deep clean",INDEX(Settings!$E$22:$E$26,MATCH(MIN(INDEX(Properties!$E$5:$E$104,MATCH($B628,Properties!$A$5:$A$104,0)),4),Settings!$A$22:$A$26,0))+N($I628),IF($D628="Late cancel",INDEX(Properties!$I$5:$I$104,MATCH($B628,Properties!$A$5:$A$104,0))*Settings!$B$10,0))),0))</f>
        <v/>
      </c>
      <c r="O628" s="28" t="str">
        <f aca="false">IF($B628="","",IFERROR(IF($D628="Completed",INDEX(Properties!$L$5:$L$104,MATCH($B628,Properties!$A$5:$A$104,0))+IF($G628="Y",INDEX(Properties!$I$5:$I$104,MATCH($B628,Properties!$A$5:$A$104,0))*Settings!$B$8*Settings!$B$9,0)+IF($H628="Y",Settings!$B$7*Settings!$B$9,0)+N($I628)*Settings!$B$9,IF($D628="Deep clean",INDEX(Settings!$E$22:$E$26,MATCH(MIN(INDEX(Properties!$E$5:$E$104,MATCH($B628,Properties!$A$5:$A$104,0)),4),Settings!$A$22:$A$26,0))*Settings!$B$19+N($I628)*Settings!$B$9,IF($D628="Late cancel",INDEX(Properties!$L$5:$L$104,MATCH($B628,Properties!$A$5:$A$104,0))*Settings!$B$11,0))),0))</f>
        <v/>
      </c>
      <c r="P628" s="28" t="str">
        <f aca="false">IF($B628="","",$N628-$O628)</f>
        <v/>
      </c>
      <c r="Q628" s="29" t="str">
        <f aca="false">IF($A628="","",DATE(YEAR($A628),MONTH($A628),1))</f>
        <v/>
      </c>
      <c r="R628" s="30" t="str">
        <f aca="false">IF($A628="","",$A628+MOD(6-WEEKDAY($A628),7))</f>
        <v/>
      </c>
      <c r="S628" s="31" t="str">
        <f aca="false">IF($B628="","",IF(AND($M628='Invoice Builder'!$C$5,$Q628='Invoice Builder'!$C$6,N($N628)&gt;0),COUNTIFS($M$5:$M628,'Invoice Builder'!$C$5,$Q$5:$Q628,'Invoice Builder'!$C$6,$N$5:$N628,"&gt;0"),""))</f>
        <v/>
      </c>
      <c r="T628" s="27" t="str">
        <f aca="false">IF($A628="","",IF($A628&gt;=DATE(YEAR($A628),4,6),YEAR($A628)&amp;"/"&amp;RIGHT(YEAR($A628)+1,2),YEAR($A628)-1&amp;"/"&amp;RIGHT(YEAR($A628),2)))</f>
        <v/>
      </c>
    </row>
    <row r="629" customFormat="false" ht="15" hidden="false" customHeight="false" outlineLevel="0" collapsed="false">
      <c r="A629" s="22"/>
      <c r="B629" s="23"/>
      <c r="C629" s="23"/>
      <c r="D629" s="23"/>
      <c r="E629" s="24"/>
      <c r="F629" s="24"/>
      <c r="G629" s="23"/>
      <c r="H629" s="23"/>
      <c r="I629" s="25"/>
      <c r="J629" s="23"/>
      <c r="K629" s="23"/>
      <c r="L629" s="26" t="str">
        <f aca="false">IF(OR($E629="",$F629=""),"",MOD($F629-$E629,1)*24)</f>
        <v/>
      </c>
      <c r="M629" s="27" t="str">
        <f aca="false">IF($B629="","",IFERROR(INDEX(Properties!$D$5:$D$104,MATCH($B629,Properties!$A$5:$A$104,0)),"?"))</f>
        <v/>
      </c>
      <c r="N629" s="28" t="str">
        <f aca="false">IF($B629="","",IFERROR(IF($D629="Completed",INDEX(Properties!$I$5:$I$104,MATCH($B629,Properties!$A$5:$A$104,0))*(1+IF($G629="Y",Settings!$B$8,0))+IF($H629="Y",Settings!$B$7,0)+N($I629),IF($D629="Deep clean",INDEX(Settings!$E$22:$E$26,MATCH(MIN(INDEX(Properties!$E$5:$E$104,MATCH($B629,Properties!$A$5:$A$104,0)),4),Settings!$A$22:$A$26,0))+N($I629),IF($D629="Late cancel",INDEX(Properties!$I$5:$I$104,MATCH($B629,Properties!$A$5:$A$104,0))*Settings!$B$10,0))),0))</f>
        <v/>
      </c>
      <c r="O629" s="28" t="str">
        <f aca="false">IF($B629="","",IFERROR(IF($D629="Completed",INDEX(Properties!$L$5:$L$104,MATCH($B629,Properties!$A$5:$A$104,0))+IF($G629="Y",INDEX(Properties!$I$5:$I$104,MATCH($B629,Properties!$A$5:$A$104,0))*Settings!$B$8*Settings!$B$9,0)+IF($H629="Y",Settings!$B$7*Settings!$B$9,0)+N($I629)*Settings!$B$9,IF($D629="Deep clean",INDEX(Settings!$E$22:$E$26,MATCH(MIN(INDEX(Properties!$E$5:$E$104,MATCH($B629,Properties!$A$5:$A$104,0)),4),Settings!$A$22:$A$26,0))*Settings!$B$19+N($I629)*Settings!$B$9,IF($D629="Late cancel",INDEX(Properties!$L$5:$L$104,MATCH($B629,Properties!$A$5:$A$104,0))*Settings!$B$11,0))),0))</f>
        <v/>
      </c>
      <c r="P629" s="28" t="str">
        <f aca="false">IF($B629="","",$N629-$O629)</f>
        <v/>
      </c>
      <c r="Q629" s="29" t="str">
        <f aca="false">IF($A629="","",DATE(YEAR($A629),MONTH($A629),1))</f>
        <v/>
      </c>
      <c r="R629" s="30" t="str">
        <f aca="false">IF($A629="","",$A629+MOD(6-WEEKDAY($A629),7))</f>
        <v/>
      </c>
      <c r="S629" s="31" t="str">
        <f aca="false">IF($B629="","",IF(AND($M629='Invoice Builder'!$C$5,$Q629='Invoice Builder'!$C$6,N($N629)&gt;0),COUNTIFS($M$5:$M629,'Invoice Builder'!$C$5,$Q$5:$Q629,'Invoice Builder'!$C$6,$N$5:$N629,"&gt;0"),""))</f>
        <v/>
      </c>
      <c r="T629" s="27" t="str">
        <f aca="false">IF($A629="","",IF($A629&gt;=DATE(YEAR($A629),4,6),YEAR($A629)&amp;"/"&amp;RIGHT(YEAR($A629)+1,2),YEAR($A629)-1&amp;"/"&amp;RIGHT(YEAR($A629),2)))</f>
        <v/>
      </c>
    </row>
    <row r="630" customFormat="false" ht="15" hidden="false" customHeight="false" outlineLevel="0" collapsed="false">
      <c r="A630" s="22"/>
      <c r="B630" s="23"/>
      <c r="C630" s="23"/>
      <c r="D630" s="23"/>
      <c r="E630" s="24"/>
      <c r="F630" s="24"/>
      <c r="G630" s="23"/>
      <c r="H630" s="23"/>
      <c r="I630" s="25"/>
      <c r="J630" s="23"/>
      <c r="K630" s="23"/>
      <c r="L630" s="26" t="str">
        <f aca="false">IF(OR($E630="",$F630=""),"",MOD($F630-$E630,1)*24)</f>
        <v/>
      </c>
      <c r="M630" s="27" t="str">
        <f aca="false">IF($B630="","",IFERROR(INDEX(Properties!$D$5:$D$104,MATCH($B630,Properties!$A$5:$A$104,0)),"?"))</f>
        <v/>
      </c>
      <c r="N630" s="28" t="str">
        <f aca="false">IF($B630="","",IFERROR(IF($D630="Completed",INDEX(Properties!$I$5:$I$104,MATCH($B630,Properties!$A$5:$A$104,0))*(1+IF($G630="Y",Settings!$B$8,0))+IF($H630="Y",Settings!$B$7,0)+N($I630),IF($D630="Deep clean",INDEX(Settings!$E$22:$E$26,MATCH(MIN(INDEX(Properties!$E$5:$E$104,MATCH($B630,Properties!$A$5:$A$104,0)),4),Settings!$A$22:$A$26,0))+N($I630),IF($D630="Late cancel",INDEX(Properties!$I$5:$I$104,MATCH($B630,Properties!$A$5:$A$104,0))*Settings!$B$10,0))),0))</f>
        <v/>
      </c>
      <c r="O630" s="28" t="str">
        <f aca="false">IF($B630="","",IFERROR(IF($D630="Completed",INDEX(Properties!$L$5:$L$104,MATCH($B630,Properties!$A$5:$A$104,0))+IF($G630="Y",INDEX(Properties!$I$5:$I$104,MATCH($B630,Properties!$A$5:$A$104,0))*Settings!$B$8*Settings!$B$9,0)+IF($H630="Y",Settings!$B$7*Settings!$B$9,0)+N($I630)*Settings!$B$9,IF($D630="Deep clean",INDEX(Settings!$E$22:$E$26,MATCH(MIN(INDEX(Properties!$E$5:$E$104,MATCH($B630,Properties!$A$5:$A$104,0)),4),Settings!$A$22:$A$26,0))*Settings!$B$19+N($I630)*Settings!$B$9,IF($D630="Late cancel",INDEX(Properties!$L$5:$L$104,MATCH($B630,Properties!$A$5:$A$104,0))*Settings!$B$11,0))),0))</f>
        <v/>
      </c>
      <c r="P630" s="28" t="str">
        <f aca="false">IF($B630="","",$N630-$O630)</f>
        <v/>
      </c>
      <c r="Q630" s="29" t="str">
        <f aca="false">IF($A630="","",DATE(YEAR($A630),MONTH($A630),1))</f>
        <v/>
      </c>
      <c r="R630" s="30" t="str">
        <f aca="false">IF($A630="","",$A630+MOD(6-WEEKDAY($A630),7))</f>
        <v/>
      </c>
      <c r="S630" s="31" t="str">
        <f aca="false">IF($B630="","",IF(AND($M630='Invoice Builder'!$C$5,$Q630='Invoice Builder'!$C$6,N($N630)&gt;0),COUNTIFS($M$5:$M630,'Invoice Builder'!$C$5,$Q$5:$Q630,'Invoice Builder'!$C$6,$N$5:$N630,"&gt;0"),""))</f>
        <v/>
      </c>
      <c r="T630" s="27" t="str">
        <f aca="false">IF($A630="","",IF($A630&gt;=DATE(YEAR($A630),4,6),YEAR($A630)&amp;"/"&amp;RIGHT(YEAR($A630)+1,2),YEAR($A630)-1&amp;"/"&amp;RIGHT(YEAR($A630),2)))</f>
        <v/>
      </c>
    </row>
    <row r="631" customFormat="false" ht="15" hidden="false" customHeight="false" outlineLevel="0" collapsed="false">
      <c r="A631" s="22"/>
      <c r="B631" s="23"/>
      <c r="C631" s="23"/>
      <c r="D631" s="23"/>
      <c r="E631" s="24"/>
      <c r="F631" s="24"/>
      <c r="G631" s="23"/>
      <c r="H631" s="23"/>
      <c r="I631" s="25"/>
      <c r="J631" s="23"/>
      <c r="K631" s="23"/>
      <c r="L631" s="26" t="str">
        <f aca="false">IF(OR($E631="",$F631=""),"",MOD($F631-$E631,1)*24)</f>
        <v/>
      </c>
      <c r="M631" s="27" t="str">
        <f aca="false">IF($B631="","",IFERROR(INDEX(Properties!$D$5:$D$104,MATCH($B631,Properties!$A$5:$A$104,0)),"?"))</f>
        <v/>
      </c>
      <c r="N631" s="28" t="str">
        <f aca="false">IF($B631="","",IFERROR(IF($D631="Completed",INDEX(Properties!$I$5:$I$104,MATCH($B631,Properties!$A$5:$A$104,0))*(1+IF($G631="Y",Settings!$B$8,0))+IF($H631="Y",Settings!$B$7,0)+N($I631),IF($D631="Deep clean",INDEX(Settings!$E$22:$E$26,MATCH(MIN(INDEX(Properties!$E$5:$E$104,MATCH($B631,Properties!$A$5:$A$104,0)),4),Settings!$A$22:$A$26,0))+N($I631),IF($D631="Late cancel",INDEX(Properties!$I$5:$I$104,MATCH($B631,Properties!$A$5:$A$104,0))*Settings!$B$10,0))),0))</f>
        <v/>
      </c>
      <c r="O631" s="28" t="str">
        <f aca="false">IF($B631="","",IFERROR(IF($D631="Completed",INDEX(Properties!$L$5:$L$104,MATCH($B631,Properties!$A$5:$A$104,0))+IF($G631="Y",INDEX(Properties!$I$5:$I$104,MATCH($B631,Properties!$A$5:$A$104,0))*Settings!$B$8*Settings!$B$9,0)+IF($H631="Y",Settings!$B$7*Settings!$B$9,0)+N($I631)*Settings!$B$9,IF($D631="Deep clean",INDEX(Settings!$E$22:$E$26,MATCH(MIN(INDEX(Properties!$E$5:$E$104,MATCH($B631,Properties!$A$5:$A$104,0)),4),Settings!$A$22:$A$26,0))*Settings!$B$19+N($I631)*Settings!$B$9,IF($D631="Late cancel",INDEX(Properties!$L$5:$L$104,MATCH($B631,Properties!$A$5:$A$104,0))*Settings!$B$11,0))),0))</f>
        <v/>
      </c>
      <c r="P631" s="28" t="str">
        <f aca="false">IF($B631="","",$N631-$O631)</f>
        <v/>
      </c>
      <c r="Q631" s="29" t="str">
        <f aca="false">IF($A631="","",DATE(YEAR($A631),MONTH($A631),1))</f>
        <v/>
      </c>
      <c r="R631" s="30" t="str">
        <f aca="false">IF($A631="","",$A631+MOD(6-WEEKDAY($A631),7))</f>
        <v/>
      </c>
      <c r="S631" s="31" t="str">
        <f aca="false">IF($B631="","",IF(AND($M631='Invoice Builder'!$C$5,$Q631='Invoice Builder'!$C$6,N($N631)&gt;0),COUNTIFS($M$5:$M631,'Invoice Builder'!$C$5,$Q$5:$Q631,'Invoice Builder'!$C$6,$N$5:$N631,"&gt;0"),""))</f>
        <v/>
      </c>
      <c r="T631" s="27" t="str">
        <f aca="false">IF($A631="","",IF($A631&gt;=DATE(YEAR($A631),4,6),YEAR($A631)&amp;"/"&amp;RIGHT(YEAR($A631)+1,2),YEAR($A631)-1&amp;"/"&amp;RIGHT(YEAR($A631),2)))</f>
        <v/>
      </c>
    </row>
    <row r="632" customFormat="false" ht="15" hidden="false" customHeight="false" outlineLevel="0" collapsed="false">
      <c r="A632" s="22"/>
      <c r="B632" s="23"/>
      <c r="C632" s="23"/>
      <c r="D632" s="23"/>
      <c r="E632" s="24"/>
      <c r="F632" s="24"/>
      <c r="G632" s="23"/>
      <c r="H632" s="23"/>
      <c r="I632" s="25"/>
      <c r="J632" s="23"/>
      <c r="K632" s="23"/>
      <c r="L632" s="26" t="str">
        <f aca="false">IF(OR($E632="",$F632=""),"",MOD($F632-$E632,1)*24)</f>
        <v/>
      </c>
      <c r="M632" s="27" t="str">
        <f aca="false">IF($B632="","",IFERROR(INDEX(Properties!$D$5:$D$104,MATCH($B632,Properties!$A$5:$A$104,0)),"?"))</f>
        <v/>
      </c>
      <c r="N632" s="28" t="str">
        <f aca="false">IF($B632="","",IFERROR(IF($D632="Completed",INDEX(Properties!$I$5:$I$104,MATCH($B632,Properties!$A$5:$A$104,0))*(1+IF($G632="Y",Settings!$B$8,0))+IF($H632="Y",Settings!$B$7,0)+N($I632),IF($D632="Deep clean",INDEX(Settings!$E$22:$E$26,MATCH(MIN(INDEX(Properties!$E$5:$E$104,MATCH($B632,Properties!$A$5:$A$104,0)),4),Settings!$A$22:$A$26,0))+N($I632),IF($D632="Late cancel",INDEX(Properties!$I$5:$I$104,MATCH($B632,Properties!$A$5:$A$104,0))*Settings!$B$10,0))),0))</f>
        <v/>
      </c>
      <c r="O632" s="28" t="str">
        <f aca="false">IF($B632="","",IFERROR(IF($D632="Completed",INDEX(Properties!$L$5:$L$104,MATCH($B632,Properties!$A$5:$A$104,0))+IF($G632="Y",INDEX(Properties!$I$5:$I$104,MATCH($B632,Properties!$A$5:$A$104,0))*Settings!$B$8*Settings!$B$9,0)+IF($H632="Y",Settings!$B$7*Settings!$B$9,0)+N($I632)*Settings!$B$9,IF($D632="Deep clean",INDEX(Settings!$E$22:$E$26,MATCH(MIN(INDEX(Properties!$E$5:$E$104,MATCH($B632,Properties!$A$5:$A$104,0)),4),Settings!$A$22:$A$26,0))*Settings!$B$19+N($I632)*Settings!$B$9,IF($D632="Late cancel",INDEX(Properties!$L$5:$L$104,MATCH($B632,Properties!$A$5:$A$104,0))*Settings!$B$11,0))),0))</f>
        <v/>
      </c>
      <c r="P632" s="28" t="str">
        <f aca="false">IF($B632="","",$N632-$O632)</f>
        <v/>
      </c>
      <c r="Q632" s="29" t="str">
        <f aca="false">IF($A632="","",DATE(YEAR($A632),MONTH($A632),1))</f>
        <v/>
      </c>
      <c r="R632" s="30" t="str">
        <f aca="false">IF($A632="","",$A632+MOD(6-WEEKDAY($A632),7))</f>
        <v/>
      </c>
      <c r="S632" s="31" t="str">
        <f aca="false">IF($B632="","",IF(AND($M632='Invoice Builder'!$C$5,$Q632='Invoice Builder'!$C$6,N($N632)&gt;0),COUNTIFS($M$5:$M632,'Invoice Builder'!$C$5,$Q$5:$Q632,'Invoice Builder'!$C$6,$N$5:$N632,"&gt;0"),""))</f>
        <v/>
      </c>
      <c r="T632" s="27" t="str">
        <f aca="false">IF($A632="","",IF($A632&gt;=DATE(YEAR($A632),4,6),YEAR($A632)&amp;"/"&amp;RIGHT(YEAR($A632)+1,2),YEAR($A632)-1&amp;"/"&amp;RIGHT(YEAR($A632),2)))</f>
        <v/>
      </c>
    </row>
    <row r="633" customFormat="false" ht="15" hidden="false" customHeight="false" outlineLevel="0" collapsed="false">
      <c r="A633" s="22"/>
      <c r="B633" s="23"/>
      <c r="C633" s="23"/>
      <c r="D633" s="23"/>
      <c r="E633" s="24"/>
      <c r="F633" s="24"/>
      <c r="G633" s="23"/>
      <c r="H633" s="23"/>
      <c r="I633" s="25"/>
      <c r="J633" s="23"/>
      <c r="K633" s="23"/>
      <c r="L633" s="26" t="str">
        <f aca="false">IF(OR($E633="",$F633=""),"",MOD($F633-$E633,1)*24)</f>
        <v/>
      </c>
      <c r="M633" s="27" t="str">
        <f aca="false">IF($B633="","",IFERROR(INDEX(Properties!$D$5:$D$104,MATCH($B633,Properties!$A$5:$A$104,0)),"?"))</f>
        <v/>
      </c>
      <c r="N633" s="28" t="str">
        <f aca="false">IF($B633="","",IFERROR(IF($D633="Completed",INDEX(Properties!$I$5:$I$104,MATCH($B633,Properties!$A$5:$A$104,0))*(1+IF($G633="Y",Settings!$B$8,0))+IF($H633="Y",Settings!$B$7,0)+N($I633),IF($D633="Deep clean",INDEX(Settings!$E$22:$E$26,MATCH(MIN(INDEX(Properties!$E$5:$E$104,MATCH($B633,Properties!$A$5:$A$104,0)),4),Settings!$A$22:$A$26,0))+N($I633),IF($D633="Late cancel",INDEX(Properties!$I$5:$I$104,MATCH($B633,Properties!$A$5:$A$104,0))*Settings!$B$10,0))),0))</f>
        <v/>
      </c>
      <c r="O633" s="28" t="str">
        <f aca="false">IF($B633="","",IFERROR(IF($D633="Completed",INDEX(Properties!$L$5:$L$104,MATCH($B633,Properties!$A$5:$A$104,0))+IF($G633="Y",INDEX(Properties!$I$5:$I$104,MATCH($B633,Properties!$A$5:$A$104,0))*Settings!$B$8*Settings!$B$9,0)+IF($H633="Y",Settings!$B$7*Settings!$B$9,0)+N($I633)*Settings!$B$9,IF($D633="Deep clean",INDEX(Settings!$E$22:$E$26,MATCH(MIN(INDEX(Properties!$E$5:$E$104,MATCH($B633,Properties!$A$5:$A$104,0)),4),Settings!$A$22:$A$26,0))*Settings!$B$19+N($I633)*Settings!$B$9,IF($D633="Late cancel",INDEX(Properties!$L$5:$L$104,MATCH($B633,Properties!$A$5:$A$104,0))*Settings!$B$11,0))),0))</f>
        <v/>
      </c>
      <c r="P633" s="28" t="str">
        <f aca="false">IF($B633="","",$N633-$O633)</f>
        <v/>
      </c>
      <c r="Q633" s="29" t="str">
        <f aca="false">IF($A633="","",DATE(YEAR($A633),MONTH($A633),1))</f>
        <v/>
      </c>
      <c r="R633" s="30" t="str">
        <f aca="false">IF($A633="","",$A633+MOD(6-WEEKDAY($A633),7))</f>
        <v/>
      </c>
      <c r="S633" s="31" t="str">
        <f aca="false">IF($B633="","",IF(AND($M633='Invoice Builder'!$C$5,$Q633='Invoice Builder'!$C$6,N($N633)&gt;0),COUNTIFS($M$5:$M633,'Invoice Builder'!$C$5,$Q$5:$Q633,'Invoice Builder'!$C$6,$N$5:$N633,"&gt;0"),""))</f>
        <v/>
      </c>
      <c r="T633" s="27" t="str">
        <f aca="false">IF($A633="","",IF($A633&gt;=DATE(YEAR($A633),4,6),YEAR($A633)&amp;"/"&amp;RIGHT(YEAR($A633)+1,2),YEAR($A633)-1&amp;"/"&amp;RIGHT(YEAR($A633),2)))</f>
        <v/>
      </c>
    </row>
    <row r="634" customFormat="false" ht="15" hidden="false" customHeight="false" outlineLevel="0" collapsed="false">
      <c r="A634" s="22"/>
      <c r="B634" s="23"/>
      <c r="C634" s="23"/>
      <c r="D634" s="23"/>
      <c r="E634" s="24"/>
      <c r="F634" s="24"/>
      <c r="G634" s="23"/>
      <c r="H634" s="23"/>
      <c r="I634" s="25"/>
      <c r="J634" s="23"/>
      <c r="K634" s="23"/>
      <c r="L634" s="26" t="str">
        <f aca="false">IF(OR($E634="",$F634=""),"",MOD($F634-$E634,1)*24)</f>
        <v/>
      </c>
      <c r="M634" s="27" t="str">
        <f aca="false">IF($B634="","",IFERROR(INDEX(Properties!$D$5:$D$104,MATCH($B634,Properties!$A$5:$A$104,0)),"?"))</f>
        <v/>
      </c>
      <c r="N634" s="28" t="str">
        <f aca="false">IF($B634="","",IFERROR(IF($D634="Completed",INDEX(Properties!$I$5:$I$104,MATCH($B634,Properties!$A$5:$A$104,0))*(1+IF($G634="Y",Settings!$B$8,0))+IF($H634="Y",Settings!$B$7,0)+N($I634),IF($D634="Deep clean",INDEX(Settings!$E$22:$E$26,MATCH(MIN(INDEX(Properties!$E$5:$E$104,MATCH($B634,Properties!$A$5:$A$104,0)),4),Settings!$A$22:$A$26,0))+N($I634),IF($D634="Late cancel",INDEX(Properties!$I$5:$I$104,MATCH($B634,Properties!$A$5:$A$104,0))*Settings!$B$10,0))),0))</f>
        <v/>
      </c>
      <c r="O634" s="28" t="str">
        <f aca="false">IF($B634="","",IFERROR(IF($D634="Completed",INDEX(Properties!$L$5:$L$104,MATCH($B634,Properties!$A$5:$A$104,0))+IF($G634="Y",INDEX(Properties!$I$5:$I$104,MATCH($B634,Properties!$A$5:$A$104,0))*Settings!$B$8*Settings!$B$9,0)+IF($H634="Y",Settings!$B$7*Settings!$B$9,0)+N($I634)*Settings!$B$9,IF($D634="Deep clean",INDEX(Settings!$E$22:$E$26,MATCH(MIN(INDEX(Properties!$E$5:$E$104,MATCH($B634,Properties!$A$5:$A$104,0)),4),Settings!$A$22:$A$26,0))*Settings!$B$19+N($I634)*Settings!$B$9,IF($D634="Late cancel",INDEX(Properties!$L$5:$L$104,MATCH($B634,Properties!$A$5:$A$104,0))*Settings!$B$11,0))),0))</f>
        <v/>
      </c>
      <c r="P634" s="28" t="str">
        <f aca="false">IF($B634="","",$N634-$O634)</f>
        <v/>
      </c>
      <c r="Q634" s="29" t="str">
        <f aca="false">IF($A634="","",DATE(YEAR($A634),MONTH($A634),1))</f>
        <v/>
      </c>
      <c r="R634" s="30" t="str">
        <f aca="false">IF($A634="","",$A634+MOD(6-WEEKDAY($A634),7))</f>
        <v/>
      </c>
      <c r="S634" s="31" t="str">
        <f aca="false">IF($B634="","",IF(AND($M634='Invoice Builder'!$C$5,$Q634='Invoice Builder'!$C$6,N($N634)&gt;0),COUNTIFS($M$5:$M634,'Invoice Builder'!$C$5,$Q$5:$Q634,'Invoice Builder'!$C$6,$N$5:$N634,"&gt;0"),""))</f>
        <v/>
      </c>
      <c r="T634" s="27" t="str">
        <f aca="false">IF($A634="","",IF($A634&gt;=DATE(YEAR($A634),4,6),YEAR($A634)&amp;"/"&amp;RIGHT(YEAR($A634)+1,2),YEAR($A634)-1&amp;"/"&amp;RIGHT(YEAR($A634),2)))</f>
        <v/>
      </c>
    </row>
    <row r="635" customFormat="false" ht="15" hidden="false" customHeight="false" outlineLevel="0" collapsed="false">
      <c r="A635" s="22"/>
      <c r="B635" s="23"/>
      <c r="C635" s="23"/>
      <c r="D635" s="23"/>
      <c r="E635" s="24"/>
      <c r="F635" s="24"/>
      <c r="G635" s="23"/>
      <c r="H635" s="23"/>
      <c r="I635" s="25"/>
      <c r="J635" s="23"/>
      <c r="K635" s="23"/>
      <c r="L635" s="26" t="str">
        <f aca="false">IF(OR($E635="",$F635=""),"",MOD($F635-$E635,1)*24)</f>
        <v/>
      </c>
      <c r="M635" s="27" t="str">
        <f aca="false">IF($B635="","",IFERROR(INDEX(Properties!$D$5:$D$104,MATCH($B635,Properties!$A$5:$A$104,0)),"?"))</f>
        <v/>
      </c>
      <c r="N635" s="28" t="str">
        <f aca="false">IF($B635="","",IFERROR(IF($D635="Completed",INDEX(Properties!$I$5:$I$104,MATCH($B635,Properties!$A$5:$A$104,0))*(1+IF($G635="Y",Settings!$B$8,0))+IF($H635="Y",Settings!$B$7,0)+N($I635),IF($D635="Deep clean",INDEX(Settings!$E$22:$E$26,MATCH(MIN(INDEX(Properties!$E$5:$E$104,MATCH($B635,Properties!$A$5:$A$104,0)),4),Settings!$A$22:$A$26,0))+N($I635),IF($D635="Late cancel",INDEX(Properties!$I$5:$I$104,MATCH($B635,Properties!$A$5:$A$104,0))*Settings!$B$10,0))),0))</f>
        <v/>
      </c>
      <c r="O635" s="28" t="str">
        <f aca="false">IF($B635="","",IFERROR(IF($D635="Completed",INDEX(Properties!$L$5:$L$104,MATCH($B635,Properties!$A$5:$A$104,0))+IF($G635="Y",INDEX(Properties!$I$5:$I$104,MATCH($B635,Properties!$A$5:$A$104,0))*Settings!$B$8*Settings!$B$9,0)+IF($H635="Y",Settings!$B$7*Settings!$B$9,0)+N($I635)*Settings!$B$9,IF($D635="Deep clean",INDEX(Settings!$E$22:$E$26,MATCH(MIN(INDEX(Properties!$E$5:$E$104,MATCH($B635,Properties!$A$5:$A$104,0)),4),Settings!$A$22:$A$26,0))*Settings!$B$19+N($I635)*Settings!$B$9,IF($D635="Late cancel",INDEX(Properties!$L$5:$L$104,MATCH($B635,Properties!$A$5:$A$104,0))*Settings!$B$11,0))),0))</f>
        <v/>
      </c>
      <c r="P635" s="28" t="str">
        <f aca="false">IF($B635="","",$N635-$O635)</f>
        <v/>
      </c>
      <c r="Q635" s="29" t="str">
        <f aca="false">IF($A635="","",DATE(YEAR($A635),MONTH($A635),1))</f>
        <v/>
      </c>
      <c r="R635" s="30" t="str">
        <f aca="false">IF($A635="","",$A635+MOD(6-WEEKDAY($A635),7))</f>
        <v/>
      </c>
      <c r="S635" s="31" t="str">
        <f aca="false">IF($B635="","",IF(AND($M635='Invoice Builder'!$C$5,$Q635='Invoice Builder'!$C$6,N($N635)&gt;0),COUNTIFS($M$5:$M635,'Invoice Builder'!$C$5,$Q$5:$Q635,'Invoice Builder'!$C$6,$N$5:$N635,"&gt;0"),""))</f>
        <v/>
      </c>
      <c r="T635" s="27" t="str">
        <f aca="false">IF($A635="","",IF($A635&gt;=DATE(YEAR($A635),4,6),YEAR($A635)&amp;"/"&amp;RIGHT(YEAR($A635)+1,2),YEAR($A635)-1&amp;"/"&amp;RIGHT(YEAR($A635),2)))</f>
        <v/>
      </c>
    </row>
    <row r="636" customFormat="false" ht="15" hidden="false" customHeight="false" outlineLevel="0" collapsed="false">
      <c r="A636" s="22"/>
      <c r="B636" s="23"/>
      <c r="C636" s="23"/>
      <c r="D636" s="23"/>
      <c r="E636" s="24"/>
      <c r="F636" s="24"/>
      <c r="G636" s="23"/>
      <c r="H636" s="23"/>
      <c r="I636" s="25"/>
      <c r="J636" s="23"/>
      <c r="K636" s="23"/>
      <c r="L636" s="26" t="str">
        <f aca="false">IF(OR($E636="",$F636=""),"",MOD($F636-$E636,1)*24)</f>
        <v/>
      </c>
      <c r="M636" s="27" t="str">
        <f aca="false">IF($B636="","",IFERROR(INDEX(Properties!$D$5:$D$104,MATCH($B636,Properties!$A$5:$A$104,0)),"?"))</f>
        <v/>
      </c>
      <c r="N636" s="28" t="str">
        <f aca="false">IF($B636="","",IFERROR(IF($D636="Completed",INDEX(Properties!$I$5:$I$104,MATCH($B636,Properties!$A$5:$A$104,0))*(1+IF($G636="Y",Settings!$B$8,0))+IF($H636="Y",Settings!$B$7,0)+N($I636),IF($D636="Deep clean",INDEX(Settings!$E$22:$E$26,MATCH(MIN(INDEX(Properties!$E$5:$E$104,MATCH($B636,Properties!$A$5:$A$104,0)),4),Settings!$A$22:$A$26,0))+N($I636),IF($D636="Late cancel",INDEX(Properties!$I$5:$I$104,MATCH($B636,Properties!$A$5:$A$104,0))*Settings!$B$10,0))),0))</f>
        <v/>
      </c>
      <c r="O636" s="28" t="str">
        <f aca="false">IF($B636="","",IFERROR(IF($D636="Completed",INDEX(Properties!$L$5:$L$104,MATCH($B636,Properties!$A$5:$A$104,0))+IF($G636="Y",INDEX(Properties!$I$5:$I$104,MATCH($B636,Properties!$A$5:$A$104,0))*Settings!$B$8*Settings!$B$9,0)+IF($H636="Y",Settings!$B$7*Settings!$B$9,0)+N($I636)*Settings!$B$9,IF($D636="Deep clean",INDEX(Settings!$E$22:$E$26,MATCH(MIN(INDEX(Properties!$E$5:$E$104,MATCH($B636,Properties!$A$5:$A$104,0)),4),Settings!$A$22:$A$26,0))*Settings!$B$19+N($I636)*Settings!$B$9,IF($D636="Late cancel",INDEX(Properties!$L$5:$L$104,MATCH($B636,Properties!$A$5:$A$104,0))*Settings!$B$11,0))),0))</f>
        <v/>
      </c>
      <c r="P636" s="28" t="str">
        <f aca="false">IF($B636="","",$N636-$O636)</f>
        <v/>
      </c>
      <c r="Q636" s="29" t="str">
        <f aca="false">IF($A636="","",DATE(YEAR($A636),MONTH($A636),1))</f>
        <v/>
      </c>
      <c r="R636" s="30" t="str">
        <f aca="false">IF($A636="","",$A636+MOD(6-WEEKDAY($A636),7))</f>
        <v/>
      </c>
      <c r="S636" s="31" t="str">
        <f aca="false">IF($B636="","",IF(AND($M636='Invoice Builder'!$C$5,$Q636='Invoice Builder'!$C$6,N($N636)&gt;0),COUNTIFS($M$5:$M636,'Invoice Builder'!$C$5,$Q$5:$Q636,'Invoice Builder'!$C$6,$N$5:$N636,"&gt;0"),""))</f>
        <v/>
      </c>
      <c r="T636" s="27" t="str">
        <f aca="false">IF($A636="","",IF($A636&gt;=DATE(YEAR($A636),4,6),YEAR($A636)&amp;"/"&amp;RIGHT(YEAR($A636)+1,2),YEAR($A636)-1&amp;"/"&amp;RIGHT(YEAR($A636),2)))</f>
        <v/>
      </c>
    </row>
    <row r="637" customFormat="false" ht="15" hidden="false" customHeight="false" outlineLevel="0" collapsed="false">
      <c r="A637" s="22"/>
      <c r="B637" s="23"/>
      <c r="C637" s="23"/>
      <c r="D637" s="23"/>
      <c r="E637" s="24"/>
      <c r="F637" s="24"/>
      <c r="G637" s="23"/>
      <c r="H637" s="23"/>
      <c r="I637" s="25"/>
      <c r="J637" s="23"/>
      <c r="K637" s="23"/>
      <c r="L637" s="26" t="str">
        <f aca="false">IF(OR($E637="",$F637=""),"",MOD($F637-$E637,1)*24)</f>
        <v/>
      </c>
      <c r="M637" s="27" t="str">
        <f aca="false">IF($B637="","",IFERROR(INDEX(Properties!$D$5:$D$104,MATCH($B637,Properties!$A$5:$A$104,0)),"?"))</f>
        <v/>
      </c>
      <c r="N637" s="28" t="str">
        <f aca="false">IF($B637="","",IFERROR(IF($D637="Completed",INDEX(Properties!$I$5:$I$104,MATCH($B637,Properties!$A$5:$A$104,0))*(1+IF($G637="Y",Settings!$B$8,0))+IF($H637="Y",Settings!$B$7,0)+N($I637),IF($D637="Deep clean",INDEX(Settings!$E$22:$E$26,MATCH(MIN(INDEX(Properties!$E$5:$E$104,MATCH($B637,Properties!$A$5:$A$104,0)),4),Settings!$A$22:$A$26,0))+N($I637),IF($D637="Late cancel",INDEX(Properties!$I$5:$I$104,MATCH($B637,Properties!$A$5:$A$104,0))*Settings!$B$10,0))),0))</f>
        <v/>
      </c>
      <c r="O637" s="28" t="str">
        <f aca="false">IF($B637="","",IFERROR(IF($D637="Completed",INDEX(Properties!$L$5:$L$104,MATCH($B637,Properties!$A$5:$A$104,0))+IF($G637="Y",INDEX(Properties!$I$5:$I$104,MATCH($B637,Properties!$A$5:$A$104,0))*Settings!$B$8*Settings!$B$9,0)+IF($H637="Y",Settings!$B$7*Settings!$B$9,0)+N($I637)*Settings!$B$9,IF($D637="Deep clean",INDEX(Settings!$E$22:$E$26,MATCH(MIN(INDEX(Properties!$E$5:$E$104,MATCH($B637,Properties!$A$5:$A$104,0)),4),Settings!$A$22:$A$26,0))*Settings!$B$19+N($I637)*Settings!$B$9,IF($D637="Late cancel",INDEX(Properties!$L$5:$L$104,MATCH($B637,Properties!$A$5:$A$104,0))*Settings!$B$11,0))),0))</f>
        <v/>
      </c>
      <c r="P637" s="28" t="str">
        <f aca="false">IF($B637="","",$N637-$O637)</f>
        <v/>
      </c>
      <c r="Q637" s="29" t="str">
        <f aca="false">IF($A637="","",DATE(YEAR($A637),MONTH($A637),1))</f>
        <v/>
      </c>
      <c r="R637" s="30" t="str">
        <f aca="false">IF($A637="","",$A637+MOD(6-WEEKDAY($A637),7))</f>
        <v/>
      </c>
      <c r="S637" s="31" t="str">
        <f aca="false">IF($B637="","",IF(AND($M637='Invoice Builder'!$C$5,$Q637='Invoice Builder'!$C$6,N($N637)&gt;0),COUNTIFS($M$5:$M637,'Invoice Builder'!$C$5,$Q$5:$Q637,'Invoice Builder'!$C$6,$N$5:$N637,"&gt;0"),""))</f>
        <v/>
      </c>
      <c r="T637" s="27" t="str">
        <f aca="false">IF($A637="","",IF($A637&gt;=DATE(YEAR($A637),4,6),YEAR($A637)&amp;"/"&amp;RIGHT(YEAR($A637)+1,2),YEAR($A637)-1&amp;"/"&amp;RIGHT(YEAR($A637),2)))</f>
        <v/>
      </c>
    </row>
    <row r="638" customFormat="false" ht="15" hidden="false" customHeight="false" outlineLevel="0" collapsed="false">
      <c r="A638" s="22"/>
      <c r="B638" s="23"/>
      <c r="C638" s="23"/>
      <c r="D638" s="23"/>
      <c r="E638" s="24"/>
      <c r="F638" s="24"/>
      <c r="G638" s="23"/>
      <c r="H638" s="23"/>
      <c r="I638" s="25"/>
      <c r="J638" s="23"/>
      <c r="K638" s="23"/>
      <c r="L638" s="26" t="str">
        <f aca="false">IF(OR($E638="",$F638=""),"",MOD($F638-$E638,1)*24)</f>
        <v/>
      </c>
      <c r="M638" s="27" t="str">
        <f aca="false">IF($B638="","",IFERROR(INDEX(Properties!$D$5:$D$104,MATCH($B638,Properties!$A$5:$A$104,0)),"?"))</f>
        <v/>
      </c>
      <c r="N638" s="28" t="str">
        <f aca="false">IF($B638="","",IFERROR(IF($D638="Completed",INDEX(Properties!$I$5:$I$104,MATCH($B638,Properties!$A$5:$A$104,0))*(1+IF($G638="Y",Settings!$B$8,0))+IF($H638="Y",Settings!$B$7,0)+N($I638),IF($D638="Deep clean",INDEX(Settings!$E$22:$E$26,MATCH(MIN(INDEX(Properties!$E$5:$E$104,MATCH($B638,Properties!$A$5:$A$104,0)),4),Settings!$A$22:$A$26,0))+N($I638),IF($D638="Late cancel",INDEX(Properties!$I$5:$I$104,MATCH($B638,Properties!$A$5:$A$104,0))*Settings!$B$10,0))),0))</f>
        <v/>
      </c>
      <c r="O638" s="28" t="str">
        <f aca="false">IF($B638="","",IFERROR(IF($D638="Completed",INDEX(Properties!$L$5:$L$104,MATCH($B638,Properties!$A$5:$A$104,0))+IF($G638="Y",INDEX(Properties!$I$5:$I$104,MATCH($B638,Properties!$A$5:$A$104,0))*Settings!$B$8*Settings!$B$9,0)+IF($H638="Y",Settings!$B$7*Settings!$B$9,0)+N($I638)*Settings!$B$9,IF($D638="Deep clean",INDEX(Settings!$E$22:$E$26,MATCH(MIN(INDEX(Properties!$E$5:$E$104,MATCH($B638,Properties!$A$5:$A$104,0)),4),Settings!$A$22:$A$26,0))*Settings!$B$19+N($I638)*Settings!$B$9,IF($D638="Late cancel",INDEX(Properties!$L$5:$L$104,MATCH($B638,Properties!$A$5:$A$104,0))*Settings!$B$11,0))),0))</f>
        <v/>
      </c>
      <c r="P638" s="28" t="str">
        <f aca="false">IF($B638="","",$N638-$O638)</f>
        <v/>
      </c>
      <c r="Q638" s="29" t="str">
        <f aca="false">IF($A638="","",DATE(YEAR($A638),MONTH($A638),1))</f>
        <v/>
      </c>
      <c r="R638" s="30" t="str">
        <f aca="false">IF($A638="","",$A638+MOD(6-WEEKDAY($A638),7))</f>
        <v/>
      </c>
      <c r="S638" s="31" t="str">
        <f aca="false">IF($B638="","",IF(AND($M638='Invoice Builder'!$C$5,$Q638='Invoice Builder'!$C$6,N($N638)&gt;0),COUNTIFS($M$5:$M638,'Invoice Builder'!$C$5,$Q$5:$Q638,'Invoice Builder'!$C$6,$N$5:$N638,"&gt;0"),""))</f>
        <v/>
      </c>
      <c r="T638" s="27" t="str">
        <f aca="false">IF($A638="","",IF($A638&gt;=DATE(YEAR($A638),4,6),YEAR($A638)&amp;"/"&amp;RIGHT(YEAR($A638)+1,2),YEAR($A638)-1&amp;"/"&amp;RIGHT(YEAR($A638),2)))</f>
        <v/>
      </c>
    </row>
    <row r="639" customFormat="false" ht="15" hidden="false" customHeight="false" outlineLevel="0" collapsed="false">
      <c r="A639" s="22"/>
      <c r="B639" s="23"/>
      <c r="C639" s="23"/>
      <c r="D639" s="23"/>
      <c r="E639" s="24"/>
      <c r="F639" s="24"/>
      <c r="G639" s="23"/>
      <c r="H639" s="23"/>
      <c r="I639" s="25"/>
      <c r="J639" s="23"/>
      <c r="K639" s="23"/>
      <c r="L639" s="26" t="str">
        <f aca="false">IF(OR($E639="",$F639=""),"",MOD($F639-$E639,1)*24)</f>
        <v/>
      </c>
      <c r="M639" s="27" t="str">
        <f aca="false">IF($B639="","",IFERROR(INDEX(Properties!$D$5:$D$104,MATCH($B639,Properties!$A$5:$A$104,0)),"?"))</f>
        <v/>
      </c>
      <c r="N639" s="28" t="str">
        <f aca="false">IF($B639="","",IFERROR(IF($D639="Completed",INDEX(Properties!$I$5:$I$104,MATCH($B639,Properties!$A$5:$A$104,0))*(1+IF($G639="Y",Settings!$B$8,0))+IF($H639="Y",Settings!$B$7,0)+N($I639),IF($D639="Deep clean",INDEX(Settings!$E$22:$E$26,MATCH(MIN(INDEX(Properties!$E$5:$E$104,MATCH($B639,Properties!$A$5:$A$104,0)),4),Settings!$A$22:$A$26,0))+N($I639),IF($D639="Late cancel",INDEX(Properties!$I$5:$I$104,MATCH($B639,Properties!$A$5:$A$104,0))*Settings!$B$10,0))),0))</f>
        <v/>
      </c>
      <c r="O639" s="28" t="str">
        <f aca="false">IF($B639="","",IFERROR(IF($D639="Completed",INDEX(Properties!$L$5:$L$104,MATCH($B639,Properties!$A$5:$A$104,0))+IF($G639="Y",INDEX(Properties!$I$5:$I$104,MATCH($B639,Properties!$A$5:$A$104,0))*Settings!$B$8*Settings!$B$9,0)+IF($H639="Y",Settings!$B$7*Settings!$B$9,0)+N($I639)*Settings!$B$9,IF($D639="Deep clean",INDEX(Settings!$E$22:$E$26,MATCH(MIN(INDEX(Properties!$E$5:$E$104,MATCH($B639,Properties!$A$5:$A$104,0)),4),Settings!$A$22:$A$26,0))*Settings!$B$19+N($I639)*Settings!$B$9,IF($D639="Late cancel",INDEX(Properties!$L$5:$L$104,MATCH($B639,Properties!$A$5:$A$104,0))*Settings!$B$11,0))),0))</f>
        <v/>
      </c>
      <c r="P639" s="28" t="str">
        <f aca="false">IF($B639="","",$N639-$O639)</f>
        <v/>
      </c>
      <c r="Q639" s="29" t="str">
        <f aca="false">IF($A639="","",DATE(YEAR($A639),MONTH($A639),1))</f>
        <v/>
      </c>
      <c r="R639" s="30" t="str">
        <f aca="false">IF($A639="","",$A639+MOD(6-WEEKDAY($A639),7))</f>
        <v/>
      </c>
      <c r="S639" s="31" t="str">
        <f aca="false">IF($B639="","",IF(AND($M639='Invoice Builder'!$C$5,$Q639='Invoice Builder'!$C$6,N($N639)&gt;0),COUNTIFS($M$5:$M639,'Invoice Builder'!$C$5,$Q$5:$Q639,'Invoice Builder'!$C$6,$N$5:$N639,"&gt;0"),""))</f>
        <v/>
      </c>
      <c r="T639" s="27" t="str">
        <f aca="false">IF($A639="","",IF($A639&gt;=DATE(YEAR($A639),4,6),YEAR($A639)&amp;"/"&amp;RIGHT(YEAR($A639)+1,2),YEAR($A639)-1&amp;"/"&amp;RIGHT(YEAR($A639),2)))</f>
        <v/>
      </c>
    </row>
    <row r="640" customFormat="false" ht="15" hidden="false" customHeight="false" outlineLevel="0" collapsed="false">
      <c r="A640" s="22"/>
      <c r="B640" s="23"/>
      <c r="C640" s="23"/>
      <c r="D640" s="23"/>
      <c r="E640" s="24"/>
      <c r="F640" s="24"/>
      <c r="G640" s="23"/>
      <c r="H640" s="23"/>
      <c r="I640" s="25"/>
      <c r="J640" s="23"/>
      <c r="K640" s="23"/>
      <c r="L640" s="26" t="str">
        <f aca="false">IF(OR($E640="",$F640=""),"",MOD($F640-$E640,1)*24)</f>
        <v/>
      </c>
      <c r="M640" s="27" t="str">
        <f aca="false">IF($B640="","",IFERROR(INDEX(Properties!$D$5:$D$104,MATCH($B640,Properties!$A$5:$A$104,0)),"?"))</f>
        <v/>
      </c>
      <c r="N640" s="28" t="str">
        <f aca="false">IF($B640="","",IFERROR(IF($D640="Completed",INDEX(Properties!$I$5:$I$104,MATCH($B640,Properties!$A$5:$A$104,0))*(1+IF($G640="Y",Settings!$B$8,0))+IF($H640="Y",Settings!$B$7,0)+N($I640),IF($D640="Deep clean",INDEX(Settings!$E$22:$E$26,MATCH(MIN(INDEX(Properties!$E$5:$E$104,MATCH($B640,Properties!$A$5:$A$104,0)),4),Settings!$A$22:$A$26,0))+N($I640),IF($D640="Late cancel",INDEX(Properties!$I$5:$I$104,MATCH($B640,Properties!$A$5:$A$104,0))*Settings!$B$10,0))),0))</f>
        <v/>
      </c>
      <c r="O640" s="28" t="str">
        <f aca="false">IF($B640="","",IFERROR(IF($D640="Completed",INDEX(Properties!$L$5:$L$104,MATCH($B640,Properties!$A$5:$A$104,0))+IF($G640="Y",INDEX(Properties!$I$5:$I$104,MATCH($B640,Properties!$A$5:$A$104,0))*Settings!$B$8*Settings!$B$9,0)+IF($H640="Y",Settings!$B$7*Settings!$B$9,0)+N($I640)*Settings!$B$9,IF($D640="Deep clean",INDEX(Settings!$E$22:$E$26,MATCH(MIN(INDEX(Properties!$E$5:$E$104,MATCH($B640,Properties!$A$5:$A$104,0)),4),Settings!$A$22:$A$26,0))*Settings!$B$19+N($I640)*Settings!$B$9,IF($D640="Late cancel",INDEX(Properties!$L$5:$L$104,MATCH($B640,Properties!$A$5:$A$104,0))*Settings!$B$11,0))),0))</f>
        <v/>
      </c>
      <c r="P640" s="28" t="str">
        <f aca="false">IF($B640="","",$N640-$O640)</f>
        <v/>
      </c>
      <c r="Q640" s="29" t="str">
        <f aca="false">IF($A640="","",DATE(YEAR($A640),MONTH($A640),1))</f>
        <v/>
      </c>
      <c r="R640" s="30" t="str">
        <f aca="false">IF($A640="","",$A640+MOD(6-WEEKDAY($A640),7))</f>
        <v/>
      </c>
      <c r="S640" s="31" t="str">
        <f aca="false">IF($B640="","",IF(AND($M640='Invoice Builder'!$C$5,$Q640='Invoice Builder'!$C$6,N($N640)&gt;0),COUNTIFS($M$5:$M640,'Invoice Builder'!$C$5,$Q$5:$Q640,'Invoice Builder'!$C$6,$N$5:$N640,"&gt;0"),""))</f>
        <v/>
      </c>
      <c r="T640" s="27" t="str">
        <f aca="false">IF($A640="","",IF($A640&gt;=DATE(YEAR($A640),4,6),YEAR($A640)&amp;"/"&amp;RIGHT(YEAR($A640)+1,2),YEAR($A640)-1&amp;"/"&amp;RIGHT(YEAR($A640),2)))</f>
        <v/>
      </c>
    </row>
    <row r="641" customFormat="false" ht="15" hidden="false" customHeight="false" outlineLevel="0" collapsed="false">
      <c r="A641" s="22"/>
      <c r="B641" s="23"/>
      <c r="C641" s="23"/>
      <c r="D641" s="23"/>
      <c r="E641" s="24"/>
      <c r="F641" s="24"/>
      <c r="G641" s="23"/>
      <c r="H641" s="23"/>
      <c r="I641" s="25"/>
      <c r="J641" s="23"/>
      <c r="K641" s="23"/>
      <c r="L641" s="26" t="str">
        <f aca="false">IF(OR($E641="",$F641=""),"",MOD($F641-$E641,1)*24)</f>
        <v/>
      </c>
      <c r="M641" s="27" t="str">
        <f aca="false">IF($B641="","",IFERROR(INDEX(Properties!$D$5:$D$104,MATCH($B641,Properties!$A$5:$A$104,0)),"?"))</f>
        <v/>
      </c>
      <c r="N641" s="28" t="str">
        <f aca="false">IF($B641="","",IFERROR(IF($D641="Completed",INDEX(Properties!$I$5:$I$104,MATCH($B641,Properties!$A$5:$A$104,0))*(1+IF($G641="Y",Settings!$B$8,0))+IF($H641="Y",Settings!$B$7,0)+N($I641),IF($D641="Deep clean",INDEX(Settings!$E$22:$E$26,MATCH(MIN(INDEX(Properties!$E$5:$E$104,MATCH($B641,Properties!$A$5:$A$104,0)),4),Settings!$A$22:$A$26,0))+N($I641),IF($D641="Late cancel",INDEX(Properties!$I$5:$I$104,MATCH($B641,Properties!$A$5:$A$104,0))*Settings!$B$10,0))),0))</f>
        <v/>
      </c>
      <c r="O641" s="28" t="str">
        <f aca="false">IF($B641="","",IFERROR(IF($D641="Completed",INDEX(Properties!$L$5:$L$104,MATCH($B641,Properties!$A$5:$A$104,0))+IF($G641="Y",INDEX(Properties!$I$5:$I$104,MATCH($B641,Properties!$A$5:$A$104,0))*Settings!$B$8*Settings!$B$9,0)+IF($H641="Y",Settings!$B$7*Settings!$B$9,0)+N($I641)*Settings!$B$9,IF($D641="Deep clean",INDEX(Settings!$E$22:$E$26,MATCH(MIN(INDEX(Properties!$E$5:$E$104,MATCH($B641,Properties!$A$5:$A$104,0)),4),Settings!$A$22:$A$26,0))*Settings!$B$19+N($I641)*Settings!$B$9,IF($D641="Late cancel",INDEX(Properties!$L$5:$L$104,MATCH($B641,Properties!$A$5:$A$104,0))*Settings!$B$11,0))),0))</f>
        <v/>
      </c>
      <c r="P641" s="28" t="str">
        <f aca="false">IF($B641="","",$N641-$O641)</f>
        <v/>
      </c>
      <c r="Q641" s="29" t="str">
        <f aca="false">IF($A641="","",DATE(YEAR($A641),MONTH($A641),1))</f>
        <v/>
      </c>
      <c r="R641" s="30" t="str">
        <f aca="false">IF($A641="","",$A641+MOD(6-WEEKDAY($A641),7))</f>
        <v/>
      </c>
      <c r="S641" s="31" t="str">
        <f aca="false">IF($B641="","",IF(AND($M641='Invoice Builder'!$C$5,$Q641='Invoice Builder'!$C$6,N($N641)&gt;0),COUNTIFS($M$5:$M641,'Invoice Builder'!$C$5,$Q$5:$Q641,'Invoice Builder'!$C$6,$N$5:$N641,"&gt;0"),""))</f>
        <v/>
      </c>
      <c r="T641" s="27" t="str">
        <f aca="false">IF($A641="","",IF($A641&gt;=DATE(YEAR($A641),4,6),YEAR($A641)&amp;"/"&amp;RIGHT(YEAR($A641)+1,2),YEAR($A641)-1&amp;"/"&amp;RIGHT(YEAR($A641),2)))</f>
        <v/>
      </c>
    </row>
    <row r="642" customFormat="false" ht="15" hidden="false" customHeight="false" outlineLevel="0" collapsed="false">
      <c r="A642" s="22"/>
      <c r="B642" s="23"/>
      <c r="C642" s="23"/>
      <c r="D642" s="23"/>
      <c r="E642" s="24"/>
      <c r="F642" s="24"/>
      <c r="G642" s="23"/>
      <c r="H642" s="23"/>
      <c r="I642" s="25"/>
      <c r="J642" s="23"/>
      <c r="K642" s="23"/>
      <c r="L642" s="26" t="str">
        <f aca="false">IF(OR($E642="",$F642=""),"",MOD($F642-$E642,1)*24)</f>
        <v/>
      </c>
      <c r="M642" s="27" t="str">
        <f aca="false">IF($B642="","",IFERROR(INDEX(Properties!$D$5:$D$104,MATCH($B642,Properties!$A$5:$A$104,0)),"?"))</f>
        <v/>
      </c>
      <c r="N642" s="28" t="str">
        <f aca="false">IF($B642="","",IFERROR(IF($D642="Completed",INDEX(Properties!$I$5:$I$104,MATCH($B642,Properties!$A$5:$A$104,0))*(1+IF($G642="Y",Settings!$B$8,0))+IF($H642="Y",Settings!$B$7,0)+N($I642),IF($D642="Deep clean",INDEX(Settings!$E$22:$E$26,MATCH(MIN(INDEX(Properties!$E$5:$E$104,MATCH($B642,Properties!$A$5:$A$104,0)),4),Settings!$A$22:$A$26,0))+N($I642),IF($D642="Late cancel",INDEX(Properties!$I$5:$I$104,MATCH($B642,Properties!$A$5:$A$104,0))*Settings!$B$10,0))),0))</f>
        <v/>
      </c>
      <c r="O642" s="28" t="str">
        <f aca="false">IF($B642="","",IFERROR(IF($D642="Completed",INDEX(Properties!$L$5:$L$104,MATCH($B642,Properties!$A$5:$A$104,0))+IF($G642="Y",INDEX(Properties!$I$5:$I$104,MATCH($B642,Properties!$A$5:$A$104,0))*Settings!$B$8*Settings!$B$9,0)+IF($H642="Y",Settings!$B$7*Settings!$B$9,0)+N($I642)*Settings!$B$9,IF($D642="Deep clean",INDEX(Settings!$E$22:$E$26,MATCH(MIN(INDEX(Properties!$E$5:$E$104,MATCH($B642,Properties!$A$5:$A$104,0)),4),Settings!$A$22:$A$26,0))*Settings!$B$19+N($I642)*Settings!$B$9,IF($D642="Late cancel",INDEX(Properties!$L$5:$L$104,MATCH($B642,Properties!$A$5:$A$104,0))*Settings!$B$11,0))),0))</f>
        <v/>
      </c>
      <c r="P642" s="28" t="str">
        <f aca="false">IF($B642="","",$N642-$O642)</f>
        <v/>
      </c>
      <c r="Q642" s="29" t="str">
        <f aca="false">IF($A642="","",DATE(YEAR($A642),MONTH($A642),1))</f>
        <v/>
      </c>
      <c r="R642" s="30" t="str">
        <f aca="false">IF($A642="","",$A642+MOD(6-WEEKDAY($A642),7))</f>
        <v/>
      </c>
      <c r="S642" s="31" t="str">
        <f aca="false">IF($B642="","",IF(AND($M642='Invoice Builder'!$C$5,$Q642='Invoice Builder'!$C$6,N($N642)&gt;0),COUNTIFS($M$5:$M642,'Invoice Builder'!$C$5,$Q$5:$Q642,'Invoice Builder'!$C$6,$N$5:$N642,"&gt;0"),""))</f>
        <v/>
      </c>
      <c r="T642" s="27" t="str">
        <f aca="false">IF($A642="","",IF($A642&gt;=DATE(YEAR($A642),4,6),YEAR($A642)&amp;"/"&amp;RIGHT(YEAR($A642)+1,2),YEAR($A642)-1&amp;"/"&amp;RIGHT(YEAR($A642),2)))</f>
        <v/>
      </c>
    </row>
    <row r="643" customFormat="false" ht="15" hidden="false" customHeight="false" outlineLevel="0" collapsed="false">
      <c r="A643" s="22"/>
      <c r="B643" s="23"/>
      <c r="C643" s="23"/>
      <c r="D643" s="23"/>
      <c r="E643" s="24"/>
      <c r="F643" s="24"/>
      <c r="G643" s="23"/>
      <c r="H643" s="23"/>
      <c r="I643" s="25"/>
      <c r="J643" s="23"/>
      <c r="K643" s="23"/>
      <c r="L643" s="26" t="str">
        <f aca="false">IF(OR($E643="",$F643=""),"",MOD($F643-$E643,1)*24)</f>
        <v/>
      </c>
      <c r="M643" s="27" t="str">
        <f aca="false">IF($B643="","",IFERROR(INDEX(Properties!$D$5:$D$104,MATCH($B643,Properties!$A$5:$A$104,0)),"?"))</f>
        <v/>
      </c>
      <c r="N643" s="28" t="str">
        <f aca="false">IF($B643="","",IFERROR(IF($D643="Completed",INDEX(Properties!$I$5:$I$104,MATCH($B643,Properties!$A$5:$A$104,0))*(1+IF($G643="Y",Settings!$B$8,0))+IF($H643="Y",Settings!$B$7,0)+N($I643),IF($D643="Deep clean",INDEX(Settings!$E$22:$E$26,MATCH(MIN(INDEX(Properties!$E$5:$E$104,MATCH($B643,Properties!$A$5:$A$104,0)),4),Settings!$A$22:$A$26,0))+N($I643),IF($D643="Late cancel",INDEX(Properties!$I$5:$I$104,MATCH($B643,Properties!$A$5:$A$104,0))*Settings!$B$10,0))),0))</f>
        <v/>
      </c>
      <c r="O643" s="28" t="str">
        <f aca="false">IF($B643="","",IFERROR(IF($D643="Completed",INDEX(Properties!$L$5:$L$104,MATCH($B643,Properties!$A$5:$A$104,0))+IF($G643="Y",INDEX(Properties!$I$5:$I$104,MATCH($B643,Properties!$A$5:$A$104,0))*Settings!$B$8*Settings!$B$9,0)+IF($H643="Y",Settings!$B$7*Settings!$B$9,0)+N($I643)*Settings!$B$9,IF($D643="Deep clean",INDEX(Settings!$E$22:$E$26,MATCH(MIN(INDEX(Properties!$E$5:$E$104,MATCH($B643,Properties!$A$5:$A$104,0)),4),Settings!$A$22:$A$26,0))*Settings!$B$19+N($I643)*Settings!$B$9,IF($D643="Late cancel",INDEX(Properties!$L$5:$L$104,MATCH($B643,Properties!$A$5:$A$104,0))*Settings!$B$11,0))),0))</f>
        <v/>
      </c>
      <c r="P643" s="28" t="str">
        <f aca="false">IF($B643="","",$N643-$O643)</f>
        <v/>
      </c>
      <c r="Q643" s="29" t="str">
        <f aca="false">IF($A643="","",DATE(YEAR($A643),MONTH($A643),1))</f>
        <v/>
      </c>
      <c r="R643" s="30" t="str">
        <f aca="false">IF($A643="","",$A643+MOD(6-WEEKDAY($A643),7))</f>
        <v/>
      </c>
      <c r="S643" s="31" t="str">
        <f aca="false">IF($B643="","",IF(AND($M643='Invoice Builder'!$C$5,$Q643='Invoice Builder'!$C$6,N($N643)&gt;0),COUNTIFS($M$5:$M643,'Invoice Builder'!$C$5,$Q$5:$Q643,'Invoice Builder'!$C$6,$N$5:$N643,"&gt;0"),""))</f>
        <v/>
      </c>
      <c r="T643" s="27" t="str">
        <f aca="false">IF($A643="","",IF($A643&gt;=DATE(YEAR($A643),4,6),YEAR($A643)&amp;"/"&amp;RIGHT(YEAR($A643)+1,2),YEAR($A643)-1&amp;"/"&amp;RIGHT(YEAR($A643),2)))</f>
        <v/>
      </c>
    </row>
    <row r="644" customFormat="false" ht="15" hidden="false" customHeight="false" outlineLevel="0" collapsed="false">
      <c r="A644" s="22"/>
      <c r="B644" s="23"/>
      <c r="C644" s="23"/>
      <c r="D644" s="23"/>
      <c r="E644" s="24"/>
      <c r="F644" s="24"/>
      <c r="G644" s="23"/>
      <c r="H644" s="23"/>
      <c r="I644" s="25"/>
      <c r="J644" s="23"/>
      <c r="K644" s="23"/>
      <c r="L644" s="26" t="str">
        <f aca="false">IF(OR($E644="",$F644=""),"",MOD($F644-$E644,1)*24)</f>
        <v/>
      </c>
      <c r="M644" s="27" t="str">
        <f aca="false">IF($B644="","",IFERROR(INDEX(Properties!$D$5:$D$104,MATCH($B644,Properties!$A$5:$A$104,0)),"?"))</f>
        <v/>
      </c>
      <c r="N644" s="28" t="str">
        <f aca="false">IF($B644="","",IFERROR(IF($D644="Completed",INDEX(Properties!$I$5:$I$104,MATCH($B644,Properties!$A$5:$A$104,0))*(1+IF($G644="Y",Settings!$B$8,0))+IF($H644="Y",Settings!$B$7,0)+N($I644),IF($D644="Deep clean",INDEX(Settings!$E$22:$E$26,MATCH(MIN(INDEX(Properties!$E$5:$E$104,MATCH($B644,Properties!$A$5:$A$104,0)),4),Settings!$A$22:$A$26,0))+N($I644),IF($D644="Late cancel",INDEX(Properties!$I$5:$I$104,MATCH($B644,Properties!$A$5:$A$104,0))*Settings!$B$10,0))),0))</f>
        <v/>
      </c>
      <c r="O644" s="28" t="str">
        <f aca="false">IF($B644="","",IFERROR(IF($D644="Completed",INDEX(Properties!$L$5:$L$104,MATCH($B644,Properties!$A$5:$A$104,0))+IF($G644="Y",INDEX(Properties!$I$5:$I$104,MATCH($B644,Properties!$A$5:$A$104,0))*Settings!$B$8*Settings!$B$9,0)+IF($H644="Y",Settings!$B$7*Settings!$B$9,0)+N($I644)*Settings!$B$9,IF($D644="Deep clean",INDEX(Settings!$E$22:$E$26,MATCH(MIN(INDEX(Properties!$E$5:$E$104,MATCH($B644,Properties!$A$5:$A$104,0)),4),Settings!$A$22:$A$26,0))*Settings!$B$19+N($I644)*Settings!$B$9,IF($D644="Late cancel",INDEX(Properties!$L$5:$L$104,MATCH($B644,Properties!$A$5:$A$104,0))*Settings!$B$11,0))),0))</f>
        <v/>
      </c>
      <c r="P644" s="28" t="str">
        <f aca="false">IF($B644="","",$N644-$O644)</f>
        <v/>
      </c>
      <c r="Q644" s="29" t="str">
        <f aca="false">IF($A644="","",DATE(YEAR($A644),MONTH($A644),1))</f>
        <v/>
      </c>
      <c r="R644" s="30" t="str">
        <f aca="false">IF($A644="","",$A644+MOD(6-WEEKDAY($A644),7))</f>
        <v/>
      </c>
      <c r="S644" s="31" t="str">
        <f aca="false">IF($B644="","",IF(AND($M644='Invoice Builder'!$C$5,$Q644='Invoice Builder'!$C$6,N($N644)&gt;0),COUNTIFS($M$5:$M644,'Invoice Builder'!$C$5,$Q$5:$Q644,'Invoice Builder'!$C$6,$N$5:$N644,"&gt;0"),""))</f>
        <v/>
      </c>
      <c r="T644" s="27" t="str">
        <f aca="false">IF($A644="","",IF($A644&gt;=DATE(YEAR($A644),4,6),YEAR($A644)&amp;"/"&amp;RIGHT(YEAR($A644)+1,2),YEAR($A644)-1&amp;"/"&amp;RIGHT(YEAR($A644),2)))</f>
        <v/>
      </c>
    </row>
    <row r="645" customFormat="false" ht="15" hidden="false" customHeight="false" outlineLevel="0" collapsed="false">
      <c r="A645" s="22"/>
      <c r="B645" s="23"/>
      <c r="C645" s="23"/>
      <c r="D645" s="23"/>
      <c r="E645" s="24"/>
      <c r="F645" s="24"/>
      <c r="G645" s="23"/>
      <c r="H645" s="23"/>
      <c r="I645" s="25"/>
      <c r="J645" s="23"/>
      <c r="K645" s="23"/>
      <c r="L645" s="26" t="str">
        <f aca="false">IF(OR($E645="",$F645=""),"",MOD($F645-$E645,1)*24)</f>
        <v/>
      </c>
      <c r="M645" s="27" t="str">
        <f aca="false">IF($B645="","",IFERROR(INDEX(Properties!$D$5:$D$104,MATCH($B645,Properties!$A$5:$A$104,0)),"?"))</f>
        <v/>
      </c>
      <c r="N645" s="28" t="str">
        <f aca="false">IF($B645="","",IFERROR(IF($D645="Completed",INDEX(Properties!$I$5:$I$104,MATCH($B645,Properties!$A$5:$A$104,0))*(1+IF($G645="Y",Settings!$B$8,0))+IF($H645="Y",Settings!$B$7,0)+N($I645),IF($D645="Deep clean",INDEX(Settings!$E$22:$E$26,MATCH(MIN(INDEX(Properties!$E$5:$E$104,MATCH($B645,Properties!$A$5:$A$104,0)),4),Settings!$A$22:$A$26,0))+N($I645),IF($D645="Late cancel",INDEX(Properties!$I$5:$I$104,MATCH($B645,Properties!$A$5:$A$104,0))*Settings!$B$10,0))),0))</f>
        <v/>
      </c>
      <c r="O645" s="28" t="str">
        <f aca="false">IF($B645="","",IFERROR(IF($D645="Completed",INDEX(Properties!$L$5:$L$104,MATCH($B645,Properties!$A$5:$A$104,0))+IF($G645="Y",INDEX(Properties!$I$5:$I$104,MATCH($B645,Properties!$A$5:$A$104,0))*Settings!$B$8*Settings!$B$9,0)+IF($H645="Y",Settings!$B$7*Settings!$B$9,0)+N($I645)*Settings!$B$9,IF($D645="Deep clean",INDEX(Settings!$E$22:$E$26,MATCH(MIN(INDEX(Properties!$E$5:$E$104,MATCH($B645,Properties!$A$5:$A$104,0)),4),Settings!$A$22:$A$26,0))*Settings!$B$19+N($I645)*Settings!$B$9,IF($D645="Late cancel",INDEX(Properties!$L$5:$L$104,MATCH($B645,Properties!$A$5:$A$104,0))*Settings!$B$11,0))),0))</f>
        <v/>
      </c>
      <c r="P645" s="28" t="str">
        <f aca="false">IF($B645="","",$N645-$O645)</f>
        <v/>
      </c>
      <c r="Q645" s="29" t="str">
        <f aca="false">IF($A645="","",DATE(YEAR($A645),MONTH($A645),1))</f>
        <v/>
      </c>
      <c r="R645" s="30" t="str">
        <f aca="false">IF($A645="","",$A645+MOD(6-WEEKDAY($A645),7))</f>
        <v/>
      </c>
      <c r="S645" s="31" t="str">
        <f aca="false">IF($B645="","",IF(AND($M645='Invoice Builder'!$C$5,$Q645='Invoice Builder'!$C$6,N($N645)&gt;0),COUNTIFS($M$5:$M645,'Invoice Builder'!$C$5,$Q$5:$Q645,'Invoice Builder'!$C$6,$N$5:$N645,"&gt;0"),""))</f>
        <v/>
      </c>
      <c r="T645" s="27" t="str">
        <f aca="false">IF($A645="","",IF($A645&gt;=DATE(YEAR($A645),4,6),YEAR($A645)&amp;"/"&amp;RIGHT(YEAR($A645)+1,2),YEAR($A645)-1&amp;"/"&amp;RIGHT(YEAR($A645),2)))</f>
        <v/>
      </c>
    </row>
    <row r="646" customFormat="false" ht="15" hidden="false" customHeight="false" outlineLevel="0" collapsed="false">
      <c r="A646" s="22"/>
      <c r="B646" s="23"/>
      <c r="C646" s="23"/>
      <c r="D646" s="23"/>
      <c r="E646" s="24"/>
      <c r="F646" s="24"/>
      <c r="G646" s="23"/>
      <c r="H646" s="23"/>
      <c r="I646" s="25"/>
      <c r="J646" s="23"/>
      <c r="K646" s="23"/>
      <c r="L646" s="26" t="str">
        <f aca="false">IF(OR($E646="",$F646=""),"",MOD($F646-$E646,1)*24)</f>
        <v/>
      </c>
      <c r="M646" s="27" t="str">
        <f aca="false">IF($B646="","",IFERROR(INDEX(Properties!$D$5:$D$104,MATCH($B646,Properties!$A$5:$A$104,0)),"?"))</f>
        <v/>
      </c>
      <c r="N646" s="28" t="str">
        <f aca="false">IF($B646="","",IFERROR(IF($D646="Completed",INDEX(Properties!$I$5:$I$104,MATCH($B646,Properties!$A$5:$A$104,0))*(1+IF($G646="Y",Settings!$B$8,0))+IF($H646="Y",Settings!$B$7,0)+N($I646),IF($D646="Deep clean",INDEX(Settings!$E$22:$E$26,MATCH(MIN(INDEX(Properties!$E$5:$E$104,MATCH($B646,Properties!$A$5:$A$104,0)),4),Settings!$A$22:$A$26,0))+N($I646),IF($D646="Late cancel",INDEX(Properties!$I$5:$I$104,MATCH($B646,Properties!$A$5:$A$104,0))*Settings!$B$10,0))),0))</f>
        <v/>
      </c>
      <c r="O646" s="28" t="str">
        <f aca="false">IF($B646="","",IFERROR(IF($D646="Completed",INDEX(Properties!$L$5:$L$104,MATCH($B646,Properties!$A$5:$A$104,0))+IF($G646="Y",INDEX(Properties!$I$5:$I$104,MATCH($B646,Properties!$A$5:$A$104,0))*Settings!$B$8*Settings!$B$9,0)+IF($H646="Y",Settings!$B$7*Settings!$B$9,0)+N($I646)*Settings!$B$9,IF($D646="Deep clean",INDEX(Settings!$E$22:$E$26,MATCH(MIN(INDEX(Properties!$E$5:$E$104,MATCH($B646,Properties!$A$5:$A$104,0)),4),Settings!$A$22:$A$26,0))*Settings!$B$19+N($I646)*Settings!$B$9,IF($D646="Late cancel",INDEX(Properties!$L$5:$L$104,MATCH($B646,Properties!$A$5:$A$104,0))*Settings!$B$11,0))),0))</f>
        <v/>
      </c>
      <c r="P646" s="28" t="str">
        <f aca="false">IF($B646="","",$N646-$O646)</f>
        <v/>
      </c>
      <c r="Q646" s="29" t="str">
        <f aca="false">IF($A646="","",DATE(YEAR($A646),MONTH($A646),1))</f>
        <v/>
      </c>
      <c r="R646" s="30" t="str">
        <f aca="false">IF($A646="","",$A646+MOD(6-WEEKDAY($A646),7))</f>
        <v/>
      </c>
      <c r="S646" s="31" t="str">
        <f aca="false">IF($B646="","",IF(AND($M646='Invoice Builder'!$C$5,$Q646='Invoice Builder'!$C$6,N($N646)&gt;0),COUNTIFS($M$5:$M646,'Invoice Builder'!$C$5,$Q$5:$Q646,'Invoice Builder'!$C$6,$N$5:$N646,"&gt;0"),""))</f>
        <v/>
      </c>
      <c r="T646" s="27" t="str">
        <f aca="false">IF($A646="","",IF($A646&gt;=DATE(YEAR($A646),4,6),YEAR($A646)&amp;"/"&amp;RIGHT(YEAR($A646)+1,2),YEAR($A646)-1&amp;"/"&amp;RIGHT(YEAR($A646),2)))</f>
        <v/>
      </c>
    </row>
    <row r="647" customFormat="false" ht="15" hidden="false" customHeight="false" outlineLevel="0" collapsed="false">
      <c r="A647" s="22"/>
      <c r="B647" s="23"/>
      <c r="C647" s="23"/>
      <c r="D647" s="23"/>
      <c r="E647" s="24"/>
      <c r="F647" s="24"/>
      <c r="G647" s="23"/>
      <c r="H647" s="23"/>
      <c r="I647" s="25"/>
      <c r="J647" s="23"/>
      <c r="K647" s="23"/>
      <c r="L647" s="26" t="str">
        <f aca="false">IF(OR($E647="",$F647=""),"",MOD($F647-$E647,1)*24)</f>
        <v/>
      </c>
      <c r="M647" s="27" t="str">
        <f aca="false">IF($B647="","",IFERROR(INDEX(Properties!$D$5:$D$104,MATCH($B647,Properties!$A$5:$A$104,0)),"?"))</f>
        <v/>
      </c>
      <c r="N647" s="28" t="str">
        <f aca="false">IF($B647="","",IFERROR(IF($D647="Completed",INDEX(Properties!$I$5:$I$104,MATCH($B647,Properties!$A$5:$A$104,0))*(1+IF($G647="Y",Settings!$B$8,0))+IF($H647="Y",Settings!$B$7,0)+N($I647),IF($D647="Deep clean",INDEX(Settings!$E$22:$E$26,MATCH(MIN(INDEX(Properties!$E$5:$E$104,MATCH($B647,Properties!$A$5:$A$104,0)),4),Settings!$A$22:$A$26,0))+N($I647),IF($D647="Late cancel",INDEX(Properties!$I$5:$I$104,MATCH($B647,Properties!$A$5:$A$104,0))*Settings!$B$10,0))),0))</f>
        <v/>
      </c>
      <c r="O647" s="28" t="str">
        <f aca="false">IF($B647="","",IFERROR(IF($D647="Completed",INDEX(Properties!$L$5:$L$104,MATCH($B647,Properties!$A$5:$A$104,0))+IF($G647="Y",INDEX(Properties!$I$5:$I$104,MATCH($B647,Properties!$A$5:$A$104,0))*Settings!$B$8*Settings!$B$9,0)+IF($H647="Y",Settings!$B$7*Settings!$B$9,0)+N($I647)*Settings!$B$9,IF($D647="Deep clean",INDEX(Settings!$E$22:$E$26,MATCH(MIN(INDEX(Properties!$E$5:$E$104,MATCH($B647,Properties!$A$5:$A$104,0)),4),Settings!$A$22:$A$26,0))*Settings!$B$19+N($I647)*Settings!$B$9,IF($D647="Late cancel",INDEX(Properties!$L$5:$L$104,MATCH($B647,Properties!$A$5:$A$104,0))*Settings!$B$11,0))),0))</f>
        <v/>
      </c>
      <c r="P647" s="28" t="str">
        <f aca="false">IF($B647="","",$N647-$O647)</f>
        <v/>
      </c>
      <c r="Q647" s="29" t="str">
        <f aca="false">IF($A647="","",DATE(YEAR($A647),MONTH($A647),1))</f>
        <v/>
      </c>
      <c r="R647" s="30" t="str">
        <f aca="false">IF($A647="","",$A647+MOD(6-WEEKDAY($A647),7))</f>
        <v/>
      </c>
      <c r="S647" s="31" t="str">
        <f aca="false">IF($B647="","",IF(AND($M647='Invoice Builder'!$C$5,$Q647='Invoice Builder'!$C$6,N($N647)&gt;0),COUNTIFS($M$5:$M647,'Invoice Builder'!$C$5,$Q$5:$Q647,'Invoice Builder'!$C$6,$N$5:$N647,"&gt;0"),""))</f>
        <v/>
      </c>
      <c r="T647" s="27" t="str">
        <f aca="false">IF($A647="","",IF($A647&gt;=DATE(YEAR($A647),4,6),YEAR($A647)&amp;"/"&amp;RIGHT(YEAR($A647)+1,2),YEAR($A647)-1&amp;"/"&amp;RIGHT(YEAR($A647),2)))</f>
        <v/>
      </c>
    </row>
    <row r="648" customFormat="false" ht="15" hidden="false" customHeight="false" outlineLevel="0" collapsed="false">
      <c r="A648" s="22"/>
      <c r="B648" s="23"/>
      <c r="C648" s="23"/>
      <c r="D648" s="23"/>
      <c r="E648" s="24"/>
      <c r="F648" s="24"/>
      <c r="G648" s="23"/>
      <c r="H648" s="23"/>
      <c r="I648" s="25"/>
      <c r="J648" s="23"/>
      <c r="K648" s="23"/>
      <c r="L648" s="26" t="str">
        <f aca="false">IF(OR($E648="",$F648=""),"",MOD($F648-$E648,1)*24)</f>
        <v/>
      </c>
      <c r="M648" s="27" t="str">
        <f aca="false">IF($B648="","",IFERROR(INDEX(Properties!$D$5:$D$104,MATCH($B648,Properties!$A$5:$A$104,0)),"?"))</f>
        <v/>
      </c>
      <c r="N648" s="28" t="str">
        <f aca="false">IF($B648="","",IFERROR(IF($D648="Completed",INDEX(Properties!$I$5:$I$104,MATCH($B648,Properties!$A$5:$A$104,0))*(1+IF($G648="Y",Settings!$B$8,0))+IF($H648="Y",Settings!$B$7,0)+N($I648),IF($D648="Deep clean",INDEX(Settings!$E$22:$E$26,MATCH(MIN(INDEX(Properties!$E$5:$E$104,MATCH($B648,Properties!$A$5:$A$104,0)),4),Settings!$A$22:$A$26,0))+N($I648),IF($D648="Late cancel",INDEX(Properties!$I$5:$I$104,MATCH($B648,Properties!$A$5:$A$104,0))*Settings!$B$10,0))),0))</f>
        <v/>
      </c>
      <c r="O648" s="28" t="str">
        <f aca="false">IF($B648="","",IFERROR(IF($D648="Completed",INDEX(Properties!$L$5:$L$104,MATCH($B648,Properties!$A$5:$A$104,0))+IF($G648="Y",INDEX(Properties!$I$5:$I$104,MATCH($B648,Properties!$A$5:$A$104,0))*Settings!$B$8*Settings!$B$9,0)+IF($H648="Y",Settings!$B$7*Settings!$B$9,0)+N($I648)*Settings!$B$9,IF($D648="Deep clean",INDEX(Settings!$E$22:$E$26,MATCH(MIN(INDEX(Properties!$E$5:$E$104,MATCH($B648,Properties!$A$5:$A$104,0)),4),Settings!$A$22:$A$26,0))*Settings!$B$19+N($I648)*Settings!$B$9,IF($D648="Late cancel",INDEX(Properties!$L$5:$L$104,MATCH($B648,Properties!$A$5:$A$104,0))*Settings!$B$11,0))),0))</f>
        <v/>
      </c>
      <c r="P648" s="28" t="str">
        <f aca="false">IF($B648="","",$N648-$O648)</f>
        <v/>
      </c>
      <c r="Q648" s="29" t="str">
        <f aca="false">IF($A648="","",DATE(YEAR($A648),MONTH($A648),1))</f>
        <v/>
      </c>
      <c r="R648" s="30" t="str">
        <f aca="false">IF($A648="","",$A648+MOD(6-WEEKDAY($A648),7))</f>
        <v/>
      </c>
      <c r="S648" s="31" t="str">
        <f aca="false">IF($B648="","",IF(AND($M648='Invoice Builder'!$C$5,$Q648='Invoice Builder'!$C$6,N($N648)&gt;0),COUNTIFS($M$5:$M648,'Invoice Builder'!$C$5,$Q$5:$Q648,'Invoice Builder'!$C$6,$N$5:$N648,"&gt;0"),""))</f>
        <v/>
      </c>
      <c r="T648" s="27" t="str">
        <f aca="false">IF($A648="","",IF($A648&gt;=DATE(YEAR($A648),4,6),YEAR($A648)&amp;"/"&amp;RIGHT(YEAR($A648)+1,2),YEAR($A648)-1&amp;"/"&amp;RIGHT(YEAR($A648),2)))</f>
        <v/>
      </c>
    </row>
    <row r="649" customFormat="false" ht="15" hidden="false" customHeight="false" outlineLevel="0" collapsed="false">
      <c r="A649" s="22"/>
      <c r="B649" s="23"/>
      <c r="C649" s="23"/>
      <c r="D649" s="23"/>
      <c r="E649" s="24"/>
      <c r="F649" s="24"/>
      <c r="G649" s="23"/>
      <c r="H649" s="23"/>
      <c r="I649" s="25"/>
      <c r="J649" s="23"/>
      <c r="K649" s="23"/>
      <c r="L649" s="26" t="str">
        <f aca="false">IF(OR($E649="",$F649=""),"",MOD($F649-$E649,1)*24)</f>
        <v/>
      </c>
      <c r="M649" s="27" t="str">
        <f aca="false">IF($B649="","",IFERROR(INDEX(Properties!$D$5:$D$104,MATCH($B649,Properties!$A$5:$A$104,0)),"?"))</f>
        <v/>
      </c>
      <c r="N649" s="28" t="str">
        <f aca="false">IF($B649="","",IFERROR(IF($D649="Completed",INDEX(Properties!$I$5:$I$104,MATCH($B649,Properties!$A$5:$A$104,0))*(1+IF($G649="Y",Settings!$B$8,0))+IF($H649="Y",Settings!$B$7,0)+N($I649),IF($D649="Deep clean",INDEX(Settings!$E$22:$E$26,MATCH(MIN(INDEX(Properties!$E$5:$E$104,MATCH($B649,Properties!$A$5:$A$104,0)),4),Settings!$A$22:$A$26,0))+N($I649),IF($D649="Late cancel",INDEX(Properties!$I$5:$I$104,MATCH($B649,Properties!$A$5:$A$104,0))*Settings!$B$10,0))),0))</f>
        <v/>
      </c>
      <c r="O649" s="28" t="str">
        <f aca="false">IF($B649="","",IFERROR(IF($D649="Completed",INDEX(Properties!$L$5:$L$104,MATCH($B649,Properties!$A$5:$A$104,0))+IF($G649="Y",INDEX(Properties!$I$5:$I$104,MATCH($B649,Properties!$A$5:$A$104,0))*Settings!$B$8*Settings!$B$9,0)+IF($H649="Y",Settings!$B$7*Settings!$B$9,0)+N($I649)*Settings!$B$9,IF($D649="Deep clean",INDEX(Settings!$E$22:$E$26,MATCH(MIN(INDEX(Properties!$E$5:$E$104,MATCH($B649,Properties!$A$5:$A$104,0)),4),Settings!$A$22:$A$26,0))*Settings!$B$19+N($I649)*Settings!$B$9,IF($D649="Late cancel",INDEX(Properties!$L$5:$L$104,MATCH($B649,Properties!$A$5:$A$104,0))*Settings!$B$11,0))),0))</f>
        <v/>
      </c>
      <c r="P649" s="28" t="str">
        <f aca="false">IF($B649="","",$N649-$O649)</f>
        <v/>
      </c>
      <c r="Q649" s="29" t="str">
        <f aca="false">IF($A649="","",DATE(YEAR($A649),MONTH($A649),1))</f>
        <v/>
      </c>
      <c r="R649" s="30" t="str">
        <f aca="false">IF($A649="","",$A649+MOD(6-WEEKDAY($A649),7))</f>
        <v/>
      </c>
      <c r="S649" s="31" t="str">
        <f aca="false">IF($B649="","",IF(AND($M649='Invoice Builder'!$C$5,$Q649='Invoice Builder'!$C$6,N($N649)&gt;0),COUNTIFS($M$5:$M649,'Invoice Builder'!$C$5,$Q$5:$Q649,'Invoice Builder'!$C$6,$N$5:$N649,"&gt;0"),""))</f>
        <v/>
      </c>
      <c r="T649" s="27" t="str">
        <f aca="false">IF($A649="","",IF($A649&gt;=DATE(YEAR($A649),4,6),YEAR($A649)&amp;"/"&amp;RIGHT(YEAR($A649)+1,2),YEAR($A649)-1&amp;"/"&amp;RIGHT(YEAR($A649),2)))</f>
        <v/>
      </c>
    </row>
    <row r="650" customFormat="false" ht="15" hidden="false" customHeight="false" outlineLevel="0" collapsed="false">
      <c r="A650" s="22"/>
      <c r="B650" s="23"/>
      <c r="C650" s="23"/>
      <c r="D650" s="23"/>
      <c r="E650" s="24"/>
      <c r="F650" s="24"/>
      <c r="G650" s="23"/>
      <c r="H650" s="23"/>
      <c r="I650" s="25"/>
      <c r="J650" s="23"/>
      <c r="K650" s="23"/>
      <c r="L650" s="26" t="str">
        <f aca="false">IF(OR($E650="",$F650=""),"",MOD($F650-$E650,1)*24)</f>
        <v/>
      </c>
      <c r="M650" s="27" t="str">
        <f aca="false">IF($B650="","",IFERROR(INDEX(Properties!$D$5:$D$104,MATCH($B650,Properties!$A$5:$A$104,0)),"?"))</f>
        <v/>
      </c>
      <c r="N650" s="28" t="str">
        <f aca="false">IF($B650="","",IFERROR(IF($D650="Completed",INDEX(Properties!$I$5:$I$104,MATCH($B650,Properties!$A$5:$A$104,0))*(1+IF($G650="Y",Settings!$B$8,0))+IF($H650="Y",Settings!$B$7,0)+N($I650),IF($D650="Deep clean",INDEX(Settings!$E$22:$E$26,MATCH(MIN(INDEX(Properties!$E$5:$E$104,MATCH($B650,Properties!$A$5:$A$104,0)),4),Settings!$A$22:$A$26,0))+N($I650),IF($D650="Late cancel",INDEX(Properties!$I$5:$I$104,MATCH($B650,Properties!$A$5:$A$104,0))*Settings!$B$10,0))),0))</f>
        <v/>
      </c>
      <c r="O650" s="28" t="str">
        <f aca="false">IF($B650="","",IFERROR(IF($D650="Completed",INDEX(Properties!$L$5:$L$104,MATCH($B650,Properties!$A$5:$A$104,0))+IF($G650="Y",INDEX(Properties!$I$5:$I$104,MATCH($B650,Properties!$A$5:$A$104,0))*Settings!$B$8*Settings!$B$9,0)+IF($H650="Y",Settings!$B$7*Settings!$B$9,0)+N($I650)*Settings!$B$9,IF($D650="Deep clean",INDEX(Settings!$E$22:$E$26,MATCH(MIN(INDEX(Properties!$E$5:$E$104,MATCH($B650,Properties!$A$5:$A$104,0)),4),Settings!$A$22:$A$26,0))*Settings!$B$19+N($I650)*Settings!$B$9,IF($D650="Late cancel",INDEX(Properties!$L$5:$L$104,MATCH($B650,Properties!$A$5:$A$104,0))*Settings!$B$11,0))),0))</f>
        <v/>
      </c>
      <c r="P650" s="28" t="str">
        <f aca="false">IF($B650="","",$N650-$O650)</f>
        <v/>
      </c>
      <c r="Q650" s="29" t="str">
        <f aca="false">IF($A650="","",DATE(YEAR($A650),MONTH($A650),1))</f>
        <v/>
      </c>
      <c r="R650" s="30" t="str">
        <f aca="false">IF($A650="","",$A650+MOD(6-WEEKDAY($A650),7))</f>
        <v/>
      </c>
      <c r="S650" s="31" t="str">
        <f aca="false">IF($B650="","",IF(AND($M650='Invoice Builder'!$C$5,$Q650='Invoice Builder'!$C$6,N($N650)&gt;0),COUNTIFS($M$5:$M650,'Invoice Builder'!$C$5,$Q$5:$Q650,'Invoice Builder'!$C$6,$N$5:$N650,"&gt;0"),""))</f>
        <v/>
      </c>
      <c r="T650" s="27" t="str">
        <f aca="false">IF($A650="","",IF($A650&gt;=DATE(YEAR($A650),4,6),YEAR($A650)&amp;"/"&amp;RIGHT(YEAR($A650)+1,2),YEAR($A650)-1&amp;"/"&amp;RIGHT(YEAR($A650),2)))</f>
        <v/>
      </c>
    </row>
    <row r="651" customFormat="false" ht="15" hidden="false" customHeight="false" outlineLevel="0" collapsed="false">
      <c r="A651" s="22"/>
      <c r="B651" s="23"/>
      <c r="C651" s="23"/>
      <c r="D651" s="23"/>
      <c r="E651" s="24"/>
      <c r="F651" s="24"/>
      <c r="G651" s="23"/>
      <c r="H651" s="23"/>
      <c r="I651" s="25"/>
      <c r="J651" s="23"/>
      <c r="K651" s="23"/>
      <c r="L651" s="26" t="str">
        <f aca="false">IF(OR($E651="",$F651=""),"",MOD($F651-$E651,1)*24)</f>
        <v/>
      </c>
      <c r="M651" s="27" t="str">
        <f aca="false">IF($B651="","",IFERROR(INDEX(Properties!$D$5:$D$104,MATCH($B651,Properties!$A$5:$A$104,0)),"?"))</f>
        <v/>
      </c>
      <c r="N651" s="28" t="str">
        <f aca="false">IF($B651="","",IFERROR(IF($D651="Completed",INDEX(Properties!$I$5:$I$104,MATCH($B651,Properties!$A$5:$A$104,0))*(1+IF($G651="Y",Settings!$B$8,0))+IF($H651="Y",Settings!$B$7,0)+N($I651),IF($D651="Deep clean",INDEX(Settings!$E$22:$E$26,MATCH(MIN(INDEX(Properties!$E$5:$E$104,MATCH($B651,Properties!$A$5:$A$104,0)),4),Settings!$A$22:$A$26,0))+N($I651),IF($D651="Late cancel",INDEX(Properties!$I$5:$I$104,MATCH($B651,Properties!$A$5:$A$104,0))*Settings!$B$10,0))),0))</f>
        <v/>
      </c>
      <c r="O651" s="28" t="str">
        <f aca="false">IF($B651="","",IFERROR(IF($D651="Completed",INDEX(Properties!$L$5:$L$104,MATCH($B651,Properties!$A$5:$A$104,0))+IF($G651="Y",INDEX(Properties!$I$5:$I$104,MATCH($B651,Properties!$A$5:$A$104,0))*Settings!$B$8*Settings!$B$9,0)+IF($H651="Y",Settings!$B$7*Settings!$B$9,0)+N($I651)*Settings!$B$9,IF($D651="Deep clean",INDEX(Settings!$E$22:$E$26,MATCH(MIN(INDEX(Properties!$E$5:$E$104,MATCH($B651,Properties!$A$5:$A$104,0)),4),Settings!$A$22:$A$26,0))*Settings!$B$19+N($I651)*Settings!$B$9,IF($D651="Late cancel",INDEX(Properties!$L$5:$L$104,MATCH($B651,Properties!$A$5:$A$104,0))*Settings!$B$11,0))),0))</f>
        <v/>
      </c>
      <c r="P651" s="28" t="str">
        <f aca="false">IF($B651="","",$N651-$O651)</f>
        <v/>
      </c>
      <c r="Q651" s="29" t="str">
        <f aca="false">IF($A651="","",DATE(YEAR($A651),MONTH($A651),1))</f>
        <v/>
      </c>
      <c r="R651" s="30" t="str">
        <f aca="false">IF($A651="","",$A651+MOD(6-WEEKDAY($A651),7))</f>
        <v/>
      </c>
      <c r="S651" s="31" t="str">
        <f aca="false">IF($B651="","",IF(AND($M651='Invoice Builder'!$C$5,$Q651='Invoice Builder'!$C$6,N($N651)&gt;0),COUNTIFS($M$5:$M651,'Invoice Builder'!$C$5,$Q$5:$Q651,'Invoice Builder'!$C$6,$N$5:$N651,"&gt;0"),""))</f>
        <v/>
      </c>
      <c r="T651" s="27" t="str">
        <f aca="false">IF($A651="","",IF($A651&gt;=DATE(YEAR($A651),4,6),YEAR($A651)&amp;"/"&amp;RIGHT(YEAR($A651)+1,2),YEAR($A651)-1&amp;"/"&amp;RIGHT(YEAR($A651),2)))</f>
        <v/>
      </c>
    </row>
    <row r="652" customFormat="false" ht="15" hidden="false" customHeight="false" outlineLevel="0" collapsed="false">
      <c r="A652" s="22"/>
      <c r="B652" s="23"/>
      <c r="C652" s="23"/>
      <c r="D652" s="23"/>
      <c r="E652" s="24"/>
      <c r="F652" s="24"/>
      <c r="G652" s="23"/>
      <c r="H652" s="23"/>
      <c r="I652" s="25"/>
      <c r="J652" s="23"/>
      <c r="K652" s="23"/>
      <c r="L652" s="26" t="str">
        <f aca="false">IF(OR($E652="",$F652=""),"",MOD($F652-$E652,1)*24)</f>
        <v/>
      </c>
      <c r="M652" s="27" t="str">
        <f aca="false">IF($B652="","",IFERROR(INDEX(Properties!$D$5:$D$104,MATCH($B652,Properties!$A$5:$A$104,0)),"?"))</f>
        <v/>
      </c>
      <c r="N652" s="28" t="str">
        <f aca="false">IF($B652="","",IFERROR(IF($D652="Completed",INDEX(Properties!$I$5:$I$104,MATCH($B652,Properties!$A$5:$A$104,0))*(1+IF($G652="Y",Settings!$B$8,0))+IF($H652="Y",Settings!$B$7,0)+N($I652),IF($D652="Deep clean",INDEX(Settings!$E$22:$E$26,MATCH(MIN(INDEX(Properties!$E$5:$E$104,MATCH($B652,Properties!$A$5:$A$104,0)),4),Settings!$A$22:$A$26,0))+N($I652),IF($D652="Late cancel",INDEX(Properties!$I$5:$I$104,MATCH($B652,Properties!$A$5:$A$104,0))*Settings!$B$10,0))),0))</f>
        <v/>
      </c>
      <c r="O652" s="28" t="str">
        <f aca="false">IF($B652="","",IFERROR(IF($D652="Completed",INDEX(Properties!$L$5:$L$104,MATCH($B652,Properties!$A$5:$A$104,0))+IF($G652="Y",INDEX(Properties!$I$5:$I$104,MATCH($B652,Properties!$A$5:$A$104,0))*Settings!$B$8*Settings!$B$9,0)+IF($H652="Y",Settings!$B$7*Settings!$B$9,0)+N($I652)*Settings!$B$9,IF($D652="Deep clean",INDEX(Settings!$E$22:$E$26,MATCH(MIN(INDEX(Properties!$E$5:$E$104,MATCH($B652,Properties!$A$5:$A$104,0)),4),Settings!$A$22:$A$26,0))*Settings!$B$19+N($I652)*Settings!$B$9,IF($D652="Late cancel",INDEX(Properties!$L$5:$L$104,MATCH($B652,Properties!$A$5:$A$104,0))*Settings!$B$11,0))),0))</f>
        <v/>
      </c>
      <c r="P652" s="28" t="str">
        <f aca="false">IF($B652="","",$N652-$O652)</f>
        <v/>
      </c>
      <c r="Q652" s="29" t="str">
        <f aca="false">IF($A652="","",DATE(YEAR($A652),MONTH($A652),1))</f>
        <v/>
      </c>
      <c r="R652" s="30" t="str">
        <f aca="false">IF($A652="","",$A652+MOD(6-WEEKDAY($A652),7))</f>
        <v/>
      </c>
      <c r="S652" s="31" t="str">
        <f aca="false">IF($B652="","",IF(AND($M652='Invoice Builder'!$C$5,$Q652='Invoice Builder'!$C$6,N($N652)&gt;0),COUNTIFS($M$5:$M652,'Invoice Builder'!$C$5,$Q$5:$Q652,'Invoice Builder'!$C$6,$N$5:$N652,"&gt;0"),""))</f>
        <v/>
      </c>
      <c r="T652" s="27" t="str">
        <f aca="false">IF($A652="","",IF($A652&gt;=DATE(YEAR($A652),4,6),YEAR($A652)&amp;"/"&amp;RIGHT(YEAR($A652)+1,2),YEAR($A652)-1&amp;"/"&amp;RIGHT(YEAR($A652),2)))</f>
        <v/>
      </c>
    </row>
    <row r="653" customFormat="false" ht="15" hidden="false" customHeight="false" outlineLevel="0" collapsed="false">
      <c r="A653" s="22"/>
      <c r="B653" s="23"/>
      <c r="C653" s="23"/>
      <c r="D653" s="23"/>
      <c r="E653" s="24"/>
      <c r="F653" s="24"/>
      <c r="G653" s="23"/>
      <c r="H653" s="23"/>
      <c r="I653" s="25"/>
      <c r="J653" s="23"/>
      <c r="K653" s="23"/>
      <c r="L653" s="26" t="str">
        <f aca="false">IF(OR($E653="",$F653=""),"",MOD($F653-$E653,1)*24)</f>
        <v/>
      </c>
      <c r="M653" s="27" t="str">
        <f aca="false">IF($B653="","",IFERROR(INDEX(Properties!$D$5:$D$104,MATCH($B653,Properties!$A$5:$A$104,0)),"?"))</f>
        <v/>
      </c>
      <c r="N653" s="28" t="str">
        <f aca="false">IF($B653="","",IFERROR(IF($D653="Completed",INDEX(Properties!$I$5:$I$104,MATCH($B653,Properties!$A$5:$A$104,0))*(1+IF($G653="Y",Settings!$B$8,0))+IF($H653="Y",Settings!$B$7,0)+N($I653),IF($D653="Deep clean",INDEX(Settings!$E$22:$E$26,MATCH(MIN(INDEX(Properties!$E$5:$E$104,MATCH($B653,Properties!$A$5:$A$104,0)),4),Settings!$A$22:$A$26,0))+N($I653),IF($D653="Late cancel",INDEX(Properties!$I$5:$I$104,MATCH($B653,Properties!$A$5:$A$104,0))*Settings!$B$10,0))),0))</f>
        <v/>
      </c>
      <c r="O653" s="28" t="str">
        <f aca="false">IF($B653="","",IFERROR(IF($D653="Completed",INDEX(Properties!$L$5:$L$104,MATCH($B653,Properties!$A$5:$A$104,0))+IF($G653="Y",INDEX(Properties!$I$5:$I$104,MATCH($B653,Properties!$A$5:$A$104,0))*Settings!$B$8*Settings!$B$9,0)+IF($H653="Y",Settings!$B$7*Settings!$B$9,0)+N($I653)*Settings!$B$9,IF($D653="Deep clean",INDEX(Settings!$E$22:$E$26,MATCH(MIN(INDEX(Properties!$E$5:$E$104,MATCH($B653,Properties!$A$5:$A$104,0)),4),Settings!$A$22:$A$26,0))*Settings!$B$19+N($I653)*Settings!$B$9,IF($D653="Late cancel",INDEX(Properties!$L$5:$L$104,MATCH($B653,Properties!$A$5:$A$104,0))*Settings!$B$11,0))),0))</f>
        <v/>
      </c>
      <c r="P653" s="28" t="str">
        <f aca="false">IF($B653="","",$N653-$O653)</f>
        <v/>
      </c>
      <c r="Q653" s="29" t="str">
        <f aca="false">IF($A653="","",DATE(YEAR($A653),MONTH($A653),1))</f>
        <v/>
      </c>
      <c r="R653" s="30" t="str">
        <f aca="false">IF($A653="","",$A653+MOD(6-WEEKDAY($A653),7))</f>
        <v/>
      </c>
      <c r="S653" s="31" t="str">
        <f aca="false">IF($B653="","",IF(AND($M653='Invoice Builder'!$C$5,$Q653='Invoice Builder'!$C$6,N($N653)&gt;0),COUNTIFS($M$5:$M653,'Invoice Builder'!$C$5,$Q$5:$Q653,'Invoice Builder'!$C$6,$N$5:$N653,"&gt;0"),""))</f>
        <v/>
      </c>
      <c r="T653" s="27" t="str">
        <f aca="false">IF($A653="","",IF($A653&gt;=DATE(YEAR($A653),4,6),YEAR($A653)&amp;"/"&amp;RIGHT(YEAR($A653)+1,2),YEAR($A653)-1&amp;"/"&amp;RIGHT(YEAR($A653),2)))</f>
        <v/>
      </c>
    </row>
    <row r="654" customFormat="false" ht="15" hidden="false" customHeight="false" outlineLevel="0" collapsed="false">
      <c r="A654" s="22"/>
      <c r="B654" s="23"/>
      <c r="C654" s="23"/>
      <c r="D654" s="23"/>
      <c r="E654" s="24"/>
      <c r="F654" s="24"/>
      <c r="G654" s="23"/>
      <c r="H654" s="23"/>
      <c r="I654" s="25"/>
      <c r="J654" s="23"/>
      <c r="K654" s="23"/>
      <c r="L654" s="26" t="str">
        <f aca="false">IF(OR($E654="",$F654=""),"",MOD($F654-$E654,1)*24)</f>
        <v/>
      </c>
      <c r="M654" s="27" t="str">
        <f aca="false">IF($B654="","",IFERROR(INDEX(Properties!$D$5:$D$104,MATCH($B654,Properties!$A$5:$A$104,0)),"?"))</f>
        <v/>
      </c>
      <c r="N654" s="28" t="str">
        <f aca="false">IF($B654="","",IFERROR(IF($D654="Completed",INDEX(Properties!$I$5:$I$104,MATCH($B654,Properties!$A$5:$A$104,0))*(1+IF($G654="Y",Settings!$B$8,0))+IF($H654="Y",Settings!$B$7,0)+N($I654),IF($D654="Deep clean",INDEX(Settings!$E$22:$E$26,MATCH(MIN(INDEX(Properties!$E$5:$E$104,MATCH($B654,Properties!$A$5:$A$104,0)),4),Settings!$A$22:$A$26,0))+N($I654),IF($D654="Late cancel",INDEX(Properties!$I$5:$I$104,MATCH($B654,Properties!$A$5:$A$104,0))*Settings!$B$10,0))),0))</f>
        <v/>
      </c>
      <c r="O654" s="28" t="str">
        <f aca="false">IF($B654="","",IFERROR(IF($D654="Completed",INDEX(Properties!$L$5:$L$104,MATCH($B654,Properties!$A$5:$A$104,0))+IF($G654="Y",INDEX(Properties!$I$5:$I$104,MATCH($B654,Properties!$A$5:$A$104,0))*Settings!$B$8*Settings!$B$9,0)+IF($H654="Y",Settings!$B$7*Settings!$B$9,0)+N($I654)*Settings!$B$9,IF($D654="Deep clean",INDEX(Settings!$E$22:$E$26,MATCH(MIN(INDEX(Properties!$E$5:$E$104,MATCH($B654,Properties!$A$5:$A$104,0)),4),Settings!$A$22:$A$26,0))*Settings!$B$19+N($I654)*Settings!$B$9,IF($D654="Late cancel",INDEX(Properties!$L$5:$L$104,MATCH($B654,Properties!$A$5:$A$104,0))*Settings!$B$11,0))),0))</f>
        <v/>
      </c>
      <c r="P654" s="28" t="str">
        <f aca="false">IF($B654="","",$N654-$O654)</f>
        <v/>
      </c>
      <c r="Q654" s="29" t="str">
        <f aca="false">IF($A654="","",DATE(YEAR($A654),MONTH($A654),1))</f>
        <v/>
      </c>
      <c r="R654" s="30" t="str">
        <f aca="false">IF($A654="","",$A654+MOD(6-WEEKDAY($A654),7))</f>
        <v/>
      </c>
      <c r="S654" s="31" t="str">
        <f aca="false">IF($B654="","",IF(AND($M654='Invoice Builder'!$C$5,$Q654='Invoice Builder'!$C$6,N($N654)&gt;0),COUNTIFS($M$5:$M654,'Invoice Builder'!$C$5,$Q$5:$Q654,'Invoice Builder'!$C$6,$N$5:$N654,"&gt;0"),""))</f>
        <v/>
      </c>
      <c r="T654" s="27" t="str">
        <f aca="false">IF($A654="","",IF($A654&gt;=DATE(YEAR($A654),4,6),YEAR($A654)&amp;"/"&amp;RIGHT(YEAR($A654)+1,2),YEAR($A654)-1&amp;"/"&amp;RIGHT(YEAR($A654),2)))</f>
        <v/>
      </c>
    </row>
    <row r="655" customFormat="false" ht="15" hidden="false" customHeight="false" outlineLevel="0" collapsed="false">
      <c r="A655" s="22"/>
      <c r="B655" s="23"/>
      <c r="C655" s="23"/>
      <c r="D655" s="23"/>
      <c r="E655" s="24"/>
      <c r="F655" s="24"/>
      <c r="G655" s="23"/>
      <c r="H655" s="23"/>
      <c r="I655" s="25"/>
      <c r="J655" s="23"/>
      <c r="K655" s="23"/>
      <c r="L655" s="26" t="str">
        <f aca="false">IF(OR($E655="",$F655=""),"",MOD($F655-$E655,1)*24)</f>
        <v/>
      </c>
      <c r="M655" s="27" t="str">
        <f aca="false">IF($B655="","",IFERROR(INDEX(Properties!$D$5:$D$104,MATCH($B655,Properties!$A$5:$A$104,0)),"?"))</f>
        <v/>
      </c>
      <c r="N655" s="28" t="str">
        <f aca="false">IF($B655="","",IFERROR(IF($D655="Completed",INDEX(Properties!$I$5:$I$104,MATCH($B655,Properties!$A$5:$A$104,0))*(1+IF($G655="Y",Settings!$B$8,0))+IF($H655="Y",Settings!$B$7,0)+N($I655),IF($D655="Deep clean",INDEX(Settings!$E$22:$E$26,MATCH(MIN(INDEX(Properties!$E$5:$E$104,MATCH($B655,Properties!$A$5:$A$104,0)),4),Settings!$A$22:$A$26,0))+N($I655),IF($D655="Late cancel",INDEX(Properties!$I$5:$I$104,MATCH($B655,Properties!$A$5:$A$104,0))*Settings!$B$10,0))),0))</f>
        <v/>
      </c>
      <c r="O655" s="28" t="str">
        <f aca="false">IF($B655="","",IFERROR(IF($D655="Completed",INDEX(Properties!$L$5:$L$104,MATCH($B655,Properties!$A$5:$A$104,0))+IF($G655="Y",INDEX(Properties!$I$5:$I$104,MATCH($B655,Properties!$A$5:$A$104,0))*Settings!$B$8*Settings!$B$9,0)+IF($H655="Y",Settings!$B$7*Settings!$B$9,0)+N($I655)*Settings!$B$9,IF($D655="Deep clean",INDEX(Settings!$E$22:$E$26,MATCH(MIN(INDEX(Properties!$E$5:$E$104,MATCH($B655,Properties!$A$5:$A$104,0)),4),Settings!$A$22:$A$26,0))*Settings!$B$19+N($I655)*Settings!$B$9,IF($D655="Late cancel",INDEX(Properties!$L$5:$L$104,MATCH($B655,Properties!$A$5:$A$104,0))*Settings!$B$11,0))),0))</f>
        <v/>
      </c>
      <c r="P655" s="28" t="str">
        <f aca="false">IF($B655="","",$N655-$O655)</f>
        <v/>
      </c>
      <c r="Q655" s="29" t="str">
        <f aca="false">IF($A655="","",DATE(YEAR($A655),MONTH($A655),1))</f>
        <v/>
      </c>
      <c r="R655" s="30" t="str">
        <f aca="false">IF($A655="","",$A655+MOD(6-WEEKDAY($A655),7))</f>
        <v/>
      </c>
      <c r="S655" s="31" t="str">
        <f aca="false">IF($B655="","",IF(AND($M655='Invoice Builder'!$C$5,$Q655='Invoice Builder'!$C$6,N($N655)&gt;0),COUNTIFS($M$5:$M655,'Invoice Builder'!$C$5,$Q$5:$Q655,'Invoice Builder'!$C$6,$N$5:$N655,"&gt;0"),""))</f>
        <v/>
      </c>
      <c r="T655" s="27" t="str">
        <f aca="false">IF($A655="","",IF($A655&gt;=DATE(YEAR($A655),4,6),YEAR($A655)&amp;"/"&amp;RIGHT(YEAR($A655)+1,2),YEAR($A655)-1&amp;"/"&amp;RIGHT(YEAR($A655),2)))</f>
        <v/>
      </c>
    </row>
    <row r="656" customFormat="false" ht="15" hidden="false" customHeight="false" outlineLevel="0" collapsed="false">
      <c r="A656" s="22"/>
      <c r="B656" s="23"/>
      <c r="C656" s="23"/>
      <c r="D656" s="23"/>
      <c r="E656" s="24"/>
      <c r="F656" s="24"/>
      <c r="G656" s="23"/>
      <c r="H656" s="23"/>
      <c r="I656" s="25"/>
      <c r="J656" s="23"/>
      <c r="K656" s="23"/>
      <c r="L656" s="26" t="str">
        <f aca="false">IF(OR($E656="",$F656=""),"",MOD($F656-$E656,1)*24)</f>
        <v/>
      </c>
      <c r="M656" s="27" t="str">
        <f aca="false">IF($B656="","",IFERROR(INDEX(Properties!$D$5:$D$104,MATCH($B656,Properties!$A$5:$A$104,0)),"?"))</f>
        <v/>
      </c>
      <c r="N656" s="28" t="str">
        <f aca="false">IF($B656="","",IFERROR(IF($D656="Completed",INDEX(Properties!$I$5:$I$104,MATCH($B656,Properties!$A$5:$A$104,0))*(1+IF($G656="Y",Settings!$B$8,0))+IF($H656="Y",Settings!$B$7,0)+N($I656),IF($D656="Deep clean",INDEX(Settings!$E$22:$E$26,MATCH(MIN(INDEX(Properties!$E$5:$E$104,MATCH($B656,Properties!$A$5:$A$104,0)),4),Settings!$A$22:$A$26,0))+N($I656),IF($D656="Late cancel",INDEX(Properties!$I$5:$I$104,MATCH($B656,Properties!$A$5:$A$104,0))*Settings!$B$10,0))),0))</f>
        <v/>
      </c>
      <c r="O656" s="28" t="str">
        <f aca="false">IF($B656="","",IFERROR(IF($D656="Completed",INDEX(Properties!$L$5:$L$104,MATCH($B656,Properties!$A$5:$A$104,0))+IF($G656="Y",INDEX(Properties!$I$5:$I$104,MATCH($B656,Properties!$A$5:$A$104,0))*Settings!$B$8*Settings!$B$9,0)+IF($H656="Y",Settings!$B$7*Settings!$B$9,0)+N($I656)*Settings!$B$9,IF($D656="Deep clean",INDEX(Settings!$E$22:$E$26,MATCH(MIN(INDEX(Properties!$E$5:$E$104,MATCH($B656,Properties!$A$5:$A$104,0)),4),Settings!$A$22:$A$26,0))*Settings!$B$19+N($I656)*Settings!$B$9,IF($D656="Late cancel",INDEX(Properties!$L$5:$L$104,MATCH($B656,Properties!$A$5:$A$104,0))*Settings!$B$11,0))),0))</f>
        <v/>
      </c>
      <c r="P656" s="28" t="str">
        <f aca="false">IF($B656="","",$N656-$O656)</f>
        <v/>
      </c>
      <c r="Q656" s="29" t="str">
        <f aca="false">IF($A656="","",DATE(YEAR($A656),MONTH($A656),1))</f>
        <v/>
      </c>
      <c r="R656" s="30" t="str">
        <f aca="false">IF($A656="","",$A656+MOD(6-WEEKDAY($A656),7))</f>
        <v/>
      </c>
      <c r="S656" s="31" t="str">
        <f aca="false">IF($B656="","",IF(AND($M656='Invoice Builder'!$C$5,$Q656='Invoice Builder'!$C$6,N($N656)&gt;0),COUNTIFS($M$5:$M656,'Invoice Builder'!$C$5,$Q$5:$Q656,'Invoice Builder'!$C$6,$N$5:$N656,"&gt;0"),""))</f>
        <v/>
      </c>
      <c r="T656" s="27" t="str">
        <f aca="false">IF($A656="","",IF($A656&gt;=DATE(YEAR($A656),4,6),YEAR($A656)&amp;"/"&amp;RIGHT(YEAR($A656)+1,2),YEAR($A656)-1&amp;"/"&amp;RIGHT(YEAR($A656),2)))</f>
        <v/>
      </c>
    </row>
    <row r="657" customFormat="false" ht="15" hidden="false" customHeight="false" outlineLevel="0" collapsed="false">
      <c r="A657" s="22"/>
      <c r="B657" s="23"/>
      <c r="C657" s="23"/>
      <c r="D657" s="23"/>
      <c r="E657" s="24"/>
      <c r="F657" s="24"/>
      <c r="G657" s="23"/>
      <c r="H657" s="23"/>
      <c r="I657" s="25"/>
      <c r="J657" s="23"/>
      <c r="K657" s="23"/>
      <c r="L657" s="26" t="str">
        <f aca="false">IF(OR($E657="",$F657=""),"",MOD($F657-$E657,1)*24)</f>
        <v/>
      </c>
      <c r="M657" s="27" t="str">
        <f aca="false">IF($B657="","",IFERROR(INDEX(Properties!$D$5:$D$104,MATCH($B657,Properties!$A$5:$A$104,0)),"?"))</f>
        <v/>
      </c>
      <c r="N657" s="28" t="str">
        <f aca="false">IF($B657="","",IFERROR(IF($D657="Completed",INDEX(Properties!$I$5:$I$104,MATCH($B657,Properties!$A$5:$A$104,0))*(1+IF($G657="Y",Settings!$B$8,0))+IF($H657="Y",Settings!$B$7,0)+N($I657),IF($D657="Deep clean",INDEX(Settings!$E$22:$E$26,MATCH(MIN(INDEX(Properties!$E$5:$E$104,MATCH($B657,Properties!$A$5:$A$104,0)),4),Settings!$A$22:$A$26,0))+N($I657),IF($D657="Late cancel",INDEX(Properties!$I$5:$I$104,MATCH($B657,Properties!$A$5:$A$104,0))*Settings!$B$10,0))),0))</f>
        <v/>
      </c>
      <c r="O657" s="28" t="str">
        <f aca="false">IF($B657="","",IFERROR(IF($D657="Completed",INDEX(Properties!$L$5:$L$104,MATCH($B657,Properties!$A$5:$A$104,0))+IF($G657="Y",INDEX(Properties!$I$5:$I$104,MATCH($B657,Properties!$A$5:$A$104,0))*Settings!$B$8*Settings!$B$9,0)+IF($H657="Y",Settings!$B$7*Settings!$B$9,0)+N($I657)*Settings!$B$9,IF($D657="Deep clean",INDEX(Settings!$E$22:$E$26,MATCH(MIN(INDEX(Properties!$E$5:$E$104,MATCH($B657,Properties!$A$5:$A$104,0)),4),Settings!$A$22:$A$26,0))*Settings!$B$19+N($I657)*Settings!$B$9,IF($D657="Late cancel",INDEX(Properties!$L$5:$L$104,MATCH($B657,Properties!$A$5:$A$104,0))*Settings!$B$11,0))),0))</f>
        <v/>
      </c>
      <c r="P657" s="28" t="str">
        <f aca="false">IF($B657="","",$N657-$O657)</f>
        <v/>
      </c>
      <c r="Q657" s="29" t="str">
        <f aca="false">IF($A657="","",DATE(YEAR($A657),MONTH($A657),1))</f>
        <v/>
      </c>
      <c r="R657" s="30" t="str">
        <f aca="false">IF($A657="","",$A657+MOD(6-WEEKDAY($A657),7))</f>
        <v/>
      </c>
      <c r="S657" s="31" t="str">
        <f aca="false">IF($B657="","",IF(AND($M657='Invoice Builder'!$C$5,$Q657='Invoice Builder'!$C$6,N($N657)&gt;0),COUNTIFS($M$5:$M657,'Invoice Builder'!$C$5,$Q$5:$Q657,'Invoice Builder'!$C$6,$N$5:$N657,"&gt;0"),""))</f>
        <v/>
      </c>
      <c r="T657" s="27" t="str">
        <f aca="false">IF($A657="","",IF($A657&gt;=DATE(YEAR($A657),4,6),YEAR($A657)&amp;"/"&amp;RIGHT(YEAR($A657)+1,2),YEAR($A657)-1&amp;"/"&amp;RIGHT(YEAR($A657),2)))</f>
        <v/>
      </c>
    </row>
    <row r="658" customFormat="false" ht="15" hidden="false" customHeight="false" outlineLevel="0" collapsed="false">
      <c r="A658" s="22"/>
      <c r="B658" s="23"/>
      <c r="C658" s="23"/>
      <c r="D658" s="23"/>
      <c r="E658" s="24"/>
      <c r="F658" s="24"/>
      <c r="G658" s="23"/>
      <c r="H658" s="23"/>
      <c r="I658" s="25"/>
      <c r="J658" s="23"/>
      <c r="K658" s="23"/>
      <c r="L658" s="26" t="str">
        <f aca="false">IF(OR($E658="",$F658=""),"",MOD($F658-$E658,1)*24)</f>
        <v/>
      </c>
      <c r="M658" s="27" t="str">
        <f aca="false">IF($B658="","",IFERROR(INDEX(Properties!$D$5:$D$104,MATCH($B658,Properties!$A$5:$A$104,0)),"?"))</f>
        <v/>
      </c>
      <c r="N658" s="28" t="str">
        <f aca="false">IF($B658="","",IFERROR(IF($D658="Completed",INDEX(Properties!$I$5:$I$104,MATCH($B658,Properties!$A$5:$A$104,0))*(1+IF($G658="Y",Settings!$B$8,0))+IF($H658="Y",Settings!$B$7,0)+N($I658),IF($D658="Deep clean",INDEX(Settings!$E$22:$E$26,MATCH(MIN(INDEX(Properties!$E$5:$E$104,MATCH($B658,Properties!$A$5:$A$104,0)),4),Settings!$A$22:$A$26,0))+N($I658),IF($D658="Late cancel",INDEX(Properties!$I$5:$I$104,MATCH($B658,Properties!$A$5:$A$104,0))*Settings!$B$10,0))),0))</f>
        <v/>
      </c>
      <c r="O658" s="28" t="str">
        <f aca="false">IF($B658="","",IFERROR(IF($D658="Completed",INDEX(Properties!$L$5:$L$104,MATCH($B658,Properties!$A$5:$A$104,0))+IF($G658="Y",INDEX(Properties!$I$5:$I$104,MATCH($B658,Properties!$A$5:$A$104,0))*Settings!$B$8*Settings!$B$9,0)+IF($H658="Y",Settings!$B$7*Settings!$B$9,0)+N($I658)*Settings!$B$9,IF($D658="Deep clean",INDEX(Settings!$E$22:$E$26,MATCH(MIN(INDEX(Properties!$E$5:$E$104,MATCH($B658,Properties!$A$5:$A$104,0)),4),Settings!$A$22:$A$26,0))*Settings!$B$19+N($I658)*Settings!$B$9,IF($D658="Late cancel",INDEX(Properties!$L$5:$L$104,MATCH($B658,Properties!$A$5:$A$104,0))*Settings!$B$11,0))),0))</f>
        <v/>
      </c>
      <c r="P658" s="28" t="str">
        <f aca="false">IF($B658="","",$N658-$O658)</f>
        <v/>
      </c>
      <c r="Q658" s="29" t="str">
        <f aca="false">IF($A658="","",DATE(YEAR($A658),MONTH($A658),1))</f>
        <v/>
      </c>
      <c r="R658" s="30" t="str">
        <f aca="false">IF($A658="","",$A658+MOD(6-WEEKDAY($A658),7))</f>
        <v/>
      </c>
      <c r="S658" s="31" t="str">
        <f aca="false">IF($B658="","",IF(AND($M658='Invoice Builder'!$C$5,$Q658='Invoice Builder'!$C$6,N($N658)&gt;0),COUNTIFS($M$5:$M658,'Invoice Builder'!$C$5,$Q$5:$Q658,'Invoice Builder'!$C$6,$N$5:$N658,"&gt;0"),""))</f>
        <v/>
      </c>
      <c r="T658" s="27" t="str">
        <f aca="false">IF($A658="","",IF($A658&gt;=DATE(YEAR($A658),4,6),YEAR($A658)&amp;"/"&amp;RIGHT(YEAR($A658)+1,2),YEAR($A658)-1&amp;"/"&amp;RIGHT(YEAR($A658),2)))</f>
        <v/>
      </c>
    </row>
    <row r="659" customFormat="false" ht="15" hidden="false" customHeight="false" outlineLevel="0" collapsed="false">
      <c r="A659" s="22"/>
      <c r="B659" s="23"/>
      <c r="C659" s="23"/>
      <c r="D659" s="23"/>
      <c r="E659" s="24"/>
      <c r="F659" s="24"/>
      <c r="G659" s="23"/>
      <c r="H659" s="23"/>
      <c r="I659" s="25"/>
      <c r="J659" s="23"/>
      <c r="K659" s="23"/>
      <c r="L659" s="26" t="str">
        <f aca="false">IF(OR($E659="",$F659=""),"",MOD($F659-$E659,1)*24)</f>
        <v/>
      </c>
      <c r="M659" s="27" t="str">
        <f aca="false">IF($B659="","",IFERROR(INDEX(Properties!$D$5:$D$104,MATCH($B659,Properties!$A$5:$A$104,0)),"?"))</f>
        <v/>
      </c>
      <c r="N659" s="28" t="str">
        <f aca="false">IF($B659="","",IFERROR(IF($D659="Completed",INDEX(Properties!$I$5:$I$104,MATCH($B659,Properties!$A$5:$A$104,0))*(1+IF($G659="Y",Settings!$B$8,0))+IF($H659="Y",Settings!$B$7,0)+N($I659),IF($D659="Deep clean",INDEX(Settings!$E$22:$E$26,MATCH(MIN(INDEX(Properties!$E$5:$E$104,MATCH($B659,Properties!$A$5:$A$104,0)),4),Settings!$A$22:$A$26,0))+N($I659),IF($D659="Late cancel",INDEX(Properties!$I$5:$I$104,MATCH($B659,Properties!$A$5:$A$104,0))*Settings!$B$10,0))),0))</f>
        <v/>
      </c>
      <c r="O659" s="28" t="str">
        <f aca="false">IF($B659="","",IFERROR(IF($D659="Completed",INDEX(Properties!$L$5:$L$104,MATCH($B659,Properties!$A$5:$A$104,0))+IF($G659="Y",INDEX(Properties!$I$5:$I$104,MATCH($B659,Properties!$A$5:$A$104,0))*Settings!$B$8*Settings!$B$9,0)+IF($H659="Y",Settings!$B$7*Settings!$B$9,0)+N($I659)*Settings!$B$9,IF($D659="Deep clean",INDEX(Settings!$E$22:$E$26,MATCH(MIN(INDEX(Properties!$E$5:$E$104,MATCH($B659,Properties!$A$5:$A$104,0)),4),Settings!$A$22:$A$26,0))*Settings!$B$19+N($I659)*Settings!$B$9,IF($D659="Late cancel",INDEX(Properties!$L$5:$L$104,MATCH($B659,Properties!$A$5:$A$104,0))*Settings!$B$11,0))),0))</f>
        <v/>
      </c>
      <c r="P659" s="28" t="str">
        <f aca="false">IF($B659="","",$N659-$O659)</f>
        <v/>
      </c>
      <c r="Q659" s="29" t="str">
        <f aca="false">IF($A659="","",DATE(YEAR($A659),MONTH($A659),1))</f>
        <v/>
      </c>
      <c r="R659" s="30" t="str">
        <f aca="false">IF($A659="","",$A659+MOD(6-WEEKDAY($A659),7))</f>
        <v/>
      </c>
      <c r="S659" s="31" t="str">
        <f aca="false">IF($B659="","",IF(AND($M659='Invoice Builder'!$C$5,$Q659='Invoice Builder'!$C$6,N($N659)&gt;0),COUNTIFS($M$5:$M659,'Invoice Builder'!$C$5,$Q$5:$Q659,'Invoice Builder'!$C$6,$N$5:$N659,"&gt;0"),""))</f>
        <v/>
      </c>
      <c r="T659" s="27" t="str">
        <f aca="false">IF($A659="","",IF($A659&gt;=DATE(YEAR($A659),4,6),YEAR($A659)&amp;"/"&amp;RIGHT(YEAR($A659)+1,2),YEAR($A659)-1&amp;"/"&amp;RIGHT(YEAR($A659),2)))</f>
        <v/>
      </c>
    </row>
    <row r="660" customFormat="false" ht="15" hidden="false" customHeight="false" outlineLevel="0" collapsed="false">
      <c r="A660" s="22"/>
      <c r="B660" s="23"/>
      <c r="C660" s="23"/>
      <c r="D660" s="23"/>
      <c r="E660" s="24"/>
      <c r="F660" s="24"/>
      <c r="G660" s="23"/>
      <c r="H660" s="23"/>
      <c r="I660" s="25"/>
      <c r="J660" s="23"/>
      <c r="K660" s="23"/>
      <c r="L660" s="26" t="str">
        <f aca="false">IF(OR($E660="",$F660=""),"",MOD($F660-$E660,1)*24)</f>
        <v/>
      </c>
      <c r="M660" s="27" t="str">
        <f aca="false">IF($B660="","",IFERROR(INDEX(Properties!$D$5:$D$104,MATCH($B660,Properties!$A$5:$A$104,0)),"?"))</f>
        <v/>
      </c>
      <c r="N660" s="28" t="str">
        <f aca="false">IF($B660="","",IFERROR(IF($D660="Completed",INDEX(Properties!$I$5:$I$104,MATCH($B660,Properties!$A$5:$A$104,0))*(1+IF($G660="Y",Settings!$B$8,0))+IF($H660="Y",Settings!$B$7,0)+N($I660),IF($D660="Deep clean",INDEX(Settings!$E$22:$E$26,MATCH(MIN(INDEX(Properties!$E$5:$E$104,MATCH($B660,Properties!$A$5:$A$104,0)),4),Settings!$A$22:$A$26,0))+N($I660),IF($D660="Late cancel",INDEX(Properties!$I$5:$I$104,MATCH($B660,Properties!$A$5:$A$104,0))*Settings!$B$10,0))),0))</f>
        <v/>
      </c>
      <c r="O660" s="28" t="str">
        <f aca="false">IF($B660="","",IFERROR(IF($D660="Completed",INDEX(Properties!$L$5:$L$104,MATCH($B660,Properties!$A$5:$A$104,0))+IF($G660="Y",INDEX(Properties!$I$5:$I$104,MATCH($B660,Properties!$A$5:$A$104,0))*Settings!$B$8*Settings!$B$9,0)+IF($H660="Y",Settings!$B$7*Settings!$B$9,0)+N($I660)*Settings!$B$9,IF($D660="Deep clean",INDEX(Settings!$E$22:$E$26,MATCH(MIN(INDEX(Properties!$E$5:$E$104,MATCH($B660,Properties!$A$5:$A$104,0)),4),Settings!$A$22:$A$26,0))*Settings!$B$19+N($I660)*Settings!$B$9,IF($D660="Late cancel",INDEX(Properties!$L$5:$L$104,MATCH($B660,Properties!$A$5:$A$104,0))*Settings!$B$11,0))),0))</f>
        <v/>
      </c>
      <c r="P660" s="28" t="str">
        <f aca="false">IF($B660="","",$N660-$O660)</f>
        <v/>
      </c>
      <c r="Q660" s="29" t="str">
        <f aca="false">IF($A660="","",DATE(YEAR($A660),MONTH($A660),1))</f>
        <v/>
      </c>
      <c r="R660" s="30" t="str">
        <f aca="false">IF($A660="","",$A660+MOD(6-WEEKDAY($A660),7))</f>
        <v/>
      </c>
      <c r="S660" s="31" t="str">
        <f aca="false">IF($B660="","",IF(AND($M660='Invoice Builder'!$C$5,$Q660='Invoice Builder'!$C$6,N($N660)&gt;0),COUNTIFS($M$5:$M660,'Invoice Builder'!$C$5,$Q$5:$Q660,'Invoice Builder'!$C$6,$N$5:$N660,"&gt;0"),""))</f>
        <v/>
      </c>
      <c r="T660" s="27" t="str">
        <f aca="false">IF($A660="","",IF($A660&gt;=DATE(YEAR($A660),4,6),YEAR($A660)&amp;"/"&amp;RIGHT(YEAR($A660)+1,2),YEAR($A660)-1&amp;"/"&amp;RIGHT(YEAR($A660),2)))</f>
        <v/>
      </c>
    </row>
    <row r="661" customFormat="false" ht="15" hidden="false" customHeight="false" outlineLevel="0" collapsed="false">
      <c r="A661" s="22"/>
      <c r="B661" s="23"/>
      <c r="C661" s="23"/>
      <c r="D661" s="23"/>
      <c r="E661" s="24"/>
      <c r="F661" s="24"/>
      <c r="G661" s="23"/>
      <c r="H661" s="23"/>
      <c r="I661" s="25"/>
      <c r="J661" s="23"/>
      <c r="K661" s="23"/>
      <c r="L661" s="26" t="str">
        <f aca="false">IF(OR($E661="",$F661=""),"",MOD($F661-$E661,1)*24)</f>
        <v/>
      </c>
      <c r="M661" s="27" t="str">
        <f aca="false">IF($B661="","",IFERROR(INDEX(Properties!$D$5:$D$104,MATCH($B661,Properties!$A$5:$A$104,0)),"?"))</f>
        <v/>
      </c>
      <c r="N661" s="28" t="str">
        <f aca="false">IF($B661="","",IFERROR(IF($D661="Completed",INDEX(Properties!$I$5:$I$104,MATCH($B661,Properties!$A$5:$A$104,0))*(1+IF($G661="Y",Settings!$B$8,0))+IF($H661="Y",Settings!$B$7,0)+N($I661),IF($D661="Deep clean",INDEX(Settings!$E$22:$E$26,MATCH(MIN(INDEX(Properties!$E$5:$E$104,MATCH($B661,Properties!$A$5:$A$104,0)),4),Settings!$A$22:$A$26,0))+N($I661),IF($D661="Late cancel",INDEX(Properties!$I$5:$I$104,MATCH($B661,Properties!$A$5:$A$104,0))*Settings!$B$10,0))),0))</f>
        <v/>
      </c>
      <c r="O661" s="28" t="str">
        <f aca="false">IF($B661="","",IFERROR(IF($D661="Completed",INDEX(Properties!$L$5:$L$104,MATCH($B661,Properties!$A$5:$A$104,0))+IF($G661="Y",INDEX(Properties!$I$5:$I$104,MATCH($B661,Properties!$A$5:$A$104,0))*Settings!$B$8*Settings!$B$9,0)+IF($H661="Y",Settings!$B$7*Settings!$B$9,0)+N($I661)*Settings!$B$9,IF($D661="Deep clean",INDEX(Settings!$E$22:$E$26,MATCH(MIN(INDEX(Properties!$E$5:$E$104,MATCH($B661,Properties!$A$5:$A$104,0)),4),Settings!$A$22:$A$26,0))*Settings!$B$19+N($I661)*Settings!$B$9,IF($D661="Late cancel",INDEX(Properties!$L$5:$L$104,MATCH($B661,Properties!$A$5:$A$104,0))*Settings!$B$11,0))),0))</f>
        <v/>
      </c>
      <c r="P661" s="28" t="str">
        <f aca="false">IF($B661="","",$N661-$O661)</f>
        <v/>
      </c>
      <c r="Q661" s="29" t="str">
        <f aca="false">IF($A661="","",DATE(YEAR($A661),MONTH($A661),1))</f>
        <v/>
      </c>
      <c r="R661" s="30" t="str">
        <f aca="false">IF($A661="","",$A661+MOD(6-WEEKDAY($A661),7))</f>
        <v/>
      </c>
      <c r="S661" s="31" t="str">
        <f aca="false">IF($B661="","",IF(AND($M661='Invoice Builder'!$C$5,$Q661='Invoice Builder'!$C$6,N($N661)&gt;0),COUNTIFS($M$5:$M661,'Invoice Builder'!$C$5,$Q$5:$Q661,'Invoice Builder'!$C$6,$N$5:$N661,"&gt;0"),""))</f>
        <v/>
      </c>
      <c r="T661" s="27" t="str">
        <f aca="false">IF($A661="","",IF($A661&gt;=DATE(YEAR($A661),4,6),YEAR($A661)&amp;"/"&amp;RIGHT(YEAR($A661)+1,2),YEAR($A661)-1&amp;"/"&amp;RIGHT(YEAR($A661),2)))</f>
        <v/>
      </c>
    </row>
    <row r="662" customFormat="false" ht="15" hidden="false" customHeight="false" outlineLevel="0" collapsed="false">
      <c r="A662" s="22"/>
      <c r="B662" s="23"/>
      <c r="C662" s="23"/>
      <c r="D662" s="23"/>
      <c r="E662" s="24"/>
      <c r="F662" s="24"/>
      <c r="G662" s="23"/>
      <c r="H662" s="23"/>
      <c r="I662" s="25"/>
      <c r="J662" s="23"/>
      <c r="K662" s="23"/>
      <c r="L662" s="26" t="str">
        <f aca="false">IF(OR($E662="",$F662=""),"",MOD($F662-$E662,1)*24)</f>
        <v/>
      </c>
      <c r="M662" s="27" t="str">
        <f aca="false">IF($B662="","",IFERROR(INDEX(Properties!$D$5:$D$104,MATCH($B662,Properties!$A$5:$A$104,0)),"?"))</f>
        <v/>
      </c>
      <c r="N662" s="28" t="str">
        <f aca="false">IF($B662="","",IFERROR(IF($D662="Completed",INDEX(Properties!$I$5:$I$104,MATCH($B662,Properties!$A$5:$A$104,0))*(1+IF($G662="Y",Settings!$B$8,0))+IF($H662="Y",Settings!$B$7,0)+N($I662),IF($D662="Deep clean",INDEX(Settings!$E$22:$E$26,MATCH(MIN(INDEX(Properties!$E$5:$E$104,MATCH($B662,Properties!$A$5:$A$104,0)),4),Settings!$A$22:$A$26,0))+N($I662),IF($D662="Late cancel",INDEX(Properties!$I$5:$I$104,MATCH($B662,Properties!$A$5:$A$104,0))*Settings!$B$10,0))),0))</f>
        <v/>
      </c>
      <c r="O662" s="28" t="str">
        <f aca="false">IF($B662="","",IFERROR(IF($D662="Completed",INDEX(Properties!$L$5:$L$104,MATCH($B662,Properties!$A$5:$A$104,0))+IF($G662="Y",INDEX(Properties!$I$5:$I$104,MATCH($B662,Properties!$A$5:$A$104,0))*Settings!$B$8*Settings!$B$9,0)+IF($H662="Y",Settings!$B$7*Settings!$B$9,0)+N($I662)*Settings!$B$9,IF($D662="Deep clean",INDEX(Settings!$E$22:$E$26,MATCH(MIN(INDEX(Properties!$E$5:$E$104,MATCH($B662,Properties!$A$5:$A$104,0)),4),Settings!$A$22:$A$26,0))*Settings!$B$19+N($I662)*Settings!$B$9,IF($D662="Late cancel",INDEX(Properties!$L$5:$L$104,MATCH($B662,Properties!$A$5:$A$104,0))*Settings!$B$11,0))),0))</f>
        <v/>
      </c>
      <c r="P662" s="28" t="str">
        <f aca="false">IF($B662="","",$N662-$O662)</f>
        <v/>
      </c>
      <c r="Q662" s="29" t="str">
        <f aca="false">IF($A662="","",DATE(YEAR($A662),MONTH($A662),1))</f>
        <v/>
      </c>
      <c r="R662" s="30" t="str">
        <f aca="false">IF($A662="","",$A662+MOD(6-WEEKDAY($A662),7))</f>
        <v/>
      </c>
      <c r="S662" s="31" t="str">
        <f aca="false">IF($B662="","",IF(AND($M662='Invoice Builder'!$C$5,$Q662='Invoice Builder'!$C$6,N($N662)&gt;0),COUNTIFS($M$5:$M662,'Invoice Builder'!$C$5,$Q$5:$Q662,'Invoice Builder'!$C$6,$N$5:$N662,"&gt;0"),""))</f>
        <v/>
      </c>
      <c r="T662" s="27" t="str">
        <f aca="false">IF($A662="","",IF($A662&gt;=DATE(YEAR($A662),4,6),YEAR($A662)&amp;"/"&amp;RIGHT(YEAR($A662)+1,2),YEAR($A662)-1&amp;"/"&amp;RIGHT(YEAR($A662),2)))</f>
        <v/>
      </c>
    </row>
    <row r="663" customFormat="false" ht="15" hidden="false" customHeight="false" outlineLevel="0" collapsed="false">
      <c r="A663" s="22"/>
      <c r="B663" s="23"/>
      <c r="C663" s="23"/>
      <c r="D663" s="23"/>
      <c r="E663" s="24"/>
      <c r="F663" s="24"/>
      <c r="G663" s="23"/>
      <c r="H663" s="23"/>
      <c r="I663" s="25"/>
      <c r="J663" s="23"/>
      <c r="K663" s="23"/>
      <c r="L663" s="26" t="str">
        <f aca="false">IF(OR($E663="",$F663=""),"",MOD($F663-$E663,1)*24)</f>
        <v/>
      </c>
      <c r="M663" s="27" t="str">
        <f aca="false">IF($B663="","",IFERROR(INDEX(Properties!$D$5:$D$104,MATCH($B663,Properties!$A$5:$A$104,0)),"?"))</f>
        <v/>
      </c>
      <c r="N663" s="28" t="str">
        <f aca="false">IF($B663="","",IFERROR(IF($D663="Completed",INDEX(Properties!$I$5:$I$104,MATCH($B663,Properties!$A$5:$A$104,0))*(1+IF($G663="Y",Settings!$B$8,0))+IF($H663="Y",Settings!$B$7,0)+N($I663),IF($D663="Deep clean",INDEX(Settings!$E$22:$E$26,MATCH(MIN(INDEX(Properties!$E$5:$E$104,MATCH($B663,Properties!$A$5:$A$104,0)),4),Settings!$A$22:$A$26,0))+N($I663),IF($D663="Late cancel",INDEX(Properties!$I$5:$I$104,MATCH($B663,Properties!$A$5:$A$104,0))*Settings!$B$10,0))),0))</f>
        <v/>
      </c>
      <c r="O663" s="28" t="str">
        <f aca="false">IF($B663="","",IFERROR(IF($D663="Completed",INDEX(Properties!$L$5:$L$104,MATCH($B663,Properties!$A$5:$A$104,0))+IF($G663="Y",INDEX(Properties!$I$5:$I$104,MATCH($B663,Properties!$A$5:$A$104,0))*Settings!$B$8*Settings!$B$9,0)+IF($H663="Y",Settings!$B$7*Settings!$B$9,0)+N($I663)*Settings!$B$9,IF($D663="Deep clean",INDEX(Settings!$E$22:$E$26,MATCH(MIN(INDEX(Properties!$E$5:$E$104,MATCH($B663,Properties!$A$5:$A$104,0)),4),Settings!$A$22:$A$26,0))*Settings!$B$19+N($I663)*Settings!$B$9,IF($D663="Late cancel",INDEX(Properties!$L$5:$L$104,MATCH($B663,Properties!$A$5:$A$104,0))*Settings!$B$11,0))),0))</f>
        <v/>
      </c>
      <c r="P663" s="28" t="str">
        <f aca="false">IF($B663="","",$N663-$O663)</f>
        <v/>
      </c>
      <c r="Q663" s="29" t="str">
        <f aca="false">IF($A663="","",DATE(YEAR($A663),MONTH($A663),1))</f>
        <v/>
      </c>
      <c r="R663" s="30" t="str">
        <f aca="false">IF($A663="","",$A663+MOD(6-WEEKDAY($A663),7))</f>
        <v/>
      </c>
      <c r="S663" s="31" t="str">
        <f aca="false">IF($B663="","",IF(AND($M663='Invoice Builder'!$C$5,$Q663='Invoice Builder'!$C$6,N($N663)&gt;0),COUNTIFS($M$5:$M663,'Invoice Builder'!$C$5,$Q$5:$Q663,'Invoice Builder'!$C$6,$N$5:$N663,"&gt;0"),""))</f>
        <v/>
      </c>
      <c r="T663" s="27" t="str">
        <f aca="false">IF($A663="","",IF($A663&gt;=DATE(YEAR($A663),4,6),YEAR($A663)&amp;"/"&amp;RIGHT(YEAR($A663)+1,2),YEAR($A663)-1&amp;"/"&amp;RIGHT(YEAR($A663),2)))</f>
        <v/>
      </c>
    </row>
    <row r="664" customFormat="false" ht="15" hidden="false" customHeight="false" outlineLevel="0" collapsed="false">
      <c r="A664" s="22"/>
      <c r="B664" s="23"/>
      <c r="C664" s="23"/>
      <c r="D664" s="23"/>
      <c r="E664" s="24"/>
      <c r="F664" s="24"/>
      <c r="G664" s="23"/>
      <c r="H664" s="23"/>
      <c r="I664" s="25"/>
      <c r="J664" s="23"/>
      <c r="K664" s="23"/>
      <c r="L664" s="26" t="str">
        <f aca="false">IF(OR($E664="",$F664=""),"",MOD($F664-$E664,1)*24)</f>
        <v/>
      </c>
      <c r="M664" s="27" t="str">
        <f aca="false">IF($B664="","",IFERROR(INDEX(Properties!$D$5:$D$104,MATCH($B664,Properties!$A$5:$A$104,0)),"?"))</f>
        <v/>
      </c>
      <c r="N664" s="28" t="str">
        <f aca="false">IF($B664="","",IFERROR(IF($D664="Completed",INDEX(Properties!$I$5:$I$104,MATCH($B664,Properties!$A$5:$A$104,0))*(1+IF($G664="Y",Settings!$B$8,0))+IF($H664="Y",Settings!$B$7,0)+N($I664),IF($D664="Deep clean",INDEX(Settings!$E$22:$E$26,MATCH(MIN(INDEX(Properties!$E$5:$E$104,MATCH($B664,Properties!$A$5:$A$104,0)),4),Settings!$A$22:$A$26,0))+N($I664),IF($D664="Late cancel",INDEX(Properties!$I$5:$I$104,MATCH($B664,Properties!$A$5:$A$104,0))*Settings!$B$10,0))),0))</f>
        <v/>
      </c>
      <c r="O664" s="28" t="str">
        <f aca="false">IF($B664="","",IFERROR(IF($D664="Completed",INDEX(Properties!$L$5:$L$104,MATCH($B664,Properties!$A$5:$A$104,0))+IF($G664="Y",INDEX(Properties!$I$5:$I$104,MATCH($B664,Properties!$A$5:$A$104,0))*Settings!$B$8*Settings!$B$9,0)+IF($H664="Y",Settings!$B$7*Settings!$B$9,0)+N($I664)*Settings!$B$9,IF($D664="Deep clean",INDEX(Settings!$E$22:$E$26,MATCH(MIN(INDEX(Properties!$E$5:$E$104,MATCH($B664,Properties!$A$5:$A$104,0)),4),Settings!$A$22:$A$26,0))*Settings!$B$19+N($I664)*Settings!$B$9,IF($D664="Late cancel",INDEX(Properties!$L$5:$L$104,MATCH($B664,Properties!$A$5:$A$104,0))*Settings!$B$11,0))),0))</f>
        <v/>
      </c>
      <c r="P664" s="28" t="str">
        <f aca="false">IF($B664="","",$N664-$O664)</f>
        <v/>
      </c>
      <c r="Q664" s="29" t="str">
        <f aca="false">IF($A664="","",DATE(YEAR($A664),MONTH($A664),1))</f>
        <v/>
      </c>
      <c r="R664" s="30" t="str">
        <f aca="false">IF($A664="","",$A664+MOD(6-WEEKDAY($A664),7))</f>
        <v/>
      </c>
      <c r="S664" s="31" t="str">
        <f aca="false">IF($B664="","",IF(AND($M664='Invoice Builder'!$C$5,$Q664='Invoice Builder'!$C$6,N($N664)&gt;0),COUNTIFS($M$5:$M664,'Invoice Builder'!$C$5,$Q$5:$Q664,'Invoice Builder'!$C$6,$N$5:$N664,"&gt;0"),""))</f>
        <v/>
      </c>
      <c r="T664" s="27" t="str">
        <f aca="false">IF($A664="","",IF($A664&gt;=DATE(YEAR($A664),4,6),YEAR($A664)&amp;"/"&amp;RIGHT(YEAR($A664)+1,2),YEAR($A664)-1&amp;"/"&amp;RIGHT(YEAR($A664),2)))</f>
        <v/>
      </c>
    </row>
    <row r="665" customFormat="false" ht="15" hidden="false" customHeight="false" outlineLevel="0" collapsed="false">
      <c r="A665" s="22"/>
      <c r="B665" s="23"/>
      <c r="C665" s="23"/>
      <c r="D665" s="23"/>
      <c r="E665" s="24"/>
      <c r="F665" s="24"/>
      <c r="G665" s="23"/>
      <c r="H665" s="23"/>
      <c r="I665" s="25"/>
      <c r="J665" s="23"/>
      <c r="K665" s="23"/>
      <c r="L665" s="26" t="str">
        <f aca="false">IF(OR($E665="",$F665=""),"",MOD($F665-$E665,1)*24)</f>
        <v/>
      </c>
      <c r="M665" s="27" t="str">
        <f aca="false">IF($B665="","",IFERROR(INDEX(Properties!$D$5:$D$104,MATCH($B665,Properties!$A$5:$A$104,0)),"?"))</f>
        <v/>
      </c>
      <c r="N665" s="28" t="str">
        <f aca="false">IF($B665="","",IFERROR(IF($D665="Completed",INDEX(Properties!$I$5:$I$104,MATCH($B665,Properties!$A$5:$A$104,0))*(1+IF($G665="Y",Settings!$B$8,0))+IF($H665="Y",Settings!$B$7,0)+N($I665),IF($D665="Deep clean",INDEX(Settings!$E$22:$E$26,MATCH(MIN(INDEX(Properties!$E$5:$E$104,MATCH($B665,Properties!$A$5:$A$104,0)),4),Settings!$A$22:$A$26,0))+N($I665),IF($D665="Late cancel",INDEX(Properties!$I$5:$I$104,MATCH($B665,Properties!$A$5:$A$104,0))*Settings!$B$10,0))),0))</f>
        <v/>
      </c>
      <c r="O665" s="28" t="str">
        <f aca="false">IF($B665="","",IFERROR(IF($D665="Completed",INDEX(Properties!$L$5:$L$104,MATCH($B665,Properties!$A$5:$A$104,0))+IF($G665="Y",INDEX(Properties!$I$5:$I$104,MATCH($B665,Properties!$A$5:$A$104,0))*Settings!$B$8*Settings!$B$9,0)+IF($H665="Y",Settings!$B$7*Settings!$B$9,0)+N($I665)*Settings!$B$9,IF($D665="Deep clean",INDEX(Settings!$E$22:$E$26,MATCH(MIN(INDEX(Properties!$E$5:$E$104,MATCH($B665,Properties!$A$5:$A$104,0)),4),Settings!$A$22:$A$26,0))*Settings!$B$19+N($I665)*Settings!$B$9,IF($D665="Late cancel",INDEX(Properties!$L$5:$L$104,MATCH($B665,Properties!$A$5:$A$104,0))*Settings!$B$11,0))),0))</f>
        <v/>
      </c>
      <c r="P665" s="28" t="str">
        <f aca="false">IF($B665="","",$N665-$O665)</f>
        <v/>
      </c>
      <c r="Q665" s="29" t="str">
        <f aca="false">IF($A665="","",DATE(YEAR($A665),MONTH($A665),1))</f>
        <v/>
      </c>
      <c r="R665" s="30" t="str">
        <f aca="false">IF($A665="","",$A665+MOD(6-WEEKDAY($A665),7))</f>
        <v/>
      </c>
      <c r="S665" s="31" t="str">
        <f aca="false">IF($B665="","",IF(AND($M665='Invoice Builder'!$C$5,$Q665='Invoice Builder'!$C$6,N($N665)&gt;0),COUNTIFS($M$5:$M665,'Invoice Builder'!$C$5,$Q$5:$Q665,'Invoice Builder'!$C$6,$N$5:$N665,"&gt;0"),""))</f>
        <v/>
      </c>
      <c r="T665" s="27" t="str">
        <f aca="false">IF($A665="","",IF($A665&gt;=DATE(YEAR($A665),4,6),YEAR($A665)&amp;"/"&amp;RIGHT(YEAR($A665)+1,2),YEAR($A665)-1&amp;"/"&amp;RIGHT(YEAR($A665),2)))</f>
        <v/>
      </c>
    </row>
    <row r="666" customFormat="false" ht="15" hidden="false" customHeight="false" outlineLevel="0" collapsed="false">
      <c r="A666" s="22"/>
      <c r="B666" s="23"/>
      <c r="C666" s="23"/>
      <c r="D666" s="23"/>
      <c r="E666" s="24"/>
      <c r="F666" s="24"/>
      <c r="G666" s="23"/>
      <c r="H666" s="23"/>
      <c r="I666" s="25"/>
      <c r="J666" s="23"/>
      <c r="K666" s="23"/>
      <c r="L666" s="26" t="str">
        <f aca="false">IF(OR($E666="",$F666=""),"",MOD($F666-$E666,1)*24)</f>
        <v/>
      </c>
      <c r="M666" s="27" t="str">
        <f aca="false">IF($B666="","",IFERROR(INDEX(Properties!$D$5:$D$104,MATCH($B666,Properties!$A$5:$A$104,0)),"?"))</f>
        <v/>
      </c>
      <c r="N666" s="28" t="str">
        <f aca="false">IF($B666="","",IFERROR(IF($D666="Completed",INDEX(Properties!$I$5:$I$104,MATCH($B666,Properties!$A$5:$A$104,0))*(1+IF($G666="Y",Settings!$B$8,0))+IF($H666="Y",Settings!$B$7,0)+N($I666),IF($D666="Deep clean",INDEX(Settings!$E$22:$E$26,MATCH(MIN(INDEX(Properties!$E$5:$E$104,MATCH($B666,Properties!$A$5:$A$104,0)),4),Settings!$A$22:$A$26,0))+N($I666),IF($D666="Late cancel",INDEX(Properties!$I$5:$I$104,MATCH($B666,Properties!$A$5:$A$104,0))*Settings!$B$10,0))),0))</f>
        <v/>
      </c>
      <c r="O666" s="28" t="str">
        <f aca="false">IF($B666="","",IFERROR(IF($D666="Completed",INDEX(Properties!$L$5:$L$104,MATCH($B666,Properties!$A$5:$A$104,0))+IF($G666="Y",INDEX(Properties!$I$5:$I$104,MATCH($B666,Properties!$A$5:$A$104,0))*Settings!$B$8*Settings!$B$9,0)+IF($H666="Y",Settings!$B$7*Settings!$B$9,0)+N($I666)*Settings!$B$9,IF($D666="Deep clean",INDEX(Settings!$E$22:$E$26,MATCH(MIN(INDEX(Properties!$E$5:$E$104,MATCH($B666,Properties!$A$5:$A$104,0)),4),Settings!$A$22:$A$26,0))*Settings!$B$19+N($I666)*Settings!$B$9,IF($D666="Late cancel",INDEX(Properties!$L$5:$L$104,MATCH($B666,Properties!$A$5:$A$104,0))*Settings!$B$11,0))),0))</f>
        <v/>
      </c>
      <c r="P666" s="28" t="str">
        <f aca="false">IF($B666="","",$N666-$O666)</f>
        <v/>
      </c>
      <c r="Q666" s="29" t="str">
        <f aca="false">IF($A666="","",DATE(YEAR($A666),MONTH($A666),1))</f>
        <v/>
      </c>
      <c r="R666" s="30" t="str">
        <f aca="false">IF($A666="","",$A666+MOD(6-WEEKDAY($A666),7))</f>
        <v/>
      </c>
      <c r="S666" s="31" t="str">
        <f aca="false">IF($B666="","",IF(AND($M666='Invoice Builder'!$C$5,$Q666='Invoice Builder'!$C$6,N($N666)&gt;0),COUNTIFS($M$5:$M666,'Invoice Builder'!$C$5,$Q$5:$Q666,'Invoice Builder'!$C$6,$N$5:$N666,"&gt;0"),""))</f>
        <v/>
      </c>
      <c r="T666" s="27" t="str">
        <f aca="false">IF($A666="","",IF($A666&gt;=DATE(YEAR($A666),4,6),YEAR($A666)&amp;"/"&amp;RIGHT(YEAR($A666)+1,2),YEAR($A666)-1&amp;"/"&amp;RIGHT(YEAR($A666),2)))</f>
        <v/>
      </c>
    </row>
    <row r="667" customFormat="false" ht="15" hidden="false" customHeight="false" outlineLevel="0" collapsed="false">
      <c r="A667" s="22"/>
      <c r="B667" s="23"/>
      <c r="C667" s="23"/>
      <c r="D667" s="23"/>
      <c r="E667" s="24"/>
      <c r="F667" s="24"/>
      <c r="G667" s="23"/>
      <c r="H667" s="23"/>
      <c r="I667" s="25"/>
      <c r="J667" s="23"/>
      <c r="K667" s="23"/>
      <c r="L667" s="26" t="str">
        <f aca="false">IF(OR($E667="",$F667=""),"",MOD($F667-$E667,1)*24)</f>
        <v/>
      </c>
      <c r="M667" s="27" t="str">
        <f aca="false">IF($B667="","",IFERROR(INDEX(Properties!$D$5:$D$104,MATCH($B667,Properties!$A$5:$A$104,0)),"?"))</f>
        <v/>
      </c>
      <c r="N667" s="28" t="str">
        <f aca="false">IF($B667="","",IFERROR(IF($D667="Completed",INDEX(Properties!$I$5:$I$104,MATCH($B667,Properties!$A$5:$A$104,0))*(1+IF($G667="Y",Settings!$B$8,0))+IF($H667="Y",Settings!$B$7,0)+N($I667),IF($D667="Deep clean",INDEX(Settings!$E$22:$E$26,MATCH(MIN(INDEX(Properties!$E$5:$E$104,MATCH($B667,Properties!$A$5:$A$104,0)),4),Settings!$A$22:$A$26,0))+N($I667),IF($D667="Late cancel",INDEX(Properties!$I$5:$I$104,MATCH($B667,Properties!$A$5:$A$104,0))*Settings!$B$10,0))),0))</f>
        <v/>
      </c>
      <c r="O667" s="28" t="str">
        <f aca="false">IF($B667="","",IFERROR(IF($D667="Completed",INDEX(Properties!$L$5:$L$104,MATCH($B667,Properties!$A$5:$A$104,0))+IF($G667="Y",INDEX(Properties!$I$5:$I$104,MATCH($B667,Properties!$A$5:$A$104,0))*Settings!$B$8*Settings!$B$9,0)+IF($H667="Y",Settings!$B$7*Settings!$B$9,0)+N($I667)*Settings!$B$9,IF($D667="Deep clean",INDEX(Settings!$E$22:$E$26,MATCH(MIN(INDEX(Properties!$E$5:$E$104,MATCH($B667,Properties!$A$5:$A$104,0)),4),Settings!$A$22:$A$26,0))*Settings!$B$19+N($I667)*Settings!$B$9,IF($D667="Late cancel",INDEX(Properties!$L$5:$L$104,MATCH($B667,Properties!$A$5:$A$104,0))*Settings!$B$11,0))),0))</f>
        <v/>
      </c>
      <c r="P667" s="28" t="str">
        <f aca="false">IF($B667="","",$N667-$O667)</f>
        <v/>
      </c>
      <c r="Q667" s="29" t="str">
        <f aca="false">IF($A667="","",DATE(YEAR($A667),MONTH($A667),1))</f>
        <v/>
      </c>
      <c r="R667" s="30" t="str">
        <f aca="false">IF($A667="","",$A667+MOD(6-WEEKDAY($A667),7))</f>
        <v/>
      </c>
      <c r="S667" s="31" t="str">
        <f aca="false">IF($B667="","",IF(AND($M667='Invoice Builder'!$C$5,$Q667='Invoice Builder'!$C$6,N($N667)&gt;0),COUNTIFS($M$5:$M667,'Invoice Builder'!$C$5,$Q$5:$Q667,'Invoice Builder'!$C$6,$N$5:$N667,"&gt;0"),""))</f>
        <v/>
      </c>
      <c r="T667" s="27" t="str">
        <f aca="false">IF($A667="","",IF($A667&gt;=DATE(YEAR($A667),4,6),YEAR($A667)&amp;"/"&amp;RIGHT(YEAR($A667)+1,2),YEAR($A667)-1&amp;"/"&amp;RIGHT(YEAR($A667),2)))</f>
        <v/>
      </c>
    </row>
    <row r="668" customFormat="false" ht="15" hidden="false" customHeight="false" outlineLevel="0" collapsed="false">
      <c r="A668" s="22"/>
      <c r="B668" s="23"/>
      <c r="C668" s="23"/>
      <c r="D668" s="23"/>
      <c r="E668" s="24"/>
      <c r="F668" s="24"/>
      <c r="G668" s="23"/>
      <c r="H668" s="23"/>
      <c r="I668" s="25"/>
      <c r="J668" s="23"/>
      <c r="K668" s="23"/>
      <c r="L668" s="26" t="str">
        <f aca="false">IF(OR($E668="",$F668=""),"",MOD($F668-$E668,1)*24)</f>
        <v/>
      </c>
      <c r="M668" s="27" t="str">
        <f aca="false">IF($B668="","",IFERROR(INDEX(Properties!$D$5:$D$104,MATCH($B668,Properties!$A$5:$A$104,0)),"?"))</f>
        <v/>
      </c>
      <c r="N668" s="28" t="str">
        <f aca="false">IF($B668="","",IFERROR(IF($D668="Completed",INDEX(Properties!$I$5:$I$104,MATCH($B668,Properties!$A$5:$A$104,0))*(1+IF($G668="Y",Settings!$B$8,0))+IF($H668="Y",Settings!$B$7,0)+N($I668),IF($D668="Deep clean",INDEX(Settings!$E$22:$E$26,MATCH(MIN(INDEX(Properties!$E$5:$E$104,MATCH($B668,Properties!$A$5:$A$104,0)),4),Settings!$A$22:$A$26,0))+N($I668),IF($D668="Late cancel",INDEX(Properties!$I$5:$I$104,MATCH($B668,Properties!$A$5:$A$104,0))*Settings!$B$10,0))),0))</f>
        <v/>
      </c>
      <c r="O668" s="28" t="str">
        <f aca="false">IF($B668="","",IFERROR(IF($D668="Completed",INDEX(Properties!$L$5:$L$104,MATCH($B668,Properties!$A$5:$A$104,0))+IF($G668="Y",INDEX(Properties!$I$5:$I$104,MATCH($B668,Properties!$A$5:$A$104,0))*Settings!$B$8*Settings!$B$9,0)+IF($H668="Y",Settings!$B$7*Settings!$B$9,0)+N($I668)*Settings!$B$9,IF($D668="Deep clean",INDEX(Settings!$E$22:$E$26,MATCH(MIN(INDEX(Properties!$E$5:$E$104,MATCH($B668,Properties!$A$5:$A$104,0)),4),Settings!$A$22:$A$26,0))*Settings!$B$19+N($I668)*Settings!$B$9,IF($D668="Late cancel",INDEX(Properties!$L$5:$L$104,MATCH($B668,Properties!$A$5:$A$104,0))*Settings!$B$11,0))),0))</f>
        <v/>
      </c>
      <c r="P668" s="28" t="str">
        <f aca="false">IF($B668="","",$N668-$O668)</f>
        <v/>
      </c>
      <c r="Q668" s="29" t="str">
        <f aca="false">IF($A668="","",DATE(YEAR($A668),MONTH($A668),1))</f>
        <v/>
      </c>
      <c r="R668" s="30" t="str">
        <f aca="false">IF($A668="","",$A668+MOD(6-WEEKDAY($A668),7))</f>
        <v/>
      </c>
      <c r="S668" s="31" t="str">
        <f aca="false">IF($B668="","",IF(AND($M668='Invoice Builder'!$C$5,$Q668='Invoice Builder'!$C$6,N($N668)&gt;0),COUNTIFS($M$5:$M668,'Invoice Builder'!$C$5,$Q$5:$Q668,'Invoice Builder'!$C$6,$N$5:$N668,"&gt;0"),""))</f>
        <v/>
      </c>
      <c r="T668" s="27" t="str">
        <f aca="false">IF($A668="","",IF($A668&gt;=DATE(YEAR($A668),4,6),YEAR($A668)&amp;"/"&amp;RIGHT(YEAR($A668)+1,2),YEAR($A668)-1&amp;"/"&amp;RIGHT(YEAR($A668),2)))</f>
        <v/>
      </c>
    </row>
    <row r="669" customFormat="false" ht="15" hidden="false" customHeight="false" outlineLevel="0" collapsed="false">
      <c r="A669" s="22"/>
      <c r="B669" s="23"/>
      <c r="C669" s="23"/>
      <c r="D669" s="23"/>
      <c r="E669" s="24"/>
      <c r="F669" s="24"/>
      <c r="G669" s="23"/>
      <c r="H669" s="23"/>
      <c r="I669" s="25"/>
      <c r="J669" s="23"/>
      <c r="K669" s="23"/>
      <c r="L669" s="26" t="str">
        <f aca="false">IF(OR($E669="",$F669=""),"",MOD($F669-$E669,1)*24)</f>
        <v/>
      </c>
      <c r="M669" s="27" t="str">
        <f aca="false">IF($B669="","",IFERROR(INDEX(Properties!$D$5:$D$104,MATCH($B669,Properties!$A$5:$A$104,0)),"?"))</f>
        <v/>
      </c>
      <c r="N669" s="28" t="str">
        <f aca="false">IF($B669="","",IFERROR(IF($D669="Completed",INDEX(Properties!$I$5:$I$104,MATCH($B669,Properties!$A$5:$A$104,0))*(1+IF($G669="Y",Settings!$B$8,0))+IF($H669="Y",Settings!$B$7,0)+N($I669),IF($D669="Deep clean",INDEX(Settings!$E$22:$E$26,MATCH(MIN(INDEX(Properties!$E$5:$E$104,MATCH($B669,Properties!$A$5:$A$104,0)),4),Settings!$A$22:$A$26,0))+N($I669),IF($D669="Late cancel",INDEX(Properties!$I$5:$I$104,MATCH($B669,Properties!$A$5:$A$104,0))*Settings!$B$10,0))),0))</f>
        <v/>
      </c>
      <c r="O669" s="28" t="str">
        <f aca="false">IF($B669="","",IFERROR(IF($D669="Completed",INDEX(Properties!$L$5:$L$104,MATCH($B669,Properties!$A$5:$A$104,0))+IF($G669="Y",INDEX(Properties!$I$5:$I$104,MATCH($B669,Properties!$A$5:$A$104,0))*Settings!$B$8*Settings!$B$9,0)+IF($H669="Y",Settings!$B$7*Settings!$B$9,0)+N($I669)*Settings!$B$9,IF($D669="Deep clean",INDEX(Settings!$E$22:$E$26,MATCH(MIN(INDEX(Properties!$E$5:$E$104,MATCH($B669,Properties!$A$5:$A$104,0)),4),Settings!$A$22:$A$26,0))*Settings!$B$19+N($I669)*Settings!$B$9,IF($D669="Late cancel",INDEX(Properties!$L$5:$L$104,MATCH($B669,Properties!$A$5:$A$104,0))*Settings!$B$11,0))),0))</f>
        <v/>
      </c>
      <c r="P669" s="28" t="str">
        <f aca="false">IF($B669="","",$N669-$O669)</f>
        <v/>
      </c>
      <c r="Q669" s="29" t="str">
        <f aca="false">IF($A669="","",DATE(YEAR($A669),MONTH($A669),1))</f>
        <v/>
      </c>
      <c r="R669" s="30" t="str">
        <f aca="false">IF($A669="","",$A669+MOD(6-WEEKDAY($A669),7))</f>
        <v/>
      </c>
      <c r="S669" s="31" t="str">
        <f aca="false">IF($B669="","",IF(AND($M669='Invoice Builder'!$C$5,$Q669='Invoice Builder'!$C$6,N($N669)&gt;0),COUNTIFS($M$5:$M669,'Invoice Builder'!$C$5,$Q$5:$Q669,'Invoice Builder'!$C$6,$N$5:$N669,"&gt;0"),""))</f>
        <v/>
      </c>
      <c r="T669" s="27" t="str">
        <f aca="false">IF($A669="","",IF($A669&gt;=DATE(YEAR($A669),4,6),YEAR($A669)&amp;"/"&amp;RIGHT(YEAR($A669)+1,2),YEAR($A669)-1&amp;"/"&amp;RIGHT(YEAR($A669),2)))</f>
        <v/>
      </c>
    </row>
    <row r="670" customFormat="false" ht="15" hidden="false" customHeight="false" outlineLevel="0" collapsed="false">
      <c r="A670" s="22"/>
      <c r="B670" s="23"/>
      <c r="C670" s="23"/>
      <c r="D670" s="23"/>
      <c r="E670" s="24"/>
      <c r="F670" s="24"/>
      <c r="G670" s="23"/>
      <c r="H670" s="23"/>
      <c r="I670" s="25"/>
      <c r="J670" s="23"/>
      <c r="K670" s="23"/>
      <c r="L670" s="26" t="str">
        <f aca="false">IF(OR($E670="",$F670=""),"",MOD($F670-$E670,1)*24)</f>
        <v/>
      </c>
      <c r="M670" s="27" t="str">
        <f aca="false">IF($B670="","",IFERROR(INDEX(Properties!$D$5:$D$104,MATCH($B670,Properties!$A$5:$A$104,0)),"?"))</f>
        <v/>
      </c>
      <c r="N670" s="28" t="str">
        <f aca="false">IF($B670="","",IFERROR(IF($D670="Completed",INDEX(Properties!$I$5:$I$104,MATCH($B670,Properties!$A$5:$A$104,0))*(1+IF($G670="Y",Settings!$B$8,0))+IF($H670="Y",Settings!$B$7,0)+N($I670),IF($D670="Deep clean",INDEX(Settings!$E$22:$E$26,MATCH(MIN(INDEX(Properties!$E$5:$E$104,MATCH($B670,Properties!$A$5:$A$104,0)),4),Settings!$A$22:$A$26,0))+N($I670),IF($D670="Late cancel",INDEX(Properties!$I$5:$I$104,MATCH($B670,Properties!$A$5:$A$104,0))*Settings!$B$10,0))),0))</f>
        <v/>
      </c>
      <c r="O670" s="28" t="str">
        <f aca="false">IF($B670="","",IFERROR(IF($D670="Completed",INDEX(Properties!$L$5:$L$104,MATCH($B670,Properties!$A$5:$A$104,0))+IF($G670="Y",INDEX(Properties!$I$5:$I$104,MATCH($B670,Properties!$A$5:$A$104,0))*Settings!$B$8*Settings!$B$9,0)+IF($H670="Y",Settings!$B$7*Settings!$B$9,0)+N($I670)*Settings!$B$9,IF($D670="Deep clean",INDEX(Settings!$E$22:$E$26,MATCH(MIN(INDEX(Properties!$E$5:$E$104,MATCH($B670,Properties!$A$5:$A$104,0)),4),Settings!$A$22:$A$26,0))*Settings!$B$19+N($I670)*Settings!$B$9,IF($D670="Late cancel",INDEX(Properties!$L$5:$L$104,MATCH($B670,Properties!$A$5:$A$104,0))*Settings!$B$11,0))),0))</f>
        <v/>
      </c>
      <c r="P670" s="28" t="str">
        <f aca="false">IF($B670="","",$N670-$O670)</f>
        <v/>
      </c>
      <c r="Q670" s="29" t="str">
        <f aca="false">IF($A670="","",DATE(YEAR($A670),MONTH($A670),1))</f>
        <v/>
      </c>
      <c r="R670" s="30" t="str">
        <f aca="false">IF($A670="","",$A670+MOD(6-WEEKDAY($A670),7))</f>
        <v/>
      </c>
      <c r="S670" s="31" t="str">
        <f aca="false">IF($B670="","",IF(AND($M670='Invoice Builder'!$C$5,$Q670='Invoice Builder'!$C$6,N($N670)&gt;0),COUNTIFS($M$5:$M670,'Invoice Builder'!$C$5,$Q$5:$Q670,'Invoice Builder'!$C$6,$N$5:$N670,"&gt;0"),""))</f>
        <v/>
      </c>
      <c r="T670" s="27" t="str">
        <f aca="false">IF($A670="","",IF($A670&gt;=DATE(YEAR($A670),4,6),YEAR($A670)&amp;"/"&amp;RIGHT(YEAR($A670)+1,2),YEAR($A670)-1&amp;"/"&amp;RIGHT(YEAR($A670),2)))</f>
        <v/>
      </c>
    </row>
    <row r="671" customFormat="false" ht="15" hidden="false" customHeight="false" outlineLevel="0" collapsed="false">
      <c r="A671" s="22"/>
      <c r="B671" s="23"/>
      <c r="C671" s="23"/>
      <c r="D671" s="23"/>
      <c r="E671" s="24"/>
      <c r="F671" s="24"/>
      <c r="G671" s="23"/>
      <c r="H671" s="23"/>
      <c r="I671" s="25"/>
      <c r="J671" s="23"/>
      <c r="K671" s="23"/>
      <c r="L671" s="26" t="str">
        <f aca="false">IF(OR($E671="",$F671=""),"",MOD($F671-$E671,1)*24)</f>
        <v/>
      </c>
      <c r="M671" s="27" t="str">
        <f aca="false">IF($B671="","",IFERROR(INDEX(Properties!$D$5:$D$104,MATCH($B671,Properties!$A$5:$A$104,0)),"?"))</f>
        <v/>
      </c>
      <c r="N671" s="28" t="str">
        <f aca="false">IF($B671="","",IFERROR(IF($D671="Completed",INDEX(Properties!$I$5:$I$104,MATCH($B671,Properties!$A$5:$A$104,0))*(1+IF($G671="Y",Settings!$B$8,0))+IF($H671="Y",Settings!$B$7,0)+N($I671),IF($D671="Deep clean",INDEX(Settings!$E$22:$E$26,MATCH(MIN(INDEX(Properties!$E$5:$E$104,MATCH($B671,Properties!$A$5:$A$104,0)),4),Settings!$A$22:$A$26,0))+N($I671),IF($D671="Late cancel",INDEX(Properties!$I$5:$I$104,MATCH($B671,Properties!$A$5:$A$104,0))*Settings!$B$10,0))),0))</f>
        <v/>
      </c>
      <c r="O671" s="28" t="str">
        <f aca="false">IF($B671="","",IFERROR(IF($D671="Completed",INDEX(Properties!$L$5:$L$104,MATCH($B671,Properties!$A$5:$A$104,0))+IF($G671="Y",INDEX(Properties!$I$5:$I$104,MATCH($B671,Properties!$A$5:$A$104,0))*Settings!$B$8*Settings!$B$9,0)+IF($H671="Y",Settings!$B$7*Settings!$B$9,0)+N($I671)*Settings!$B$9,IF($D671="Deep clean",INDEX(Settings!$E$22:$E$26,MATCH(MIN(INDEX(Properties!$E$5:$E$104,MATCH($B671,Properties!$A$5:$A$104,0)),4),Settings!$A$22:$A$26,0))*Settings!$B$19+N($I671)*Settings!$B$9,IF($D671="Late cancel",INDEX(Properties!$L$5:$L$104,MATCH($B671,Properties!$A$5:$A$104,0))*Settings!$B$11,0))),0))</f>
        <v/>
      </c>
      <c r="P671" s="28" t="str">
        <f aca="false">IF($B671="","",$N671-$O671)</f>
        <v/>
      </c>
      <c r="Q671" s="29" t="str">
        <f aca="false">IF($A671="","",DATE(YEAR($A671),MONTH($A671),1))</f>
        <v/>
      </c>
      <c r="R671" s="30" t="str">
        <f aca="false">IF($A671="","",$A671+MOD(6-WEEKDAY($A671),7))</f>
        <v/>
      </c>
      <c r="S671" s="31" t="str">
        <f aca="false">IF($B671="","",IF(AND($M671='Invoice Builder'!$C$5,$Q671='Invoice Builder'!$C$6,N($N671)&gt;0),COUNTIFS($M$5:$M671,'Invoice Builder'!$C$5,$Q$5:$Q671,'Invoice Builder'!$C$6,$N$5:$N671,"&gt;0"),""))</f>
        <v/>
      </c>
      <c r="T671" s="27" t="str">
        <f aca="false">IF($A671="","",IF($A671&gt;=DATE(YEAR($A671),4,6),YEAR($A671)&amp;"/"&amp;RIGHT(YEAR($A671)+1,2),YEAR($A671)-1&amp;"/"&amp;RIGHT(YEAR($A671),2)))</f>
        <v/>
      </c>
    </row>
    <row r="672" customFormat="false" ht="15" hidden="false" customHeight="false" outlineLevel="0" collapsed="false">
      <c r="A672" s="22"/>
      <c r="B672" s="23"/>
      <c r="C672" s="23"/>
      <c r="D672" s="23"/>
      <c r="E672" s="24"/>
      <c r="F672" s="24"/>
      <c r="G672" s="23"/>
      <c r="H672" s="23"/>
      <c r="I672" s="25"/>
      <c r="J672" s="23"/>
      <c r="K672" s="23"/>
      <c r="L672" s="26" t="str">
        <f aca="false">IF(OR($E672="",$F672=""),"",MOD($F672-$E672,1)*24)</f>
        <v/>
      </c>
      <c r="M672" s="27" t="str">
        <f aca="false">IF($B672="","",IFERROR(INDEX(Properties!$D$5:$D$104,MATCH($B672,Properties!$A$5:$A$104,0)),"?"))</f>
        <v/>
      </c>
      <c r="N672" s="28" t="str">
        <f aca="false">IF($B672="","",IFERROR(IF($D672="Completed",INDEX(Properties!$I$5:$I$104,MATCH($B672,Properties!$A$5:$A$104,0))*(1+IF($G672="Y",Settings!$B$8,0))+IF($H672="Y",Settings!$B$7,0)+N($I672),IF($D672="Deep clean",INDEX(Settings!$E$22:$E$26,MATCH(MIN(INDEX(Properties!$E$5:$E$104,MATCH($B672,Properties!$A$5:$A$104,0)),4),Settings!$A$22:$A$26,0))+N($I672),IF($D672="Late cancel",INDEX(Properties!$I$5:$I$104,MATCH($B672,Properties!$A$5:$A$104,0))*Settings!$B$10,0))),0))</f>
        <v/>
      </c>
      <c r="O672" s="28" t="str">
        <f aca="false">IF($B672="","",IFERROR(IF($D672="Completed",INDEX(Properties!$L$5:$L$104,MATCH($B672,Properties!$A$5:$A$104,0))+IF($G672="Y",INDEX(Properties!$I$5:$I$104,MATCH($B672,Properties!$A$5:$A$104,0))*Settings!$B$8*Settings!$B$9,0)+IF($H672="Y",Settings!$B$7*Settings!$B$9,0)+N($I672)*Settings!$B$9,IF($D672="Deep clean",INDEX(Settings!$E$22:$E$26,MATCH(MIN(INDEX(Properties!$E$5:$E$104,MATCH($B672,Properties!$A$5:$A$104,0)),4),Settings!$A$22:$A$26,0))*Settings!$B$19+N($I672)*Settings!$B$9,IF($D672="Late cancel",INDEX(Properties!$L$5:$L$104,MATCH($B672,Properties!$A$5:$A$104,0))*Settings!$B$11,0))),0))</f>
        <v/>
      </c>
      <c r="P672" s="28" t="str">
        <f aca="false">IF($B672="","",$N672-$O672)</f>
        <v/>
      </c>
      <c r="Q672" s="29" t="str">
        <f aca="false">IF($A672="","",DATE(YEAR($A672),MONTH($A672),1))</f>
        <v/>
      </c>
      <c r="R672" s="30" t="str">
        <f aca="false">IF($A672="","",$A672+MOD(6-WEEKDAY($A672),7))</f>
        <v/>
      </c>
      <c r="S672" s="31" t="str">
        <f aca="false">IF($B672="","",IF(AND($M672='Invoice Builder'!$C$5,$Q672='Invoice Builder'!$C$6,N($N672)&gt;0),COUNTIFS($M$5:$M672,'Invoice Builder'!$C$5,$Q$5:$Q672,'Invoice Builder'!$C$6,$N$5:$N672,"&gt;0"),""))</f>
        <v/>
      </c>
      <c r="T672" s="27" t="str">
        <f aca="false">IF($A672="","",IF($A672&gt;=DATE(YEAR($A672),4,6),YEAR($A672)&amp;"/"&amp;RIGHT(YEAR($A672)+1,2),YEAR($A672)-1&amp;"/"&amp;RIGHT(YEAR($A672),2)))</f>
        <v/>
      </c>
    </row>
    <row r="673" customFormat="false" ht="15" hidden="false" customHeight="false" outlineLevel="0" collapsed="false">
      <c r="A673" s="22"/>
      <c r="B673" s="23"/>
      <c r="C673" s="23"/>
      <c r="D673" s="23"/>
      <c r="E673" s="24"/>
      <c r="F673" s="24"/>
      <c r="G673" s="23"/>
      <c r="H673" s="23"/>
      <c r="I673" s="25"/>
      <c r="J673" s="23"/>
      <c r="K673" s="23"/>
      <c r="L673" s="26" t="str">
        <f aca="false">IF(OR($E673="",$F673=""),"",MOD($F673-$E673,1)*24)</f>
        <v/>
      </c>
      <c r="M673" s="27" t="str">
        <f aca="false">IF($B673="","",IFERROR(INDEX(Properties!$D$5:$D$104,MATCH($B673,Properties!$A$5:$A$104,0)),"?"))</f>
        <v/>
      </c>
      <c r="N673" s="28" t="str">
        <f aca="false">IF($B673="","",IFERROR(IF($D673="Completed",INDEX(Properties!$I$5:$I$104,MATCH($B673,Properties!$A$5:$A$104,0))*(1+IF($G673="Y",Settings!$B$8,0))+IF($H673="Y",Settings!$B$7,0)+N($I673),IF($D673="Deep clean",INDEX(Settings!$E$22:$E$26,MATCH(MIN(INDEX(Properties!$E$5:$E$104,MATCH($B673,Properties!$A$5:$A$104,0)),4),Settings!$A$22:$A$26,0))+N($I673),IF($D673="Late cancel",INDEX(Properties!$I$5:$I$104,MATCH($B673,Properties!$A$5:$A$104,0))*Settings!$B$10,0))),0))</f>
        <v/>
      </c>
      <c r="O673" s="28" t="str">
        <f aca="false">IF($B673="","",IFERROR(IF($D673="Completed",INDEX(Properties!$L$5:$L$104,MATCH($B673,Properties!$A$5:$A$104,0))+IF($G673="Y",INDEX(Properties!$I$5:$I$104,MATCH($B673,Properties!$A$5:$A$104,0))*Settings!$B$8*Settings!$B$9,0)+IF($H673="Y",Settings!$B$7*Settings!$B$9,0)+N($I673)*Settings!$B$9,IF($D673="Deep clean",INDEX(Settings!$E$22:$E$26,MATCH(MIN(INDEX(Properties!$E$5:$E$104,MATCH($B673,Properties!$A$5:$A$104,0)),4),Settings!$A$22:$A$26,0))*Settings!$B$19+N($I673)*Settings!$B$9,IF($D673="Late cancel",INDEX(Properties!$L$5:$L$104,MATCH($B673,Properties!$A$5:$A$104,0))*Settings!$B$11,0))),0))</f>
        <v/>
      </c>
      <c r="P673" s="28" t="str">
        <f aca="false">IF($B673="","",$N673-$O673)</f>
        <v/>
      </c>
      <c r="Q673" s="29" t="str">
        <f aca="false">IF($A673="","",DATE(YEAR($A673),MONTH($A673),1))</f>
        <v/>
      </c>
      <c r="R673" s="30" t="str">
        <f aca="false">IF($A673="","",$A673+MOD(6-WEEKDAY($A673),7))</f>
        <v/>
      </c>
      <c r="S673" s="31" t="str">
        <f aca="false">IF($B673="","",IF(AND($M673='Invoice Builder'!$C$5,$Q673='Invoice Builder'!$C$6,N($N673)&gt;0),COUNTIFS($M$5:$M673,'Invoice Builder'!$C$5,$Q$5:$Q673,'Invoice Builder'!$C$6,$N$5:$N673,"&gt;0"),""))</f>
        <v/>
      </c>
      <c r="T673" s="27" t="str">
        <f aca="false">IF($A673="","",IF($A673&gt;=DATE(YEAR($A673),4,6),YEAR($A673)&amp;"/"&amp;RIGHT(YEAR($A673)+1,2),YEAR($A673)-1&amp;"/"&amp;RIGHT(YEAR($A673),2)))</f>
        <v/>
      </c>
    </row>
    <row r="674" customFormat="false" ht="15" hidden="false" customHeight="false" outlineLevel="0" collapsed="false">
      <c r="A674" s="22"/>
      <c r="B674" s="23"/>
      <c r="C674" s="23"/>
      <c r="D674" s="23"/>
      <c r="E674" s="24"/>
      <c r="F674" s="24"/>
      <c r="G674" s="23"/>
      <c r="H674" s="23"/>
      <c r="I674" s="25"/>
      <c r="J674" s="23"/>
      <c r="K674" s="23"/>
      <c r="L674" s="26" t="str">
        <f aca="false">IF(OR($E674="",$F674=""),"",MOD($F674-$E674,1)*24)</f>
        <v/>
      </c>
      <c r="M674" s="27" t="str">
        <f aca="false">IF($B674="","",IFERROR(INDEX(Properties!$D$5:$D$104,MATCH($B674,Properties!$A$5:$A$104,0)),"?"))</f>
        <v/>
      </c>
      <c r="N674" s="28" t="str">
        <f aca="false">IF($B674="","",IFERROR(IF($D674="Completed",INDEX(Properties!$I$5:$I$104,MATCH($B674,Properties!$A$5:$A$104,0))*(1+IF($G674="Y",Settings!$B$8,0))+IF($H674="Y",Settings!$B$7,0)+N($I674),IF($D674="Deep clean",INDEX(Settings!$E$22:$E$26,MATCH(MIN(INDEX(Properties!$E$5:$E$104,MATCH($B674,Properties!$A$5:$A$104,0)),4),Settings!$A$22:$A$26,0))+N($I674),IF($D674="Late cancel",INDEX(Properties!$I$5:$I$104,MATCH($B674,Properties!$A$5:$A$104,0))*Settings!$B$10,0))),0))</f>
        <v/>
      </c>
      <c r="O674" s="28" t="str">
        <f aca="false">IF($B674="","",IFERROR(IF($D674="Completed",INDEX(Properties!$L$5:$L$104,MATCH($B674,Properties!$A$5:$A$104,0))+IF($G674="Y",INDEX(Properties!$I$5:$I$104,MATCH($B674,Properties!$A$5:$A$104,0))*Settings!$B$8*Settings!$B$9,0)+IF($H674="Y",Settings!$B$7*Settings!$B$9,0)+N($I674)*Settings!$B$9,IF($D674="Deep clean",INDEX(Settings!$E$22:$E$26,MATCH(MIN(INDEX(Properties!$E$5:$E$104,MATCH($B674,Properties!$A$5:$A$104,0)),4),Settings!$A$22:$A$26,0))*Settings!$B$19+N($I674)*Settings!$B$9,IF($D674="Late cancel",INDEX(Properties!$L$5:$L$104,MATCH($B674,Properties!$A$5:$A$104,0))*Settings!$B$11,0))),0))</f>
        <v/>
      </c>
      <c r="P674" s="28" t="str">
        <f aca="false">IF($B674="","",$N674-$O674)</f>
        <v/>
      </c>
      <c r="Q674" s="29" t="str">
        <f aca="false">IF($A674="","",DATE(YEAR($A674),MONTH($A674),1))</f>
        <v/>
      </c>
      <c r="R674" s="30" t="str">
        <f aca="false">IF($A674="","",$A674+MOD(6-WEEKDAY($A674),7))</f>
        <v/>
      </c>
      <c r="S674" s="31" t="str">
        <f aca="false">IF($B674="","",IF(AND($M674='Invoice Builder'!$C$5,$Q674='Invoice Builder'!$C$6,N($N674)&gt;0),COUNTIFS($M$5:$M674,'Invoice Builder'!$C$5,$Q$5:$Q674,'Invoice Builder'!$C$6,$N$5:$N674,"&gt;0"),""))</f>
        <v/>
      </c>
      <c r="T674" s="27" t="str">
        <f aca="false">IF($A674="","",IF($A674&gt;=DATE(YEAR($A674),4,6),YEAR($A674)&amp;"/"&amp;RIGHT(YEAR($A674)+1,2),YEAR($A674)-1&amp;"/"&amp;RIGHT(YEAR($A674),2)))</f>
        <v/>
      </c>
    </row>
    <row r="675" customFormat="false" ht="15" hidden="false" customHeight="false" outlineLevel="0" collapsed="false">
      <c r="A675" s="22"/>
      <c r="B675" s="23"/>
      <c r="C675" s="23"/>
      <c r="D675" s="23"/>
      <c r="E675" s="24"/>
      <c r="F675" s="24"/>
      <c r="G675" s="23"/>
      <c r="H675" s="23"/>
      <c r="I675" s="25"/>
      <c r="J675" s="23"/>
      <c r="K675" s="23"/>
      <c r="L675" s="26" t="str">
        <f aca="false">IF(OR($E675="",$F675=""),"",MOD($F675-$E675,1)*24)</f>
        <v/>
      </c>
      <c r="M675" s="27" t="str">
        <f aca="false">IF($B675="","",IFERROR(INDEX(Properties!$D$5:$D$104,MATCH($B675,Properties!$A$5:$A$104,0)),"?"))</f>
        <v/>
      </c>
      <c r="N675" s="28" t="str">
        <f aca="false">IF($B675="","",IFERROR(IF($D675="Completed",INDEX(Properties!$I$5:$I$104,MATCH($B675,Properties!$A$5:$A$104,0))*(1+IF($G675="Y",Settings!$B$8,0))+IF($H675="Y",Settings!$B$7,0)+N($I675),IF($D675="Deep clean",INDEX(Settings!$E$22:$E$26,MATCH(MIN(INDEX(Properties!$E$5:$E$104,MATCH($B675,Properties!$A$5:$A$104,0)),4),Settings!$A$22:$A$26,0))+N($I675),IF($D675="Late cancel",INDEX(Properties!$I$5:$I$104,MATCH($B675,Properties!$A$5:$A$104,0))*Settings!$B$10,0))),0))</f>
        <v/>
      </c>
      <c r="O675" s="28" t="str">
        <f aca="false">IF($B675="","",IFERROR(IF($D675="Completed",INDEX(Properties!$L$5:$L$104,MATCH($B675,Properties!$A$5:$A$104,0))+IF($G675="Y",INDEX(Properties!$I$5:$I$104,MATCH($B675,Properties!$A$5:$A$104,0))*Settings!$B$8*Settings!$B$9,0)+IF($H675="Y",Settings!$B$7*Settings!$B$9,0)+N($I675)*Settings!$B$9,IF($D675="Deep clean",INDEX(Settings!$E$22:$E$26,MATCH(MIN(INDEX(Properties!$E$5:$E$104,MATCH($B675,Properties!$A$5:$A$104,0)),4),Settings!$A$22:$A$26,0))*Settings!$B$19+N($I675)*Settings!$B$9,IF($D675="Late cancel",INDEX(Properties!$L$5:$L$104,MATCH($B675,Properties!$A$5:$A$104,0))*Settings!$B$11,0))),0))</f>
        <v/>
      </c>
      <c r="P675" s="28" t="str">
        <f aca="false">IF($B675="","",$N675-$O675)</f>
        <v/>
      </c>
      <c r="Q675" s="29" t="str">
        <f aca="false">IF($A675="","",DATE(YEAR($A675),MONTH($A675),1))</f>
        <v/>
      </c>
      <c r="R675" s="30" t="str">
        <f aca="false">IF($A675="","",$A675+MOD(6-WEEKDAY($A675),7))</f>
        <v/>
      </c>
      <c r="S675" s="31" t="str">
        <f aca="false">IF($B675="","",IF(AND($M675='Invoice Builder'!$C$5,$Q675='Invoice Builder'!$C$6,N($N675)&gt;0),COUNTIFS($M$5:$M675,'Invoice Builder'!$C$5,$Q$5:$Q675,'Invoice Builder'!$C$6,$N$5:$N675,"&gt;0"),""))</f>
        <v/>
      </c>
      <c r="T675" s="27" t="str">
        <f aca="false">IF($A675="","",IF($A675&gt;=DATE(YEAR($A675),4,6),YEAR($A675)&amp;"/"&amp;RIGHT(YEAR($A675)+1,2),YEAR($A675)-1&amp;"/"&amp;RIGHT(YEAR($A675),2)))</f>
        <v/>
      </c>
    </row>
    <row r="676" customFormat="false" ht="15" hidden="false" customHeight="false" outlineLevel="0" collapsed="false">
      <c r="A676" s="22"/>
      <c r="B676" s="23"/>
      <c r="C676" s="23"/>
      <c r="D676" s="23"/>
      <c r="E676" s="24"/>
      <c r="F676" s="24"/>
      <c r="G676" s="23"/>
      <c r="H676" s="23"/>
      <c r="I676" s="25"/>
      <c r="J676" s="23"/>
      <c r="K676" s="23"/>
      <c r="L676" s="26" t="str">
        <f aca="false">IF(OR($E676="",$F676=""),"",MOD($F676-$E676,1)*24)</f>
        <v/>
      </c>
      <c r="M676" s="27" t="str">
        <f aca="false">IF($B676="","",IFERROR(INDEX(Properties!$D$5:$D$104,MATCH($B676,Properties!$A$5:$A$104,0)),"?"))</f>
        <v/>
      </c>
      <c r="N676" s="28" t="str">
        <f aca="false">IF($B676="","",IFERROR(IF($D676="Completed",INDEX(Properties!$I$5:$I$104,MATCH($B676,Properties!$A$5:$A$104,0))*(1+IF($G676="Y",Settings!$B$8,0))+IF($H676="Y",Settings!$B$7,0)+N($I676),IF($D676="Deep clean",INDEX(Settings!$E$22:$E$26,MATCH(MIN(INDEX(Properties!$E$5:$E$104,MATCH($B676,Properties!$A$5:$A$104,0)),4),Settings!$A$22:$A$26,0))+N($I676),IF($D676="Late cancel",INDEX(Properties!$I$5:$I$104,MATCH($B676,Properties!$A$5:$A$104,0))*Settings!$B$10,0))),0))</f>
        <v/>
      </c>
      <c r="O676" s="28" t="str">
        <f aca="false">IF($B676="","",IFERROR(IF($D676="Completed",INDEX(Properties!$L$5:$L$104,MATCH($B676,Properties!$A$5:$A$104,0))+IF($G676="Y",INDEX(Properties!$I$5:$I$104,MATCH($B676,Properties!$A$5:$A$104,0))*Settings!$B$8*Settings!$B$9,0)+IF($H676="Y",Settings!$B$7*Settings!$B$9,0)+N($I676)*Settings!$B$9,IF($D676="Deep clean",INDEX(Settings!$E$22:$E$26,MATCH(MIN(INDEX(Properties!$E$5:$E$104,MATCH($B676,Properties!$A$5:$A$104,0)),4),Settings!$A$22:$A$26,0))*Settings!$B$19+N($I676)*Settings!$B$9,IF($D676="Late cancel",INDEX(Properties!$L$5:$L$104,MATCH($B676,Properties!$A$5:$A$104,0))*Settings!$B$11,0))),0))</f>
        <v/>
      </c>
      <c r="P676" s="28" t="str">
        <f aca="false">IF($B676="","",$N676-$O676)</f>
        <v/>
      </c>
      <c r="Q676" s="29" t="str">
        <f aca="false">IF($A676="","",DATE(YEAR($A676),MONTH($A676),1))</f>
        <v/>
      </c>
      <c r="R676" s="30" t="str">
        <f aca="false">IF($A676="","",$A676+MOD(6-WEEKDAY($A676),7))</f>
        <v/>
      </c>
      <c r="S676" s="31" t="str">
        <f aca="false">IF($B676="","",IF(AND($M676='Invoice Builder'!$C$5,$Q676='Invoice Builder'!$C$6,N($N676)&gt;0),COUNTIFS($M$5:$M676,'Invoice Builder'!$C$5,$Q$5:$Q676,'Invoice Builder'!$C$6,$N$5:$N676,"&gt;0"),""))</f>
        <v/>
      </c>
      <c r="T676" s="27" t="str">
        <f aca="false">IF($A676="","",IF($A676&gt;=DATE(YEAR($A676),4,6),YEAR($A676)&amp;"/"&amp;RIGHT(YEAR($A676)+1,2),YEAR($A676)-1&amp;"/"&amp;RIGHT(YEAR($A676),2)))</f>
        <v/>
      </c>
    </row>
    <row r="677" customFormat="false" ht="15" hidden="false" customHeight="false" outlineLevel="0" collapsed="false">
      <c r="A677" s="22"/>
      <c r="B677" s="23"/>
      <c r="C677" s="23"/>
      <c r="D677" s="23"/>
      <c r="E677" s="24"/>
      <c r="F677" s="24"/>
      <c r="G677" s="23"/>
      <c r="H677" s="23"/>
      <c r="I677" s="25"/>
      <c r="J677" s="23"/>
      <c r="K677" s="23"/>
      <c r="L677" s="26" t="str">
        <f aca="false">IF(OR($E677="",$F677=""),"",MOD($F677-$E677,1)*24)</f>
        <v/>
      </c>
      <c r="M677" s="27" t="str">
        <f aca="false">IF($B677="","",IFERROR(INDEX(Properties!$D$5:$D$104,MATCH($B677,Properties!$A$5:$A$104,0)),"?"))</f>
        <v/>
      </c>
      <c r="N677" s="28" t="str">
        <f aca="false">IF($B677="","",IFERROR(IF($D677="Completed",INDEX(Properties!$I$5:$I$104,MATCH($B677,Properties!$A$5:$A$104,0))*(1+IF($G677="Y",Settings!$B$8,0))+IF($H677="Y",Settings!$B$7,0)+N($I677),IF($D677="Deep clean",INDEX(Settings!$E$22:$E$26,MATCH(MIN(INDEX(Properties!$E$5:$E$104,MATCH($B677,Properties!$A$5:$A$104,0)),4),Settings!$A$22:$A$26,0))+N($I677),IF($D677="Late cancel",INDEX(Properties!$I$5:$I$104,MATCH($B677,Properties!$A$5:$A$104,0))*Settings!$B$10,0))),0))</f>
        <v/>
      </c>
      <c r="O677" s="28" t="str">
        <f aca="false">IF($B677="","",IFERROR(IF($D677="Completed",INDEX(Properties!$L$5:$L$104,MATCH($B677,Properties!$A$5:$A$104,0))+IF($G677="Y",INDEX(Properties!$I$5:$I$104,MATCH($B677,Properties!$A$5:$A$104,0))*Settings!$B$8*Settings!$B$9,0)+IF($H677="Y",Settings!$B$7*Settings!$B$9,0)+N($I677)*Settings!$B$9,IF($D677="Deep clean",INDEX(Settings!$E$22:$E$26,MATCH(MIN(INDEX(Properties!$E$5:$E$104,MATCH($B677,Properties!$A$5:$A$104,0)),4),Settings!$A$22:$A$26,0))*Settings!$B$19+N($I677)*Settings!$B$9,IF($D677="Late cancel",INDEX(Properties!$L$5:$L$104,MATCH($B677,Properties!$A$5:$A$104,0))*Settings!$B$11,0))),0))</f>
        <v/>
      </c>
      <c r="P677" s="28" t="str">
        <f aca="false">IF($B677="","",$N677-$O677)</f>
        <v/>
      </c>
      <c r="Q677" s="29" t="str">
        <f aca="false">IF($A677="","",DATE(YEAR($A677),MONTH($A677),1))</f>
        <v/>
      </c>
      <c r="R677" s="30" t="str">
        <f aca="false">IF($A677="","",$A677+MOD(6-WEEKDAY($A677),7))</f>
        <v/>
      </c>
      <c r="S677" s="31" t="str">
        <f aca="false">IF($B677="","",IF(AND($M677='Invoice Builder'!$C$5,$Q677='Invoice Builder'!$C$6,N($N677)&gt;0),COUNTIFS($M$5:$M677,'Invoice Builder'!$C$5,$Q$5:$Q677,'Invoice Builder'!$C$6,$N$5:$N677,"&gt;0"),""))</f>
        <v/>
      </c>
      <c r="T677" s="27" t="str">
        <f aca="false">IF($A677="","",IF($A677&gt;=DATE(YEAR($A677),4,6),YEAR($A677)&amp;"/"&amp;RIGHT(YEAR($A677)+1,2),YEAR($A677)-1&amp;"/"&amp;RIGHT(YEAR($A677),2)))</f>
        <v/>
      </c>
    </row>
    <row r="678" customFormat="false" ht="15" hidden="false" customHeight="false" outlineLevel="0" collapsed="false">
      <c r="A678" s="22"/>
      <c r="B678" s="23"/>
      <c r="C678" s="23"/>
      <c r="D678" s="23"/>
      <c r="E678" s="24"/>
      <c r="F678" s="24"/>
      <c r="G678" s="23"/>
      <c r="H678" s="23"/>
      <c r="I678" s="25"/>
      <c r="J678" s="23"/>
      <c r="K678" s="23"/>
      <c r="L678" s="26" t="str">
        <f aca="false">IF(OR($E678="",$F678=""),"",MOD($F678-$E678,1)*24)</f>
        <v/>
      </c>
      <c r="M678" s="27" t="str">
        <f aca="false">IF($B678="","",IFERROR(INDEX(Properties!$D$5:$D$104,MATCH($B678,Properties!$A$5:$A$104,0)),"?"))</f>
        <v/>
      </c>
      <c r="N678" s="28" t="str">
        <f aca="false">IF($B678="","",IFERROR(IF($D678="Completed",INDEX(Properties!$I$5:$I$104,MATCH($B678,Properties!$A$5:$A$104,0))*(1+IF($G678="Y",Settings!$B$8,0))+IF($H678="Y",Settings!$B$7,0)+N($I678),IF($D678="Deep clean",INDEX(Settings!$E$22:$E$26,MATCH(MIN(INDEX(Properties!$E$5:$E$104,MATCH($B678,Properties!$A$5:$A$104,0)),4),Settings!$A$22:$A$26,0))+N($I678),IF($D678="Late cancel",INDEX(Properties!$I$5:$I$104,MATCH($B678,Properties!$A$5:$A$104,0))*Settings!$B$10,0))),0))</f>
        <v/>
      </c>
      <c r="O678" s="28" t="str">
        <f aca="false">IF($B678="","",IFERROR(IF($D678="Completed",INDEX(Properties!$L$5:$L$104,MATCH($B678,Properties!$A$5:$A$104,0))+IF($G678="Y",INDEX(Properties!$I$5:$I$104,MATCH($B678,Properties!$A$5:$A$104,0))*Settings!$B$8*Settings!$B$9,0)+IF($H678="Y",Settings!$B$7*Settings!$B$9,0)+N($I678)*Settings!$B$9,IF($D678="Deep clean",INDEX(Settings!$E$22:$E$26,MATCH(MIN(INDEX(Properties!$E$5:$E$104,MATCH($B678,Properties!$A$5:$A$104,0)),4),Settings!$A$22:$A$26,0))*Settings!$B$19+N($I678)*Settings!$B$9,IF($D678="Late cancel",INDEX(Properties!$L$5:$L$104,MATCH($B678,Properties!$A$5:$A$104,0))*Settings!$B$11,0))),0))</f>
        <v/>
      </c>
      <c r="P678" s="28" t="str">
        <f aca="false">IF($B678="","",$N678-$O678)</f>
        <v/>
      </c>
      <c r="Q678" s="29" t="str">
        <f aca="false">IF($A678="","",DATE(YEAR($A678),MONTH($A678),1))</f>
        <v/>
      </c>
      <c r="R678" s="30" t="str">
        <f aca="false">IF($A678="","",$A678+MOD(6-WEEKDAY($A678),7))</f>
        <v/>
      </c>
      <c r="S678" s="31" t="str">
        <f aca="false">IF($B678="","",IF(AND($M678='Invoice Builder'!$C$5,$Q678='Invoice Builder'!$C$6,N($N678)&gt;0),COUNTIFS($M$5:$M678,'Invoice Builder'!$C$5,$Q$5:$Q678,'Invoice Builder'!$C$6,$N$5:$N678,"&gt;0"),""))</f>
        <v/>
      </c>
      <c r="T678" s="27" t="str">
        <f aca="false">IF($A678="","",IF($A678&gt;=DATE(YEAR($A678),4,6),YEAR($A678)&amp;"/"&amp;RIGHT(YEAR($A678)+1,2),YEAR($A678)-1&amp;"/"&amp;RIGHT(YEAR($A678),2)))</f>
        <v/>
      </c>
    </row>
    <row r="679" customFormat="false" ht="15" hidden="false" customHeight="false" outlineLevel="0" collapsed="false">
      <c r="A679" s="22"/>
      <c r="B679" s="23"/>
      <c r="C679" s="23"/>
      <c r="D679" s="23"/>
      <c r="E679" s="24"/>
      <c r="F679" s="24"/>
      <c r="G679" s="23"/>
      <c r="H679" s="23"/>
      <c r="I679" s="25"/>
      <c r="J679" s="23"/>
      <c r="K679" s="23"/>
      <c r="L679" s="26" t="str">
        <f aca="false">IF(OR($E679="",$F679=""),"",MOD($F679-$E679,1)*24)</f>
        <v/>
      </c>
      <c r="M679" s="27" t="str">
        <f aca="false">IF($B679="","",IFERROR(INDEX(Properties!$D$5:$D$104,MATCH($B679,Properties!$A$5:$A$104,0)),"?"))</f>
        <v/>
      </c>
      <c r="N679" s="28" t="str">
        <f aca="false">IF($B679="","",IFERROR(IF($D679="Completed",INDEX(Properties!$I$5:$I$104,MATCH($B679,Properties!$A$5:$A$104,0))*(1+IF($G679="Y",Settings!$B$8,0))+IF($H679="Y",Settings!$B$7,0)+N($I679),IF($D679="Deep clean",INDEX(Settings!$E$22:$E$26,MATCH(MIN(INDEX(Properties!$E$5:$E$104,MATCH($B679,Properties!$A$5:$A$104,0)),4),Settings!$A$22:$A$26,0))+N($I679),IF($D679="Late cancel",INDEX(Properties!$I$5:$I$104,MATCH($B679,Properties!$A$5:$A$104,0))*Settings!$B$10,0))),0))</f>
        <v/>
      </c>
      <c r="O679" s="28" t="str">
        <f aca="false">IF($B679="","",IFERROR(IF($D679="Completed",INDEX(Properties!$L$5:$L$104,MATCH($B679,Properties!$A$5:$A$104,0))+IF($G679="Y",INDEX(Properties!$I$5:$I$104,MATCH($B679,Properties!$A$5:$A$104,0))*Settings!$B$8*Settings!$B$9,0)+IF($H679="Y",Settings!$B$7*Settings!$B$9,0)+N($I679)*Settings!$B$9,IF($D679="Deep clean",INDEX(Settings!$E$22:$E$26,MATCH(MIN(INDEX(Properties!$E$5:$E$104,MATCH($B679,Properties!$A$5:$A$104,0)),4),Settings!$A$22:$A$26,0))*Settings!$B$19+N($I679)*Settings!$B$9,IF($D679="Late cancel",INDEX(Properties!$L$5:$L$104,MATCH($B679,Properties!$A$5:$A$104,0))*Settings!$B$11,0))),0))</f>
        <v/>
      </c>
      <c r="P679" s="28" t="str">
        <f aca="false">IF($B679="","",$N679-$O679)</f>
        <v/>
      </c>
      <c r="Q679" s="29" t="str">
        <f aca="false">IF($A679="","",DATE(YEAR($A679),MONTH($A679),1))</f>
        <v/>
      </c>
      <c r="R679" s="30" t="str">
        <f aca="false">IF($A679="","",$A679+MOD(6-WEEKDAY($A679),7))</f>
        <v/>
      </c>
      <c r="S679" s="31" t="str">
        <f aca="false">IF($B679="","",IF(AND($M679='Invoice Builder'!$C$5,$Q679='Invoice Builder'!$C$6,N($N679)&gt;0),COUNTIFS($M$5:$M679,'Invoice Builder'!$C$5,$Q$5:$Q679,'Invoice Builder'!$C$6,$N$5:$N679,"&gt;0"),""))</f>
        <v/>
      </c>
      <c r="T679" s="27" t="str">
        <f aca="false">IF($A679="","",IF($A679&gt;=DATE(YEAR($A679),4,6),YEAR($A679)&amp;"/"&amp;RIGHT(YEAR($A679)+1,2),YEAR($A679)-1&amp;"/"&amp;RIGHT(YEAR($A679),2)))</f>
        <v/>
      </c>
    </row>
    <row r="680" customFormat="false" ht="15" hidden="false" customHeight="false" outlineLevel="0" collapsed="false">
      <c r="A680" s="22"/>
      <c r="B680" s="23"/>
      <c r="C680" s="23"/>
      <c r="D680" s="23"/>
      <c r="E680" s="24"/>
      <c r="F680" s="24"/>
      <c r="G680" s="23"/>
      <c r="H680" s="23"/>
      <c r="I680" s="25"/>
      <c r="J680" s="23"/>
      <c r="K680" s="23"/>
      <c r="L680" s="26" t="str">
        <f aca="false">IF(OR($E680="",$F680=""),"",MOD($F680-$E680,1)*24)</f>
        <v/>
      </c>
      <c r="M680" s="27" t="str">
        <f aca="false">IF($B680="","",IFERROR(INDEX(Properties!$D$5:$D$104,MATCH($B680,Properties!$A$5:$A$104,0)),"?"))</f>
        <v/>
      </c>
      <c r="N680" s="28" t="str">
        <f aca="false">IF($B680="","",IFERROR(IF($D680="Completed",INDEX(Properties!$I$5:$I$104,MATCH($B680,Properties!$A$5:$A$104,0))*(1+IF($G680="Y",Settings!$B$8,0))+IF($H680="Y",Settings!$B$7,0)+N($I680),IF($D680="Deep clean",INDEX(Settings!$E$22:$E$26,MATCH(MIN(INDEX(Properties!$E$5:$E$104,MATCH($B680,Properties!$A$5:$A$104,0)),4),Settings!$A$22:$A$26,0))+N($I680),IF($D680="Late cancel",INDEX(Properties!$I$5:$I$104,MATCH($B680,Properties!$A$5:$A$104,0))*Settings!$B$10,0))),0))</f>
        <v/>
      </c>
      <c r="O680" s="28" t="str">
        <f aca="false">IF($B680="","",IFERROR(IF($D680="Completed",INDEX(Properties!$L$5:$L$104,MATCH($B680,Properties!$A$5:$A$104,0))+IF($G680="Y",INDEX(Properties!$I$5:$I$104,MATCH($B680,Properties!$A$5:$A$104,0))*Settings!$B$8*Settings!$B$9,0)+IF($H680="Y",Settings!$B$7*Settings!$B$9,0)+N($I680)*Settings!$B$9,IF($D680="Deep clean",INDEX(Settings!$E$22:$E$26,MATCH(MIN(INDEX(Properties!$E$5:$E$104,MATCH($B680,Properties!$A$5:$A$104,0)),4),Settings!$A$22:$A$26,0))*Settings!$B$19+N($I680)*Settings!$B$9,IF($D680="Late cancel",INDEX(Properties!$L$5:$L$104,MATCH($B680,Properties!$A$5:$A$104,0))*Settings!$B$11,0))),0))</f>
        <v/>
      </c>
      <c r="P680" s="28" t="str">
        <f aca="false">IF($B680="","",$N680-$O680)</f>
        <v/>
      </c>
      <c r="Q680" s="29" t="str">
        <f aca="false">IF($A680="","",DATE(YEAR($A680),MONTH($A680),1))</f>
        <v/>
      </c>
      <c r="R680" s="30" t="str">
        <f aca="false">IF($A680="","",$A680+MOD(6-WEEKDAY($A680),7))</f>
        <v/>
      </c>
      <c r="S680" s="31" t="str">
        <f aca="false">IF($B680="","",IF(AND($M680='Invoice Builder'!$C$5,$Q680='Invoice Builder'!$C$6,N($N680)&gt;0),COUNTIFS($M$5:$M680,'Invoice Builder'!$C$5,$Q$5:$Q680,'Invoice Builder'!$C$6,$N$5:$N680,"&gt;0"),""))</f>
        <v/>
      </c>
      <c r="T680" s="27" t="str">
        <f aca="false">IF($A680="","",IF($A680&gt;=DATE(YEAR($A680),4,6),YEAR($A680)&amp;"/"&amp;RIGHT(YEAR($A680)+1,2),YEAR($A680)-1&amp;"/"&amp;RIGHT(YEAR($A680),2)))</f>
        <v/>
      </c>
    </row>
    <row r="681" customFormat="false" ht="15" hidden="false" customHeight="false" outlineLevel="0" collapsed="false">
      <c r="A681" s="22"/>
      <c r="B681" s="23"/>
      <c r="C681" s="23"/>
      <c r="D681" s="23"/>
      <c r="E681" s="24"/>
      <c r="F681" s="24"/>
      <c r="G681" s="23"/>
      <c r="H681" s="23"/>
      <c r="I681" s="25"/>
      <c r="J681" s="23"/>
      <c r="K681" s="23"/>
      <c r="L681" s="26" t="str">
        <f aca="false">IF(OR($E681="",$F681=""),"",MOD($F681-$E681,1)*24)</f>
        <v/>
      </c>
      <c r="M681" s="27" t="str">
        <f aca="false">IF($B681="","",IFERROR(INDEX(Properties!$D$5:$D$104,MATCH($B681,Properties!$A$5:$A$104,0)),"?"))</f>
        <v/>
      </c>
      <c r="N681" s="28" t="str">
        <f aca="false">IF($B681="","",IFERROR(IF($D681="Completed",INDEX(Properties!$I$5:$I$104,MATCH($B681,Properties!$A$5:$A$104,0))*(1+IF($G681="Y",Settings!$B$8,0))+IF($H681="Y",Settings!$B$7,0)+N($I681),IF($D681="Deep clean",INDEX(Settings!$E$22:$E$26,MATCH(MIN(INDEX(Properties!$E$5:$E$104,MATCH($B681,Properties!$A$5:$A$104,0)),4),Settings!$A$22:$A$26,0))+N($I681),IF($D681="Late cancel",INDEX(Properties!$I$5:$I$104,MATCH($B681,Properties!$A$5:$A$104,0))*Settings!$B$10,0))),0))</f>
        <v/>
      </c>
      <c r="O681" s="28" t="str">
        <f aca="false">IF($B681="","",IFERROR(IF($D681="Completed",INDEX(Properties!$L$5:$L$104,MATCH($B681,Properties!$A$5:$A$104,0))+IF($G681="Y",INDEX(Properties!$I$5:$I$104,MATCH($B681,Properties!$A$5:$A$104,0))*Settings!$B$8*Settings!$B$9,0)+IF($H681="Y",Settings!$B$7*Settings!$B$9,0)+N($I681)*Settings!$B$9,IF($D681="Deep clean",INDEX(Settings!$E$22:$E$26,MATCH(MIN(INDEX(Properties!$E$5:$E$104,MATCH($B681,Properties!$A$5:$A$104,0)),4),Settings!$A$22:$A$26,0))*Settings!$B$19+N($I681)*Settings!$B$9,IF($D681="Late cancel",INDEX(Properties!$L$5:$L$104,MATCH($B681,Properties!$A$5:$A$104,0))*Settings!$B$11,0))),0))</f>
        <v/>
      </c>
      <c r="P681" s="28" t="str">
        <f aca="false">IF($B681="","",$N681-$O681)</f>
        <v/>
      </c>
      <c r="Q681" s="29" t="str">
        <f aca="false">IF($A681="","",DATE(YEAR($A681),MONTH($A681),1))</f>
        <v/>
      </c>
      <c r="R681" s="30" t="str">
        <f aca="false">IF($A681="","",$A681+MOD(6-WEEKDAY($A681),7))</f>
        <v/>
      </c>
      <c r="S681" s="31" t="str">
        <f aca="false">IF($B681="","",IF(AND($M681='Invoice Builder'!$C$5,$Q681='Invoice Builder'!$C$6,N($N681)&gt;0),COUNTIFS($M$5:$M681,'Invoice Builder'!$C$5,$Q$5:$Q681,'Invoice Builder'!$C$6,$N$5:$N681,"&gt;0"),""))</f>
        <v/>
      </c>
      <c r="T681" s="27" t="str">
        <f aca="false">IF($A681="","",IF($A681&gt;=DATE(YEAR($A681),4,6),YEAR($A681)&amp;"/"&amp;RIGHT(YEAR($A681)+1,2),YEAR($A681)-1&amp;"/"&amp;RIGHT(YEAR($A681),2)))</f>
        <v/>
      </c>
    </row>
    <row r="682" customFormat="false" ht="15" hidden="false" customHeight="false" outlineLevel="0" collapsed="false">
      <c r="A682" s="22"/>
      <c r="B682" s="23"/>
      <c r="C682" s="23"/>
      <c r="D682" s="23"/>
      <c r="E682" s="24"/>
      <c r="F682" s="24"/>
      <c r="G682" s="23"/>
      <c r="H682" s="23"/>
      <c r="I682" s="25"/>
      <c r="J682" s="23"/>
      <c r="K682" s="23"/>
      <c r="L682" s="26" t="str">
        <f aca="false">IF(OR($E682="",$F682=""),"",MOD($F682-$E682,1)*24)</f>
        <v/>
      </c>
      <c r="M682" s="27" t="str">
        <f aca="false">IF($B682="","",IFERROR(INDEX(Properties!$D$5:$D$104,MATCH($B682,Properties!$A$5:$A$104,0)),"?"))</f>
        <v/>
      </c>
      <c r="N682" s="28" t="str">
        <f aca="false">IF($B682="","",IFERROR(IF($D682="Completed",INDEX(Properties!$I$5:$I$104,MATCH($B682,Properties!$A$5:$A$104,0))*(1+IF($G682="Y",Settings!$B$8,0))+IF($H682="Y",Settings!$B$7,0)+N($I682),IF($D682="Deep clean",INDEX(Settings!$E$22:$E$26,MATCH(MIN(INDEX(Properties!$E$5:$E$104,MATCH($B682,Properties!$A$5:$A$104,0)),4),Settings!$A$22:$A$26,0))+N($I682),IF($D682="Late cancel",INDEX(Properties!$I$5:$I$104,MATCH($B682,Properties!$A$5:$A$104,0))*Settings!$B$10,0))),0))</f>
        <v/>
      </c>
      <c r="O682" s="28" t="str">
        <f aca="false">IF($B682="","",IFERROR(IF($D682="Completed",INDEX(Properties!$L$5:$L$104,MATCH($B682,Properties!$A$5:$A$104,0))+IF($G682="Y",INDEX(Properties!$I$5:$I$104,MATCH($B682,Properties!$A$5:$A$104,0))*Settings!$B$8*Settings!$B$9,0)+IF($H682="Y",Settings!$B$7*Settings!$B$9,0)+N($I682)*Settings!$B$9,IF($D682="Deep clean",INDEX(Settings!$E$22:$E$26,MATCH(MIN(INDEX(Properties!$E$5:$E$104,MATCH($B682,Properties!$A$5:$A$104,0)),4),Settings!$A$22:$A$26,0))*Settings!$B$19+N($I682)*Settings!$B$9,IF($D682="Late cancel",INDEX(Properties!$L$5:$L$104,MATCH($B682,Properties!$A$5:$A$104,0))*Settings!$B$11,0))),0))</f>
        <v/>
      </c>
      <c r="P682" s="28" t="str">
        <f aca="false">IF($B682="","",$N682-$O682)</f>
        <v/>
      </c>
      <c r="Q682" s="29" t="str">
        <f aca="false">IF($A682="","",DATE(YEAR($A682),MONTH($A682),1))</f>
        <v/>
      </c>
      <c r="R682" s="30" t="str">
        <f aca="false">IF($A682="","",$A682+MOD(6-WEEKDAY($A682),7))</f>
        <v/>
      </c>
      <c r="S682" s="31" t="str">
        <f aca="false">IF($B682="","",IF(AND($M682='Invoice Builder'!$C$5,$Q682='Invoice Builder'!$C$6,N($N682)&gt;0),COUNTIFS($M$5:$M682,'Invoice Builder'!$C$5,$Q$5:$Q682,'Invoice Builder'!$C$6,$N$5:$N682,"&gt;0"),""))</f>
        <v/>
      </c>
      <c r="T682" s="27" t="str">
        <f aca="false">IF($A682="","",IF($A682&gt;=DATE(YEAR($A682),4,6),YEAR($A682)&amp;"/"&amp;RIGHT(YEAR($A682)+1,2),YEAR($A682)-1&amp;"/"&amp;RIGHT(YEAR($A682),2)))</f>
        <v/>
      </c>
    </row>
    <row r="683" customFormat="false" ht="15" hidden="false" customHeight="false" outlineLevel="0" collapsed="false">
      <c r="A683" s="22"/>
      <c r="B683" s="23"/>
      <c r="C683" s="23"/>
      <c r="D683" s="23"/>
      <c r="E683" s="24"/>
      <c r="F683" s="24"/>
      <c r="G683" s="23"/>
      <c r="H683" s="23"/>
      <c r="I683" s="25"/>
      <c r="J683" s="23"/>
      <c r="K683" s="23"/>
      <c r="L683" s="26" t="str">
        <f aca="false">IF(OR($E683="",$F683=""),"",MOD($F683-$E683,1)*24)</f>
        <v/>
      </c>
      <c r="M683" s="27" t="str">
        <f aca="false">IF($B683="","",IFERROR(INDEX(Properties!$D$5:$D$104,MATCH($B683,Properties!$A$5:$A$104,0)),"?"))</f>
        <v/>
      </c>
      <c r="N683" s="28" t="str">
        <f aca="false">IF($B683="","",IFERROR(IF($D683="Completed",INDEX(Properties!$I$5:$I$104,MATCH($B683,Properties!$A$5:$A$104,0))*(1+IF($G683="Y",Settings!$B$8,0))+IF($H683="Y",Settings!$B$7,0)+N($I683),IF($D683="Deep clean",INDEX(Settings!$E$22:$E$26,MATCH(MIN(INDEX(Properties!$E$5:$E$104,MATCH($B683,Properties!$A$5:$A$104,0)),4),Settings!$A$22:$A$26,0))+N($I683),IF($D683="Late cancel",INDEX(Properties!$I$5:$I$104,MATCH($B683,Properties!$A$5:$A$104,0))*Settings!$B$10,0))),0))</f>
        <v/>
      </c>
      <c r="O683" s="28" t="str">
        <f aca="false">IF($B683="","",IFERROR(IF($D683="Completed",INDEX(Properties!$L$5:$L$104,MATCH($B683,Properties!$A$5:$A$104,0))+IF($G683="Y",INDEX(Properties!$I$5:$I$104,MATCH($B683,Properties!$A$5:$A$104,0))*Settings!$B$8*Settings!$B$9,0)+IF($H683="Y",Settings!$B$7*Settings!$B$9,0)+N($I683)*Settings!$B$9,IF($D683="Deep clean",INDEX(Settings!$E$22:$E$26,MATCH(MIN(INDEX(Properties!$E$5:$E$104,MATCH($B683,Properties!$A$5:$A$104,0)),4),Settings!$A$22:$A$26,0))*Settings!$B$19+N($I683)*Settings!$B$9,IF($D683="Late cancel",INDEX(Properties!$L$5:$L$104,MATCH($B683,Properties!$A$5:$A$104,0))*Settings!$B$11,0))),0))</f>
        <v/>
      </c>
      <c r="P683" s="28" t="str">
        <f aca="false">IF($B683="","",$N683-$O683)</f>
        <v/>
      </c>
      <c r="Q683" s="29" t="str">
        <f aca="false">IF($A683="","",DATE(YEAR($A683),MONTH($A683),1))</f>
        <v/>
      </c>
      <c r="R683" s="30" t="str">
        <f aca="false">IF($A683="","",$A683+MOD(6-WEEKDAY($A683),7))</f>
        <v/>
      </c>
      <c r="S683" s="31" t="str">
        <f aca="false">IF($B683="","",IF(AND($M683='Invoice Builder'!$C$5,$Q683='Invoice Builder'!$C$6,N($N683)&gt;0),COUNTIFS($M$5:$M683,'Invoice Builder'!$C$5,$Q$5:$Q683,'Invoice Builder'!$C$6,$N$5:$N683,"&gt;0"),""))</f>
        <v/>
      </c>
      <c r="T683" s="27" t="str">
        <f aca="false">IF($A683="","",IF($A683&gt;=DATE(YEAR($A683),4,6),YEAR($A683)&amp;"/"&amp;RIGHT(YEAR($A683)+1,2),YEAR($A683)-1&amp;"/"&amp;RIGHT(YEAR($A683),2)))</f>
        <v/>
      </c>
    </row>
    <row r="684" customFormat="false" ht="15" hidden="false" customHeight="false" outlineLevel="0" collapsed="false">
      <c r="A684" s="22"/>
      <c r="B684" s="23"/>
      <c r="C684" s="23"/>
      <c r="D684" s="23"/>
      <c r="E684" s="24"/>
      <c r="F684" s="24"/>
      <c r="G684" s="23"/>
      <c r="H684" s="23"/>
      <c r="I684" s="25"/>
      <c r="J684" s="23"/>
      <c r="K684" s="23"/>
      <c r="L684" s="26" t="str">
        <f aca="false">IF(OR($E684="",$F684=""),"",MOD($F684-$E684,1)*24)</f>
        <v/>
      </c>
      <c r="M684" s="27" t="str">
        <f aca="false">IF($B684="","",IFERROR(INDEX(Properties!$D$5:$D$104,MATCH($B684,Properties!$A$5:$A$104,0)),"?"))</f>
        <v/>
      </c>
      <c r="N684" s="28" t="str">
        <f aca="false">IF($B684="","",IFERROR(IF($D684="Completed",INDEX(Properties!$I$5:$I$104,MATCH($B684,Properties!$A$5:$A$104,0))*(1+IF($G684="Y",Settings!$B$8,0))+IF($H684="Y",Settings!$B$7,0)+N($I684),IF($D684="Deep clean",INDEX(Settings!$E$22:$E$26,MATCH(MIN(INDEX(Properties!$E$5:$E$104,MATCH($B684,Properties!$A$5:$A$104,0)),4),Settings!$A$22:$A$26,0))+N($I684),IF($D684="Late cancel",INDEX(Properties!$I$5:$I$104,MATCH($B684,Properties!$A$5:$A$104,0))*Settings!$B$10,0))),0))</f>
        <v/>
      </c>
      <c r="O684" s="28" t="str">
        <f aca="false">IF($B684="","",IFERROR(IF($D684="Completed",INDEX(Properties!$L$5:$L$104,MATCH($B684,Properties!$A$5:$A$104,0))+IF($G684="Y",INDEX(Properties!$I$5:$I$104,MATCH($B684,Properties!$A$5:$A$104,0))*Settings!$B$8*Settings!$B$9,0)+IF($H684="Y",Settings!$B$7*Settings!$B$9,0)+N($I684)*Settings!$B$9,IF($D684="Deep clean",INDEX(Settings!$E$22:$E$26,MATCH(MIN(INDEX(Properties!$E$5:$E$104,MATCH($B684,Properties!$A$5:$A$104,0)),4),Settings!$A$22:$A$26,0))*Settings!$B$19+N($I684)*Settings!$B$9,IF($D684="Late cancel",INDEX(Properties!$L$5:$L$104,MATCH($B684,Properties!$A$5:$A$104,0))*Settings!$B$11,0))),0))</f>
        <v/>
      </c>
      <c r="P684" s="28" t="str">
        <f aca="false">IF($B684="","",$N684-$O684)</f>
        <v/>
      </c>
      <c r="Q684" s="29" t="str">
        <f aca="false">IF($A684="","",DATE(YEAR($A684),MONTH($A684),1))</f>
        <v/>
      </c>
      <c r="R684" s="30" t="str">
        <f aca="false">IF($A684="","",$A684+MOD(6-WEEKDAY($A684),7))</f>
        <v/>
      </c>
      <c r="S684" s="31" t="str">
        <f aca="false">IF($B684="","",IF(AND($M684='Invoice Builder'!$C$5,$Q684='Invoice Builder'!$C$6,N($N684)&gt;0),COUNTIFS($M$5:$M684,'Invoice Builder'!$C$5,$Q$5:$Q684,'Invoice Builder'!$C$6,$N$5:$N684,"&gt;0"),""))</f>
        <v/>
      </c>
      <c r="T684" s="27" t="str">
        <f aca="false">IF($A684="","",IF($A684&gt;=DATE(YEAR($A684),4,6),YEAR($A684)&amp;"/"&amp;RIGHT(YEAR($A684)+1,2),YEAR($A684)-1&amp;"/"&amp;RIGHT(YEAR($A684),2)))</f>
        <v/>
      </c>
    </row>
    <row r="685" customFormat="false" ht="15" hidden="false" customHeight="false" outlineLevel="0" collapsed="false">
      <c r="A685" s="22"/>
      <c r="B685" s="23"/>
      <c r="C685" s="23"/>
      <c r="D685" s="23"/>
      <c r="E685" s="24"/>
      <c r="F685" s="24"/>
      <c r="G685" s="23"/>
      <c r="H685" s="23"/>
      <c r="I685" s="25"/>
      <c r="J685" s="23"/>
      <c r="K685" s="23"/>
      <c r="L685" s="26" t="str">
        <f aca="false">IF(OR($E685="",$F685=""),"",MOD($F685-$E685,1)*24)</f>
        <v/>
      </c>
      <c r="M685" s="27" t="str">
        <f aca="false">IF($B685="","",IFERROR(INDEX(Properties!$D$5:$D$104,MATCH($B685,Properties!$A$5:$A$104,0)),"?"))</f>
        <v/>
      </c>
      <c r="N685" s="28" t="str">
        <f aca="false">IF($B685="","",IFERROR(IF($D685="Completed",INDEX(Properties!$I$5:$I$104,MATCH($B685,Properties!$A$5:$A$104,0))*(1+IF($G685="Y",Settings!$B$8,0))+IF($H685="Y",Settings!$B$7,0)+N($I685),IF($D685="Deep clean",INDEX(Settings!$E$22:$E$26,MATCH(MIN(INDEX(Properties!$E$5:$E$104,MATCH($B685,Properties!$A$5:$A$104,0)),4),Settings!$A$22:$A$26,0))+N($I685),IF($D685="Late cancel",INDEX(Properties!$I$5:$I$104,MATCH($B685,Properties!$A$5:$A$104,0))*Settings!$B$10,0))),0))</f>
        <v/>
      </c>
      <c r="O685" s="28" t="str">
        <f aca="false">IF($B685="","",IFERROR(IF($D685="Completed",INDEX(Properties!$L$5:$L$104,MATCH($B685,Properties!$A$5:$A$104,0))+IF($G685="Y",INDEX(Properties!$I$5:$I$104,MATCH($B685,Properties!$A$5:$A$104,0))*Settings!$B$8*Settings!$B$9,0)+IF($H685="Y",Settings!$B$7*Settings!$B$9,0)+N($I685)*Settings!$B$9,IF($D685="Deep clean",INDEX(Settings!$E$22:$E$26,MATCH(MIN(INDEX(Properties!$E$5:$E$104,MATCH($B685,Properties!$A$5:$A$104,0)),4),Settings!$A$22:$A$26,0))*Settings!$B$19+N($I685)*Settings!$B$9,IF($D685="Late cancel",INDEX(Properties!$L$5:$L$104,MATCH($B685,Properties!$A$5:$A$104,0))*Settings!$B$11,0))),0))</f>
        <v/>
      </c>
      <c r="P685" s="28" t="str">
        <f aca="false">IF($B685="","",$N685-$O685)</f>
        <v/>
      </c>
      <c r="Q685" s="29" t="str">
        <f aca="false">IF($A685="","",DATE(YEAR($A685),MONTH($A685),1))</f>
        <v/>
      </c>
      <c r="R685" s="30" t="str">
        <f aca="false">IF($A685="","",$A685+MOD(6-WEEKDAY($A685),7))</f>
        <v/>
      </c>
      <c r="S685" s="31" t="str">
        <f aca="false">IF($B685="","",IF(AND($M685='Invoice Builder'!$C$5,$Q685='Invoice Builder'!$C$6,N($N685)&gt;0),COUNTIFS($M$5:$M685,'Invoice Builder'!$C$5,$Q$5:$Q685,'Invoice Builder'!$C$6,$N$5:$N685,"&gt;0"),""))</f>
        <v/>
      </c>
      <c r="T685" s="27" t="str">
        <f aca="false">IF($A685="","",IF($A685&gt;=DATE(YEAR($A685),4,6),YEAR($A685)&amp;"/"&amp;RIGHT(YEAR($A685)+1,2),YEAR($A685)-1&amp;"/"&amp;RIGHT(YEAR($A685),2)))</f>
        <v/>
      </c>
    </row>
    <row r="686" customFormat="false" ht="15" hidden="false" customHeight="false" outlineLevel="0" collapsed="false">
      <c r="A686" s="22"/>
      <c r="B686" s="23"/>
      <c r="C686" s="23"/>
      <c r="D686" s="23"/>
      <c r="E686" s="24"/>
      <c r="F686" s="24"/>
      <c r="G686" s="23"/>
      <c r="H686" s="23"/>
      <c r="I686" s="25"/>
      <c r="J686" s="23"/>
      <c r="K686" s="23"/>
      <c r="L686" s="26" t="str">
        <f aca="false">IF(OR($E686="",$F686=""),"",MOD($F686-$E686,1)*24)</f>
        <v/>
      </c>
      <c r="M686" s="27" t="str">
        <f aca="false">IF($B686="","",IFERROR(INDEX(Properties!$D$5:$D$104,MATCH($B686,Properties!$A$5:$A$104,0)),"?"))</f>
        <v/>
      </c>
      <c r="N686" s="28" t="str">
        <f aca="false">IF($B686="","",IFERROR(IF($D686="Completed",INDEX(Properties!$I$5:$I$104,MATCH($B686,Properties!$A$5:$A$104,0))*(1+IF($G686="Y",Settings!$B$8,0))+IF($H686="Y",Settings!$B$7,0)+N($I686),IF($D686="Deep clean",INDEX(Settings!$E$22:$E$26,MATCH(MIN(INDEX(Properties!$E$5:$E$104,MATCH($B686,Properties!$A$5:$A$104,0)),4),Settings!$A$22:$A$26,0))+N($I686),IF($D686="Late cancel",INDEX(Properties!$I$5:$I$104,MATCH($B686,Properties!$A$5:$A$104,0))*Settings!$B$10,0))),0))</f>
        <v/>
      </c>
      <c r="O686" s="28" t="str">
        <f aca="false">IF($B686="","",IFERROR(IF($D686="Completed",INDEX(Properties!$L$5:$L$104,MATCH($B686,Properties!$A$5:$A$104,0))+IF($G686="Y",INDEX(Properties!$I$5:$I$104,MATCH($B686,Properties!$A$5:$A$104,0))*Settings!$B$8*Settings!$B$9,0)+IF($H686="Y",Settings!$B$7*Settings!$B$9,0)+N($I686)*Settings!$B$9,IF($D686="Deep clean",INDEX(Settings!$E$22:$E$26,MATCH(MIN(INDEX(Properties!$E$5:$E$104,MATCH($B686,Properties!$A$5:$A$104,0)),4),Settings!$A$22:$A$26,0))*Settings!$B$19+N($I686)*Settings!$B$9,IF($D686="Late cancel",INDEX(Properties!$L$5:$L$104,MATCH($B686,Properties!$A$5:$A$104,0))*Settings!$B$11,0))),0))</f>
        <v/>
      </c>
      <c r="P686" s="28" t="str">
        <f aca="false">IF($B686="","",$N686-$O686)</f>
        <v/>
      </c>
      <c r="Q686" s="29" t="str">
        <f aca="false">IF($A686="","",DATE(YEAR($A686),MONTH($A686),1))</f>
        <v/>
      </c>
      <c r="R686" s="30" t="str">
        <f aca="false">IF($A686="","",$A686+MOD(6-WEEKDAY($A686),7))</f>
        <v/>
      </c>
      <c r="S686" s="31" t="str">
        <f aca="false">IF($B686="","",IF(AND($M686='Invoice Builder'!$C$5,$Q686='Invoice Builder'!$C$6,N($N686)&gt;0),COUNTIFS($M$5:$M686,'Invoice Builder'!$C$5,$Q$5:$Q686,'Invoice Builder'!$C$6,$N$5:$N686,"&gt;0"),""))</f>
        <v/>
      </c>
      <c r="T686" s="27" t="str">
        <f aca="false">IF($A686="","",IF($A686&gt;=DATE(YEAR($A686),4,6),YEAR($A686)&amp;"/"&amp;RIGHT(YEAR($A686)+1,2),YEAR($A686)-1&amp;"/"&amp;RIGHT(YEAR($A686),2)))</f>
        <v/>
      </c>
    </row>
    <row r="687" customFormat="false" ht="15" hidden="false" customHeight="false" outlineLevel="0" collapsed="false">
      <c r="A687" s="22"/>
      <c r="B687" s="23"/>
      <c r="C687" s="23"/>
      <c r="D687" s="23"/>
      <c r="E687" s="24"/>
      <c r="F687" s="24"/>
      <c r="G687" s="23"/>
      <c r="H687" s="23"/>
      <c r="I687" s="25"/>
      <c r="J687" s="23"/>
      <c r="K687" s="23"/>
      <c r="L687" s="26" t="str">
        <f aca="false">IF(OR($E687="",$F687=""),"",MOD($F687-$E687,1)*24)</f>
        <v/>
      </c>
      <c r="M687" s="27" t="str">
        <f aca="false">IF($B687="","",IFERROR(INDEX(Properties!$D$5:$D$104,MATCH($B687,Properties!$A$5:$A$104,0)),"?"))</f>
        <v/>
      </c>
      <c r="N687" s="28" t="str">
        <f aca="false">IF($B687="","",IFERROR(IF($D687="Completed",INDEX(Properties!$I$5:$I$104,MATCH($B687,Properties!$A$5:$A$104,0))*(1+IF($G687="Y",Settings!$B$8,0))+IF($H687="Y",Settings!$B$7,0)+N($I687),IF($D687="Deep clean",INDEX(Settings!$E$22:$E$26,MATCH(MIN(INDEX(Properties!$E$5:$E$104,MATCH($B687,Properties!$A$5:$A$104,0)),4),Settings!$A$22:$A$26,0))+N($I687),IF($D687="Late cancel",INDEX(Properties!$I$5:$I$104,MATCH($B687,Properties!$A$5:$A$104,0))*Settings!$B$10,0))),0))</f>
        <v/>
      </c>
      <c r="O687" s="28" t="str">
        <f aca="false">IF($B687="","",IFERROR(IF($D687="Completed",INDEX(Properties!$L$5:$L$104,MATCH($B687,Properties!$A$5:$A$104,0))+IF($G687="Y",INDEX(Properties!$I$5:$I$104,MATCH($B687,Properties!$A$5:$A$104,0))*Settings!$B$8*Settings!$B$9,0)+IF($H687="Y",Settings!$B$7*Settings!$B$9,0)+N($I687)*Settings!$B$9,IF($D687="Deep clean",INDEX(Settings!$E$22:$E$26,MATCH(MIN(INDEX(Properties!$E$5:$E$104,MATCH($B687,Properties!$A$5:$A$104,0)),4),Settings!$A$22:$A$26,0))*Settings!$B$19+N($I687)*Settings!$B$9,IF($D687="Late cancel",INDEX(Properties!$L$5:$L$104,MATCH($B687,Properties!$A$5:$A$104,0))*Settings!$B$11,0))),0))</f>
        <v/>
      </c>
      <c r="P687" s="28" t="str">
        <f aca="false">IF($B687="","",$N687-$O687)</f>
        <v/>
      </c>
      <c r="Q687" s="29" t="str">
        <f aca="false">IF($A687="","",DATE(YEAR($A687),MONTH($A687),1))</f>
        <v/>
      </c>
      <c r="R687" s="30" t="str">
        <f aca="false">IF($A687="","",$A687+MOD(6-WEEKDAY($A687),7))</f>
        <v/>
      </c>
      <c r="S687" s="31" t="str">
        <f aca="false">IF($B687="","",IF(AND($M687='Invoice Builder'!$C$5,$Q687='Invoice Builder'!$C$6,N($N687)&gt;0),COUNTIFS($M$5:$M687,'Invoice Builder'!$C$5,$Q$5:$Q687,'Invoice Builder'!$C$6,$N$5:$N687,"&gt;0"),""))</f>
        <v/>
      </c>
      <c r="T687" s="27" t="str">
        <f aca="false">IF($A687="","",IF($A687&gt;=DATE(YEAR($A687),4,6),YEAR($A687)&amp;"/"&amp;RIGHT(YEAR($A687)+1,2),YEAR($A687)-1&amp;"/"&amp;RIGHT(YEAR($A687),2)))</f>
        <v/>
      </c>
    </row>
    <row r="688" customFormat="false" ht="15" hidden="false" customHeight="false" outlineLevel="0" collapsed="false">
      <c r="A688" s="22"/>
      <c r="B688" s="23"/>
      <c r="C688" s="23"/>
      <c r="D688" s="23"/>
      <c r="E688" s="24"/>
      <c r="F688" s="24"/>
      <c r="G688" s="23"/>
      <c r="H688" s="23"/>
      <c r="I688" s="25"/>
      <c r="J688" s="23"/>
      <c r="K688" s="23"/>
      <c r="L688" s="26" t="str">
        <f aca="false">IF(OR($E688="",$F688=""),"",MOD($F688-$E688,1)*24)</f>
        <v/>
      </c>
      <c r="M688" s="27" t="str">
        <f aca="false">IF($B688="","",IFERROR(INDEX(Properties!$D$5:$D$104,MATCH($B688,Properties!$A$5:$A$104,0)),"?"))</f>
        <v/>
      </c>
      <c r="N688" s="28" t="str">
        <f aca="false">IF($B688="","",IFERROR(IF($D688="Completed",INDEX(Properties!$I$5:$I$104,MATCH($B688,Properties!$A$5:$A$104,0))*(1+IF($G688="Y",Settings!$B$8,0))+IF($H688="Y",Settings!$B$7,0)+N($I688),IF($D688="Deep clean",INDEX(Settings!$E$22:$E$26,MATCH(MIN(INDEX(Properties!$E$5:$E$104,MATCH($B688,Properties!$A$5:$A$104,0)),4),Settings!$A$22:$A$26,0))+N($I688),IF($D688="Late cancel",INDEX(Properties!$I$5:$I$104,MATCH($B688,Properties!$A$5:$A$104,0))*Settings!$B$10,0))),0))</f>
        <v/>
      </c>
      <c r="O688" s="28" t="str">
        <f aca="false">IF($B688="","",IFERROR(IF($D688="Completed",INDEX(Properties!$L$5:$L$104,MATCH($B688,Properties!$A$5:$A$104,0))+IF($G688="Y",INDEX(Properties!$I$5:$I$104,MATCH($B688,Properties!$A$5:$A$104,0))*Settings!$B$8*Settings!$B$9,0)+IF($H688="Y",Settings!$B$7*Settings!$B$9,0)+N($I688)*Settings!$B$9,IF($D688="Deep clean",INDEX(Settings!$E$22:$E$26,MATCH(MIN(INDEX(Properties!$E$5:$E$104,MATCH($B688,Properties!$A$5:$A$104,0)),4),Settings!$A$22:$A$26,0))*Settings!$B$19+N($I688)*Settings!$B$9,IF($D688="Late cancel",INDEX(Properties!$L$5:$L$104,MATCH($B688,Properties!$A$5:$A$104,0))*Settings!$B$11,0))),0))</f>
        <v/>
      </c>
      <c r="P688" s="28" t="str">
        <f aca="false">IF($B688="","",$N688-$O688)</f>
        <v/>
      </c>
      <c r="Q688" s="29" t="str">
        <f aca="false">IF($A688="","",DATE(YEAR($A688),MONTH($A688),1))</f>
        <v/>
      </c>
      <c r="R688" s="30" t="str">
        <f aca="false">IF($A688="","",$A688+MOD(6-WEEKDAY($A688),7))</f>
        <v/>
      </c>
      <c r="S688" s="31" t="str">
        <f aca="false">IF($B688="","",IF(AND($M688='Invoice Builder'!$C$5,$Q688='Invoice Builder'!$C$6,N($N688)&gt;0),COUNTIFS($M$5:$M688,'Invoice Builder'!$C$5,$Q$5:$Q688,'Invoice Builder'!$C$6,$N$5:$N688,"&gt;0"),""))</f>
        <v/>
      </c>
      <c r="T688" s="27" t="str">
        <f aca="false">IF($A688="","",IF($A688&gt;=DATE(YEAR($A688),4,6),YEAR($A688)&amp;"/"&amp;RIGHT(YEAR($A688)+1,2),YEAR($A688)-1&amp;"/"&amp;RIGHT(YEAR($A688),2)))</f>
        <v/>
      </c>
    </row>
    <row r="689" customFormat="false" ht="15" hidden="false" customHeight="false" outlineLevel="0" collapsed="false">
      <c r="A689" s="22"/>
      <c r="B689" s="23"/>
      <c r="C689" s="23"/>
      <c r="D689" s="23"/>
      <c r="E689" s="24"/>
      <c r="F689" s="24"/>
      <c r="G689" s="23"/>
      <c r="H689" s="23"/>
      <c r="I689" s="25"/>
      <c r="J689" s="23"/>
      <c r="K689" s="23"/>
      <c r="L689" s="26" t="str">
        <f aca="false">IF(OR($E689="",$F689=""),"",MOD($F689-$E689,1)*24)</f>
        <v/>
      </c>
      <c r="M689" s="27" t="str">
        <f aca="false">IF($B689="","",IFERROR(INDEX(Properties!$D$5:$D$104,MATCH($B689,Properties!$A$5:$A$104,0)),"?"))</f>
        <v/>
      </c>
      <c r="N689" s="28" t="str">
        <f aca="false">IF($B689="","",IFERROR(IF($D689="Completed",INDEX(Properties!$I$5:$I$104,MATCH($B689,Properties!$A$5:$A$104,0))*(1+IF($G689="Y",Settings!$B$8,0))+IF($H689="Y",Settings!$B$7,0)+N($I689),IF($D689="Deep clean",INDEX(Settings!$E$22:$E$26,MATCH(MIN(INDEX(Properties!$E$5:$E$104,MATCH($B689,Properties!$A$5:$A$104,0)),4),Settings!$A$22:$A$26,0))+N($I689),IF($D689="Late cancel",INDEX(Properties!$I$5:$I$104,MATCH($B689,Properties!$A$5:$A$104,0))*Settings!$B$10,0))),0))</f>
        <v/>
      </c>
      <c r="O689" s="28" t="str">
        <f aca="false">IF($B689="","",IFERROR(IF($D689="Completed",INDEX(Properties!$L$5:$L$104,MATCH($B689,Properties!$A$5:$A$104,0))+IF($G689="Y",INDEX(Properties!$I$5:$I$104,MATCH($B689,Properties!$A$5:$A$104,0))*Settings!$B$8*Settings!$B$9,0)+IF($H689="Y",Settings!$B$7*Settings!$B$9,0)+N($I689)*Settings!$B$9,IF($D689="Deep clean",INDEX(Settings!$E$22:$E$26,MATCH(MIN(INDEX(Properties!$E$5:$E$104,MATCH($B689,Properties!$A$5:$A$104,0)),4),Settings!$A$22:$A$26,0))*Settings!$B$19+N($I689)*Settings!$B$9,IF($D689="Late cancel",INDEX(Properties!$L$5:$L$104,MATCH($B689,Properties!$A$5:$A$104,0))*Settings!$B$11,0))),0))</f>
        <v/>
      </c>
      <c r="P689" s="28" t="str">
        <f aca="false">IF($B689="","",$N689-$O689)</f>
        <v/>
      </c>
      <c r="Q689" s="29" t="str">
        <f aca="false">IF($A689="","",DATE(YEAR($A689),MONTH($A689),1))</f>
        <v/>
      </c>
      <c r="R689" s="30" t="str">
        <f aca="false">IF($A689="","",$A689+MOD(6-WEEKDAY($A689),7))</f>
        <v/>
      </c>
      <c r="S689" s="31" t="str">
        <f aca="false">IF($B689="","",IF(AND($M689='Invoice Builder'!$C$5,$Q689='Invoice Builder'!$C$6,N($N689)&gt;0),COUNTIFS($M$5:$M689,'Invoice Builder'!$C$5,$Q$5:$Q689,'Invoice Builder'!$C$6,$N$5:$N689,"&gt;0"),""))</f>
        <v/>
      </c>
      <c r="T689" s="27" t="str">
        <f aca="false">IF($A689="","",IF($A689&gt;=DATE(YEAR($A689),4,6),YEAR($A689)&amp;"/"&amp;RIGHT(YEAR($A689)+1,2),YEAR($A689)-1&amp;"/"&amp;RIGHT(YEAR($A689),2)))</f>
        <v/>
      </c>
    </row>
    <row r="690" customFormat="false" ht="15" hidden="false" customHeight="false" outlineLevel="0" collapsed="false">
      <c r="A690" s="22"/>
      <c r="B690" s="23"/>
      <c r="C690" s="23"/>
      <c r="D690" s="23"/>
      <c r="E690" s="24"/>
      <c r="F690" s="24"/>
      <c r="G690" s="23"/>
      <c r="H690" s="23"/>
      <c r="I690" s="25"/>
      <c r="J690" s="23"/>
      <c r="K690" s="23"/>
      <c r="L690" s="26" t="str">
        <f aca="false">IF(OR($E690="",$F690=""),"",MOD($F690-$E690,1)*24)</f>
        <v/>
      </c>
      <c r="M690" s="27" t="str">
        <f aca="false">IF($B690="","",IFERROR(INDEX(Properties!$D$5:$D$104,MATCH($B690,Properties!$A$5:$A$104,0)),"?"))</f>
        <v/>
      </c>
      <c r="N690" s="28" t="str">
        <f aca="false">IF($B690="","",IFERROR(IF($D690="Completed",INDEX(Properties!$I$5:$I$104,MATCH($B690,Properties!$A$5:$A$104,0))*(1+IF($G690="Y",Settings!$B$8,0))+IF($H690="Y",Settings!$B$7,0)+N($I690),IF($D690="Deep clean",INDEX(Settings!$E$22:$E$26,MATCH(MIN(INDEX(Properties!$E$5:$E$104,MATCH($B690,Properties!$A$5:$A$104,0)),4),Settings!$A$22:$A$26,0))+N($I690),IF($D690="Late cancel",INDEX(Properties!$I$5:$I$104,MATCH($B690,Properties!$A$5:$A$104,0))*Settings!$B$10,0))),0))</f>
        <v/>
      </c>
      <c r="O690" s="28" t="str">
        <f aca="false">IF($B690="","",IFERROR(IF($D690="Completed",INDEX(Properties!$L$5:$L$104,MATCH($B690,Properties!$A$5:$A$104,0))+IF($G690="Y",INDEX(Properties!$I$5:$I$104,MATCH($B690,Properties!$A$5:$A$104,0))*Settings!$B$8*Settings!$B$9,0)+IF($H690="Y",Settings!$B$7*Settings!$B$9,0)+N($I690)*Settings!$B$9,IF($D690="Deep clean",INDEX(Settings!$E$22:$E$26,MATCH(MIN(INDEX(Properties!$E$5:$E$104,MATCH($B690,Properties!$A$5:$A$104,0)),4),Settings!$A$22:$A$26,0))*Settings!$B$19+N($I690)*Settings!$B$9,IF($D690="Late cancel",INDEX(Properties!$L$5:$L$104,MATCH($B690,Properties!$A$5:$A$104,0))*Settings!$B$11,0))),0))</f>
        <v/>
      </c>
      <c r="P690" s="28" t="str">
        <f aca="false">IF($B690="","",$N690-$O690)</f>
        <v/>
      </c>
      <c r="Q690" s="29" t="str">
        <f aca="false">IF($A690="","",DATE(YEAR($A690),MONTH($A690),1))</f>
        <v/>
      </c>
      <c r="R690" s="30" t="str">
        <f aca="false">IF($A690="","",$A690+MOD(6-WEEKDAY($A690),7))</f>
        <v/>
      </c>
      <c r="S690" s="31" t="str">
        <f aca="false">IF($B690="","",IF(AND($M690='Invoice Builder'!$C$5,$Q690='Invoice Builder'!$C$6,N($N690)&gt;0),COUNTIFS($M$5:$M690,'Invoice Builder'!$C$5,$Q$5:$Q690,'Invoice Builder'!$C$6,$N$5:$N690,"&gt;0"),""))</f>
        <v/>
      </c>
      <c r="T690" s="27" t="str">
        <f aca="false">IF($A690="","",IF($A690&gt;=DATE(YEAR($A690),4,6),YEAR($A690)&amp;"/"&amp;RIGHT(YEAR($A690)+1,2),YEAR($A690)-1&amp;"/"&amp;RIGHT(YEAR($A690),2)))</f>
        <v/>
      </c>
    </row>
    <row r="691" customFormat="false" ht="15" hidden="false" customHeight="false" outlineLevel="0" collapsed="false">
      <c r="A691" s="22"/>
      <c r="B691" s="23"/>
      <c r="C691" s="23"/>
      <c r="D691" s="23"/>
      <c r="E691" s="24"/>
      <c r="F691" s="24"/>
      <c r="G691" s="23"/>
      <c r="H691" s="23"/>
      <c r="I691" s="25"/>
      <c r="J691" s="23"/>
      <c r="K691" s="23"/>
      <c r="L691" s="26" t="str">
        <f aca="false">IF(OR($E691="",$F691=""),"",MOD($F691-$E691,1)*24)</f>
        <v/>
      </c>
      <c r="M691" s="27" t="str">
        <f aca="false">IF($B691="","",IFERROR(INDEX(Properties!$D$5:$D$104,MATCH($B691,Properties!$A$5:$A$104,0)),"?"))</f>
        <v/>
      </c>
      <c r="N691" s="28" t="str">
        <f aca="false">IF($B691="","",IFERROR(IF($D691="Completed",INDEX(Properties!$I$5:$I$104,MATCH($B691,Properties!$A$5:$A$104,0))*(1+IF($G691="Y",Settings!$B$8,0))+IF($H691="Y",Settings!$B$7,0)+N($I691),IF($D691="Deep clean",INDEX(Settings!$E$22:$E$26,MATCH(MIN(INDEX(Properties!$E$5:$E$104,MATCH($B691,Properties!$A$5:$A$104,0)),4),Settings!$A$22:$A$26,0))+N($I691),IF($D691="Late cancel",INDEX(Properties!$I$5:$I$104,MATCH($B691,Properties!$A$5:$A$104,0))*Settings!$B$10,0))),0))</f>
        <v/>
      </c>
      <c r="O691" s="28" t="str">
        <f aca="false">IF($B691="","",IFERROR(IF($D691="Completed",INDEX(Properties!$L$5:$L$104,MATCH($B691,Properties!$A$5:$A$104,0))+IF($G691="Y",INDEX(Properties!$I$5:$I$104,MATCH($B691,Properties!$A$5:$A$104,0))*Settings!$B$8*Settings!$B$9,0)+IF($H691="Y",Settings!$B$7*Settings!$B$9,0)+N($I691)*Settings!$B$9,IF($D691="Deep clean",INDEX(Settings!$E$22:$E$26,MATCH(MIN(INDEX(Properties!$E$5:$E$104,MATCH($B691,Properties!$A$5:$A$104,0)),4),Settings!$A$22:$A$26,0))*Settings!$B$19+N($I691)*Settings!$B$9,IF($D691="Late cancel",INDEX(Properties!$L$5:$L$104,MATCH($B691,Properties!$A$5:$A$104,0))*Settings!$B$11,0))),0))</f>
        <v/>
      </c>
      <c r="P691" s="28" t="str">
        <f aca="false">IF($B691="","",$N691-$O691)</f>
        <v/>
      </c>
      <c r="Q691" s="29" t="str">
        <f aca="false">IF($A691="","",DATE(YEAR($A691),MONTH($A691),1))</f>
        <v/>
      </c>
      <c r="R691" s="30" t="str">
        <f aca="false">IF($A691="","",$A691+MOD(6-WEEKDAY($A691),7))</f>
        <v/>
      </c>
      <c r="S691" s="31" t="str">
        <f aca="false">IF($B691="","",IF(AND($M691='Invoice Builder'!$C$5,$Q691='Invoice Builder'!$C$6,N($N691)&gt;0),COUNTIFS($M$5:$M691,'Invoice Builder'!$C$5,$Q$5:$Q691,'Invoice Builder'!$C$6,$N$5:$N691,"&gt;0"),""))</f>
        <v/>
      </c>
      <c r="T691" s="27" t="str">
        <f aca="false">IF($A691="","",IF($A691&gt;=DATE(YEAR($A691),4,6),YEAR($A691)&amp;"/"&amp;RIGHT(YEAR($A691)+1,2),YEAR($A691)-1&amp;"/"&amp;RIGHT(YEAR($A691),2)))</f>
        <v/>
      </c>
    </row>
    <row r="692" customFormat="false" ht="15" hidden="false" customHeight="false" outlineLevel="0" collapsed="false">
      <c r="A692" s="22"/>
      <c r="B692" s="23"/>
      <c r="C692" s="23"/>
      <c r="D692" s="23"/>
      <c r="E692" s="24"/>
      <c r="F692" s="24"/>
      <c r="G692" s="23"/>
      <c r="H692" s="23"/>
      <c r="I692" s="25"/>
      <c r="J692" s="23"/>
      <c r="K692" s="23"/>
      <c r="L692" s="26" t="str">
        <f aca="false">IF(OR($E692="",$F692=""),"",MOD($F692-$E692,1)*24)</f>
        <v/>
      </c>
      <c r="M692" s="27" t="str">
        <f aca="false">IF($B692="","",IFERROR(INDEX(Properties!$D$5:$D$104,MATCH($B692,Properties!$A$5:$A$104,0)),"?"))</f>
        <v/>
      </c>
      <c r="N692" s="28" t="str">
        <f aca="false">IF($B692="","",IFERROR(IF($D692="Completed",INDEX(Properties!$I$5:$I$104,MATCH($B692,Properties!$A$5:$A$104,0))*(1+IF($G692="Y",Settings!$B$8,0))+IF($H692="Y",Settings!$B$7,0)+N($I692),IF($D692="Deep clean",INDEX(Settings!$E$22:$E$26,MATCH(MIN(INDEX(Properties!$E$5:$E$104,MATCH($B692,Properties!$A$5:$A$104,0)),4),Settings!$A$22:$A$26,0))+N($I692),IF($D692="Late cancel",INDEX(Properties!$I$5:$I$104,MATCH($B692,Properties!$A$5:$A$104,0))*Settings!$B$10,0))),0))</f>
        <v/>
      </c>
      <c r="O692" s="28" t="str">
        <f aca="false">IF($B692="","",IFERROR(IF($D692="Completed",INDEX(Properties!$L$5:$L$104,MATCH($B692,Properties!$A$5:$A$104,0))+IF($G692="Y",INDEX(Properties!$I$5:$I$104,MATCH($B692,Properties!$A$5:$A$104,0))*Settings!$B$8*Settings!$B$9,0)+IF($H692="Y",Settings!$B$7*Settings!$B$9,0)+N($I692)*Settings!$B$9,IF($D692="Deep clean",INDEX(Settings!$E$22:$E$26,MATCH(MIN(INDEX(Properties!$E$5:$E$104,MATCH($B692,Properties!$A$5:$A$104,0)),4),Settings!$A$22:$A$26,0))*Settings!$B$19+N($I692)*Settings!$B$9,IF($D692="Late cancel",INDEX(Properties!$L$5:$L$104,MATCH($B692,Properties!$A$5:$A$104,0))*Settings!$B$11,0))),0))</f>
        <v/>
      </c>
      <c r="P692" s="28" t="str">
        <f aca="false">IF($B692="","",$N692-$O692)</f>
        <v/>
      </c>
      <c r="Q692" s="29" t="str">
        <f aca="false">IF($A692="","",DATE(YEAR($A692),MONTH($A692),1))</f>
        <v/>
      </c>
      <c r="R692" s="30" t="str">
        <f aca="false">IF($A692="","",$A692+MOD(6-WEEKDAY($A692),7))</f>
        <v/>
      </c>
      <c r="S692" s="31" t="str">
        <f aca="false">IF($B692="","",IF(AND($M692='Invoice Builder'!$C$5,$Q692='Invoice Builder'!$C$6,N($N692)&gt;0),COUNTIFS($M$5:$M692,'Invoice Builder'!$C$5,$Q$5:$Q692,'Invoice Builder'!$C$6,$N$5:$N692,"&gt;0"),""))</f>
        <v/>
      </c>
      <c r="T692" s="27" t="str">
        <f aca="false">IF($A692="","",IF($A692&gt;=DATE(YEAR($A692),4,6),YEAR($A692)&amp;"/"&amp;RIGHT(YEAR($A692)+1,2),YEAR($A692)-1&amp;"/"&amp;RIGHT(YEAR($A692),2)))</f>
        <v/>
      </c>
    </row>
    <row r="693" customFormat="false" ht="15" hidden="false" customHeight="false" outlineLevel="0" collapsed="false">
      <c r="A693" s="22"/>
      <c r="B693" s="23"/>
      <c r="C693" s="23"/>
      <c r="D693" s="23"/>
      <c r="E693" s="24"/>
      <c r="F693" s="24"/>
      <c r="G693" s="23"/>
      <c r="H693" s="23"/>
      <c r="I693" s="25"/>
      <c r="J693" s="23"/>
      <c r="K693" s="23"/>
      <c r="L693" s="26" t="str">
        <f aca="false">IF(OR($E693="",$F693=""),"",MOD($F693-$E693,1)*24)</f>
        <v/>
      </c>
      <c r="M693" s="27" t="str">
        <f aca="false">IF($B693="","",IFERROR(INDEX(Properties!$D$5:$D$104,MATCH($B693,Properties!$A$5:$A$104,0)),"?"))</f>
        <v/>
      </c>
      <c r="N693" s="28" t="str">
        <f aca="false">IF($B693="","",IFERROR(IF($D693="Completed",INDEX(Properties!$I$5:$I$104,MATCH($B693,Properties!$A$5:$A$104,0))*(1+IF($G693="Y",Settings!$B$8,0))+IF($H693="Y",Settings!$B$7,0)+N($I693),IF($D693="Deep clean",INDEX(Settings!$E$22:$E$26,MATCH(MIN(INDEX(Properties!$E$5:$E$104,MATCH($B693,Properties!$A$5:$A$104,0)),4),Settings!$A$22:$A$26,0))+N($I693),IF($D693="Late cancel",INDEX(Properties!$I$5:$I$104,MATCH($B693,Properties!$A$5:$A$104,0))*Settings!$B$10,0))),0))</f>
        <v/>
      </c>
      <c r="O693" s="28" t="str">
        <f aca="false">IF($B693="","",IFERROR(IF($D693="Completed",INDEX(Properties!$L$5:$L$104,MATCH($B693,Properties!$A$5:$A$104,0))+IF($G693="Y",INDEX(Properties!$I$5:$I$104,MATCH($B693,Properties!$A$5:$A$104,0))*Settings!$B$8*Settings!$B$9,0)+IF($H693="Y",Settings!$B$7*Settings!$B$9,0)+N($I693)*Settings!$B$9,IF($D693="Deep clean",INDEX(Settings!$E$22:$E$26,MATCH(MIN(INDEX(Properties!$E$5:$E$104,MATCH($B693,Properties!$A$5:$A$104,0)),4),Settings!$A$22:$A$26,0))*Settings!$B$19+N($I693)*Settings!$B$9,IF($D693="Late cancel",INDEX(Properties!$L$5:$L$104,MATCH($B693,Properties!$A$5:$A$104,0))*Settings!$B$11,0))),0))</f>
        <v/>
      </c>
      <c r="P693" s="28" t="str">
        <f aca="false">IF($B693="","",$N693-$O693)</f>
        <v/>
      </c>
      <c r="Q693" s="29" t="str">
        <f aca="false">IF($A693="","",DATE(YEAR($A693),MONTH($A693),1))</f>
        <v/>
      </c>
      <c r="R693" s="30" t="str">
        <f aca="false">IF($A693="","",$A693+MOD(6-WEEKDAY($A693),7))</f>
        <v/>
      </c>
      <c r="S693" s="31" t="str">
        <f aca="false">IF($B693="","",IF(AND($M693='Invoice Builder'!$C$5,$Q693='Invoice Builder'!$C$6,N($N693)&gt;0),COUNTIFS($M$5:$M693,'Invoice Builder'!$C$5,$Q$5:$Q693,'Invoice Builder'!$C$6,$N$5:$N693,"&gt;0"),""))</f>
        <v/>
      </c>
      <c r="T693" s="27" t="str">
        <f aca="false">IF($A693="","",IF($A693&gt;=DATE(YEAR($A693),4,6),YEAR($A693)&amp;"/"&amp;RIGHT(YEAR($A693)+1,2),YEAR($A693)-1&amp;"/"&amp;RIGHT(YEAR($A693),2)))</f>
        <v/>
      </c>
    </row>
    <row r="694" customFormat="false" ht="15" hidden="false" customHeight="false" outlineLevel="0" collapsed="false">
      <c r="A694" s="22"/>
      <c r="B694" s="23"/>
      <c r="C694" s="23"/>
      <c r="D694" s="23"/>
      <c r="E694" s="24"/>
      <c r="F694" s="24"/>
      <c r="G694" s="23"/>
      <c r="H694" s="23"/>
      <c r="I694" s="25"/>
      <c r="J694" s="23"/>
      <c r="K694" s="23"/>
      <c r="L694" s="26" t="str">
        <f aca="false">IF(OR($E694="",$F694=""),"",MOD($F694-$E694,1)*24)</f>
        <v/>
      </c>
      <c r="M694" s="27" t="str">
        <f aca="false">IF($B694="","",IFERROR(INDEX(Properties!$D$5:$D$104,MATCH($B694,Properties!$A$5:$A$104,0)),"?"))</f>
        <v/>
      </c>
      <c r="N694" s="28" t="str">
        <f aca="false">IF($B694="","",IFERROR(IF($D694="Completed",INDEX(Properties!$I$5:$I$104,MATCH($B694,Properties!$A$5:$A$104,0))*(1+IF($G694="Y",Settings!$B$8,0))+IF($H694="Y",Settings!$B$7,0)+N($I694),IF($D694="Deep clean",INDEX(Settings!$E$22:$E$26,MATCH(MIN(INDEX(Properties!$E$5:$E$104,MATCH($B694,Properties!$A$5:$A$104,0)),4),Settings!$A$22:$A$26,0))+N($I694),IF($D694="Late cancel",INDEX(Properties!$I$5:$I$104,MATCH($B694,Properties!$A$5:$A$104,0))*Settings!$B$10,0))),0))</f>
        <v/>
      </c>
      <c r="O694" s="28" t="str">
        <f aca="false">IF($B694="","",IFERROR(IF($D694="Completed",INDEX(Properties!$L$5:$L$104,MATCH($B694,Properties!$A$5:$A$104,0))+IF($G694="Y",INDEX(Properties!$I$5:$I$104,MATCH($B694,Properties!$A$5:$A$104,0))*Settings!$B$8*Settings!$B$9,0)+IF($H694="Y",Settings!$B$7*Settings!$B$9,0)+N($I694)*Settings!$B$9,IF($D694="Deep clean",INDEX(Settings!$E$22:$E$26,MATCH(MIN(INDEX(Properties!$E$5:$E$104,MATCH($B694,Properties!$A$5:$A$104,0)),4),Settings!$A$22:$A$26,0))*Settings!$B$19+N($I694)*Settings!$B$9,IF($D694="Late cancel",INDEX(Properties!$L$5:$L$104,MATCH($B694,Properties!$A$5:$A$104,0))*Settings!$B$11,0))),0))</f>
        <v/>
      </c>
      <c r="P694" s="28" t="str">
        <f aca="false">IF($B694="","",$N694-$O694)</f>
        <v/>
      </c>
      <c r="Q694" s="29" t="str">
        <f aca="false">IF($A694="","",DATE(YEAR($A694),MONTH($A694),1))</f>
        <v/>
      </c>
      <c r="R694" s="30" t="str">
        <f aca="false">IF($A694="","",$A694+MOD(6-WEEKDAY($A694),7))</f>
        <v/>
      </c>
      <c r="S694" s="31" t="str">
        <f aca="false">IF($B694="","",IF(AND($M694='Invoice Builder'!$C$5,$Q694='Invoice Builder'!$C$6,N($N694)&gt;0),COUNTIFS($M$5:$M694,'Invoice Builder'!$C$5,$Q$5:$Q694,'Invoice Builder'!$C$6,$N$5:$N694,"&gt;0"),""))</f>
        <v/>
      </c>
      <c r="T694" s="27" t="str">
        <f aca="false">IF($A694="","",IF($A694&gt;=DATE(YEAR($A694),4,6),YEAR($A694)&amp;"/"&amp;RIGHT(YEAR($A694)+1,2),YEAR($A694)-1&amp;"/"&amp;RIGHT(YEAR($A694),2)))</f>
        <v/>
      </c>
    </row>
    <row r="695" customFormat="false" ht="15" hidden="false" customHeight="false" outlineLevel="0" collapsed="false">
      <c r="A695" s="22"/>
      <c r="B695" s="23"/>
      <c r="C695" s="23"/>
      <c r="D695" s="23"/>
      <c r="E695" s="24"/>
      <c r="F695" s="24"/>
      <c r="G695" s="23"/>
      <c r="H695" s="23"/>
      <c r="I695" s="25"/>
      <c r="J695" s="23"/>
      <c r="K695" s="23"/>
      <c r="L695" s="26" t="str">
        <f aca="false">IF(OR($E695="",$F695=""),"",MOD($F695-$E695,1)*24)</f>
        <v/>
      </c>
      <c r="M695" s="27" t="str">
        <f aca="false">IF($B695="","",IFERROR(INDEX(Properties!$D$5:$D$104,MATCH($B695,Properties!$A$5:$A$104,0)),"?"))</f>
        <v/>
      </c>
      <c r="N695" s="28" t="str">
        <f aca="false">IF($B695="","",IFERROR(IF($D695="Completed",INDEX(Properties!$I$5:$I$104,MATCH($B695,Properties!$A$5:$A$104,0))*(1+IF($G695="Y",Settings!$B$8,0))+IF($H695="Y",Settings!$B$7,0)+N($I695),IF($D695="Deep clean",INDEX(Settings!$E$22:$E$26,MATCH(MIN(INDEX(Properties!$E$5:$E$104,MATCH($B695,Properties!$A$5:$A$104,0)),4),Settings!$A$22:$A$26,0))+N($I695),IF($D695="Late cancel",INDEX(Properties!$I$5:$I$104,MATCH($B695,Properties!$A$5:$A$104,0))*Settings!$B$10,0))),0))</f>
        <v/>
      </c>
      <c r="O695" s="28" t="str">
        <f aca="false">IF($B695="","",IFERROR(IF($D695="Completed",INDEX(Properties!$L$5:$L$104,MATCH($B695,Properties!$A$5:$A$104,0))+IF($G695="Y",INDEX(Properties!$I$5:$I$104,MATCH($B695,Properties!$A$5:$A$104,0))*Settings!$B$8*Settings!$B$9,0)+IF($H695="Y",Settings!$B$7*Settings!$B$9,0)+N($I695)*Settings!$B$9,IF($D695="Deep clean",INDEX(Settings!$E$22:$E$26,MATCH(MIN(INDEX(Properties!$E$5:$E$104,MATCH($B695,Properties!$A$5:$A$104,0)),4),Settings!$A$22:$A$26,0))*Settings!$B$19+N($I695)*Settings!$B$9,IF($D695="Late cancel",INDEX(Properties!$L$5:$L$104,MATCH($B695,Properties!$A$5:$A$104,0))*Settings!$B$11,0))),0))</f>
        <v/>
      </c>
      <c r="P695" s="28" t="str">
        <f aca="false">IF($B695="","",$N695-$O695)</f>
        <v/>
      </c>
      <c r="Q695" s="29" t="str">
        <f aca="false">IF($A695="","",DATE(YEAR($A695),MONTH($A695),1))</f>
        <v/>
      </c>
      <c r="R695" s="30" t="str">
        <f aca="false">IF($A695="","",$A695+MOD(6-WEEKDAY($A695),7))</f>
        <v/>
      </c>
      <c r="S695" s="31" t="str">
        <f aca="false">IF($B695="","",IF(AND($M695='Invoice Builder'!$C$5,$Q695='Invoice Builder'!$C$6,N($N695)&gt;0),COUNTIFS($M$5:$M695,'Invoice Builder'!$C$5,$Q$5:$Q695,'Invoice Builder'!$C$6,$N$5:$N695,"&gt;0"),""))</f>
        <v/>
      </c>
      <c r="T695" s="27" t="str">
        <f aca="false">IF($A695="","",IF($A695&gt;=DATE(YEAR($A695),4,6),YEAR($A695)&amp;"/"&amp;RIGHT(YEAR($A695)+1,2),YEAR($A695)-1&amp;"/"&amp;RIGHT(YEAR($A695),2)))</f>
        <v/>
      </c>
    </row>
    <row r="696" customFormat="false" ht="15" hidden="false" customHeight="false" outlineLevel="0" collapsed="false">
      <c r="A696" s="22"/>
      <c r="B696" s="23"/>
      <c r="C696" s="23"/>
      <c r="D696" s="23"/>
      <c r="E696" s="24"/>
      <c r="F696" s="24"/>
      <c r="G696" s="23"/>
      <c r="H696" s="23"/>
      <c r="I696" s="25"/>
      <c r="J696" s="23"/>
      <c r="K696" s="23"/>
      <c r="L696" s="26" t="str">
        <f aca="false">IF(OR($E696="",$F696=""),"",MOD($F696-$E696,1)*24)</f>
        <v/>
      </c>
      <c r="M696" s="27" t="str">
        <f aca="false">IF($B696="","",IFERROR(INDEX(Properties!$D$5:$D$104,MATCH($B696,Properties!$A$5:$A$104,0)),"?"))</f>
        <v/>
      </c>
      <c r="N696" s="28" t="str">
        <f aca="false">IF($B696="","",IFERROR(IF($D696="Completed",INDEX(Properties!$I$5:$I$104,MATCH($B696,Properties!$A$5:$A$104,0))*(1+IF($G696="Y",Settings!$B$8,0))+IF($H696="Y",Settings!$B$7,0)+N($I696),IF($D696="Deep clean",INDEX(Settings!$E$22:$E$26,MATCH(MIN(INDEX(Properties!$E$5:$E$104,MATCH($B696,Properties!$A$5:$A$104,0)),4),Settings!$A$22:$A$26,0))+N($I696),IF($D696="Late cancel",INDEX(Properties!$I$5:$I$104,MATCH($B696,Properties!$A$5:$A$104,0))*Settings!$B$10,0))),0))</f>
        <v/>
      </c>
      <c r="O696" s="28" t="str">
        <f aca="false">IF($B696="","",IFERROR(IF($D696="Completed",INDEX(Properties!$L$5:$L$104,MATCH($B696,Properties!$A$5:$A$104,0))+IF($G696="Y",INDEX(Properties!$I$5:$I$104,MATCH($B696,Properties!$A$5:$A$104,0))*Settings!$B$8*Settings!$B$9,0)+IF($H696="Y",Settings!$B$7*Settings!$B$9,0)+N($I696)*Settings!$B$9,IF($D696="Deep clean",INDEX(Settings!$E$22:$E$26,MATCH(MIN(INDEX(Properties!$E$5:$E$104,MATCH($B696,Properties!$A$5:$A$104,0)),4),Settings!$A$22:$A$26,0))*Settings!$B$19+N($I696)*Settings!$B$9,IF($D696="Late cancel",INDEX(Properties!$L$5:$L$104,MATCH($B696,Properties!$A$5:$A$104,0))*Settings!$B$11,0))),0))</f>
        <v/>
      </c>
      <c r="P696" s="28" t="str">
        <f aca="false">IF($B696="","",$N696-$O696)</f>
        <v/>
      </c>
      <c r="Q696" s="29" t="str">
        <f aca="false">IF($A696="","",DATE(YEAR($A696),MONTH($A696),1))</f>
        <v/>
      </c>
      <c r="R696" s="30" t="str">
        <f aca="false">IF($A696="","",$A696+MOD(6-WEEKDAY($A696),7))</f>
        <v/>
      </c>
      <c r="S696" s="31" t="str">
        <f aca="false">IF($B696="","",IF(AND($M696='Invoice Builder'!$C$5,$Q696='Invoice Builder'!$C$6,N($N696)&gt;0),COUNTIFS($M$5:$M696,'Invoice Builder'!$C$5,$Q$5:$Q696,'Invoice Builder'!$C$6,$N$5:$N696,"&gt;0"),""))</f>
        <v/>
      </c>
      <c r="T696" s="27" t="str">
        <f aca="false">IF($A696="","",IF($A696&gt;=DATE(YEAR($A696),4,6),YEAR($A696)&amp;"/"&amp;RIGHT(YEAR($A696)+1,2),YEAR($A696)-1&amp;"/"&amp;RIGHT(YEAR($A696),2)))</f>
        <v/>
      </c>
    </row>
    <row r="697" customFormat="false" ht="15" hidden="false" customHeight="false" outlineLevel="0" collapsed="false">
      <c r="A697" s="22"/>
      <c r="B697" s="23"/>
      <c r="C697" s="23"/>
      <c r="D697" s="23"/>
      <c r="E697" s="24"/>
      <c r="F697" s="24"/>
      <c r="G697" s="23"/>
      <c r="H697" s="23"/>
      <c r="I697" s="25"/>
      <c r="J697" s="23"/>
      <c r="K697" s="23"/>
      <c r="L697" s="26" t="str">
        <f aca="false">IF(OR($E697="",$F697=""),"",MOD($F697-$E697,1)*24)</f>
        <v/>
      </c>
      <c r="M697" s="27" t="str">
        <f aca="false">IF($B697="","",IFERROR(INDEX(Properties!$D$5:$D$104,MATCH($B697,Properties!$A$5:$A$104,0)),"?"))</f>
        <v/>
      </c>
      <c r="N697" s="28" t="str">
        <f aca="false">IF($B697="","",IFERROR(IF($D697="Completed",INDEX(Properties!$I$5:$I$104,MATCH($B697,Properties!$A$5:$A$104,0))*(1+IF($G697="Y",Settings!$B$8,0))+IF($H697="Y",Settings!$B$7,0)+N($I697),IF($D697="Deep clean",INDEX(Settings!$E$22:$E$26,MATCH(MIN(INDEX(Properties!$E$5:$E$104,MATCH($B697,Properties!$A$5:$A$104,0)),4),Settings!$A$22:$A$26,0))+N($I697),IF($D697="Late cancel",INDEX(Properties!$I$5:$I$104,MATCH($B697,Properties!$A$5:$A$104,0))*Settings!$B$10,0))),0))</f>
        <v/>
      </c>
      <c r="O697" s="28" t="str">
        <f aca="false">IF($B697="","",IFERROR(IF($D697="Completed",INDEX(Properties!$L$5:$L$104,MATCH($B697,Properties!$A$5:$A$104,0))+IF($G697="Y",INDEX(Properties!$I$5:$I$104,MATCH($B697,Properties!$A$5:$A$104,0))*Settings!$B$8*Settings!$B$9,0)+IF($H697="Y",Settings!$B$7*Settings!$B$9,0)+N($I697)*Settings!$B$9,IF($D697="Deep clean",INDEX(Settings!$E$22:$E$26,MATCH(MIN(INDEX(Properties!$E$5:$E$104,MATCH($B697,Properties!$A$5:$A$104,0)),4),Settings!$A$22:$A$26,0))*Settings!$B$19+N($I697)*Settings!$B$9,IF($D697="Late cancel",INDEX(Properties!$L$5:$L$104,MATCH($B697,Properties!$A$5:$A$104,0))*Settings!$B$11,0))),0))</f>
        <v/>
      </c>
      <c r="P697" s="28" t="str">
        <f aca="false">IF($B697="","",$N697-$O697)</f>
        <v/>
      </c>
      <c r="Q697" s="29" t="str">
        <f aca="false">IF($A697="","",DATE(YEAR($A697),MONTH($A697),1))</f>
        <v/>
      </c>
      <c r="R697" s="30" t="str">
        <f aca="false">IF($A697="","",$A697+MOD(6-WEEKDAY($A697),7))</f>
        <v/>
      </c>
      <c r="S697" s="31" t="str">
        <f aca="false">IF($B697="","",IF(AND($M697='Invoice Builder'!$C$5,$Q697='Invoice Builder'!$C$6,N($N697)&gt;0),COUNTIFS($M$5:$M697,'Invoice Builder'!$C$5,$Q$5:$Q697,'Invoice Builder'!$C$6,$N$5:$N697,"&gt;0"),""))</f>
        <v/>
      </c>
      <c r="T697" s="27" t="str">
        <f aca="false">IF($A697="","",IF($A697&gt;=DATE(YEAR($A697),4,6),YEAR($A697)&amp;"/"&amp;RIGHT(YEAR($A697)+1,2),YEAR($A697)-1&amp;"/"&amp;RIGHT(YEAR($A697),2)))</f>
        <v/>
      </c>
    </row>
    <row r="698" customFormat="false" ht="15" hidden="false" customHeight="false" outlineLevel="0" collapsed="false">
      <c r="A698" s="22"/>
      <c r="B698" s="23"/>
      <c r="C698" s="23"/>
      <c r="D698" s="23"/>
      <c r="E698" s="24"/>
      <c r="F698" s="24"/>
      <c r="G698" s="23"/>
      <c r="H698" s="23"/>
      <c r="I698" s="25"/>
      <c r="J698" s="23"/>
      <c r="K698" s="23"/>
      <c r="L698" s="26" t="str">
        <f aca="false">IF(OR($E698="",$F698=""),"",MOD($F698-$E698,1)*24)</f>
        <v/>
      </c>
      <c r="M698" s="27" t="str">
        <f aca="false">IF($B698="","",IFERROR(INDEX(Properties!$D$5:$D$104,MATCH($B698,Properties!$A$5:$A$104,0)),"?"))</f>
        <v/>
      </c>
      <c r="N698" s="28" t="str">
        <f aca="false">IF($B698="","",IFERROR(IF($D698="Completed",INDEX(Properties!$I$5:$I$104,MATCH($B698,Properties!$A$5:$A$104,0))*(1+IF($G698="Y",Settings!$B$8,0))+IF($H698="Y",Settings!$B$7,0)+N($I698),IF($D698="Deep clean",INDEX(Settings!$E$22:$E$26,MATCH(MIN(INDEX(Properties!$E$5:$E$104,MATCH($B698,Properties!$A$5:$A$104,0)),4),Settings!$A$22:$A$26,0))+N($I698),IF($D698="Late cancel",INDEX(Properties!$I$5:$I$104,MATCH($B698,Properties!$A$5:$A$104,0))*Settings!$B$10,0))),0))</f>
        <v/>
      </c>
      <c r="O698" s="28" t="str">
        <f aca="false">IF($B698="","",IFERROR(IF($D698="Completed",INDEX(Properties!$L$5:$L$104,MATCH($B698,Properties!$A$5:$A$104,0))+IF($G698="Y",INDEX(Properties!$I$5:$I$104,MATCH($B698,Properties!$A$5:$A$104,0))*Settings!$B$8*Settings!$B$9,0)+IF($H698="Y",Settings!$B$7*Settings!$B$9,0)+N($I698)*Settings!$B$9,IF($D698="Deep clean",INDEX(Settings!$E$22:$E$26,MATCH(MIN(INDEX(Properties!$E$5:$E$104,MATCH($B698,Properties!$A$5:$A$104,0)),4),Settings!$A$22:$A$26,0))*Settings!$B$19+N($I698)*Settings!$B$9,IF($D698="Late cancel",INDEX(Properties!$L$5:$L$104,MATCH($B698,Properties!$A$5:$A$104,0))*Settings!$B$11,0))),0))</f>
        <v/>
      </c>
      <c r="P698" s="28" t="str">
        <f aca="false">IF($B698="","",$N698-$O698)</f>
        <v/>
      </c>
      <c r="Q698" s="29" t="str">
        <f aca="false">IF($A698="","",DATE(YEAR($A698),MONTH($A698),1))</f>
        <v/>
      </c>
      <c r="R698" s="30" t="str">
        <f aca="false">IF($A698="","",$A698+MOD(6-WEEKDAY($A698),7))</f>
        <v/>
      </c>
      <c r="S698" s="31" t="str">
        <f aca="false">IF($B698="","",IF(AND($M698='Invoice Builder'!$C$5,$Q698='Invoice Builder'!$C$6,N($N698)&gt;0),COUNTIFS($M$5:$M698,'Invoice Builder'!$C$5,$Q$5:$Q698,'Invoice Builder'!$C$6,$N$5:$N698,"&gt;0"),""))</f>
        <v/>
      </c>
      <c r="T698" s="27" t="str">
        <f aca="false">IF($A698="","",IF($A698&gt;=DATE(YEAR($A698),4,6),YEAR($A698)&amp;"/"&amp;RIGHT(YEAR($A698)+1,2),YEAR($A698)-1&amp;"/"&amp;RIGHT(YEAR($A698),2)))</f>
        <v/>
      </c>
    </row>
    <row r="699" customFormat="false" ht="15" hidden="false" customHeight="false" outlineLevel="0" collapsed="false">
      <c r="A699" s="22"/>
      <c r="B699" s="23"/>
      <c r="C699" s="23"/>
      <c r="D699" s="23"/>
      <c r="E699" s="24"/>
      <c r="F699" s="24"/>
      <c r="G699" s="23"/>
      <c r="H699" s="23"/>
      <c r="I699" s="25"/>
      <c r="J699" s="23"/>
      <c r="K699" s="23"/>
      <c r="L699" s="26" t="str">
        <f aca="false">IF(OR($E699="",$F699=""),"",MOD($F699-$E699,1)*24)</f>
        <v/>
      </c>
      <c r="M699" s="27" t="str">
        <f aca="false">IF($B699="","",IFERROR(INDEX(Properties!$D$5:$D$104,MATCH($B699,Properties!$A$5:$A$104,0)),"?"))</f>
        <v/>
      </c>
      <c r="N699" s="28" t="str">
        <f aca="false">IF($B699="","",IFERROR(IF($D699="Completed",INDEX(Properties!$I$5:$I$104,MATCH($B699,Properties!$A$5:$A$104,0))*(1+IF($G699="Y",Settings!$B$8,0))+IF($H699="Y",Settings!$B$7,0)+N($I699),IF($D699="Deep clean",INDEX(Settings!$E$22:$E$26,MATCH(MIN(INDEX(Properties!$E$5:$E$104,MATCH($B699,Properties!$A$5:$A$104,0)),4),Settings!$A$22:$A$26,0))+N($I699),IF($D699="Late cancel",INDEX(Properties!$I$5:$I$104,MATCH($B699,Properties!$A$5:$A$104,0))*Settings!$B$10,0))),0))</f>
        <v/>
      </c>
      <c r="O699" s="28" t="str">
        <f aca="false">IF($B699="","",IFERROR(IF($D699="Completed",INDEX(Properties!$L$5:$L$104,MATCH($B699,Properties!$A$5:$A$104,0))+IF($G699="Y",INDEX(Properties!$I$5:$I$104,MATCH($B699,Properties!$A$5:$A$104,0))*Settings!$B$8*Settings!$B$9,0)+IF($H699="Y",Settings!$B$7*Settings!$B$9,0)+N($I699)*Settings!$B$9,IF($D699="Deep clean",INDEX(Settings!$E$22:$E$26,MATCH(MIN(INDEX(Properties!$E$5:$E$104,MATCH($B699,Properties!$A$5:$A$104,0)),4),Settings!$A$22:$A$26,0))*Settings!$B$19+N($I699)*Settings!$B$9,IF($D699="Late cancel",INDEX(Properties!$L$5:$L$104,MATCH($B699,Properties!$A$5:$A$104,0))*Settings!$B$11,0))),0))</f>
        <v/>
      </c>
      <c r="P699" s="28" t="str">
        <f aca="false">IF($B699="","",$N699-$O699)</f>
        <v/>
      </c>
      <c r="Q699" s="29" t="str">
        <f aca="false">IF($A699="","",DATE(YEAR($A699),MONTH($A699),1))</f>
        <v/>
      </c>
      <c r="R699" s="30" t="str">
        <f aca="false">IF($A699="","",$A699+MOD(6-WEEKDAY($A699),7))</f>
        <v/>
      </c>
      <c r="S699" s="31" t="str">
        <f aca="false">IF($B699="","",IF(AND($M699='Invoice Builder'!$C$5,$Q699='Invoice Builder'!$C$6,N($N699)&gt;0),COUNTIFS($M$5:$M699,'Invoice Builder'!$C$5,$Q$5:$Q699,'Invoice Builder'!$C$6,$N$5:$N699,"&gt;0"),""))</f>
        <v/>
      </c>
      <c r="T699" s="27" t="str">
        <f aca="false">IF($A699="","",IF($A699&gt;=DATE(YEAR($A699),4,6),YEAR($A699)&amp;"/"&amp;RIGHT(YEAR($A699)+1,2),YEAR($A699)-1&amp;"/"&amp;RIGHT(YEAR($A699),2)))</f>
        <v/>
      </c>
    </row>
    <row r="700" customFormat="false" ht="15" hidden="false" customHeight="false" outlineLevel="0" collapsed="false">
      <c r="A700" s="22"/>
      <c r="B700" s="23"/>
      <c r="C700" s="23"/>
      <c r="D700" s="23"/>
      <c r="E700" s="24"/>
      <c r="F700" s="24"/>
      <c r="G700" s="23"/>
      <c r="H700" s="23"/>
      <c r="I700" s="25"/>
      <c r="J700" s="23"/>
      <c r="K700" s="23"/>
      <c r="L700" s="26" t="str">
        <f aca="false">IF(OR($E700="",$F700=""),"",MOD($F700-$E700,1)*24)</f>
        <v/>
      </c>
      <c r="M700" s="27" t="str">
        <f aca="false">IF($B700="","",IFERROR(INDEX(Properties!$D$5:$D$104,MATCH($B700,Properties!$A$5:$A$104,0)),"?"))</f>
        <v/>
      </c>
      <c r="N700" s="28" t="str">
        <f aca="false">IF($B700="","",IFERROR(IF($D700="Completed",INDEX(Properties!$I$5:$I$104,MATCH($B700,Properties!$A$5:$A$104,0))*(1+IF($G700="Y",Settings!$B$8,0))+IF($H700="Y",Settings!$B$7,0)+N($I700),IF($D700="Deep clean",INDEX(Settings!$E$22:$E$26,MATCH(MIN(INDEX(Properties!$E$5:$E$104,MATCH($B700,Properties!$A$5:$A$104,0)),4),Settings!$A$22:$A$26,0))+N($I700),IF($D700="Late cancel",INDEX(Properties!$I$5:$I$104,MATCH($B700,Properties!$A$5:$A$104,0))*Settings!$B$10,0))),0))</f>
        <v/>
      </c>
      <c r="O700" s="28" t="str">
        <f aca="false">IF($B700="","",IFERROR(IF($D700="Completed",INDEX(Properties!$L$5:$L$104,MATCH($B700,Properties!$A$5:$A$104,0))+IF($G700="Y",INDEX(Properties!$I$5:$I$104,MATCH($B700,Properties!$A$5:$A$104,0))*Settings!$B$8*Settings!$B$9,0)+IF($H700="Y",Settings!$B$7*Settings!$B$9,0)+N($I700)*Settings!$B$9,IF($D700="Deep clean",INDEX(Settings!$E$22:$E$26,MATCH(MIN(INDEX(Properties!$E$5:$E$104,MATCH($B700,Properties!$A$5:$A$104,0)),4),Settings!$A$22:$A$26,0))*Settings!$B$19+N($I700)*Settings!$B$9,IF($D700="Late cancel",INDEX(Properties!$L$5:$L$104,MATCH($B700,Properties!$A$5:$A$104,0))*Settings!$B$11,0))),0))</f>
        <v/>
      </c>
      <c r="P700" s="28" t="str">
        <f aca="false">IF($B700="","",$N700-$O700)</f>
        <v/>
      </c>
      <c r="Q700" s="29" t="str">
        <f aca="false">IF($A700="","",DATE(YEAR($A700),MONTH($A700),1))</f>
        <v/>
      </c>
      <c r="R700" s="30" t="str">
        <f aca="false">IF($A700="","",$A700+MOD(6-WEEKDAY($A700),7))</f>
        <v/>
      </c>
      <c r="S700" s="31" t="str">
        <f aca="false">IF($B700="","",IF(AND($M700='Invoice Builder'!$C$5,$Q700='Invoice Builder'!$C$6,N($N700)&gt;0),COUNTIFS($M$5:$M700,'Invoice Builder'!$C$5,$Q$5:$Q700,'Invoice Builder'!$C$6,$N$5:$N700,"&gt;0"),""))</f>
        <v/>
      </c>
      <c r="T700" s="27" t="str">
        <f aca="false">IF($A700="","",IF($A700&gt;=DATE(YEAR($A700),4,6),YEAR($A700)&amp;"/"&amp;RIGHT(YEAR($A700)+1,2),YEAR($A700)-1&amp;"/"&amp;RIGHT(YEAR($A700),2)))</f>
        <v/>
      </c>
    </row>
    <row r="701" customFormat="false" ht="15" hidden="false" customHeight="false" outlineLevel="0" collapsed="false">
      <c r="A701" s="22"/>
      <c r="B701" s="23"/>
      <c r="C701" s="23"/>
      <c r="D701" s="23"/>
      <c r="E701" s="24"/>
      <c r="F701" s="24"/>
      <c r="G701" s="23"/>
      <c r="H701" s="23"/>
      <c r="I701" s="25"/>
      <c r="J701" s="23"/>
      <c r="K701" s="23"/>
      <c r="L701" s="26" t="str">
        <f aca="false">IF(OR($E701="",$F701=""),"",MOD($F701-$E701,1)*24)</f>
        <v/>
      </c>
      <c r="M701" s="27" t="str">
        <f aca="false">IF($B701="","",IFERROR(INDEX(Properties!$D$5:$D$104,MATCH($B701,Properties!$A$5:$A$104,0)),"?"))</f>
        <v/>
      </c>
      <c r="N701" s="28" t="str">
        <f aca="false">IF($B701="","",IFERROR(IF($D701="Completed",INDEX(Properties!$I$5:$I$104,MATCH($B701,Properties!$A$5:$A$104,0))*(1+IF($G701="Y",Settings!$B$8,0))+IF($H701="Y",Settings!$B$7,0)+N($I701),IF($D701="Deep clean",INDEX(Settings!$E$22:$E$26,MATCH(MIN(INDEX(Properties!$E$5:$E$104,MATCH($B701,Properties!$A$5:$A$104,0)),4),Settings!$A$22:$A$26,0))+N($I701),IF($D701="Late cancel",INDEX(Properties!$I$5:$I$104,MATCH($B701,Properties!$A$5:$A$104,0))*Settings!$B$10,0))),0))</f>
        <v/>
      </c>
      <c r="O701" s="28" t="str">
        <f aca="false">IF($B701="","",IFERROR(IF($D701="Completed",INDEX(Properties!$L$5:$L$104,MATCH($B701,Properties!$A$5:$A$104,0))+IF($G701="Y",INDEX(Properties!$I$5:$I$104,MATCH($B701,Properties!$A$5:$A$104,0))*Settings!$B$8*Settings!$B$9,0)+IF($H701="Y",Settings!$B$7*Settings!$B$9,0)+N($I701)*Settings!$B$9,IF($D701="Deep clean",INDEX(Settings!$E$22:$E$26,MATCH(MIN(INDEX(Properties!$E$5:$E$104,MATCH($B701,Properties!$A$5:$A$104,0)),4),Settings!$A$22:$A$26,0))*Settings!$B$19+N($I701)*Settings!$B$9,IF($D701="Late cancel",INDEX(Properties!$L$5:$L$104,MATCH($B701,Properties!$A$5:$A$104,0))*Settings!$B$11,0))),0))</f>
        <v/>
      </c>
      <c r="P701" s="28" t="str">
        <f aca="false">IF($B701="","",$N701-$O701)</f>
        <v/>
      </c>
      <c r="Q701" s="29" t="str">
        <f aca="false">IF($A701="","",DATE(YEAR($A701),MONTH($A701),1))</f>
        <v/>
      </c>
      <c r="R701" s="30" t="str">
        <f aca="false">IF($A701="","",$A701+MOD(6-WEEKDAY($A701),7))</f>
        <v/>
      </c>
      <c r="S701" s="31" t="str">
        <f aca="false">IF($B701="","",IF(AND($M701='Invoice Builder'!$C$5,$Q701='Invoice Builder'!$C$6,N($N701)&gt;0),COUNTIFS($M$5:$M701,'Invoice Builder'!$C$5,$Q$5:$Q701,'Invoice Builder'!$C$6,$N$5:$N701,"&gt;0"),""))</f>
        <v/>
      </c>
      <c r="T701" s="27" t="str">
        <f aca="false">IF($A701="","",IF($A701&gt;=DATE(YEAR($A701),4,6),YEAR($A701)&amp;"/"&amp;RIGHT(YEAR($A701)+1,2),YEAR($A701)-1&amp;"/"&amp;RIGHT(YEAR($A701),2)))</f>
        <v/>
      </c>
    </row>
    <row r="702" customFormat="false" ht="15" hidden="false" customHeight="false" outlineLevel="0" collapsed="false">
      <c r="A702" s="22"/>
      <c r="B702" s="23"/>
      <c r="C702" s="23"/>
      <c r="D702" s="23"/>
      <c r="E702" s="24"/>
      <c r="F702" s="24"/>
      <c r="G702" s="23"/>
      <c r="H702" s="23"/>
      <c r="I702" s="25"/>
      <c r="J702" s="23"/>
      <c r="K702" s="23"/>
      <c r="L702" s="26" t="str">
        <f aca="false">IF(OR($E702="",$F702=""),"",MOD($F702-$E702,1)*24)</f>
        <v/>
      </c>
      <c r="M702" s="27" t="str">
        <f aca="false">IF($B702="","",IFERROR(INDEX(Properties!$D$5:$D$104,MATCH($B702,Properties!$A$5:$A$104,0)),"?"))</f>
        <v/>
      </c>
      <c r="N702" s="28" t="str">
        <f aca="false">IF($B702="","",IFERROR(IF($D702="Completed",INDEX(Properties!$I$5:$I$104,MATCH($B702,Properties!$A$5:$A$104,0))*(1+IF($G702="Y",Settings!$B$8,0))+IF($H702="Y",Settings!$B$7,0)+N($I702),IF($D702="Deep clean",INDEX(Settings!$E$22:$E$26,MATCH(MIN(INDEX(Properties!$E$5:$E$104,MATCH($B702,Properties!$A$5:$A$104,0)),4),Settings!$A$22:$A$26,0))+N($I702),IF($D702="Late cancel",INDEX(Properties!$I$5:$I$104,MATCH($B702,Properties!$A$5:$A$104,0))*Settings!$B$10,0))),0))</f>
        <v/>
      </c>
      <c r="O702" s="28" t="str">
        <f aca="false">IF($B702="","",IFERROR(IF($D702="Completed",INDEX(Properties!$L$5:$L$104,MATCH($B702,Properties!$A$5:$A$104,0))+IF($G702="Y",INDEX(Properties!$I$5:$I$104,MATCH($B702,Properties!$A$5:$A$104,0))*Settings!$B$8*Settings!$B$9,0)+IF($H702="Y",Settings!$B$7*Settings!$B$9,0)+N($I702)*Settings!$B$9,IF($D702="Deep clean",INDEX(Settings!$E$22:$E$26,MATCH(MIN(INDEX(Properties!$E$5:$E$104,MATCH($B702,Properties!$A$5:$A$104,0)),4),Settings!$A$22:$A$26,0))*Settings!$B$19+N($I702)*Settings!$B$9,IF($D702="Late cancel",INDEX(Properties!$L$5:$L$104,MATCH($B702,Properties!$A$5:$A$104,0))*Settings!$B$11,0))),0))</f>
        <v/>
      </c>
      <c r="P702" s="28" t="str">
        <f aca="false">IF($B702="","",$N702-$O702)</f>
        <v/>
      </c>
      <c r="Q702" s="29" t="str">
        <f aca="false">IF($A702="","",DATE(YEAR($A702),MONTH($A702),1))</f>
        <v/>
      </c>
      <c r="R702" s="30" t="str">
        <f aca="false">IF($A702="","",$A702+MOD(6-WEEKDAY($A702),7))</f>
        <v/>
      </c>
      <c r="S702" s="31" t="str">
        <f aca="false">IF($B702="","",IF(AND($M702='Invoice Builder'!$C$5,$Q702='Invoice Builder'!$C$6,N($N702)&gt;0),COUNTIFS($M$5:$M702,'Invoice Builder'!$C$5,$Q$5:$Q702,'Invoice Builder'!$C$6,$N$5:$N702,"&gt;0"),""))</f>
        <v/>
      </c>
      <c r="T702" s="27" t="str">
        <f aca="false">IF($A702="","",IF($A702&gt;=DATE(YEAR($A702),4,6),YEAR($A702)&amp;"/"&amp;RIGHT(YEAR($A702)+1,2),YEAR($A702)-1&amp;"/"&amp;RIGHT(YEAR($A702),2)))</f>
        <v/>
      </c>
    </row>
    <row r="703" customFormat="false" ht="15" hidden="false" customHeight="false" outlineLevel="0" collapsed="false">
      <c r="A703" s="22"/>
      <c r="B703" s="23"/>
      <c r="C703" s="23"/>
      <c r="D703" s="23"/>
      <c r="E703" s="24"/>
      <c r="F703" s="24"/>
      <c r="G703" s="23"/>
      <c r="H703" s="23"/>
      <c r="I703" s="25"/>
      <c r="J703" s="23"/>
      <c r="K703" s="23"/>
      <c r="L703" s="26" t="str">
        <f aca="false">IF(OR($E703="",$F703=""),"",MOD($F703-$E703,1)*24)</f>
        <v/>
      </c>
      <c r="M703" s="27" t="str">
        <f aca="false">IF($B703="","",IFERROR(INDEX(Properties!$D$5:$D$104,MATCH($B703,Properties!$A$5:$A$104,0)),"?"))</f>
        <v/>
      </c>
      <c r="N703" s="28" t="str">
        <f aca="false">IF($B703="","",IFERROR(IF($D703="Completed",INDEX(Properties!$I$5:$I$104,MATCH($B703,Properties!$A$5:$A$104,0))*(1+IF($G703="Y",Settings!$B$8,0))+IF($H703="Y",Settings!$B$7,0)+N($I703),IF($D703="Deep clean",INDEX(Settings!$E$22:$E$26,MATCH(MIN(INDEX(Properties!$E$5:$E$104,MATCH($B703,Properties!$A$5:$A$104,0)),4),Settings!$A$22:$A$26,0))+N($I703),IF($D703="Late cancel",INDEX(Properties!$I$5:$I$104,MATCH($B703,Properties!$A$5:$A$104,0))*Settings!$B$10,0))),0))</f>
        <v/>
      </c>
      <c r="O703" s="28" t="str">
        <f aca="false">IF($B703="","",IFERROR(IF($D703="Completed",INDEX(Properties!$L$5:$L$104,MATCH($B703,Properties!$A$5:$A$104,0))+IF($G703="Y",INDEX(Properties!$I$5:$I$104,MATCH($B703,Properties!$A$5:$A$104,0))*Settings!$B$8*Settings!$B$9,0)+IF($H703="Y",Settings!$B$7*Settings!$B$9,0)+N($I703)*Settings!$B$9,IF($D703="Deep clean",INDEX(Settings!$E$22:$E$26,MATCH(MIN(INDEX(Properties!$E$5:$E$104,MATCH($B703,Properties!$A$5:$A$104,0)),4),Settings!$A$22:$A$26,0))*Settings!$B$19+N($I703)*Settings!$B$9,IF($D703="Late cancel",INDEX(Properties!$L$5:$L$104,MATCH($B703,Properties!$A$5:$A$104,0))*Settings!$B$11,0))),0))</f>
        <v/>
      </c>
      <c r="P703" s="28" t="str">
        <f aca="false">IF($B703="","",$N703-$O703)</f>
        <v/>
      </c>
      <c r="Q703" s="29" t="str">
        <f aca="false">IF($A703="","",DATE(YEAR($A703),MONTH($A703),1))</f>
        <v/>
      </c>
      <c r="R703" s="30" t="str">
        <f aca="false">IF($A703="","",$A703+MOD(6-WEEKDAY($A703),7))</f>
        <v/>
      </c>
      <c r="S703" s="31" t="str">
        <f aca="false">IF($B703="","",IF(AND($M703='Invoice Builder'!$C$5,$Q703='Invoice Builder'!$C$6,N($N703)&gt;0),COUNTIFS($M$5:$M703,'Invoice Builder'!$C$5,$Q$5:$Q703,'Invoice Builder'!$C$6,$N$5:$N703,"&gt;0"),""))</f>
        <v/>
      </c>
      <c r="T703" s="27" t="str">
        <f aca="false">IF($A703="","",IF($A703&gt;=DATE(YEAR($A703),4,6),YEAR($A703)&amp;"/"&amp;RIGHT(YEAR($A703)+1,2),YEAR($A703)-1&amp;"/"&amp;RIGHT(YEAR($A703),2)))</f>
        <v/>
      </c>
    </row>
    <row r="704" customFormat="false" ht="15" hidden="false" customHeight="false" outlineLevel="0" collapsed="false">
      <c r="A704" s="22"/>
      <c r="B704" s="23"/>
      <c r="C704" s="23"/>
      <c r="D704" s="23"/>
      <c r="E704" s="24"/>
      <c r="F704" s="24"/>
      <c r="G704" s="23"/>
      <c r="H704" s="23"/>
      <c r="I704" s="25"/>
      <c r="J704" s="23"/>
      <c r="K704" s="23"/>
      <c r="L704" s="26" t="str">
        <f aca="false">IF(OR($E704="",$F704=""),"",MOD($F704-$E704,1)*24)</f>
        <v/>
      </c>
      <c r="M704" s="27" t="str">
        <f aca="false">IF($B704="","",IFERROR(INDEX(Properties!$D$5:$D$104,MATCH($B704,Properties!$A$5:$A$104,0)),"?"))</f>
        <v/>
      </c>
      <c r="N704" s="28" t="str">
        <f aca="false">IF($B704="","",IFERROR(IF($D704="Completed",INDEX(Properties!$I$5:$I$104,MATCH($B704,Properties!$A$5:$A$104,0))*(1+IF($G704="Y",Settings!$B$8,0))+IF($H704="Y",Settings!$B$7,0)+N($I704),IF($D704="Deep clean",INDEX(Settings!$E$22:$E$26,MATCH(MIN(INDEX(Properties!$E$5:$E$104,MATCH($B704,Properties!$A$5:$A$104,0)),4),Settings!$A$22:$A$26,0))+N($I704),IF($D704="Late cancel",INDEX(Properties!$I$5:$I$104,MATCH($B704,Properties!$A$5:$A$104,0))*Settings!$B$10,0))),0))</f>
        <v/>
      </c>
      <c r="O704" s="28" t="str">
        <f aca="false">IF($B704="","",IFERROR(IF($D704="Completed",INDEX(Properties!$L$5:$L$104,MATCH($B704,Properties!$A$5:$A$104,0))+IF($G704="Y",INDEX(Properties!$I$5:$I$104,MATCH($B704,Properties!$A$5:$A$104,0))*Settings!$B$8*Settings!$B$9,0)+IF($H704="Y",Settings!$B$7*Settings!$B$9,0)+N($I704)*Settings!$B$9,IF($D704="Deep clean",INDEX(Settings!$E$22:$E$26,MATCH(MIN(INDEX(Properties!$E$5:$E$104,MATCH($B704,Properties!$A$5:$A$104,0)),4),Settings!$A$22:$A$26,0))*Settings!$B$19+N($I704)*Settings!$B$9,IF($D704="Late cancel",INDEX(Properties!$L$5:$L$104,MATCH($B704,Properties!$A$5:$A$104,0))*Settings!$B$11,0))),0))</f>
        <v/>
      </c>
      <c r="P704" s="28" t="str">
        <f aca="false">IF($B704="","",$N704-$O704)</f>
        <v/>
      </c>
      <c r="Q704" s="29" t="str">
        <f aca="false">IF($A704="","",DATE(YEAR($A704),MONTH($A704),1))</f>
        <v/>
      </c>
      <c r="R704" s="30" t="str">
        <f aca="false">IF($A704="","",$A704+MOD(6-WEEKDAY($A704),7))</f>
        <v/>
      </c>
      <c r="S704" s="31" t="str">
        <f aca="false">IF($B704="","",IF(AND($M704='Invoice Builder'!$C$5,$Q704='Invoice Builder'!$C$6,N($N704)&gt;0),COUNTIFS($M$5:$M704,'Invoice Builder'!$C$5,$Q$5:$Q704,'Invoice Builder'!$C$6,$N$5:$N704,"&gt;0"),""))</f>
        <v/>
      </c>
      <c r="T704" s="27" t="str">
        <f aca="false">IF($A704="","",IF($A704&gt;=DATE(YEAR($A704),4,6),YEAR($A704)&amp;"/"&amp;RIGHT(YEAR($A704)+1,2),YEAR($A704)-1&amp;"/"&amp;RIGHT(YEAR($A704),2)))</f>
        <v/>
      </c>
    </row>
    <row r="705" customFormat="false" ht="15" hidden="false" customHeight="false" outlineLevel="0" collapsed="false">
      <c r="A705" s="22"/>
      <c r="B705" s="23"/>
      <c r="C705" s="23"/>
      <c r="D705" s="23"/>
      <c r="E705" s="24"/>
      <c r="F705" s="24"/>
      <c r="G705" s="23"/>
      <c r="H705" s="23"/>
      <c r="I705" s="25"/>
      <c r="J705" s="23"/>
      <c r="K705" s="23"/>
      <c r="L705" s="26" t="str">
        <f aca="false">IF(OR($E705="",$F705=""),"",MOD($F705-$E705,1)*24)</f>
        <v/>
      </c>
      <c r="M705" s="27" t="str">
        <f aca="false">IF($B705="","",IFERROR(INDEX(Properties!$D$5:$D$104,MATCH($B705,Properties!$A$5:$A$104,0)),"?"))</f>
        <v/>
      </c>
      <c r="N705" s="28" t="str">
        <f aca="false">IF($B705="","",IFERROR(IF($D705="Completed",INDEX(Properties!$I$5:$I$104,MATCH($B705,Properties!$A$5:$A$104,0))*(1+IF($G705="Y",Settings!$B$8,0))+IF($H705="Y",Settings!$B$7,0)+N($I705),IF($D705="Deep clean",INDEX(Settings!$E$22:$E$26,MATCH(MIN(INDEX(Properties!$E$5:$E$104,MATCH($B705,Properties!$A$5:$A$104,0)),4),Settings!$A$22:$A$26,0))+N($I705),IF($D705="Late cancel",INDEX(Properties!$I$5:$I$104,MATCH($B705,Properties!$A$5:$A$104,0))*Settings!$B$10,0))),0))</f>
        <v/>
      </c>
      <c r="O705" s="28" t="str">
        <f aca="false">IF($B705="","",IFERROR(IF($D705="Completed",INDEX(Properties!$L$5:$L$104,MATCH($B705,Properties!$A$5:$A$104,0))+IF($G705="Y",INDEX(Properties!$I$5:$I$104,MATCH($B705,Properties!$A$5:$A$104,0))*Settings!$B$8*Settings!$B$9,0)+IF($H705="Y",Settings!$B$7*Settings!$B$9,0)+N($I705)*Settings!$B$9,IF($D705="Deep clean",INDEX(Settings!$E$22:$E$26,MATCH(MIN(INDEX(Properties!$E$5:$E$104,MATCH($B705,Properties!$A$5:$A$104,0)),4),Settings!$A$22:$A$26,0))*Settings!$B$19+N($I705)*Settings!$B$9,IF($D705="Late cancel",INDEX(Properties!$L$5:$L$104,MATCH($B705,Properties!$A$5:$A$104,0))*Settings!$B$11,0))),0))</f>
        <v/>
      </c>
      <c r="P705" s="28" t="str">
        <f aca="false">IF($B705="","",$N705-$O705)</f>
        <v/>
      </c>
      <c r="Q705" s="29" t="str">
        <f aca="false">IF($A705="","",DATE(YEAR($A705),MONTH($A705),1))</f>
        <v/>
      </c>
      <c r="R705" s="30" t="str">
        <f aca="false">IF($A705="","",$A705+MOD(6-WEEKDAY($A705),7))</f>
        <v/>
      </c>
      <c r="S705" s="31" t="str">
        <f aca="false">IF($B705="","",IF(AND($M705='Invoice Builder'!$C$5,$Q705='Invoice Builder'!$C$6,N($N705)&gt;0),COUNTIFS($M$5:$M705,'Invoice Builder'!$C$5,$Q$5:$Q705,'Invoice Builder'!$C$6,$N$5:$N705,"&gt;0"),""))</f>
        <v/>
      </c>
      <c r="T705" s="27" t="str">
        <f aca="false">IF($A705="","",IF($A705&gt;=DATE(YEAR($A705),4,6),YEAR($A705)&amp;"/"&amp;RIGHT(YEAR($A705)+1,2),YEAR($A705)-1&amp;"/"&amp;RIGHT(YEAR($A705),2)))</f>
        <v/>
      </c>
    </row>
    <row r="706" customFormat="false" ht="15" hidden="false" customHeight="false" outlineLevel="0" collapsed="false">
      <c r="A706" s="22"/>
      <c r="B706" s="23"/>
      <c r="C706" s="23"/>
      <c r="D706" s="23"/>
      <c r="E706" s="24"/>
      <c r="F706" s="24"/>
      <c r="G706" s="23"/>
      <c r="H706" s="23"/>
      <c r="I706" s="25"/>
      <c r="J706" s="23"/>
      <c r="K706" s="23"/>
      <c r="L706" s="26" t="str">
        <f aca="false">IF(OR($E706="",$F706=""),"",MOD($F706-$E706,1)*24)</f>
        <v/>
      </c>
      <c r="M706" s="27" t="str">
        <f aca="false">IF($B706="","",IFERROR(INDEX(Properties!$D$5:$D$104,MATCH($B706,Properties!$A$5:$A$104,0)),"?"))</f>
        <v/>
      </c>
      <c r="N706" s="28" t="str">
        <f aca="false">IF($B706="","",IFERROR(IF($D706="Completed",INDEX(Properties!$I$5:$I$104,MATCH($B706,Properties!$A$5:$A$104,0))*(1+IF($G706="Y",Settings!$B$8,0))+IF($H706="Y",Settings!$B$7,0)+N($I706),IF($D706="Deep clean",INDEX(Settings!$E$22:$E$26,MATCH(MIN(INDEX(Properties!$E$5:$E$104,MATCH($B706,Properties!$A$5:$A$104,0)),4),Settings!$A$22:$A$26,0))+N($I706),IF($D706="Late cancel",INDEX(Properties!$I$5:$I$104,MATCH($B706,Properties!$A$5:$A$104,0))*Settings!$B$10,0))),0))</f>
        <v/>
      </c>
      <c r="O706" s="28" t="str">
        <f aca="false">IF($B706="","",IFERROR(IF($D706="Completed",INDEX(Properties!$L$5:$L$104,MATCH($B706,Properties!$A$5:$A$104,0))+IF($G706="Y",INDEX(Properties!$I$5:$I$104,MATCH($B706,Properties!$A$5:$A$104,0))*Settings!$B$8*Settings!$B$9,0)+IF($H706="Y",Settings!$B$7*Settings!$B$9,0)+N($I706)*Settings!$B$9,IF($D706="Deep clean",INDEX(Settings!$E$22:$E$26,MATCH(MIN(INDEX(Properties!$E$5:$E$104,MATCH($B706,Properties!$A$5:$A$104,0)),4),Settings!$A$22:$A$26,0))*Settings!$B$19+N($I706)*Settings!$B$9,IF($D706="Late cancel",INDEX(Properties!$L$5:$L$104,MATCH($B706,Properties!$A$5:$A$104,0))*Settings!$B$11,0))),0))</f>
        <v/>
      </c>
      <c r="P706" s="28" t="str">
        <f aca="false">IF($B706="","",$N706-$O706)</f>
        <v/>
      </c>
      <c r="Q706" s="29" t="str">
        <f aca="false">IF($A706="","",DATE(YEAR($A706),MONTH($A706),1))</f>
        <v/>
      </c>
      <c r="R706" s="30" t="str">
        <f aca="false">IF($A706="","",$A706+MOD(6-WEEKDAY($A706),7))</f>
        <v/>
      </c>
      <c r="S706" s="31" t="str">
        <f aca="false">IF($B706="","",IF(AND($M706='Invoice Builder'!$C$5,$Q706='Invoice Builder'!$C$6,N($N706)&gt;0),COUNTIFS($M$5:$M706,'Invoice Builder'!$C$5,$Q$5:$Q706,'Invoice Builder'!$C$6,$N$5:$N706,"&gt;0"),""))</f>
        <v/>
      </c>
      <c r="T706" s="27" t="str">
        <f aca="false">IF($A706="","",IF($A706&gt;=DATE(YEAR($A706),4,6),YEAR($A706)&amp;"/"&amp;RIGHT(YEAR($A706)+1,2),YEAR($A706)-1&amp;"/"&amp;RIGHT(YEAR($A706),2)))</f>
        <v/>
      </c>
    </row>
    <row r="707" customFormat="false" ht="15" hidden="false" customHeight="false" outlineLevel="0" collapsed="false">
      <c r="A707" s="22"/>
      <c r="B707" s="23"/>
      <c r="C707" s="23"/>
      <c r="D707" s="23"/>
      <c r="E707" s="24"/>
      <c r="F707" s="24"/>
      <c r="G707" s="23"/>
      <c r="H707" s="23"/>
      <c r="I707" s="25"/>
      <c r="J707" s="23"/>
      <c r="K707" s="23"/>
      <c r="L707" s="26" t="str">
        <f aca="false">IF(OR($E707="",$F707=""),"",MOD($F707-$E707,1)*24)</f>
        <v/>
      </c>
      <c r="M707" s="27" t="str">
        <f aca="false">IF($B707="","",IFERROR(INDEX(Properties!$D$5:$D$104,MATCH($B707,Properties!$A$5:$A$104,0)),"?"))</f>
        <v/>
      </c>
      <c r="N707" s="28" t="str">
        <f aca="false">IF($B707="","",IFERROR(IF($D707="Completed",INDEX(Properties!$I$5:$I$104,MATCH($B707,Properties!$A$5:$A$104,0))*(1+IF($G707="Y",Settings!$B$8,0))+IF($H707="Y",Settings!$B$7,0)+N($I707),IF($D707="Deep clean",INDEX(Settings!$E$22:$E$26,MATCH(MIN(INDEX(Properties!$E$5:$E$104,MATCH($B707,Properties!$A$5:$A$104,0)),4),Settings!$A$22:$A$26,0))+N($I707),IF($D707="Late cancel",INDEX(Properties!$I$5:$I$104,MATCH($B707,Properties!$A$5:$A$104,0))*Settings!$B$10,0))),0))</f>
        <v/>
      </c>
      <c r="O707" s="28" t="str">
        <f aca="false">IF($B707="","",IFERROR(IF($D707="Completed",INDEX(Properties!$L$5:$L$104,MATCH($B707,Properties!$A$5:$A$104,0))+IF($G707="Y",INDEX(Properties!$I$5:$I$104,MATCH($B707,Properties!$A$5:$A$104,0))*Settings!$B$8*Settings!$B$9,0)+IF($H707="Y",Settings!$B$7*Settings!$B$9,0)+N($I707)*Settings!$B$9,IF($D707="Deep clean",INDEX(Settings!$E$22:$E$26,MATCH(MIN(INDEX(Properties!$E$5:$E$104,MATCH($B707,Properties!$A$5:$A$104,0)),4),Settings!$A$22:$A$26,0))*Settings!$B$19+N($I707)*Settings!$B$9,IF($D707="Late cancel",INDEX(Properties!$L$5:$L$104,MATCH($B707,Properties!$A$5:$A$104,0))*Settings!$B$11,0))),0))</f>
        <v/>
      </c>
      <c r="P707" s="28" t="str">
        <f aca="false">IF($B707="","",$N707-$O707)</f>
        <v/>
      </c>
      <c r="Q707" s="29" t="str">
        <f aca="false">IF($A707="","",DATE(YEAR($A707),MONTH($A707),1))</f>
        <v/>
      </c>
      <c r="R707" s="30" t="str">
        <f aca="false">IF($A707="","",$A707+MOD(6-WEEKDAY($A707),7))</f>
        <v/>
      </c>
      <c r="S707" s="31" t="str">
        <f aca="false">IF($B707="","",IF(AND($M707='Invoice Builder'!$C$5,$Q707='Invoice Builder'!$C$6,N($N707)&gt;0),COUNTIFS($M$5:$M707,'Invoice Builder'!$C$5,$Q$5:$Q707,'Invoice Builder'!$C$6,$N$5:$N707,"&gt;0"),""))</f>
        <v/>
      </c>
      <c r="T707" s="27" t="str">
        <f aca="false">IF($A707="","",IF($A707&gt;=DATE(YEAR($A707),4,6),YEAR($A707)&amp;"/"&amp;RIGHT(YEAR($A707)+1,2),YEAR($A707)-1&amp;"/"&amp;RIGHT(YEAR($A707),2)))</f>
        <v/>
      </c>
    </row>
    <row r="708" customFormat="false" ht="15" hidden="false" customHeight="false" outlineLevel="0" collapsed="false">
      <c r="A708" s="22"/>
      <c r="B708" s="23"/>
      <c r="C708" s="23"/>
      <c r="D708" s="23"/>
      <c r="E708" s="24"/>
      <c r="F708" s="24"/>
      <c r="G708" s="23"/>
      <c r="H708" s="23"/>
      <c r="I708" s="25"/>
      <c r="J708" s="23"/>
      <c r="K708" s="23"/>
      <c r="L708" s="26" t="str">
        <f aca="false">IF(OR($E708="",$F708=""),"",MOD($F708-$E708,1)*24)</f>
        <v/>
      </c>
      <c r="M708" s="27" t="str">
        <f aca="false">IF($B708="","",IFERROR(INDEX(Properties!$D$5:$D$104,MATCH($B708,Properties!$A$5:$A$104,0)),"?"))</f>
        <v/>
      </c>
      <c r="N708" s="28" t="str">
        <f aca="false">IF($B708="","",IFERROR(IF($D708="Completed",INDEX(Properties!$I$5:$I$104,MATCH($B708,Properties!$A$5:$A$104,0))*(1+IF($G708="Y",Settings!$B$8,0))+IF($H708="Y",Settings!$B$7,0)+N($I708),IF($D708="Deep clean",INDEX(Settings!$E$22:$E$26,MATCH(MIN(INDEX(Properties!$E$5:$E$104,MATCH($B708,Properties!$A$5:$A$104,0)),4),Settings!$A$22:$A$26,0))+N($I708),IF($D708="Late cancel",INDEX(Properties!$I$5:$I$104,MATCH($B708,Properties!$A$5:$A$104,0))*Settings!$B$10,0))),0))</f>
        <v/>
      </c>
      <c r="O708" s="28" t="str">
        <f aca="false">IF($B708="","",IFERROR(IF($D708="Completed",INDEX(Properties!$L$5:$L$104,MATCH($B708,Properties!$A$5:$A$104,0))+IF($G708="Y",INDEX(Properties!$I$5:$I$104,MATCH($B708,Properties!$A$5:$A$104,0))*Settings!$B$8*Settings!$B$9,0)+IF($H708="Y",Settings!$B$7*Settings!$B$9,0)+N($I708)*Settings!$B$9,IF($D708="Deep clean",INDEX(Settings!$E$22:$E$26,MATCH(MIN(INDEX(Properties!$E$5:$E$104,MATCH($B708,Properties!$A$5:$A$104,0)),4),Settings!$A$22:$A$26,0))*Settings!$B$19+N($I708)*Settings!$B$9,IF($D708="Late cancel",INDEX(Properties!$L$5:$L$104,MATCH($B708,Properties!$A$5:$A$104,0))*Settings!$B$11,0))),0))</f>
        <v/>
      </c>
      <c r="P708" s="28" t="str">
        <f aca="false">IF($B708="","",$N708-$O708)</f>
        <v/>
      </c>
      <c r="Q708" s="29" t="str">
        <f aca="false">IF($A708="","",DATE(YEAR($A708),MONTH($A708),1))</f>
        <v/>
      </c>
      <c r="R708" s="30" t="str">
        <f aca="false">IF($A708="","",$A708+MOD(6-WEEKDAY($A708),7))</f>
        <v/>
      </c>
      <c r="S708" s="31" t="str">
        <f aca="false">IF($B708="","",IF(AND($M708='Invoice Builder'!$C$5,$Q708='Invoice Builder'!$C$6,N($N708)&gt;0),COUNTIFS($M$5:$M708,'Invoice Builder'!$C$5,$Q$5:$Q708,'Invoice Builder'!$C$6,$N$5:$N708,"&gt;0"),""))</f>
        <v/>
      </c>
      <c r="T708" s="27" t="str">
        <f aca="false">IF($A708="","",IF($A708&gt;=DATE(YEAR($A708),4,6),YEAR($A708)&amp;"/"&amp;RIGHT(YEAR($A708)+1,2),YEAR($A708)-1&amp;"/"&amp;RIGHT(YEAR($A708),2)))</f>
        <v/>
      </c>
    </row>
    <row r="709" customFormat="false" ht="15" hidden="false" customHeight="false" outlineLevel="0" collapsed="false">
      <c r="A709" s="22"/>
      <c r="B709" s="23"/>
      <c r="C709" s="23"/>
      <c r="D709" s="23"/>
      <c r="E709" s="24"/>
      <c r="F709" s="24"/>
      <c r="G709" s="23"/>
      <c r="H709" s="23"/>
      <c r="I709" s="25"/>
      <c r="J709" s="23"/>
      <c r="K709" s="23"/>
      <c r="L709" s="26" t="str">
        <f aca="false">IF(OR($E709="",$F709=""),"",MOD($F709-$E709,1)*24)</f>
        <v/>
      </c>
      <c r="M709" s="27" t="str">
        <f aca="false">IF($B709="","",IFERROR(INDEX(Properties!$D$5:$D$104,MATCH($B709,Properties!$A$5:$A$104,0)),"?"))</f>
        <v/>
      </c>
      <c r="N709" s="28" t="str">
        <f aca="false">IF($B709="","",IFERROR(IF($D709="Completed",INDEX(Properties!$I$5:$I$104,MATCH($B709,Properties!$A$5:$A$104,0))*(1+IF($G709="Y",Settings!$B$8,0))+IF($H709="Y",Settings!$B$7,0)+N($I709),IF($D709="Deep clean",INDEX(Settings!$E$22:$E$26,MATCH(MIN(INDEX(Properties!$E$5:$E$104,MATCH($B709,Properties!$A$5:$A$104,0)),4),Settings!$A$22:$A$26,0))+N($I709),IF($D709="Late cancel",INDEX(Properties!$I$5:$I$104,MATCH($B709,Properties!$A$5:$A$104,0))*Settings!$B$10,0))),0))</f>
        <v/>
      </c>
      <c r="O709" s="28" t="str">
        <f aca="false">IF($B709="","",IFERROR(IF($D709="Completed",INDEX(Properties!$L$5:$L$104,MATCH($B709,Properties!$A$5:$A$104,0))+IF($G709="Y",INDEX(Properties!$I$5:$I$104,MATCH($B709,Properties!$A$5:$A$104,0))*Settings!$B$8*Settings!$B$9,0)+IF($H709="Y",Settings!$B$7*Settings!$B$9,0)+N($I709)*Settings!$B$9,IF($D709="Deep clean",INDEX(Settings!$E$22:$E$26,MATCH(MIN(INDEX(Properties!$E$5:$E$104,MATCH($B709,Properties!$A$5:$A$104,0)),4),Settings!$A$22:$A$26,0))*Settings!$B$19+N($I709)*Settings!$B$9,IF($D709="Late cancel",INDEX(Properties!$L$5:$L$104,MATCH($B709,Properties!$A$5:$A$104,0))*Settings!$B$11,0))),0))</f>
        <v/>
      </c>
      <c r="P709" s="28" t="str">
        <f aca="false">IF($B709="","",$N709-$O709)</f>
        <v/>
      </c>
      <c r="Q709" s="29" t="str">
        <f aca="false">IF($A709="","",DATE(YEAR($A709),MONTH($A709),1))</f>
        <v/>
      </c>
      <c r="R709" s="30" t="str">
        <f aca="false">IF($A709="","",$A709+MOD(6-WEEKDAY($A709),7))</f>
        <v/>
      </c>
      <c r="S709" s="31" t="str">
        <f aca="false">IF($B709="","",IF(AND($M709='Invoice Builder'!$C$5,$Q709='Invoice Builder'!$C$6,N($N709)&gt;0),COUNTIFS($M$5:$M709,'Invoice Builder'!$C$5,$Q$5:$Q709,'Invoice Builder'!$C$6,$N$5:$N709,"&gt;0"),""))</f>
        <v/>
      </c>
      <c r="T709" s="27" t="str">
        <f aca="false">IF($A709="","",IF($A709&gt;=DATE(YEAR($A709),4,6),YEAR($A709)&amp;"/"&amp;RIGHT(YEAR($A709)+1,2),YEAR($A709)-1&amp;"/"&amp;RIGHT(YEAR($A709),2)))</f>
        <v/>
      </c>
    </row>
    <row r="710" customFormat="false" ht="15" hidden="false" customHeight="false" outlineLevel="0" collapsed="false">
      <c r="A710" s="22"/>
      <c r="B710" s="23"/>
      <c r="C710" s="23"/>
      <c r="D710" s="23"/>
      <c r="E710" s="24"/>
      <c r="F710" s="24"/>
      <c r="G710" s="23"/>
      <c r="H710" s="23"/>
      <c r="I710" s="25"/>
      <c r="J710" s="23"/>
      <c r="K710" s="23"/>
      <c r="L710" s="26" t="str">
        <f aca="false">IF(OR($E710="",$F710=""),"",MOD($F710-$E710,1)*24)</f>
        <v/>
      </c>
      <c r="M710" s="27" t="str">
        <f aca="false">IF($B710="","",IFERROR(INDEX(Properties!$D$5:$D$104,MATCH($B710,Properties!$A$5:$A$104,0)),"?"))</f>
        <v/>
      </c>
      <c r="N710" s="28" t="str">
        <f aca="false">IF($B710="","",IFERROR(IF($D710="Completed",INDEX(Properties!$I$5:$I$104,MATCH($B710,Properties!$A$5:$A$104,0))*(1+IF($G710="Y",Settings!$B$8,0))+IF($H710="Y",Settings!$B$7,0)+N($I710),IF($D710="Deep clean",INDEX(Settings!$E$22:$E$26,MATCH(MIN(INDEX(Properties!$E$5:$E$104,MATCH($B710,Properties!$A$5:$A$104,0)),4),Settings!$A$22:$A$26,0))+N($I710),IF($D710="Late cancel",INDEX(Properties!$I$5:$I$104,MATCH($B710,Properties!$A$5:$A$104,0))*Settings!$B$10,0))),0))</f>
        <v/>
      </c>
      <c r="O710" s="28" t="str">
        <f aca="false">IF($B710="","",IFERROR(IF($D710="Completed",INDEX(Properties!$L$5:$L$104,MATCH($B710,Properties!$A$5:$A$104,0))+IF($G710="Y",INDEX(Properties!$I$5:$I$104,MATCH($B710,Properties!$A$5:$A$104,0))*Settings!$B$8*Settings!$B$9,0)+IF($H710="Y",Settings!$B$7*Settings!$B$9,0)+N($I710)*Settings!$B$9,IF($D710="Deep clean",INDEX(Settings!$E$22:$E$26,MATCH(MIN(INDEX(Properties!$E$5:$E$104,MATCH($B710,Properties!$A$5:$A$104,0)),4),Settings!$A$22:$A$26,0))*Settings!$B$19+N($I710)*Settings!$B$9,IF($D710="Late cancel",INDEX(Properties!$L$5:$L$104,MATCH($B710,Properties!$A$5:$A$104,0))*Settings!$B$11,0))),0))</f>
        <v/>
      </c>
      <c r="P710" s="28" t="str">
        <f aca="false">IF($B710="","",$N710-$O710)</f>
        <v/>
      </c>
      <c r="Q710" s="29" t="str">
        <f aca="false">IF($A710="","",DATE(YEAR($A710),MONTH($A710),1))</f>
        <v/>
      </c>
      <c r="R710" s="30" t="str">
        <f aca="false">IF($A710="","",$A710+MOD(6-WEEKDAY($A710),7))</f>
        <v/>
      </c>
      <c r="S710" s="31" t="str">
        <f aca="false">IF($B710="","",IF(AND($M710='Invoice Builder'!$C$5,$Q710='Invoice Builder'!$C$6,N($N710)&gt;0),COUNTIFS($M$5:$M710,'Invoice Builder'!$C$5,$Q$5:$Q710,'Invoice Builder'!$C$6,$N$5:$N710,"&gt;0"),""))</f>
        <v/>
      </c>
      <c r="T710" s="27" t="str">
        <f aca="false">IF($A710="","",IF($A710&gt;=DATE(YEAR($A710),4,6),YEAR($A710)&amp;"/"&amp;RIGHT(YEAR($A710)+1,2),YEAR($A710)-1&amp;"/"&amp;RIGHT(YEAR($A710),2)))</f>
        <v/>
      </c>
    </row>
    <row r="711" customFormat="false" ht="15" hidden="false" customHeight="false" outlineLevel="0" collapsed="false">
      <c r="A711" s="22"/>
      <c r="B711" s="23"/>
      <c r="C711" s="23"/>
      <c r="D711" s="23"/>
      <c r="E711" s="24"/>
      <c r="F711" s="24"/>
      <c r="G711" s="23"/>
      <c r="H711" s="23"/>
      <c r="I711" s="25"/>
      <c r="J711" s="23"/>
      <c r="K711" s="23"/>
      <c r="L711" s="26" t="str">
        <f aca="false">IF(OR($E711="",$F711=""),"",MOD($F711-$E711,1)*24)</f>
        <v/>
      </c>
      <c r="M711" s="27" t="str">
        <f aca="false">IF($B711="","",IFERROR(INDEX(Properties!$D$5:$D$104,MATCH($B711,Properties!$A$5:$A$104,0)),"?"))</f>
        <v/>
      </c>
      <c r="N711" s="28" t="str">
        <f aca="false">IF($B711="","",IFERROR(IF($D711="Completed",INDEX(Properties!$I$5:$I$104,MATCH($B711,Properties!$A$5:$A$104,0))*(1+IF($G711="Y",Settings!$B$8,0))+IF($H711="Y",Settings!$B$7,0)+N($I711),IF($D711="Deep clean",INDEX(Settings!$E$22:$E$26,MATCH(MIN(INDEX(Properties!$E$5:$E$104,MATCH($B711,Properties!$A$5:$A$104,0)),4),Settings!$A$22:$A$26,0))+N($I711),IF($D711="Late cancel",INDEX(Properties!$I$5:$I$104,MATCH($B711,Properties!$A$5:$A$104,0))*Settings!$B$10,0))),0))</f>
        <v/>
      </c>
      <c r="O711" s="28" t="str">
        <f aca="false">IF($B711="","",IFERROR(IF($D711="Completed",INDEX(Properties!$L$5:$L$104,MATCH($B711,Properties!$A$5:$A$104,0))+IF($G711="Y",INDEX(Properties!$I$5:$I$104,MATCH($B711,Properties!$A$5:$A$104,0))*Settings!$B$8*Settings!$B$9,0)+IF($H711="Y",Settings!$B$7*Settings!$B$9,0)+N($I711)*Settings!$B$9,IF($D711="Deep clean",INDEX(Settings!$E$22:$E$26,MATCH(MIN(INDEX(Properties!$E$5:$E$104,MATCH($B711,Properties!$A$5:$A$104,0)),4),Settings!$A$22:$A$26,0))*Settings!$B$19+N($I711)*Settings!$B$9,IF($D711="Late cancel",INDEX(Properties!$L$5:$L$104,MATCH($B711,Properties!$A$5:$A$104,0))*Settings!$B$11,0))),0))</f>
        <v/>
      </c>
      <c r="P711" s="28" t="str">
        <f aca="false">IF($B711="","",$N711-$O711)</f>
        <v/>
      </c>
      <c r="Q711" s="29" t="str">
        <f aca="false">IF($A711="","",DATE(YEAR($A711),MONTH($A711),1))</f>
        <v/>
      </c>
      <c r="R711" s="30" t="str">
        <f aca="false">IF($A711="","",$A711+MOD(6-WEEKDAY($A711),7))</f>
        <v/>
      </c>
      <c r="S711" s="31" t="str">
        <f aca="false">IF($B711="","",IF(AND($M711='Invoice Builder'!$C$5,$Q711='Invoice Builder'!$C$6,N($N711)&gt;0),COUNTIFS($M$5:$M711,'Invoice Builder'!$C$5,$Q$5:$Q711,'Invoice Builder'!$C$6,$N$5:$N711,"&gt;0"),""))</f>
        <v/>
      </c>
      <c r="T711" s="27" t="str">
        <f aca="false">IF($A711="","",IF($A711&gt;=DATE(YEAR($A711),4,6),YEAR($A711)&amp;"/"&amp;RIGHT(YEAR($A711)+1,2),YEAR($A711)-1&amp;"/"&amp;RIGHT(YEAR($A711),2)))</f>
        <v/>
      </c>
    </row>
    <row r="712" customFormat="false" ht="15" hidden="false" customHeight="false" outlineLevel="0" collapsed="false">
      <c r="A712" s="22"/>
      <c r="B712" s="23"/>
      <c r="C712" s="23"/>
      <c r="D712" s="23"/>
      <c r="E712" s="24"/>
      <c r="F712" s="24"/>
      <c r="G712" s="23"/>
      <c r="H712" s="23"/>
      <c r="I712" s="25"/>
      <c r="J712" s="23"/>
      <c r="K712" s="23"/>
      <c r="L712" s="26" t="str">
        <f aca="false">IF(OR($E712="",$F712=""),"",MOD($F712-$E712,1)*24)</f>
        <v/>
      </c>
      <c r="M712" s="27" t="str">
        <f aca="false">IF($B712="","",IFERROR(INDEX(Properties!$D$5:$D$104,MATCH($B712,Properties!$A$5:$A$104,0)),"?"))</f>
        <v/>
      </c>
      <c r="N712" s="28" t="str">
        <f aca="false">IF($B712="","",IFERROR(IF($D712="Completed",INDEX(Properties!$I$5:$I$104,MATCH($B712,Properties!$A$5:$A$104,0))*(1+IF($G712="Y",Settings!$B$8,0))+IF($H712="Y",Settings!$B$7,0)+N($I712),IF($D712="Deep clean",INDEX(Settings!$E$22:$E$26,MATCH(MIN(INDEX(Properties!$E$5:$E$104,MATCH($B712,Properties!$A$5:$A$104,0)),4),Settings!$A$22:$A$26,0))+N($I712),IF($D712="Late cancel",INDEX(Properties!$I$5:$I$104,MATCH($B712,Properties!$A$5:$A$104,0))*Settings!$B$10,0))),0))</f>
        <v/>
      </c>
      <c r="O712" s="28" t="str">
        <f aca="false">IF($B712="","",IFERROR(IF($D712="Completed",INDEX(Properties!$L$5:$L$104,MATCH($B712,Properties!$A$5:$A$104,0))+IF($G712="Y",INDEX(Properties!$I$5:$I$104,MATCH($B712,Properties!$A$5:$A$104,0))*Settings!$B$8*Settings!$B$9,0)+IF($H712="Y",Settings!$B$7*Settings!$B$9,0)+N($I712)*Settings!$B$9,IF($D712="Deep clean",INDEX(Settings!$E$22:$E$26,MATCH(MIN(INDEX(Properties!$E$5:$E$104,MATCH($B712,Properties!$A$5:$A$104,0)),4),Settings!$A$22:$A$26,0))*Settings!$B$19+N($I712)*Settings!$B$9,IF($D712="Late cancel",INDEX(Properties!$L$5:$L$104,MATCH($B712,Properties!$A$5:$A$104,0))*Settings!$B$11,0))),0))</f>
        <v/>
      </c>
      <c r="P712" s="28" t="str">
        <f aca="false">IF($B712="","",$N712-$O712)</f>
        <v/>
      </c>
      <c r="Q712" s="29" t="str">
        <f aca="false">IF($A712="","",DATE(YEAR($A712),MONTH($A712),1))</f>
        <v/>
      </c>
      <c r="R712" s="30" t="str">
        <f aca="false">IF($A712="","",$A712+MOD(6-WEEKDAY($A712),7))</f>
        <v/>
      </c>
      <c r="S712" s="31" t="str">
        <f aca="false">IF($B712="","",IF(AND($M712='Invoice Builder'!$C$5,$Q712='Invoice Builder'!$C$6,N($N712)&gt;0),COUNTIFS($M$5:$M712,'Invoice Builder'!$C$5,$Q$5:$Q712,'Invoice Builder'!$C$6,$N$5:$N712,"&gt;0"),""))</f>
        <v/>
      </c>
      <c r="T712" s="27" t="str">
        <f aca="false">IF($A712="","",IF($A712&gt;=DATE(YEAR($A712),4,6),YEAR($A712)&amp;"/"&amp;RIGHT(YEAR($A712)+1,2),YEAR($A712)-1&amp;"/"&amp;RIGHT(YEAR($A712),2)))</f>
        <v/>
      </c>
    </row>
    <row r="713" customFormat="false" ht="15" hidden="false" customHeight="false" outlineLevel="0" collapsed="false">
      <c r="A713" s="22"/>
      <c r="B713" s="23"/>
      <c r="C713" s="23"/>
      <c r="D713" s="23"/>
      <c r="E713" s="24"/>
      <c r="F713" s="24"/>
      <c r="G713" s="23"/>
      <c r="H713" s="23"/>
      <c r="I713" s="25"/>
      <c r="J713" s="23"/>
      <c r="K713" s="23"/>
      <c r="L713" s="26" t="str">
        <f aca="false">IF(OR($E713="",$F713=""),"",MOD($F713-$E713,1)*24)</f>
        <v/>
      </c>
      <c r="M713" s="27" t="str">
        <f aca="false">IF($B713="","",IFERROR(INDEX(Properties!$D$5:$D$104,MATCH($B713,Properties!$A$5:$A$104,0)),"?"))</f>
        <v/>
      </c>
      <c r="N713" s="28" t="str">
        <f aca="false">IF($B713="","",IFERROR(IF($D713="Completed",INDEX(Properties!$I$5:$I$104,MATCH($B713,Properties!$A$5:$A$104,0))*(1+IF($G713="Y",Settings!$B$8,0))+IF($H713="Y",Settings!$B$7,0)+N($I713),IF($D713="Deep clean",INDEX(Settings!$E$22:$E$26,MATCH(MIN(INDEX(Properties!$E$5:$E$104,MATCH($B713,Properties!$A$5:$A$104,0)),4),Settings!$A$22:$A$26,0))+N($I713),IF($D713="Late cancel",INDEX(Properties!$I$5:$I$104,MATCH($B713,Properties!$A$5:$A$104,0))*Settings!$B$10,0))),0))</f>
        <v/>
      </c>
      <c r="O713" s="28" t="str">
        <f aca="false">IF($B713="","",IFERROR(IF($D713="Completed",INDEX(Properties!$L$5:$L$104,MATCH($B713,Properties!$A$5:$A$104,0))+IF($G713="Y",INDEX(Properties!$I$5:$I$104,MATCH($B713,Properties!$A$5:$A$104,0))*Settings!$B$8*Settings!$B$9,0)+IF($H713="Y",Settings!$B$7*Settings!$B$9,0)+N($I713)*Settings!$B$9,IF($D713="Deep clean",INDEX(Settings!$E$22:$E$26,MATCH(MIN(INDEX(Properties!$E$5:$E$104,MATCH($B713,Properties!$A$5:$A$104,0)),4),Settings!$A$22:$A$26,0))*Settings!$B$19+N($I713)*Settings!$B$9,IF($D713="Late cancel",INDEX(Properties!$L$5:$L$104,MATCH($B713,Properties!$A$5:$A$104,0))*Settings!$B$11,0))),0))</f>
        <v/>
      </c>
      <c r="P713" s="28" t="str">
        <f aca="false">IF($B713="","",$N713-$O713)</f>
        <v/>
      </c>
      <c r="Q713" s="29" t="str">
        <f aca="false">IF($A713="","",DATE(YEAR($A713),MONTH($A713),1))</f>
        <v/>
      </c>
      <c r="R713" s="30" t="str">
        <f aca="false">IF($A713="","",$A713+MOD(6-WEEKDAY($A713),7))</f>
        <v/>
      </c>
      <c r="S713" s="31" t="str">
        <f aca="false">IF($B713="","",IF(AND($M713='Invoice Builder'!$C$5,$Q713='Invoice Builder'!$C$6,N($N713)&gt;0),COUNTIFS($M$5:$M713,'Invoice Builder'!$C$5,$Q$5:$Q713,'Invoice Builder'!$C$6,$N$5:$N713,"&gt;0"),""))</f>
        <v/>
      </c>
      <c r="T713" s="27" t="str">
        <f aca="false">IF($A713="","",IF($A713&gt;=DATE(YEAR($A713),4,6),YEAR($A713)&amp;"/"&amp;RIGHT(YEAR($A713)+1,2),YEAR($A713)-1&amp;"/"&amp;RIGHT(YEAR($A713),2)))</f>
        <v/>
      </c>
    </row>
    <row r="714" customFormat="false" ht="15" hidden="false" customHeight="false" outlineLevel="0" collapsed="false">
      <c r="A714" s="22"/>
      <c r="B714" s="23"/>
      <c r="C714" s="23"/>
      <c r="D714" s="23"/>
      <c r="E714" s="24"/>
      <c r="F714" s="24"/>
      <c r="G714" s="23"/>
      <c r="H714" s="23"/>
      <c r="I714" s="25"/>
      <c r="J714" s="23"/>
      <c r="K714" s="23"/>
      <c r="L714" s="26" t="str">
        <f aca="false">IF(OR($E714="",$F714=""),"",MOD($F714-$E714,1)*24)</f>
        <v/>
      </c>
      <c r="M714" s="27" t="str">
        <f aca="false">IF($B714="","",IFERROR(INDEX(Properties!$D$5:$D$104,MATCH($B714,Properties!$A$5:$A$104,0)),"?"))</f>
        <v/>
      </c>
      <c r="N714" s="28" t="str">
        <f aca="false">IF($B714="","",IFERROR(IF($D714="Completed",INDEX(Properties!$I$5:$I$104,MATCH($B714,Properties!$A$5:$A$104,0))*(1+IF($G714="Y",Settings!$B$8,0))+IF($H714="Y",Settings!$B$7,0)+N($I714),IF($D714="Deep clean",INDEX(Settings!$E$22:$E$26,MATCH(MIN(INDEX(Properties!$E$5:$E$104,MATCH($B714,Properties!$A$5:$A$104,0)),4),Settings!$A$22:$A$26,0))+N($I714),IF($D714="Late cancel",INDEX(Properties!$I$5:$I$104,MATCH($B714,Properties!$A$5:$A$104,0))*Settings!$B$10,0))),0))</f>
        <v/>
      </c>
      <c r="O714" s="28" t="str">
        <f aca="false">IF($B714="","",IFERROR(IF($D714="Completed",INDEX(Properties!$L$5:$L$104,MATCH($B714,Properties!$A$5:$A$104,0))+IF($G714="Y",INDEX(Properties!$I$5:$I$104,MATCH($B714,Properties!$A$5:$A$104,0))*Settings!$B$8*Settings!$B$9,0)+IF($H714="Y",Settings!$B$7*Settings!$B$9,0)+N($I714)*Settings!$B$9,IF($D714="Deep clean",INDEX(Settings!$E$22:$E$26,MATCH(MIN(INDEX(Properties!$E$5:$E$104,MATCH($B714,Properties!$A$5:$A$104,0)),4),Settings!$A$22:$A$26,0))*Settings!$B$19+N($I714)*Settings!$B$9,IF($D714="Late cancel",INDEX(Properties!$L$5:$L$104,MATCH($B714,Properties!$A$5:$A$104,0))*Settings!$B$11,0))),0))</f>
        <v/>
      </c>
      <c r="P714" s="28" t="str">
        <f aca="false">IF($B714="","",$N714-$O714)</f>
        <v/>
      </c>
      <c r="Q714" s="29" t="str">
        <f aca="false">IF($A714="","",DATE(YEAR($A714),MONTH($A714),1))</f>
        <v/>
      </c>
      <c r="R714" s="30" t="str">
        <f aca="false">IF($A714="","",$A714+MOD(6-WEEKDAY($A714),7))</f>
        <v/>
      </c>
      <c r="S714" s="31" t="str">
        <f aca="false">IF($B714="","",IF(AND($M714='Invoice Builder'!$C$5,$Q714='Invoice Builder'!$C$6,N($N714)&gt;0),COUNTIFS($M$5:$M714,'Invoice Builder'!$C$5,$Q$5:$Q714,'Invoice Builder'!$C$6,$N$5:$N714,"&gt;0"),""))</f>
        <v/>
      </c>
      <c r="T714" s="27" t="str">
        <f aca="false">IF($A714="","",IF($A714&gt;=DATE(YEAR($A714),4,6),YEAR($A714)&amp;"/"&amp;RIGHT(YEAR($A714)+1,2),YEAR($A714)-1&amp;"/"&amp;RIGHT(YEAR($A714),2)))</f>
        <v/>
      </c>
    </row>
    <row r="715" customFormat="false" ht="15" hidden="false" customHeight="false" outlineLevel="0" collapsed="false">
      <c r="A715" s="22"/>
      <c r="B715" s="23"/>
      <c r="C715" s="23"/>
      <c r="D715" s="23"/>
      <c r="E715" s="24"/>
      <c r="F715" s="24"/>
      <c r="G715" s="23"/>
      <c r="H715" s="23"/>
      <c r="I715" s="25"/>
      <c r="J715" s="23"/>
      <c r="K715" s="23"/>
      <c r="L715" s="26" t="str">
        <f aca="false">IF(OR($E715="",$F715=""),"",MOD($F715-$E715,1)*24)</f>
        <v/>
      </c>
      <c r="M715" s="27" t="str">
        <f aca="false">IF($B715="","",IFERROR(INDEX(Properties!$D$5:$D$104,MATCH($B715,Properties!$A$5:$A$104,0)),"?"))</f>
        <v/>
      </c>
      <c r="N715" s="28" t="str">
        <f aca="false">IF($B715="","",IFERROR(IF($D715="Completed",INDEX(Properties!$I$5:$I$104,MATCH($B715,Properties!$A$5:$A$104,0))*(1+IF($G715="Y",Settings!$B$8,0))+IF($H715="Y",Settings!$B$7,0)+N($I715),IF($D715="Deep clean",INDEX(Settings!$E$22:$E$26,MATCH(MIN(INDEX(Properties!$E$5:$E$104,MATCH($B715,Properties!$A$5:$A$104,0)),4),Settings!$A$22:$A$26,0))+N($I715),IF($D715="Late cancel",INDEX(Properties!$I$5:$I$104,MATCH($B715,Properties!$A$5:$A$104,0))*Settings!$B$10,0))),0))</f>
        <v/>
      </c>
      <c r="O715" s="28" t="str">
        <f aca="false">IF($B715="","",IFERROR(IF($D715="Completed",INDEX(Properties!$L$5:$L$104,MATCH($B715,Properties!$A$5:$A$104,0))+IF($G715="Y",INDEX(Properties!$I$5:$I$104,MATCH($B715,Properties!$A$5:$A$104,0))*Settings!$B$8*Settings!$B$9,0)+IF($H715="Y",Settings!$B$7*Settings!$B$9,0)+N($I715)*Settings!$B$9,IF($D715="Deep clean",INDEX(Settings!$E$22:$E$26,MATCH(MIN(INDEX(Properties!$E$5:$E$104,MATCH($B715,Properties!$A$5:$A$104,0)),4),Settings!$A$22:$A$26,0))*Settings!$B$19+N($I715)*Settings!$B$9,IF($D715="Late cancel",INDEX(Properties!$L$5:$L$104,MATCH($B715,Properties!$A$5:$A$104,0))*Settings!$B$11,0))),0))</f>
        <v/>
      </c>
      <c r="P715" s="28" t="str">
        <f aca="false">IF($B715="","",$N715-$O715)</f>
        <v/>
      </c>
      <c r="Q715" s="29" t="str">
        <f aca="false">IF($A715="","",DATE(YEAR($A715),MONTH($A715),1))</f>
        <v/>
      </c>
      <c r="R715" s="30" t="str">
        <f aca="false">IF($A715="","",$A715+MOD(6-WEEKDAY($A715),7))</f>
        <v/>
      </c>
      <c r="S715" s="31" t="str">
        <f aca="false">IF($B715="","",IF(AND($M715='Invoice Builder'!$C$5,$Q715='Invoice Builder'!$C$6,N($N715)&gt;0),COUNTIFS($M$5:$M715,'Invoice Builder'!$C$5,$Q$5:$Q715,'Invoice Builder'!$C$6,$N$5:$N715,"&gt;0"),""))</f>
        <v/>
      </c>
      <c r="T715" s="27" t="str">
        <f aca="false">IF($A715="","",IF($A715&gt;=DATE(YEAR($A715),4,6),YEAR($A715)&amp;"/"&amp;RIGHT(YEAR($A715)+1,2),YEAR($A715)-1&amp;"/"&amp;RIGHT(YEAR($A715),2)))</f>
        <v/>
      </c>
    </row>
    <row r="716" customFormat="false" ht="15" hidden="false" customHeight="false" outlineLevel="0" collapsed="false">
      <c r="A716" s="22"/>
      <c r="B716" s="23"/>
      <c r="C716" s="23"/>
      <c r="D716" s="23"/>
      <c r="E716" s="24"/>
      <c r="F716" s="24"/>
      <c r="G716" s="23"/>
      <c r="H716" s="23"/>
      <c r="I716" s="25"/>
      <c r="J716" s="23"/>
      <c r="K716" s="23"/>
      <c r="L716" s="26" t="str">
        <f aca="false">IF(OR($E716="",$F716=""),"",MOD($F716-$E716,1)*24)</f>
        <v/>
      </c>
      <c r="M716" s="27" t="str">
        <f aca="false">IF($B716="","",IFERROR(INDEX(Properties!$D$5:$D$104,MATCH($B716,Properties!$A$5:$A$104,0)),"?"))</f>
        <v/>
      </c>
      <c r="N716" s="28" t="str">
        <f aca="false">IF($B716="","",IFERROR(IF($D716="Completed",INDEX(Properties!$I$5:$I$104,MATCH($B716,Properties!$A$5:$A$104,0))*(1+IF($G716="Y",Settings!$B$8,0))+IF($H716="Y",Settings!$B$7,0)+N($I716),IF($D716="Deep clean",INDEX(Settings!$E$22:$E$26,MATCH(MIN(INDEX(Properties!$E$5:$E$104,MATCH($B716,Properties!$A$5:$A$104,0)),4),Settings!$A$22:$A$26,0))+N($I716),IF($D716="Late cancel",INDEX(Properties!$I$5:$I$104,MATCH($B716,Properties!$A$5:$A$104,0))*Settings!$B$10,0))),0))</f>
        <v/>
      </c>
      <c r="O716" s="28" t="str">
        <f aca="false">IF($B716="","",IFERROR(IF($D716="Completed",INDEX(Properties!$L$5:$L$104,MATCH($B716,Properties!$A$5:$A$104,0))+IF($G716="Y",INDEX(Properties!$I$5:$I$104,MATCH($B716,Properties!$A$5:$A$104,0))*Settings!$B$8*Settings!$B$9,0)+IF($H716="Y",Settings!$B$7*Settings!$B$9,0)+N($I716)*Settings!$B$9,IF($D716="Deep clean",INDEX(Settings!$E$22:$E$26,MATCH(MIN(INDEX(Properties!$E$5:$E$104,MATCH($B716,Properties!$A$5:$A$104,0)),4),Settings!$A$22:$A$26,0))*Settings!$B$19+N($I716)*Settings!$B$9,IF($D716="Late cancel",INDEX(Properties!$L$5:$L$104,MATCH($B716,Properties!$A$5:$A$104,0))*Settings!$B$11,0))),0))</f>
        <v/>
      </c>
      <c r="P716" s="28" t="str">
        <f aca="false">IF($B716="","",$N716-$O716)</f>
        <v/>
      </c>
      <c r="Q716" s="29" t="str">
        <f aca="false">IF($A716="","",DATE(YEAR($A716),MONTH($A716),1))</f>
        <v/>
      </c>
      <c r="R716" s="30" t="str">
        <f aca="false">IF($A716="","",$A716+MOD(6-WEEKDAY($A716),7))</f>
        <v/>
      </c>
      <c r="S716" s="31" t="str">
        <f aca="false">IF($B716="","",IF(AND($M716='Invoice Builder'!$C$5,$Q716='Invoice Builder'!$C$6,N($N716)&gt;0),COUNTIFS($M$5:$M716,'Invoice Builder'!$C$5,$Q$5:$Q716,'Invoice Builder'!$C$6,$N$5:$N716,"&gt;0"),""))</f>
        <v/>
      </c>
      <c r="T716" s="27" t="str">
        <f aca="false">IF($A716="","",IF($A716&gt;=DATE(YEAR($A716),4,6),YEAR($A716)&amp;"/"&amp;RIGHT(YEAR($A716)+1,2),YEAR($A716)-1&amp;"/"&amp;RIGHT(YEAR($A716),2)))</f>
        <v/>
      </c>
    </row>
    <row r="717" customFormat="false" ht="15" hidden="false" customHeight="false" outlineLevel="0" collapsed="false">
      <c r="A717" s="22"/>
      <c r="B717" s="23"/>
      <c r="C717" s="23"/>
      <c r="D717" s="23"/>
      <c r="E717" s="24"/>
      <c r="F717" s="24"/>
      <c r="G717" s="23"/>
      <c r="H717" s="23"/>
      <c r="I717" s="25"/>
      <c r="J717" s="23"/>
      <c r="K717" s="23"/>
      <c r="L717" s="26" t="str">
        <f aca="false">IF(OR($E717="",$F717=""),"",MOD($F717-$E717,1)*24)</f>
        <v/>
      </c>
      <c r="M717" s="27" t="str">
        <f aca="false">IF($B717="","",IFERROR(INDEX(Properties!$D$5:$D$104,MATCH($B717,Properties!$A$5:$A$104,0)),"?"))</f>
        <v/>
      </c>
      <c r="N717" s="28" t="str">
        <f aca="false">IF($B717="","",IFERROR(IF($D717="Completed",INDEX(Properties!$I$5:$I$104,MATCH($B717,Properties!$A$5:$A$104,0))*(1+IF($G717="Y",Settings!$B$8,0))+IF($H717="Y",Settings!$B$7,0)+N($I717),IF($D717="Deep clean",INDEX(Settings!$E$22:$E$26,MATCH(MIN(INDEX(Properties!$E$5:$E$104,MATCH($B717,Properties!$A$5:$A$104,0)),4),Settings!$A$22:$A$26,0))+N($I717),IF($D717="Late cancel",INDEX(Properties!$I$5:$I$104,MATCH($B717,Properties!$A$5:$A$104,0))*Settings!$B$10,0))),0))</f>
        <v/>
      </c>
      <c r="O717" s="28" t="str">
        <f aca="false">IF($B717="","",IFERROR(IF($D717="Completed",INDEX(Properties!$L$5:$L$104,MATCH($B717,Properties!$A$5:$A$104,0))+IF($G717="Y",INDEX(Properties!$I$5:$I$104,MATCH($B717,Properties!$A$5:$A$104,0))*Settings!$B$8*Settings!$B$9,0)+IF($H717="Y",Settings!$B$7*Settings!$B$9,0)+N($I717)*Settings!$B$9,IF($D717="Deep clean",INDEX(Settings!$E$22:$E$26,MATCH(MIN(INDEX(Properties!$E$5:$E$104,MATCH($B717,Properties!$A$5:$A$104,0)),4),Settings!$A$22:$A$26,0))*Settings!$B$19+N($I717)*Settings!$B$9,IF($D717="Late cancel",INDEX(Properties!$L$5:$L$104,MATCH($B717,Properties!$A$5:$A$104,0))*Settings!$B$11,0))),0))</f>
        <v/>
      </c>
      <c r="P717" s="28" t="str">
        <f aca="false">IF($B717="","",$N717-$O717)</f>
        <v/>
      </c>
      <c r="Q717" s="29" t="str">
        <f aca="false">IF($A717="","",DATE(YEAR($A717),MONTH($A717),1))</f>
        <v/>
      </c>
      <c r="R717" s="30" t="str">
        <f aca="false">IF($A717="","",$A717+MOD(6-WEEKDAY($A717),7))</f>
        <v/>
      </c>
      <c r="S717" s="31" t="str">
        <f aca="false">IF($B717="","",IF(AND($M717='Invoice Builder'!$C$5,$Q717='Invoice Builder'!$C$6,N($N717)&gt;0),COUNTIFS($M$5:$M717,'Invoice Builder'!$C$5,$Q$5:$Q717,'Invoice Builder'!$C$6,$N$5:$N717,"&gt;0"),""))</f>
        <v/>
      </c>
      <c r="T717" s="27" t="str">
        <f aca="false">IF($A717="","",IF($A717&gt;=DATE(YEAR($A717),4,6),YEAR($A717)&amp;"/"&amp;RIGHT(YEAR($A717)+1,2),YEAR($A717)-1&amp;"/"&amp;RIGHT(YEAR($A717),2)))</f>
        <v/>
      </c>
    </row>
    <row r="718" customFormat="false" ht="15" hidden="false" customHeight="false" outlineLevel="0" collapsed="false">
      <c r="A718" s="22"/>
      <c r="B718" s="23"/>
      <c r="C718" s="23"/>
      <c r="D718" s="23"/>
      <c r="E718" s="24"/>
      <c r="F718" s="24"/>
      <c r="G718" s="23"/>
      <c r="H718" s="23"/>
      <c r="I718" s="25"/>
      <c r="J718" s="23"/>
      <c r="K718" s="23"/>
      <c r="L718" s="26" t="str">
        <f aca="false">IF(OR($E718="",$F718=""),"",MOD($F718-$E718,1)*24)</f>
        <v/>
      </c>
      <c r="M718" s="27" t="str">
        <f aca="false">IF($B718="","",IFERROR(INDEX(Properties!$D$5:$D$104,MATCH($B718,Properties!$A$5:$A$104,0)),"?"))</f>
        <v/>
      </c>
      <c r="N718" s="28" t="str">
        <f aca="false">IF($B718="","",IFERROR(IF($D718="Completed",INDEX(Properties!$I$5:$I$104,MATCH($B718,Properties!$A$5:$A$104,0))*(1+IF($G718="Y",Settings!$B$8,0))+IF($H718="Y",Settings!$B$7,0)+N($I718),IF($D718="Deep clean",INDEX(Settings!$E$22:$E$26,MATCH(MIN(INDEX(Properties!$E$5:$E$104,MATCH($B718,Properties!$A$5:$A$104,0)),4),Settings!$A$22:$A$26,0))+N($I718),IF($D718="Late cancel",INDEX(Properties!$I$5:$I$104,MATCH($B718,Properties!$A$5:$A$104,0))*Settings!$B$10,0))),0))</f>
        <v/>
      </c>
      <c r="O718" s="28" t="str">
        <f aca="false">IF($B718="","",IFERROR(IF($D718="Completed",INDEX(Properties!$L$5:$L$104,MATCH($B718,Properties!$A$5:$A$104,0))+IF($G718="Y",INDEX(Properties!$I$5:$I$104,MATCH($B718,Properties!$A$5:$A$104,0))*Settings!$B$8*Settings!$B$9,0)+IF($H718="Y",Settings!$B$7*Settings!$B$9,0)+N($I718)*Settings!$B$9,IF($D718="Deep clean",INDEX(Settings!$E$22:$E$26,MATCH(MIN(INDEX(Properties!$E$5:$E$104,MATCH($B718,Properties!$A$5:$A$104,0)),4),Settings!$A$22:$A$26,0))*Settings!$B$19+N($I718)*Settings!$B$9,IF($D718="Late cancel",INDEX(Properties!$L$5:$L$104,MATCH($B718,Properties!$A$5:$A$104,0))*Settings!$B$11,0))),0))</f>
        <v/>
      </c>
      <c r="P718" s="28" t="str">
        <f aca="false">IF($B718="","",$N718-$O718)</f>
        <v/>
      </c>
      <c r="Q718" s="29" t="str">
        <f aca="false">IF($A718="","",DATE(YEAR($A718),MONTH($A718),1))</f>
        <v/>
      </c>
      <c r="R718" s="30" t="str">
        <f aca="false">IF($A718="","",$A718+MOD(6-WEEKDAY($A718),7))</f>
        <v/>
      </c>
      <c r="S718" s="31" t="str">
        <f aca="false">IF($B718="","",IF(AND($M718='Invoice Builder'!$C$5,$Q718='Invoice Builder'!$C$6,N($N718)&gt;0),COUNTIFS($M$5:$M718,'Invoice Builder'!$C$5,$Q$5:$Q718,'Invoice Builder'!$C$6,$N$5:$N718,"&gt;0"),""))</f>
        <v/>
      </c>
      <c r="T718" s="27" t="str">
        <f aca="false">IF($A718="","",IF($A718&gt;=DATE(YEAR($A718),4,6),YEAR($A718)&amp;"/"&amp;RIGHT(YEAR($A718)+1,2),YEAR($A718)-1&amp;"/"&amp;RIGHT(YEAR($A718),2)))</f>
        <v/>
      </c>
    </row>
    <row r="719" customFormat="false" ht="15" hidden="false" customHeight="false" outlineLevel="0" collapsed="false">
      <c r="A719" s="22"/>
      <c r="B719" s="23"/>
      <c r="C719" s="23"/>
      <c r="D719" s="23"/>
      <c r="E719" s="24"/>
      <c r="F719" s="24"/>
      <c r="G719" s="23"/>
      <c r="H719" s="23"/>
      <c r="I719" s="25"/>
      <c r="J719" s="23"/>
      <c r="K719" s="23"/>
      <c r="L719" s="26" t="str">
        <f aca="false">IF(OR($E719="",$F719=""),"",MOD($F719-$E719,1)*24)</f>
        <v/>
      </c>
      <c r="M719" s="27" t="str">
        <f aca="false">IF($B719="","",IFERROR(INDEX(Properties!$D$5:$D$104,MATCH($B719,Properties!$A$5:$A$104,0)),"?"))</f>
        <v/>
      </c>
      <c r="N719" s="28" t="str">
        <f aca="false">IF($B719="","",IFERROR(IF($D719="Completed",INDEX(Properties!$I$5:$I$104,MATCH($B719,Properties!$A$5:$A$104,0))*(1+IF($G719="Y",Settings!$B$8,0))+IF($H719="Y",Settings!$B$7,0)+N($I719),IF($D719="Deep clean",INDEX(Settings!$E$22:$E$26,MATCH(MIN(INDEX(Properties!$E$5:$E$104,MATCH($B719,Properties!$A$5:$A$104,0)),4),Settings!$A$22:$A$26,0))+N($I719),IF($D719="Late cancel",INDEX(Properties!$I$5:$I$104,MATCH($B719,Properties!$A$5:$A$104,0))*Settings!$B$10,0))),0))</f>
        <v/>
      </c>
      <c r="O719" s="28" t="str">
        <f aca="false">IF($B719="","",IFERROR(IF($D719="Completed",INDEX(Properties!$L$5:$L$104,MATCH($B719,Properties!$A$5:$A$104,0))+IF($G719="Y",INDEX(Properties!$I$5:$I$104,MATCH($B719,Properties!$A$5:$A$104,0))*Settings!$B$8*Settings!$B$9,0)+IF($H719="Y",Settings!$B$7*Settings!$B$9,0)+N($I719)*Settings!$B$9,IF($D719="Deep clean",INDEX(Settings!$E$22:$E$26,MATCH(MIN(INDEX(Properties!$E$5:$E$104,MATCH($B719,Properties!$A$5:$A$104,0)),4),Settings!$A$22:$A$26,0))*Settings!$B$19+N($I719)*Settings!$B$9,IF($D719="Late cancel",INDEX(Properties!$L$5:$L$104,MATCH($B719,Properties!$A$5:$A$104,0))*Settings!$B$11,0))),0))</f>
        <v/>
      </c>
      <c r="P719" s="28" t="str">
        <f aca="false">IF($B719="","",$N719-$O719)</f>
        <v/>
      </c>
      <c r="Q719" s="29" t="str">
        <f aca="false">IF($A719="","",DATE(YEAR($A719),MONTH($A719),1))</f>
        <v/>
      </c>
      <c r="R719" s="30" t="str">
        <f aca="false">IF($A719="","",$A719+MOD(6-WEEKDAY($A719),7))</f>
        <v/>
      </c>
      <c r="S719" s="31" t="str">
        <f aca="false">IF($B719="","",IF(AND($M719='Invoice Builder'!$C$5,$Q719='Invoice Builder'!$C$6,N($N719)&gt;0),COUNTIFS($M$5:$M719,'Invoice Builder'!$C$5,$Q$5:$Q719,'Invoice Builder'!$C$6,$N$5:$N719,"&gt;0"),""))</f>
        <v/>
      </c>
      <c r="T719" s="27" t="str">
        <f aca="false">IF($A719="","",IF($A719&gt;=DATE(YEAR($A719),4,6),YEAR($A719)&amp;"/"&amp;RIGHT(YEAR($A719)+1,2),YEAR($A719)-1&amp;"/"&amp;RIGHT(YEAR($A719),2)))</f>
        <v/>
      </c>
    </row>
    <row r="720" customFormat="false" ht="15" hidden="false" customHeight="false" outlineLevel="0" collapsed="false">
      <c r="A720" s="22"/>
      <c r="B720" s="23"/>
      <c r="C720" s="23"/>
      <c r="D720" s="23"/>
      <c r="E720" s="24"/>
      <c r="F720" s="24"/>
      <c r="G720" s="23"/>
      <c r="H720" s="23"/>
      <c r="I720" s="25"/>
      <c r="J720" s="23"/>
      <c r="K720" s="23"/>
      <c r="L720" s="26" t="str">
        <f aca="false">IF(OR($E720="",$F720=""),"",MOD($F720-$E720,1)*24)</f>
        <v/>
      </c>
      <c r="M720" s="27" t="str">
        <f aca="false">IF($B720="","",IFERROR(INDEX(Properties!$D$5:$D$104,MATCH($B720,Properties!$A$5:$A$104,0)),"?"))</f>
        <v/>
      </c>
      <c r="N720" s="28" t="str">
        <f aca="false">IF($B720="","",IFERROR(IF($D720="Completed",INDEX(Properties!$I$5:$I$104,MATCH($B720,Properties!$A$5:$A$104,0))*(1+IF($G720="Y",Settings!$B$8,0))+IF($H720="Y",Settings!$B$7,0)+N($I720),IF($D720="Deep clean",INDEX(Settings!$E$22:$E$26,MATCH(MIN(INDEX(Properties!$E$5:$E$104,MATCH($B720,Properties!$A$5:$A$104,0)),4),Settings!$A$22:$A$26,0))+N($I720),IF($D720="Late cancel",INDEX(Properties!$I$5:$I$104,MATCH($B720,Properties!$A$5:$A$104,0))*Settings!$B$10,0))),0))</f>
        <v/>
      </c>
      <c r="O720" s="28" t="str">
        <f aca="false">IF($B720="","",IFERROR(IF($D720="Completed",INDEX(Properties!$L$5:$L$104,MATCH($B720,Properties!$A$5:$A$104,0))+IF($G720="Y",INDEX(Properties!$I$5:$I$104,MATCH($B720,Properties!$A$5:$A$104,0))*Settings!$B$8*Settings!$B$9,0)+IF($H720="Y",Settings!$B$7*Settings!$B$9,0)+N($I720)*Settings!$B$9,IF($D720="Deep clean",INDEX(Settings!$E$22:$E$26,MATCH(MIN(INDEX(Properties!$E$5:$E$104,MATCH($B720,Properties!$A$5:$A$104,0)),4),Settings!$A$22:$A$26,0))*Settings!$B$19+N($I720)*Settings!$B$9,IF($D720="Late cancel",INDEX(Properties!$L$5:$L$104,MATCH($B720,Properties!$A$5:$A$104,0))*Settings!$B$11,0))),0))</f>
        <v/>
      </c>
      <c r="P720" s="28" t="str">
        <f aca="false">IF($B720="","",$N720-$O720)</f>
        <v/>
      </c>
      <c r="Q720" s="29" t="str">
        <f aca="false">IF($A720="","",DATE(YEAR($A720),MONTH($A720),1))</f>
        <v/>
      </c>
      <c r="R720" s="30" t="str">
        <f aca="false">IF($A720="","",$A720+MOD(6-WEEKDAY($A720),7))</f>
        <v/>
      </c>
      <c r="S720" s="31" t="str">
        <f aca="false">IF($B720="","",IF(AND($M720='Invoice Builder'!$C$5,$Q720='Invoice Builder'!$C$6,N($N720)&gt;0),COUNTIFS($M$5:$M720,'Invoice Builder'!$C$5,$Q$5:$Q720,'Invoice Builder'!$C$6,$N$5:$N720,"&gt;0"),""))</f>
        <v/>
      </c>
      <c r="T720" s="27" t="str">
        <f aca="false">IF($A720="","",IF($A720&gt;=DATE(YEAR($A720),4,6),YEAR($A720)&amp;"/"&amp;RIGHT(YEAR($A720)+1,2),YEAR($A720)-1&amp;"/"&amp;RIGHT(YEAR($A720),2)))</f>
        <v/>
      </c>
    </row>
    <row r="721" customFormat="false" ht="15" hidden="false" customHeight="false" outlineLevel="0" collapsed="false">
      <c r="A721" s="22"/>
      <c r="B721" s="23"/>
      <c r="C721" s="23"/>
      <c r="D721" s="23"/>
      <c r="E721" s="24"/>
      <c r="F721" s="24"/>
      <c r="G721" s="23"/>
      <c r="H721" s="23"/>
      <c r="I721" s="25"/>
      <c r="J721" s="23"/>
      <c r="K721" s="23"/>
      <c r="L721" s="26" t="str">
        <f aca="false">IF(OR($E721="",$F721=""),"",MOD($F721-$E721,1)*24)</f>
        <v/>
      </c>
      <c r="M721" s="27" t="str">
        <f aca="false">IF($B721="","",IFERROR(INDEX(Properties!$D$5:$D$104,MATCH($B721,Properties!$A$5:$A$104,0)),"?"))</f>
        <v/>
      </c>
      <c r="N721" s="28" t="str">
        <f aca="false">IF($B721="","",IFERROR(IF($D721="Completed",INDEX(Properties!$I$5:$I$104,MATCH($B721,Properties!$A$5:$A$104,0))*(1+IF($G721="Y",Settings!$B$8,0))+IF($H721="Y",Settings!$B$7,0)+N($I721),IF($D721="Deep clean",INDEX(Settings!$E$22:$E$26,MATCH(MIN(INDEX(Properties!$E$5:$E$104,MATCH($B721,Properties!$A$5:$A$104,0)),4),Settings!$A$22:$A$26,0))+N($I721),IF($D721="Late cancel",INDEX(Properties!$I$5:$I$104,MATCH($B721,Properties!$A$5:$A$104,0))*Settings!$B$10,0))),0))</f>
        <v/>
      </c>
      <c r="O721" s="28" t="str">
        <f aca="false">IF($B721="","",IFERROR(IF($D721="Completed",INDEX(Properties!$L$5:$L$104,MATCH($B721,Properties!$A$5:$A$104,0))+IF($G721="Y",INDEX(Properties!$I$5:$I$104,MATCH($B721,Properties!$A$5:$A$104,0))*Settings!$B$8*Settings!$B$9,0)+IF($H721="Y",Settings!$B$7*Settings!$B$9,0)+N($I721)*Settings!$B$9,IF($D721="Deep clean",INDEX(Settings!$E$22:$E$26,MATCH(MIN(INDEX(Properties!$E$5:$E$104,MATCH($B721,Properties!$A$5:$A$104,0)),4),Settings!$A$22:$A$26,0))*Settings!$B$19+N($I721)*Settings!$B$9,IF($D721="Late cancel",INDEX(Properties!$L$5:$L$104,MATCH($B721,Properties!$A$5:$A$104,0))*Settings!$B$11,0))),0))</f>
        <v/>
      </c>
      <c r="P721" s="28" t="str">
        <f aca="false">IF($B721="","",$N721-$O721)</f>
        <v/>
      </c>
      <c r="Q721" s="29" t="str">
        <f aca="false">IF($A721="","",DATE(YEAR($A721),MONTH($A721),1))</f>
        <v/>
      </c>
      <c r="R721" s="30" t="str">
        <f aca="false">IF($A721="","",$A721+MOD(6-WEEKDAY($A721),7))</f>
        <v/>
      </c>
      <c r="S721" s="31" t="str">
        <f aca="false">IF($B721="","",IF(AND($M721='Invoice Builder'!$C$5,$Q721='Invoice Builder'!$C$6,N($N721)&gt;0),COUNTIFS($M$5:$M721,'Invoice Builder'!$C$5,$Q$5:$Q721,'Invoice Builder'!$C$6,$N$5:$N721,"&gt;0"),""))</f>
        <v/>
      </c>
      <c r="T721" s="27" t="str">
        <f aca="false">IF($A721="","",IF($A721&gt;=DATE(YEAR($A721),4,6),YEAR($A721)&amp;"/"&amp;RIGHT(YEAR($A721)+1,2),YEAR($A721)-1&amp;"/"&amp;RIGHT(YEAR($A721),2)))</f>
        <v/>
      </c>
    </row>
    <row r="722" customFormat="false" ht="15" hidden="false" customHeight="false" outlineLevel="0" collapsed="false">
      <c r="A722" s="22"/>
      <c r="B722" s="23"/>
      <c r="C722" s="23"/>
      <c r="D722" s="23"/>
      <c r="E722" s="24"/>
      <c r="F722" s="24"/>
      <c r="G722" s="23"/>
      <c r="H722" s="23"/>
      <c r="I722" s="25"/>
      <c r="J722" s="23"/>
      <c r="K722" s="23"/>
      <c r="L722" s="26" t="str">
        <f aca="false">IF(OR($E722="",$F722=""),"",MOD($F722-$E722,1)*24)</f>
        <v/>
      </c>
      <c r="M722" s="27" t="str">
        <f aca="false">IF($B722="","",IFERROR(INDEX(Properties!$D$5:$D$104,MATCH($B722,Properties!$A$5:$A$104,0)),"?"))</f>
        <v/>
      </c>
      <c r="N722" s="28" t="str">
        <f aca="false">IF($B722="","",IFERROR(IF($D722="Completed",INDEX(Properties!$I$5:$I$104,MATCH($B722,Properties!$A$5:$A$104,0))*(1+IF($G722="Y",Settings!$B$8,0))+IF($H722="Y",Settings!$B$7,0)+N($I722),IF($D722="Deep clean",INDEX(Settings!$E$22:$E$26,MATCH(MIN(INDEX(Properties!$E$5:$E$104,MATCH($B722,Properties!$A$5:$A$104,0)),4),Settings!$A$22:$A$26,0))+N($I722),IF($D722="Late cancel",INDEX(Properties!$I$5:$I$104,MATCH($B722,Properties!$A$5:$A$104,0))*Settings!$B$10,0))),0))</f>
        <v/>
      </c>
      <c r="O722" s="28" t="str">
        <f aca="false">IF($B722="","",IFERROR(IF($D722="Completed",INDEX(Properties!$L$5:$L$104,MATCH($B722,Properties!$A$5:$A$104,0))+IF($G722="Y",INDEX(Properties!$I$5:$I$104,MATCH($B722,Properties!$A$5:$A$104,0))*Settings!$B$8*Settings!$B$9,0)+IF($H722="Y",Settings!$B$7*Settings!$B$9,0)+N($I722)*Settings!$B$9,IF($D722="Deep clean",INDEX(Settings!$E$22:$E$26,MATCH(MIN(INDEX(Properties!$E$5:$E$104,MATCH($B722,Properties!$A$5:$A$104,0)),4),Settings!$A$22:$A$26,0))*Settings!$B$19+N($I722)*Settings!$B$9,IF($D722="Late cancel",INDEX(Properties!$L$5:$L$104,MATCH($B722,Properties!$A$5:$A$104,0))*Settings!$B$11,0))),0))</f>
        <v/>
      </c>
      <c r="P722" s="28" t="str">
        <f aca="false">IF($B722="","",$N722-$O722)</f>
        <v/>
      </c>
      <c r="Q722" s="29" t="str">
        <f aca="false">IF($A722="","",DATE(YEAR($A722),MONTH($A722),1))</f>
        <v/>
      </c>
      <c r="R722" s="30" t="str">
        <f aca="false">IF($A722="","",$A722+MOD(6-WEEKDAY($A722),7))</f>
        <v/>
      </c>
      <c r="S722" s="31" t="str">
        <f aca="false">IF($B722="","",IF(AND($M722='Invoice Builder'!$C$5,$Q722='Invoice Builder'!$C$6,N($N722)&gt;0),COUNTIFS($M$5:$M722,'Invoice Builder'!$C$5,$Q$5:$Q722,'Invoice Builder'!$C$6,$N$5:$N722,"&gt;0"),""))</f>
        <v/>
      </c>
      <c r="T722" s="27" t="str">
        <f aca="false">IF($A722="","",IF($A722&gt;=DATE(YEAR($A722),4,6),YEAR($A722)&amp;"/"&amp;RIGHT(YEAR($A722)+1,2),YEAR($A722)-1&amp;"/"&amp;RIGHT(YEAR($A722),2)))</f>
        <v/>
      </c>
    </row>
    <row r="723" customFormat="false" ht="15" hidden="false" customHeight="false" outlineLevel="0" collapsed="false">
      <c r="A723" s="22"/>
      <c r="B723" s="23"/>
      <c r="C723" s="23"/>
      <c r="D723" s="23"/>
      <c r="E723" s="24"/>
      <c r="F723" s="24"/>
      <c r="G723" s="23"/>
      <c r="H723" s="23"/>
      <c r="I723" s="25"/>
      <c r="J723" s="23"/>
      <c r="K723" s="23"/>
      <c r="L723" s="26" t="str">
        <f aca="false">IF(OR($E723="",$F723=""),"",MOD($F723-$E723,1)*24)</f>
        <v/>
      </c>
      <c r="M723" s="27" t="str">
        <f aca="false">IF($B723="","",IFERROR(INDEX(Properties!$D$5:$D$104,MATCH($B723,Properties!$A$5:$A$104,0)),"?"))</f>
        <v/>
      </c>
      <c r="N723" s="28" t="str">
        <f aca="false">IF($B723="","",IFERROR(IF($D723="Completed",INDEX(Properties!$I$5:$I$104,MATCH($B723,Properties!$A$5:$A$104,0))*(1+IF($G723="Y",Settings!$B$8,0))+IF($H723="Y",Settings!$B$7,0)+N($I723),IF($D723="Deep clean",INDEX(Settings!$E$22:$E$26,MATCH(MIN(INDEX(Properties!$E$5:$E$104,MATCH($B723,Properties!$A$5:$A$104,0)),4),Settings!$A$22:$A$26,0))+N($I723),IF($D723="Late cancel",INDEX(Properties!$I$5:$I$104,MATCH($B723,Properties!$A$5:$A$104,0))*Settings!$B$10,0))),0))</f>
        <v/>
      </c>
      <c r="O723" s="28" t="str">
        <f aca="false">IF($B723="","",IFERROR(IF($D723="Completed",INDEX(Properties!$L$5:$L$104,MATCH($B723,Properties!$A$5:$A$104,0))+IF($G723="Y",INDEX(Properties!$I$5:$I$104,MATCH($B723,Properties!$A$5:$A$104,0))*Settings!$B$8*Settings!$B$9,0)+IF($H723="Y",Settings!$B$7*Settings!$B$9,0)+N($I723)*Settings!$B$9,IF($D723="Deep clean",INDEX(Settings!$E$22:$E$26,MATCH(MIN(INDEX(Properties!$E$5:$E$104,MATCH($B723,Properties!$A$5:$A$104,0)),4),Settings!$A$22:$A$26,0))*Settings!$B$19+N($I723)*Settings!$B$9,IF($D723="Late cancel",INDEX(Properties!$L$5:$L$104,MATCH($B723,Properties!$A$5:$A$104,0))*Settings!$B$11,0))),0))</f>
        <v/>
      </c>
      <c r="P723" s="28" t="str">
        <f aca="false">IF($B723="","",$N723-$O723)</f>
        <v/>
      </c>
      <c r="Q723" s="29" t="str">
        <f aca="false">IF($A723="","",DATE(YEAR($A723),MONTH($A723),1))</f>
        <v/>
      </c>
      <c r="R723" s="30" t="str">
        <f aca="false">IF($A723="","",$A723+MOD(6-WEEKDAY($A723),7))</f>
        <v/>
      </c>
      <c r="S723" s="31" t="str">
        <f aca="false">IF($B723="","",IF(AND($M723='Invoice Builder'!$C$5,$Q723='Invoice Builder'!$C$6,N($N723)&gt;0),COUNTIFS($M$5:$M723,'Invoice Builder'!$C$5,$Q$5:$Q723,'Invoice Builder'!$C$6,$N$5:$N723,"&gt;0"),""))</f>
        <v/>
      </c>
      <c r="T723" s="27" t="str">
        <f aca="false">IF($A723="","",IF($A723&gt;=DATE(YEAR($A723),4,6),YEAR($A723)&amp;"/"&amp;RIGHT(YEAR($A723)+1,2),YEAR($A723)-1&amp;"/"&amp;RIGHT(YEAR($A723),2)))</f>
        <v/>
      </c>
    </row>
    <row r="724" customFormat="false" ht="15" hidden="false" customHeight="false" outlineLevel="0" collapsed="false">
      <c r="A724" s="22"/>
      <c r="B724" s="23"/>
      <c r="C724" s="23"/>
      <c r="D724" s="23"/>
      <c r="E724" s="24"/>
      <c r="F724" s="24"/>
      <c r="G724" s="23"/>
      <c r="H724" s="23"/>
      <c r="I724" s="25"/>
      <c r="J724" s="23"/>
      <c r="K724" s="23"/>
      <c r="L724" s="26" t="str">
        <f aca="false">IF(OR($E724="",$F724=""),"",MOD($F724-$E724,1)*24)</f>
        <v/>
      </c>
      <c r="M724" s="27" t="str">
        <f aca="false">IF($B724="","",IFERROR(INDEX(Properties!$D$5:$D$104,MATCH($B724,Properties!$A$5:$A$104,0)),"?"))</f>
        <v/>
      </c>
      <c r="N724" s="28" t="str">
        <f aca="false">IF($B724="","",IFERROR(IF($D724="Completed",INDEX(Properties!$I$5:$I$104,MATCH($B724,Properties!$A$5:$A$104,0))*(1+IF($G724="Y",Settings!$B$8,0))+IF($H724="Y",Settings!$B$7,0)+N($I724),IF($D724="Deep clean",INDEX(Settings!$E$22:$E$26,MATCH(MIN(INDEX(Properties!$E$5:$E$104,MATCH($B724,Properties!$A$5:$A$104,0)),4),Settings!$A$22:$A$26,0))+N($I724),IF($D724="Late cancel",INDEX(Properties!$I$5:$I$104,MATCH($B724,Properties!$A$5:$A$104,0))*Settings!$B$10,0))),0))</f>
        <v/>
      </c>
      <c r="O724" s="28" t="str">
        <f aca="false">IF($B724="","",IFERROR(IF($D724="Completed",INDEX(Properties!$L$5:$L$104,MATCH($B724,Properties!$A$5:$A$104,0))+IF($G724="Y",INDEX(Properties!$I$5:$I$104,MATCH($B724,Properties!$A$5:$A$104,0))*Settings!$B$8*Settings!$B$9,0)+IF($H724="Y",Settings!$B$7*Settings!$B$9,0)+N($I724)*Settings!$B$9,IF($D724="Deep clean",INDEX(Settings!$E$22:$E$26,MATCH(MIN(INDEX(Properties!$E$5:$E$104,MATCH($B724,Properties!$A$5:$A$104,0)),4),Settings!$A$22:$A$26,0))*Settings!$B$19+N($I724)*Settings!$B$9,IF($D724="Late cancel",INDEX(Properties!$L$5:$L$104,MATCH($B724,Properties!$A$5:$A$104,0))*Settings!$B$11,0))),0))</f>
        <v/>
      </c>
      <c r="P724" s="28" t="str">
        <f aca="false">IF($B724="","",$N724-$O724)</f>
        <v/>
      </c>
      <c r="Q724" s="29" t="str">
        <f aca="false">IF($A724="","",DATE(YEAR($A724),MONTH($A724),1))</f>
        <v/>
      </c>
      <c r="R724" s="30" t="str">
        <f aca="false">IF($A724="","",$A724+MOD(6-WEEKDAY($A724),7))</f>
        <v/>
      </c>
      <c r="S724" s="31" t="str">
        <f aca="false">IF($B724="","",IF(AND($M724='Invoice Builder'!$C$5,$Q724='Invoice Builder'!$C$6,N($N724)&gt;0),COUNTIFS($M$5:$M724,'Invoice Builder'!$C$5,$Q$5:$Q724,'Invoice Builder'!$C$6,$N$5:$N724,"&gt;0"),""))</f>
        <v/>
      </c>
      <c r="T724" s="27" t="str">
        <f aca="false">IF($A724="","",IF($A724&gt;=DATE(YEAR($A724),4,6),YEAR($A724)&amp;"/"&amp;RIGHT(YEAR($A724)+1,2),YEAR($A724)-1&amp;"/"&amp;RIGHT(YEAR($A724),2)))</f>
        <v/>
      </c>
    </row>
    <row r="725" customFormat="false" ht="15" hidden="false" customHeight="false" outlineLevel="0" collapsed="false">
      <c r="A725" s="22"/>
      <c r="B725" s="23"/>
      <c r="C725" s="23"/>
      <c r="D725" s="23"/>
      <c r="E725" s="24"/>
      <c r="F725" s="24"/>
      <c r="G725" s="23"/>
      <c r="H725" s="23"/>
      <c r="I725" s="25"/>
      <c r="J725" s="23"/>
      <c r="K725" s="23"/>
      <c r="L725" s="26" t="str">
        <f aca="false">IF(OR($E725="",$F725=""),"",MOD($F725-$E725,1)*24)</f>
        <v/>
      </c>
      <c r="M725" s="27" t="str">
        <f aca="false">IF($B725="","",IFERROR(INDEX(Properties!$D$5:$D$104,MATCH($B725,Properties!$A$5:$A$104,0)),"?"))</f>
        <v/>
      </c>
      <c r="N725" s="28" t="str">
        <f aca="false">IF($B725="","",IFERROR(IF($D725="Completed",INDEX(Properties!$I$5:$I$104,MATCH($B725,Properties!$A$5:$A$104,0))*(1+IF($G725="Y",Settings!$B$8,0))+IF($H725="Y",Settings!$B$7,0)+N($I725),IF($D725="Deep clean",INDEX(Settings!$E$22:$E$26,MATCH(MIN(INDEX(Properties!$E$5:$E$104,MATCH($B725,Properties!$A$5:$A$104,0)),4),Settings!$A$22:$A$26,0))+N($I725),IF($D725="Late cancel",INDEX(Properties!$I$5:$I$104,MATCH($B725,Properties!$A$5:$A$104,0))*Settings!$B$10,0))),0))</f>
        <v/>
      </c>
      <c r="O725" s="28" t="str">
        <f aca="false">IF($B725="","",IFERROR(IF($D725="Completed",INDEX(Properties!$L$5:$L$104,MATCH($B725,Properties!$A$5:$A$104,0))+IF($G725="Y",INDEX(Properties!$I$5:$I$104,MATCH($B725,Properties!$A$5:$A$104,0))*Settings!$B$8*Settings!$B$9,0)+IF($H725="Y",Settings!$B$7*Settings!$B$9,0)+N($I725)*Settings!$B$9,IF($D725="Deep clean",INDEX(Settings!$E$22:$E$26,MATCH(MIN(INDEX(Properties!$E$5:$E$104,MATCH($B725,Properties!$A$5:$A$104,0)),4),Settings!$A$22:$A$26,0))*Settings!$B$19+N($I725)*Settings!$B$9,IF($D725="Late cancel",INDEX(Properties!$L$5:$L$104,MATCH($B725,Properties!$A$5:$A$104,0))*Settings!$B$11,0))),0))</f>
        <v/>
      </c>
      <c r="P725" s="28" t="str">
        <f aca="false">IF($B725="","",$N725-$O725)</f>
        <v/>
      </c>
      <c r="Q725" s="29" t="str">
        <f aca="false">IF($A725="","",DATE(YEAR($A725),MONTH($A725),1))</f>
        <v/>
      </c>
      <c r="R725" s="30" t="str">
        <f aca="false">IF($A725="","",$A725+MOD(6-WEEKDAY($A725),7))</f>
        <v/>
      </c>
      <c r="S725" s="31" t="str">
        <f aca="false">IF($B725="","",IF(AND($M725='Invoice Builder'!$C$5,$Q725='Invoice Builder'!$C$6,N($N725)&gt;0),COUNTIFS($M$5:$M725,'Invoice Builder'!$C$5,$Q$5:$Q725,'Invoice Builder'!$C$6,$N$5:$N725,"&gt;0"),""))</f>
        <v/>
      </c>
      <c r="T725" s="27" t="str">
        <f aca="false">IF($A725="","",IF($A725&gt;=DATE(YEAR($A725),4,6),YEAR($A725)&amp;"/"&amp;RIGHT(YEAR($A725)+1,2),YEAR($A725)-1&amp;"/"&amp;RIGHT(YEAR($A725),2)))</f>
        <v/>
      </c>
    </row>
    <row r="726" customFormat="false" ht="15" hidden="false" customHeight="false" outlineLevel="0" collapsed="false">
      <c r="A726" s="22"/>
      <c r="B726" s="23"/>
      <c r="C726" s="23"/>
      <c r="D726" s="23"/>
      <c r="E726" s="24"/>
      <c r="F726" s="24"/>
      <c r="G726" s="23"/>
      <c r="H726" s="23"/>
      <c r="I726" s="25"/>
      <c r="J726" s="23"/>
      <c r="K726" s="23"/>
      <c r="L726" s="26" t="str">
        <f aca="false">IF(OR($E726="",$F726=""),"",MOD($F726-$E726,1)*24)</f>
        <v/>
      </c>
      <c r="M726" s="27" t="str">
        <f aca="false">IF($B726="","",IFERROR(INDEX(Properties!$D$5:$D$104,MATCH($B726,Properties!$A$5:$A$104,0)),"?"))</f>
        <v/>
      </c>
      <c r="N726" s="28" t="str">
        <f aca="false">IF($B726="","",IFERROR(IF($D726="Completed",INDEX(Properties!$I$5:$I$104,MATCH($B726,Properties!$A$5:$A$104,0))*(1+IF($G726="Y",Settings!$B$8,0))+IF($H726="Y",Settings!$B$7,0)+N($I726),IF($D726="Deep clean",INDEX(Settings!$E$22:$E$26,MATCH(MIN(INDEX(Properties!$E$5:$E$104,MATCH($B726,Properties!$A$5:$A$104,0)),4),Settings!$A$22:$A$26,0))+N($I726),IF($D726="Late cancel",INDEX(Properties!$I$5:$I$104,MATCH($B726,Properties!$A$5:$A$104,0))*Settings!$B$10,0))),0))</f>
        <v/>
      </c>
      <c r="O726" s="28" t="str">
        <f aca="false">IF($B726="","",IFERROR(IF($D726="Completed",INDEX(Properties!$L$5:$L$104,MATCH($B726,Properties!$A$5:$A$104,0))+IF($G726="Y",INDEX(Properties!$I$5:$I$104,MATCH($B726,Properties!$A$5:$A$104,0))*Settings!$B$8*Settings!$B$9,0)+IF($H726="Y",Settings!$B$7*Settings!$B$9,0)+N($I726)*Settings!$B$9,IF($D726="Deep clean",INDEX(Settings!$E$22:$E$26,MATCH(MIN(INDEX(Properties!$E$5:$E$104,MATCH($B726,Properties!$A$5:$A$104,0)),4),Settings!$A$22:$A$26,0))*Settings!$B$19+N($I726)*Settings!$B$9,IF($D726="Late cancel",INDEX(Properties!$L$5:$L$104,MATCH($B726,Properties!$A$5:$A$104,0))*Settings!$B$11,0))),0))</f>
        <v/>
      </c>
      <c r="P726" s="28" t="str">
        <f aca="false">IF($B726="","",$N726-$O726)</f>
        <v/>
      </c>
      <c r="Q726" s="29" t="str">
        <f aca="false">IF($A726="","",DATE(YEAR($A726),MONTH($A726),1))</f>
        <v/>
      </c>
      <c r="R726" s="30" t="str">
        <f aca="false">IF($A726="","",$A726+MOD(6-WEEKDAY($A726),7))</f>
        <v/>
      </c>
      <c r="S726" s="31" t="str">
        <f aca="false">IF($B726="","",IF(AND($M726='Invoice Builder'!$C$5,$Q726='Invoice Builder'!$C$6,N($N726)&gt;0),COUNTIFS($M$5:$M726,'Invoice Builder'!$C$5,$Q$5:$Q726,'Invoice Builder'!$C$6,$N$5:$N726,"&gt;0"),""))</f>
        <v/>
      </c>
      <c r="T726" s="27" t="str">
        <f aca="false">IF($A726="","",IF($A726&gt;=DATE(YEAR($A726),4,6),YEAR($A726)&amp;"/"&amp;RIGHT(YEAR($A726)+1,2),YEAR($A726)-1&amp;"/"&amp;RIGHT(YEAR($A726),2)))</f>
        <v/>
      </c>
    </row>
    <row r="727" customFormat="false" ht="15" hidden="false" customHeight="false" outlineLevel="0" collapsed="false">
      <c r="A727" s="22"/>
      <c r="B727" s="23"/>
      <c r="C727" s="23"/>
      <c r="D727" s="23"/>
      <c r="E727" s="24"/>
      <c r="F727" s="24"/>
      <c r="G727" s="23"/>
      <c r="H727" s="23"/>
      <c r="I727" s="25"/>
      <c r="J727" s="23"/>
      <c r="K727" s="23"/>
      <c r="L727" s="26" t="str">
        <f aca="false">IF(OR($E727="",$F727=""),"",MOD($F727-$E727,1)*24)</f>
        <v/>
      </c>
      <c r="M727" s="27" t="str">
        <f aca="false">IF($B727="","",IFERROR(INDEX(Properties!$D$5:$D$104,MATCH($B727,Properties!$A$5:$A$104,0)),"?"))</f>
        <v/>
      </c>
      <c r="N727" s="28" t="str">
        <f aca="false">IF($B727="","",IFERROR(IF($D727="Completed",INDEX(Properties!$I$5:$I$104,MATCH($B727,Properties!$A$5:$A$104,0))*(1+IF($G727="Y",Settings!$B$8,0))+IF($H727="Y",Settings!$B$7,0)+N($I727),IF($D727="Deep clean",INDEX(Settings!$E$22:$E$26,MATCH(MIN(INDEX(Properties!$E$5:$E$104,MATCH($B727,Properties!$A$5:$A$104,0)),4),Settings!$A$22:$A$26,0))+N($I727),IF($D727="Late cancel",INDEX(Properties!$I$5:$I$104,MATCH($B727,Properties!$A$5:$A$104,0))*Settings!$B$10,0))),0))</f>
        <v/>
      </c>
      <c r="O727" s="28" t="str">
        <f aca="false">IF($B727="","",IFERROR(IF($D727="Completed",INDEX(Properties!$L$5:$L$104,MATCH($B727,Properties!$A$5:$A$104,0))+IF($G727="Y",INDEX(Properties!$I$5:$I$104,MATCH($B727,Properties!$A$5:$A$104,0))*Settings!$B$8*Settings!$B$9,0)+IF($H727="Y",Settings!$B$7*Settings!$B$9,0)+N($I727)*Settings!$B$9,IF($D727="Deep clean",INDEX(Settings!$E$22:$E$26,MATCH(MIN(INDEX(Properties!$E$5:$E$104,MATCH($B727,Properties!$A$5:$A$104,0)),4),Settings!$A$22:$A$26,0))*Settings!$B$19+N($I727)*Settings!$B$9,IF($D727="Late cancel",INDEX(Properties!$L$5:$L$104,MATCH($B727,Properties!$A$5:$A$104,0))*Settings!$B$11,0))),0))</f>
        <v/>
      </c>
      <c r="P727" s="28" t="str">
        <f aca="false">IF($B727="","",$N727-$O727)</f>
        <v/>
      </c>
      <c r="Q727" s="29" t="str">
        <f aca="false">IF($A727="","",DATE(YEAR($A727),MONTH($A727),1))</f>
        <v/>
      </c>
      <c r="R727" s="30" t="str">
        <f aca="false">IF($A727="","",$A727+MOD(6-WEEKDAY($A727),7))</f>
        <v/>
      </c>
      <c r="S727" s="31" t="str">
        <f aca="false">IF($B727="","",IF(AND($M727='Invoice Builder'!$C$5,$Q727='Invoice Builder'!$C$6,N($N727)&gt;0),COUNTIFS($M$5:$M727,'Invoice Builder'!$C$5,$Q$5:$Q727,'Invoice Builder'!$C$6,$N$5:$N727,"&gt;0"),""))</f>
        <v/>
      </c>
      <c r="T727" s="27" t="str">
        <f aca="false">IF($A727="","",IF($A727&gt;=DATE(YEAR($A727),4,6),YEAR($A727)&amp;"/"&amp;RIGHT(YEAR($A727)+1,2),YEAR($A727)-1&amp;"/"&amp;RIGHT(YEAR($A727),2)))</f>
        <v/>
      </c>
    </row>
    <row r="728" customFormat="false" ht="15" hidden="false" customHeight="false" outlineLevel="0" collapsed="false">
      <c r="A728" s="22"/>
      <c r="B728" s="23"/>
      <c r="C728" s="23"/>
      <c r="D728" s="23"/>
      <c r="E728" s="24"/>
      <c r="F728" s="24"/>
      <c r="G728" s="23"/>
      <c r="H728" s="23"/>
      <c r="I728" s="25"/>
      <c r="J728" s="23"/>
      <c r="K728" s="23"/>
      <c r="L728" s="26" t="str">
        <f aca="false">IF(OR($E728="",$F728=""),"",MOD($F728-$E728,1)*24)</f>
        <v/>
      </c>
      <c r="M728" s="27" t="str">
        <f aca="false">IF($B728="","",IFERROR(INDEX(Properties!$D$5:$D$104,MATCH($B728,Properties!$A$5:$A$104,0)),"?"))</f>
        <v/>
      </c>
      <c r="N728" s="28" t="str">
        <f aca="false">IF($B728="","",IFERROR(IF($D728="Completed",INDEX(Properties!$I$5:$I$104,MATCH($B728,Properties!$A$5:$A$104,0))*(1+IF($G728="Y",Settings!$B$8,0))+IF($H728="Y",Settings!$B$7,0)+N($I728),IF($D728="Deep clean",INDEX(Settings!$E$22:$E$26,MATCH(MIN(INDEX(Properties!$E$5:$E$104,MATCH($B728,Properties!$A$5:$A$104,0)),4),Settings!$A$22:$A$26,0))+N($I728),IF($D728="Late cancel",INDEX(Properties!$I$5:$I$104,MATCH($B728,Properties!$A$5:$A$104,0))*Settings!$B$10,0))),0))</f>
        <v/>
      </c>
      <c r="O728" s="28" t="str">
        <f aca="false">IF($B728="","",IFERROR(IF($D728="Completed",INDEX(Properties!$L$5:$L$104,MATCH($B728,Properties!$A$5:$A$104,0))+IF($G728="Y",INDEX(Properties!$I$5:$I$104,MATCH($B728,Properties!$A$5:$A$104,0))*Settings!$B$8*Settings!$B$9,0)+IF($H728="Y",Settings!$B$7*Settings!$B$9,0)+N($I728)*Settings!$B$9,IF($D728="Deep clean",INDEX(Settings!$E$22:$E$26,MATCH(MIN(INDEX(Properties!$E$5:$E$104,MATCH($B728,Properties!$A$5:$A$104,0)),4),Settings!$A$22:$A$26,0))*Settings!$B$19+N($I728)*Settings!$B$9,IF($D728="Late cancel",INDEX(Properties!$L$5:$L$104,MATCH($B728,Properties!$A$5:$A$104,0))*Settings!$B$11,0))),0))</f>
        <v/>
      </c>
      <c r="P728" s="28" t="str">
        <f aca="false">IF($B728="","",$N728-$O728)</f>
        <v/>
      </c>
      <c r="Q728" s="29" t="str">
        <f aca="false">IF($A728="","",DATE(YEAR($A728),MONTH($A728),1))</f>
        <v/>
      </c>
      <c r="R728" s="30" t="str">
        <f aca="false">IF($A728="","",$A728+MOD(6-WEEKDAY($A728),7))</f>
        <v/>
      </c>
      <c r="S728" s="31" t="str">
        <f aca="false">IF($B728="","",IF(AND($M728='Invoice Builder'!$C$5,$Q728='Invoice Builder'!$C$6,N($N728)&gt;0),COUNTIFS($M$5:$M728,'Invoice Builder'!$C$5,$Q$5:$Q728,'Invoice Builder'!$C$6,$N$5:$N728,"&gt;0"),""))</f>
        <v/>
      </c>
      <c r="T728" s="27" t="str">
        <f aca="false">IF($A728="","",IF($A728&gt;=DATE(YEAR($A728),4,6),YEAR($A728)&amp;"/"&amp;RIGHT(YEAR($A728)+1,2),YEAR($A728)-1&amp;"/"&amp;RIGHT(YEAR($A728),2)))</f>
        <v/>
      </c>
    </row>
    <row r="729" customFormat="false" ht="15" hidden="false" customHeight="false" outlineLevel="0" collapsed="false">
      <c r="A729" s="22"/>
      <c r="B729" s="23"/>
      <c r="C729" s="23"/>
      <c r="D729" s="23"/>
      <c r="E729" s="24"/>
      <c r="F729" s="24"/>
      <c r="G729" s="23"/>
      <c r="H729" s="23"/>
      <c r="I729" s="25"/>
      <c r="J729" s="23"/>
      <c r="K729" s="23"/>
      <c r="L729" s="26" t="str">
        <f aca="false">IF(OR($E729="",$F729=""),"",MOD($F729-$E729,1)*24)</f>
        <v/>
      </c>
      <c r="M729" s="27" t="str">
        <f aca="false">IF($B729="","",IFERROR(INDEX(Properties!$D$5:$D$104,MATCH($B729,Properties!$A$5:$A$104,0)),"?"))</f>
        <v/>
      </c>
      <c r="N729" s="28" t="str">
        <f aca="false">IF($B729="","",IFERROR(IF($D729="Completed",INDEX(Properties!$I$5:$I$104,MATCH($B729,Properties!$A$5:$A$104,0))*(1+IF($G729="Y",Settings!$B$8,0))+IF($H729="Y",Settings!$B$7,0)+N($I729),IF($D729="Deep clean",INDEX(Settings!$E$22:$E$26,MATCH(MIN(INDEX(Properties!$E$5:$E$104,MATCH($B729,Properties!$A$5:$A$104,0)),4),Settings!$A$22:$A$26,0))+N($I729),IF($D729="Late cancel",INDEX(Properties!$I$5:$I$104,MATCH($B729,Properties!$A$5:$A$104,0))*Settings!$B$10,0))),0))</f>
        <v/>
      </c>
      <c r="O729" s="28" t="str">
        <f aca="false">IF($B729="","",IFERROR(IF($D729="Completed",INDEX(Properties!$L$5:$L$104,MATCH($B729,Properties!$A$5:$A$104,0))+IF($G729="Y",INDEX(Properties!$I$5:$I$104,MATCH($B729,Properties!$A$5:$A$104,0))*Settings!$B$8*Settings!$B$9,0)+IF($H729="Y",Settings!$B$7*Settings!$B$9,0)+N($I729)*Settings!$B$9,IF($D729="Deep clean",INDEX(Settings!$E$22:$E$26,MATCH(MIN(INDEX(Properties!$E$5:$E$104,MATCH($B729,Properties!$A$5:$A$104,0)),4),Settings!$A$22:$A$26,0))*Settings!$B$19+N($I729)*Settings!$B$9,IF($D729="Late cancel",INDEX(Properties!$L$5:$L$104,MATCH($B729,Properties!$A$5:$A$104,0))*Settings!$B$11,0))),0))</f>
        <v/>
      </c>
      <c r="P729" s="28" t="str">
        <f aca="false">IF($B729="","",$N729-$O729)</f>
        <v/>
      </c>
      <c r="Q729" s="29" t="str">
        <f aca="false">IF($A729="","",DATE(YEAR($A729),MONTH($A729),1))</f>
        <v/>
      </c>
      <c r="R729" s="30" t="str">
        <f aca="false">IF($A729="","",$A729+MOD(6-WEEKDAY($A729),7))</f>
        <v/>
      </c>
      <c r="S729" s="31" t="str">
        <f aca="false">IF($B729="","",IF(AND($M729='Invoice Builder'!$C$5,$Q729='Invoice Builder'!$C$6,N($N729)&gt;0),COUNTIFS($M$5:$M729,'Invoice Builder'!$C$5,$Q$5:$Q729,'Invoice Builder'!$C$6,$N$5:$N729,"&gt;0"),""))</f>
        <v/>
      </c>
      <c r="T729" s="27" t="str">
        <f aca="false">IF($A729="","",IF($A729&gt;=DATE(YEAR($A729),4,6),YEAR($A729)&amp;"/"&amp;RIGHT(YEAR($A729)+1,2),YEAR($A729)-1&amp;"/"&amp;RIGHT(YEAR($A729),2)))</f>
        <v/>
      </c>
    </row>
    <row r="730" customFormat="false" ht="15" hidden="false" customHeight="false" outlineLevel="0" collapsed="false">
      <c r="A730" s="22"/>
      <c r="B730" s="23"/>
      <c r="C730" s="23"/>
      <c r="D730" s="23"/>
      <c r="E730" s="24"/>
      <c r="F730" s="24"/>
      <c r="G730" s="23"/>
      <c r="H730" s="23"/>
      <c r="I730" s="25"/>
      <c r="J730" s="23"/>
      <c r="K730" s="23"/>
      <c r="L730" s="26" t="str">
        <f aca="false">IF(OR($E730="",$F730=""),"",MOD($F730-$E730,1)*24)</f>
        <v/>
      </c>
      <c r="M730" s="27" t="str">
        <f aca="false">IF($B730="","",IFERROR(INDEX(Properties!$D$5:$D$104,MATCH($B730,Properties!$A$5:$A$104,0)),"?"))</f>
        <v/>
      </c>
      <c r="N730" s="28" t="str">
        <f aca="false">IF($B730="","",IFERROR(IF($D730="Completed",INDEX(Properties!$I$5:$I$104,MATCH($B730,Properties!$A$5:$A$104,0))*(1+IF($G730="Y",Settings!$B$8,0))+IF($H730="Y",Settings!$B$7,0)+N($I730),IF($D730="Deep clean",INDEX(Settings!$E$22:$E$26,MATCH(MIN(INDEX(Properties!$E$5:$E$104,MATCH($B730,Properties!$A$5:$A$104,0)),4),Settings!$A$22:$A$26,0))+N($I730),IF($D730="Late cancel",INDEX(Properties!$I$5:$I$104,MATCH($B730,Properties!$A$5:$A$104,0))*Settings!$B$10,0))),0))</f>
        <v/>
      </c>
      <c r="O730" s="28" t="str">
        <f aca="false">IF($B730="","",IFERROR(IF($D730="Completed",INDEX(Properties!$L$5:$L$104,MATCH($B730,Properties!$A$5:$A$104,0))+IF($G730="Y",INDEX(Properties!$I$5:$I$104,MATCH($B730,Properties!$A$5:$A$104,0))*Settings!$B$8*Settings!$B$9,0)+IF($H730="Y",Settings!$B$7*Settings!$B$9,0)+N($I730)*Settings!$B$9,IF($D730="Deep clean",INDEX(Settings!$E$22:$E$26,MATCH(MIN(INDEX(Properties!$E$5:$E$104,MATCH($B730,Properties!$A$5:$A$104,0)),4),Settings!$A$22:$A$26,0))*Settings!$B$19+N($I730)*Settings!$B$9,IF($D730="Late cancel",INDEX(Properties!$L$5:$L$104,MATCH($B730,Properties!$A$5:$A$104,0))*Settings!$B$11,0))),0))</f>
        <v/>
      </c>
      <c r="P730" s="28" t="str">
        <f aca="false">IF($B730="","",$N730-$O730)</f>
        <v/>
      </c>
      <c r="Q730" s="29" t="str">
        <f aca="false">IF($A730="","",DATE(YEAR($A730),MONTH($A730),1))</f>
        <v/>
      </c>
      <c r="R730" s="30" t="str">
        <f aca="false">IF($A730="","",$A730+MOD(6-WEEKDAY($A730),7))</f>
        <v/>
      </c>
      <c r="S730" s="31" t="str">
        <f aca="false">IF($B730="","",IF(AND($M730='Invoice Builder'!$C$5,$Q730='Invoice Builder'!$C$6,N($N730)&gt;0),COUNTIFS($M$5:$M730,'Invoice Builder'!$C$5,$Q$5:$Q730,'Invoice Builder'!$C$6,$N$5:$N730,"&gt;0"),""))</f>
        <v/>
      </c>
      <c r="T730" s="27" t="str">
        <f aca="false">IF($A730="","",IF($A730&gt;=DATE(YEAR($A730),4,6),YEAR($A730)&amp;"/"&amp;RIGHT(YEAR($A730)+1,2),YEAR($A730)-1&amp;"/"&amp;RIGHT(YEAR($A730),2)))</f>
        <v/>
      </c>
    </row>
    <row r="731" customFormat="false" ht="15" hidden="false" customHeight="false" outlineLevel="0" collapsed="false">
      <c r="A731" s="22"/>
      <c r="B731" s="23"/>
      <c r="C731" s="23"/>
      <c r="D731" s="23"/>
      <c r="E731" s="24"/>
      <c r="F731" s="24"/>
      <c r="G731" s="23"/>
      <c r="H731" s="23"/>
      <c r="I731" s="25"/>
      <c r="J731" s="23"/>
      <c r="K731" s="23"/>
      <c r="L731" s="26" t="str">
        <f aca="false">IF(OR($E731="",$F731=""),"",MOD($F731-$E731,1)*24)</f>
        <v/>
      </c>
      <c r="M731" s="27" t="str">
        <f aca="false">IF($B731="","",IFERROR(INDEX(Properties!$D$5:$D$104,MATCH($B731,Properties!$A$5:$A$104,0)),"?"))</f>
        <v/>
      </c>
      <c r="N731" s="28" t="str">
        <f aca="false">IF($B731="","",IFERROR(IF($D731="Completed",INDEX(Properties!$I$5:$I$104,MATCH($B731,Properties!$A$5:$A$104,0))*(1+IF($G731="Y",Settings!$B$8,0))+IF($H731="Y",Settings!$B$7,0)+N($I731),IF($D731="Deep clean",INDEX(Settings!$E$22:$E$26,MATCH(MIN(INDEX(Properties!$E$5:$E$104,MATCH($B731,Properties!$A$5:$A$104,0)),4),Settings!$A$22:$A$26,0))+N($I731),IF($D731="Late cancel",INDEX(Properties!$I$5:$I$104,MATCH($B731,Properties!$A$5:$A$104,0))*Settings!$B$10,0))),0))</f>
        <v/>
      </c>
      <c r="O731" s="28" t="str">
        <f aca="false">IF($B731="","",IFERROR(IF($D731="Completed",INDEX(Properties!$L$5:$L$104,MATCH($B731,Properties!$A$5:$A$104,0))+IF($G731="Y",INDEX(Properties!$I$5:$I$104,MATCH($B731,Properties!$A$5:$A$104,0))*Settings!$B$8*Settings!$B$9,0)+IF($H731="Y",Settings!$B$7*Settings!$B$9,0)+N($I731)*Settings!$B$9,IF($D731="Deep clean",INDEX(Settings!$E$22:$E$26,MATCH(MIN(INDEX(Properties!$E$5:$E$104,MATCH($B731,Properties!$A$5:$A$104,0)),4),Settings!$A$22:$A$26,0))*Settings!$B$19+N($I731)*Settings!$B$9,IF($D731="Late cancel",INDEX(Properties!$L$5:$L$104,MATCH($B731,Properties!$A$5:$A$104,0))*Settings!$B$11,0))),0))</f>
        <v/>
      </c>
      <c r="P731" s="28" t="str">
        <f aca="false">IF($B731="","",$N731-$O731)</f>
        <v/>
      </c>
      <c r="Q731" s="29" t="str">
        <f aca="false">IF($A731="","",DATE(YEAR($A731),MONTH($A731),1))</f>
        <v/>
      </c>
      <c r="R731" s="30" t="str">
        <f aca="false">IF($A731="","",$A731+MOD(6-WEEKDAY($A731),7))</f>
        <v/>
      </c>
      <c r="S731" s="31" t="str">
        <f aca="false">IF($B731="","",IF(AND($M731='Invoice Builder'!$C$5,$Q731='Invoice Builder'!$C$6,N($N731)&gt;0),COUNTIFS($M$5:$M731,'Invoice Builder'!$C$5,$Q$5:$Q731,'Invoice Builder'!$C$6,$N$5:$N731,"&gt;0"),""))</f>
        <v/>
      </c>
      <c r="T731" s="27" t="str">
        <f aca="false">IF($A731="","",IF($A731&gt;=DATE(YEAR($A731),4,6),YEAR($A731)&amp;"/"&amp;RIGHT(YEAR($A731)+1,2),YEAR($A731)-1&amp;"/"&amp;RIGHT(YEAR($A731),2)))</f>
        <v/>
      </c>
    </row>
    <row r="732" customFormat="false" ht="15" hidden="false" customHeight="false" outlineLevel="0" collapsed="false">
      <c r="A732" s="22"/>
      <c r="B732" s="23"/>
      <c r="C732" s="23"/>
      <c r="D732" s="23"/>
      <c r="E732" s="24"/>
      <c r="F732" s="24"/>
      <c r="G732" s="23"/>
      <c r="H732" s="23"/>
      <c r="I732" s="25"/>
      <c r="J732" s="23"/>
      <c r="K732" s="23"/>
      <c r="L732" s="26" t="str">
        <f aca="false">IF(OR($E732="",$F732=""),"",MOD($F732-$E732,1)*24)</f>
        <v/>
      </c>
      <c r="M732" s="27" t="str">
        <f aca="false">IF($B732="","",IFERROR(INDEX(Properties!$D$5:$D$104,MATCH($B732,Properties!$A$5:$A$104,0)),"?"))</f>
        <v/>
      </c>
      <c r="N732" s="28" t="str">
        <f aca="false">IF($B732="","",IFERROR(IF($D732="Completed",INDEX(Properties!$I$5:$I$104,MATCH($B732,Properties!$A$5:$A$104,0))*(1+IF($G732="Y",Settings!$B$8,0))+IF($H732="Y",Settings!$B$7,0)+N($I732),IF($D732="Deep clean",INDEX(Settings!$E$22:$E$26,MATCH(MIN(INDEX(Properties!$E$5:$E$104,MATCH($B732,Properties!$A$5:$A$104,0)),4),Settings!$A$22:$A$26,0))+N($I732),IF($D732="Late cancel",INDEX(Properties!$I$5:$I$104,MATCH($B732,Properties!$A$5:$A$104,0))*Settings!$B$10,0))),0))</f>
        <v/>
      </c>
      <c r="O732" s="28" t="str">
        <f aca="false">IF($B732="","",IFERROR(IF($D732="Completed",INDEX(Properties!$L$5:$L$104,MATCH($B732,Properties!$A$5:$A$104,0))+IF($G732="Y",INDEX(Properties!$I$5:$I$104,MATCH($B732,Properties!$A$5:$A$104,0))*Settings!$B$8*Settings!$B$9,0)+IF($H732="Y",Settings!$B$7*Settings!$B$9,0)+N($I732)*Settings!$B$9,IF($D732="Deep clean",INDEX(Settings!$E$22:$E$26,MATCH(MIN(INDEX(Properties!$E$5:$E$104,MATCH($B732,Properties!$A$5:$A$104,0)),4),Settings!$A$22:$A$26,0))*Settings!$B$19+N($I732)*Settings!$B$9,IF($D732="Late cancel",INDEX(Properties!$L$5:$L$104,MATCH($B732,Properties!$A$5:$A$104,0))*Settings!$B$11,0))),0))</f>
        <v/>
      </c>
      <c r="P732" s="28" t="str">
        <f aca="false">IF($B732="","",$N732-$O732)</f>
        <v/>
      </c>
      <c r="Q732" s="29" t="str">
        <f aca="false">IF($A732="","",DATE(YEAR($A732),MONTH($A732),1))</f>
        <v/>
      </c>
      <c r="R732" s="30" t="str">
        <f aca="false">IF($A732="","",$A732+MOD(6-WEEKDAY($A732),7))</f>
        <v/>
      </c>
      <c r="S732" s="31" t="str">
        <f aca="false">IF($B732="","",IF(AND($M732='Invoice Builder'!$C$5,$Q732='Invoice Builder'!$C$6,N($N732)&gt;0),COUNTIFS($M$5:$M732,'Invoice Builder'!$C$5,$Q$5:$Q732,'Invoice Builder'!$C$6,$N$5:$N732,"&gt;0"),""))</f>
        <v/>
      </c>
      <c r="T732" s="27" t="str">
        <f aca="false">IF($A732="","",IF($A732&gt;=DATE(YEAR($A732),4,6),YEAR($A732)&amp;"/"&amp;RIGHT(YEAR($A732)+1,2),YEAR($A732)-1&amp;"/"&amp;RIGHT(YEAR($A732),2)))</f>
        <v/>
      </c>
    </row>
    <row r="733" customFormat="false" ht="15" hidden="false" customHeight="false" outlineLevel="0" collapsed="false">
      <c r="A733" s="22"/>
      <c r="B733" s="23"/>
      <c r="C733" s="23"/>
      <c r="D733" s="23"/>
      <c r="E733" s="24"/>
      <c r="F733" s="24"/>
      <c r="G733" s="23"/>
      <c r="H733" s="23"/>
      <c r="I733" s="25"/>
      <c r="J733" s="23"/>
      <c r="K733" s="23"/>
      <c r="L733" s="26" t="str">
        <f aca="false">IF(OR($E733="",$F733=""),"",MOD($F733-$E733,1)*24)</f>
        <v/>
      </c>
      <c r="M733" s="27" t="str">
        <f aca="false">IF($B733="","",IFERROR(INDEX(Properties!$D$5:$D$104,MATCH($B733,Properties!$A$5:$A$104,0)),"?"))</f>
        <v/>
      </c>
      <c r="N733" s="28" t="str">
        <f aca="false">IF($B733="","",IFERROR(IF($D733="Completed",INDEX(Properties!$I$5:$I$104,MATCH($B733,Properties!$A$5:$A$104,0))*(1+IF($G733="Y",Settings!$B$8,0))+IF($H733="Y",Settings!$B$7,0)+N($I733),IF($D733="Deep clean",INDEX(Settings!$E$22:$E$26,MATCH(MIN(INDEX(Properties!$E$5:$E$104,MATCH($B733,Properties!$A$5:$A$104,0)),4),Settings!$A$22:$A$26,0))+N($I733),IF($D733="Late cancel",INDEX(Properties!$I$5:$I$104,MATCH($B733,Properties!$A$5:$A$104,0))*Settings!$B$10,0))),0))</f>
        <v/>
      </c>
      <c r="O733" s="28" t="str">
        <f aca="false">IF($B733="","",IFERROR(IF($D733="Completed",INDEX(Properties!$L$5:$L$104,MATCH($B733,Properties!$A$5:$A$104,0))+IF($G733="Y",INDEX(Properties!$I$5:$I$104,MATCH($B733,Properties!$A$5:$A$104,0))*Settings!$B$8*Settings!$B$9,0)+IF($H733="Y",Settings!$B$7*Settings!$B$9,0)+N($I733)*Settings!$B$9,IF($D733="Deep clean",INDEX(Settings!$E$22:$E$26,MATCH(MIN(INDEX(Properties!$E$5:$E$104,MATCH($B733,Properties!$A$5:$A$104,0)),4),Settings!$A$22:$A$26,0))*Settings!$B$19+N($I733)*Settings!$B$9,IF($D733="Late cancel",INDEX(Properties!$L$5:$L$104,MATCH($B733,Properties!$A$5:$A$104,0))*Settings!$B$11,0))),0))</f>
        <v/>
      </c>
      <c r="P733" s="28" t="str">
        <f aca="false">IF($B733="","",$N733-$O733)</f>
        <v/>
      </c>
      <c r="Q733" s="29" t="str">
        <f aca="false">IF($A733="","",DATE(YEAR($A733),MONTH($A733),1))</f>
        <v/>
      </c>
      <c r="R733" s="30" t="str">
        <f aca="false">IF($A733="","",$A733+MOD(6-WEEKDAY($A733),7))</f>
        <v/>
      </c>
      <c r="S733" s="31" t="str">
        <f aca="false">IF($B733="","",IF(AND($M733='Invoice Builder'!$C$5,$Q733='Invoice Builder'!$C$6,N($N733)&gt;0),COUNTIFS($M$5:$M733,'Invoice Builder'!$C$5,$Q$5:$Q733,'Invoice Builder'!$C$6,$N$5:$N733,"&gt;0"),""))</f>
        <v/>
      </c>
      <c r="T733" s="27" t="str">
        <f aca="false">IF($A733="","",IF($A733&gt;=DATE(YEAR($A733),4,6),YEAR($A733)&amp;"/"&amp;RIGHT(YEAR($A733)+1,2),YEAR($A733)-1&amp;"/"&amp;RIGHT(YEAR($A733),2)))</f>
        <v/>
      </c>
    </row>
    <row r="734" customFormat="false" ht="15" hidden="false" customHeight="false" outlineLevel="0" collapsed="false">
      <c r="A734" s="22"/>
      <c r="B734" s="23"/>
      <c r="C734" s="23"/>
      <c r="D734" s="23"/>
      <c r="E734" s="24"/>
      <c r="F734" s="24"/>
      <c r="G734" s="23"/>
      <c r="H734" s="23"/>
      <c r="I734" s="25"/>
      <c r="J734" s="23"/>
      <c r="K734" s="23"/>
      <c r="L734" s="26" t="str">
        <f aca="false">IF(OR($E734="",$F734=""),"",MOD($F734-$E734,1)*24)</f>
        <v/>
      </c>
      <c r="M734" s="27" t="str">
        <f aca="false">IF($B734="","",IFERROR(INDEX(Properties!$D$5:$D$104,MATCH($B734,Properties!$A$5:$A$104,0)),"?"))</f>
        <v/>
      </c>
      <c r="N734" s="28" t="str">
        <f aca="false">IF($B734="","",IFERROR(IF($D734="Completed",INDEX(Properties!$I$5:$I$104,MATCH($B734,Properties!$A$5:$A$104,0))*(1+IF($G734="Y",Settings!$B$8,0))+IF($H734="Y",Settings!$B$7,0)+N($I734),IF($D734="Deep clean",INDEX(Settings!$E$22:$E$26,MATCH(MIN(INDEX(Properties!$E$5:$E$104,MATCH($B734,Properties!$A$5:$A$104,0)),4),Settings!$A$22:$A$26,0))+N($I734),IF($D734="Late cancel",INDEX(Properties!$I$5:$I$104,MATCH($B734,Properties!$A$5:$A$104,0))*Settings!$B$10,0))),0))</f>
        <v/>
      </c>
      <c r="O734" s="28" t="str">
        <f aca="false">IF($B734="","",IFERROR(IF($D734="Completed",INDEX(Properties!$L$5:$L$104,MATCH($B734,Properties!$A$5:$A$104,0))+IF($G734="Y",INDEX(Properties!$I$5:$I$104,MATCH($B734,Properties!$A$5:$A$104,0))*Settings!$B$8*Settings!$B$9,0)+IF($H734="Y",Settings!$B$7*Settings!$B$9,0)+N($I734)*Settings!$B$9,IF($D734="Deep clean",INDEX(Settings!$E$22:$E$26,MATCH(MIN(INDEX(Properties!$E$5:$E$104,MATCH($B734,Properties!$A$5:$A$104,0)),4),Settings!$A$22:$A$26,0))*Settings!$B$19+N($I734)*Settings!$B$9,IF($D734="Late cancel",INDEX(Properties!$L$5:$L$104,MATCH($B734,Properties!$A$5:$A$104,0))*Settings!$B$11,0))),0))</f>
        <v/>
      </c>
      <c r="P734" s="28" t="str">
        <f aca="false">IF($B734="","",$N734-$O734)</f>
        <v/>
      </c>
      <c r="Q734" s="29" t="str">
        <f aca="false">IF($A734="","",DATE(YEAR($A734),MONTH($A734),1))</f>
        <v/>
      </c>
      <c r="R734" s="30" t="str">
        <f aca="false">IF($A734="","",$A734+MOD(6-WEEKDAY($A734),7))</f>
        <v/>
      </c>
      <c r="S734" s="31" t="str">
        <f aca="false">IF($B734="","",IF(AND($M734='Invoice Builder'!$C$5,$Q734='Invoice Builder'!$C$6,N($N734)&gt;0),COUNTIFS($M$5:$M734,'Invoice Builder'!$C$5,$Q$5:$Q734,'Invoice Builder'!$C$6,$N$5:$N734,"&gt;0"),""))</f>
        <v/>
      </c>
      <c r="T734" s="27" t="str">
        <f aca="false">IF($A734="","",IF($A734&gt;=DATE(YEAR($A734),4,6),YEAR($A734)&amp;"/"&amp;RIGHT(YEAR($A734)+1,2),YEAR($A734)-1&amp;"/"&amp;RIGHT(YEAR($A734),2)))</f>
        <v/>
      </c>
    </row>
    <row r="735" customFormat="false" ht="15" hidden="false" customHeight="false" outlineLevel="0" collapsed="false">
      <c r="A735" s="22"/>
      <c r="B735" s="23"/>
      <c r="C735" s="23"/>
      <c r="D735" s="23"/>
      <c r="E735" s="24"/>
      <c r="F735" s="24"/>
      <c r="G735" s="23"/>
      <c r="H735" s="23"/>
      <c r="I735" s="25"/>
      <c r="J735" s="23"/>
      <c r="K735" s="23"/>
      <c r="L735" s="26" t="str">
        <f aca="false">IF(OR($E735="",$F735=""),"",MOD($F735-$E735,1)*24)</f>
        <v/>
      </c>
      <c r="M735" s="27" t="str">
        <f aca="false">IF($B735="","",IFERROR(INDEX(Properties!$D$5:$D$104,MATCH($B735,Properties!$A$5:$A$104,0)),"?"))</f>
        <v/>
      </c>
      <c r="N735" s="28" t="str">
        <f aca="false">IF($B735="","",IFERROR(IF($D735="Completed",INDEX(Properties!$I$5:$I$104,MATCH($B735,Properties!$A$5:$A$104,0))*(1+IF($G735="Y",Settings!$B$8,0))+IF($H735="Y",Settings!$B$7,0)+N($I735),IF($D735="Deep clean",INDEX(Settings!$E$22:$E$26,MATCH(MIN(INDEX(Properties!$E$5:$E$104,MATCH($B735,Properties!$A$5:$A$104,0)),4),Settings!$A$22:$A$26,0))+N($I735),IF($D735="Late cancel",INDEX(Properties!$I$5:$I$104,MATCH($B735,Properties!$A$5:$A$104,0))*Settings!$B$10,0))),0))</f>
        <v/>
      </c>
      <c r="O735" s="28" t="str">
        <f aca="false">IF($B735="","",IFERROR(IF($D735="Completed",INDEX(Properties!$L$5:$L$104,MATCH($B735,Properties!$A$5:$A$104,0))+IF($G735="Y",INDEX(Properties!$I$5:$I$104,MATCH($B735,Properties!$A$5:$A$104,0))*Settings!$B$8*Settings!$B$9,0)+IF($H735="Y",Settings!$B$7*Settings!$B$9,0)+N($I735)*Settings!$B$9,IF($D735="Deep clean",INDEX(Settings!$E$22:$E$26,MATCH(MIN(INDEX(Properties!$E$5:$E$104,MATCH($B735,Properties!$A$5:$A$104,0)),4),Settings!$A$22:$A$26,0))*Settings!$B$19+N($I735)*Settings!$B$9,IF($D735="Late cancel",INDEX(Properties!$L$5:$L$104,MATCH($B735,Properties!$A$5:$A$104,0))*Settings!$B$11,0))),0))</f>
        <v/>
      </c>
      <c r="P735" s="28" t="str">
        <f aca="false">IF($B735="","",$N735-$O735)</f>
        <v/>
      </c>
      <c r="Q735" s="29" t="str">
        <f aca="false">IF($A735="","",DATE(YEAR($A735),MONTH($A735),1))</f>
        <v/>
      </c>
      <c r="R735" s="30" t="str">
        <f aca="false">IF($A735="","",$A735+MOD(6-WEEKDAY($A735),7))</f>
        <v/>
      </c>
      <c r="S735" s="31" t="str">
        <f aca="false">IF($B735="","",IF(AND($M735='Invoice Builder'!$C$5,$Q735='Invoice Builder'!$C$6,N($N735)&gt;0),COUNTIFS($M$5:$M735,'Invoice Builder'!$C$5,$Q$5:$Q735,'Invoice Builder'!$C$6,$N$5:$N735,"&gt;0"),""))</f>
        <v/>
      </c>
      <c r="T735" s="27" t="str">
        <f aca="false">IF($A735="","",IF($A735&gt;=DATE(YEAR($A735),4,6),YEAR($A735)&amp;"/"&amp;RIGHT(YEAR($A735)+1,2),YEAR($A735)-1&amp;"/"&amp;RIGHT(YEAR($A735),2)))</f>
        <v/>
      </c>
    </row>
    <row r="736" customFormat="false" ht="15" hidden="false" customHeight="false" outlineLevel="0" collapsed="false">
      <c r="A736" s="22"/>
      <c r="B736" s="23"/>
      <c r="C736" s="23"/>
      <c r="D736" s="23"/>
      <c r="E736" s="24"/>
      <c r="F736" s="24"/>
      <c r="G736" s="23"/>
      <c r="H736" s="23"/>
      <c r="I736" s="25"/>
      <c r="J736" s="23"/>
      <c r="K736" s="23"/>
      <c r="L736" s="26" t="str">
        <f aca="false">IF(OR($E736="",$F736=""),"",MOD($F736-$E736,1)*24)</f>
        <v/>
      </c>
      <c r="M736" s="27" t="str">
        <f aca="false">IF($B736="","",IFERROR(INDEX(Properties!$D$5:$D$104,MATCH($B736,Properties!$A$5:$A$104,0)),"?"))</f>
        <v/>
      </c>
      <c r="N736" s="28" t="str">
        <f aca="false">IF($B736="","",IFERROR(IF($D736="Completed",INDEX(Properties!$I$5:$I$104,MATCH($B736,Properties!$A$5:$A$104,0))*(1+IF($G736="Y",Settings!$B$8,0))+IF($H736="Y",Settings!$B$7,0)+N($I736),IF($D736="Deep clean",INDEX(Settings!$E$22:$E$26,MATCH(MIN(INDEX(Properties!$E$5:$E$104,MATCH($B736,Properties!$A$5:$A$104,0)),4),Settings!$A$22:$A$26,0))+N($I736),IF($D736="Late cancel",INDEX(Properties!$I$5:$I$104,MATCH($B736,Properties!$A$5:$A$104,0))*Settings!$B$10,0))),0))</f>
        <v/>
      </c>
      <c r="O736" s="28" t="str">
        <f aca="false">IF($B736="","",IFERROR(IF($D736="Completed",INDEX(Properties!$L$5:$L$104,MATCH($B736,Properties!$A$5:$A$104,0))+IF($G736="Y",INDEX(Properties!$I$5:$I$104,MATCH($B736,Properties!$A$5:$A$104,0))*Settings!$B$8*Settings!$B$9,0)+IF($H736="Y",Settings!$B$7*Settings!$B$9,0)+N($I736)*Settings!$B$9,IF($D736="Deep clean",INDEX(Settings!$E$22:$E$26,MATCH(MIN(INDEX(Properties!$E$5:$E$104,MATCH($B736,Properties!$A$5:$A$104,0)),4),Settings!$A$22:$A$26,0))*Settings!$B$19+N($I736)*Settings!$B$9,IF($D736="Late cancel",INDEX(Properties!$L$5:$L$104,MATCH($B736,Properties!$A$5:$A$104,0))*Settings!$B$11,0))),0))</f>
        <v/>
      </c>
      <c r="P736" s="28" t="str">
        <f aca="false">IF($B736="","",$N736-$O736)</f>
        <v/>
      </c>
      <c r="Q736" s="29" t="str">
        <f aca="false">IF($A736="","",DATE(YEAR($A736),MONTH($A736),1))</f>
        <v/>
      </c>
      <c r="R736" s="30" t="str">
        <f aca="false">IF($A736="","",$A736+MOD(6-WEEKDAY($A736),7))</f>
        <v/>
      </c>
      <c r="S736" s="31" t="str">
        <f aca="false">IF($B736="","",IF(AND($M736='Invoice Builder'!$C$5,$Q736='Invoice Builder'!$C$6,N($N736)&gt;0),COUNTIFS($M$5:$M736,'Invoice Builder'!$C$5,$Q$5:$Q736,'Invoice Builder'!$C$6,$N$5:$N736,"&gt;0"),""))</f>
        <v/>
      </c>
      <c r="T736" s="27" t="str">
        <f aca="false">IF($A736="","",IF($A736&gt;=DATE(YEAR($A736),4,6),YEAR($A736)&amp;"/"&amp;RIGHT(YEAR($A736)+1,2),YEAR($A736)-1&amp;"/"&amp;RIGHT(YEAR($A736),2)))</f>
        <v/>
      </c>
    </row>
    <row r="737" customFormat="false" ht="15" hidden="false" customHeight="false" outlineLevel="0" collapsed="false">
      <c r="A737" s="22"/>
      <c r="B737" s="23"/>
      <c r="C737" s="23"/>
      <c r="D737" s="23"/>
      <c r="E737" s="24"/>
      <c r="F737" s="24"/>
      <c r="G737" s="23"/>
      <c r="H737" s="23"/>
      <c r="I737" s="25"/>
      <c r="J737" s="23"/>
      <c r="K737" s="23"/>
      <c r="L737" s="26" t="str">
        <f aca="false">IF(OR($E737="",$F737=""),"",MOD($F737-$E737,1)*24)</f>
        <v/>
      </c>
      <c r="M737" s="27" t="str">
        <f aca="false">IF($B737="","",IFERROR(INDEX(Properties!$D$5:$D$104,MATCH($B737,Properties!$A$5:$A$104,0)),"?"))</f>
        <v/>
      </c>
      <c r="N737" s="28" t="str">
        <f aca="false">IF($B737="","",IFERROR(IF($D737="Completed",INDEX(Properties!$I$5:$I$104,MATCH($B737,Properties!$A$5:$A$104,0))*(1+IF($G737="Y",Settings!$B$8,0))+IF($H737="Y",Settings!$B$7,0)+N($I737),IF($D737="Deep clean",INDEX(Settings!$E$22:$E$26,MATCH(MIN(INDEX(Properties!$E$5:$E$104,MATCH($B737,Properties!$A$5:$A$104,0)),4),Settings!$A$22:$A$26,0))+N($I737),IF($D737="Late cancel",INDEX(Properties!$I$5:$I$104,MATCH($B737,Properties!$A$5:$A$104,0))*Settings!$B$10,0))),0))</f>
        <v/>
      </c>
      <c r="O737" s="28" t="str">
        <f aca="false">IF($B737="","",IFERROR(IF($D737="Completed",INDEX(Properties!$L$5:$L$104,MATCH($B737,Properties!$A$5:$A$104,0))+IF($G737="Y",INDEX(Properties!$I$5:$I$104,MATCH($B737,Properties!$A$5:$A$104,0))*Settings!$B$8*Settings!$B$9,0)+IF($H737="Y",Settings!$B$7*Settings!$B$9,0)+N($I737)*Settings!$B$9,IF($D737="Deep clean",INDEX(Settings!$E$22:$E$26,MATCH(MIN(INDEX(Properties!$E$5:$E$104,MATCH($B737,Properties!$A$5:$A$104,0)),4),Settings!$A$22:$A$26,0))*Settings!$B$19+N($I737)*Settings!$B$9,IF($D737="Late cancel",INDEX(Properties!$L$5:$L$104,MATCH($B737,Properties!$A$5:$A$104,0))*Settings!$B$11,0))),0))</f>
        <v/>
      </c>
      <c r="P737" s="28" t="str">
        <f aca="false">IF($B737="","",$N737-$O737)</f>
        <v/>
      </c>
      <c r="Q737" s="29" t="str">
        <f aca="false">IF($A737="","",DATE(YEAR($A737),MONTH($A737),1))</f>
        <v/>
      </c>
      <c r="R737" s="30" t="str">
        <f aca="false">IF($A737="","",$A737+MOD(6-WEEKDAY($A737),7))</f>
        <v/>
      </c>
      <c r="S737" s="31" t="str">
        <f aca="false">IF($B737="","",IF(AND($M737='Invoice Builder'!$C$5,$Q737='Invoice Builder'!$C$6,N($N737)&gt;0),COUNTIFS($M$5:$M737,'Invoice Builder'!$C$5,$Q$5:$Q737,'Invoice Builder'!$C$6,$N$5:$N737,"&gt;0"),""))</f>
        <v/>
      </c>
      <c r="T737" s="27" t="str">
        <f aca="false">IF($A737="","",IF($A737&gt;=DATE(YEAR($A737),4,6),YEAR($A737)&amp;"/"&amp;RIGHT(YEAR($A737)+1,2),YEAR($A737)-1&amp;"/"&amp;RIGHT(YEAR($A737),2)))</f>
        <v/>
      </c>
    </row>
    <row r="738" customFormat="false" ht="15" hidden="false" customHeight="false" outlineLevel="0" collapsed="false">
      <c r="A738" s="22"/>
      <c r="B738" s="23"/>
      <c r="C738" s="23"/>
      <c r="D738" s="23"/>
      <c r="E738" s="24"/>
      <c r="F738" s="24"/>
      <c r="G738" s="23"/>
      <c r="H738" s="23"/>
      <c r="I738" s="25"/>
      <c r="J738" s="23"/>
      <c r="K738" s="23"/>
      <c r="L738" s="26" t="str">
        <f aca="false">IF(OR($E738="",$F738=""),"",MOD($F738-$E738,1)*24)</f>
        <v/>
      </c>
      <c r="M738" s="27" t="str">
        <f aca="false">IF($B738="","",IFERROR(INDEX(Properties!$D$5:$D$104,MATCH($B738,Properties!$A$5:$A$104,0)),"?"))</f>
        <v/>
      </c>
      <c r="N738" s="28" t="str">
        <f aca="false">IF($B738="","",IFERROR(IF($D738="Completed",INDEX(Properties!$I$5:$I$104,MATCH($B738,Properties!$A$5:$A$104,0))*(1+IF($G738="Y",Settings!$B$8,0))+IF($H738="Y",Settings!$B$7,0)+N($I738),IF($D738="Deep clean",INDEX(Settings!$E$22:$E$26,MATCH(MIN(INDEX(Properties!$E$5:$E$104,MATCH($B738,Properties!$A$5:$A$104,0)),4),Settings!$A$22:$A$26,0))+N($I738),IF($D738="Late cancel",INDEX(Properties!$I$5:$I$104,MATCH($B738,Properties!$A$5:$A$104,0))*Settings!$B$10,0))),0))</f>
        <v/>
      </c>
      <c r="O738" s="28" t="str">
        <f aca="false">IF($B738="","",IFERROR(IF($D738="Completed",INDEX(Properties!$L$5:$L$104,MATCH($B738,Properties!$A$5:$A$104,0))+IF($G738="Y",INDEX(Properties!$I$5:$I$104,MATCH($B738,Properties!$A$5:$A$104,0))*Settings!$B$8*Settings!$B$9,0)+IF($H738="Y",Settings!$B$7*Settings!$B$9,0)+N($I738)*Settings!$B$9,IF($D738="Deep clean",INDEX(Settings!$E$22:$E$26,MATCH(MIN(INDEX(Properties!$E$5:$E$104,MATCH($B738,Properties!$A$5:$A$104,0)),4),Settings!$A$22:$A$26,0))*Settings!$B$19+N($I738)*Settings!$B$9,IF($D738="Late cancel",INDEX(Properties!$L$5:$L$104,MATCH($B738,Properties!$A$5:$A$104,0))*Settings!$B$11,0))),0))</f>
        <v/>
      </c>
      <c r="P738" s="28" t="str">
        <f aca="false">IF($B738="","",$N738-$O738)</f>
        <v/>
      </c>
      <c r="Q738" s="29" t="str">
        <f aca="false">IF($A738="","",DATE(YEAR($A738),MONTH($A738),1))</f>
        <v/>
      </c>
      <c r="R738" s="30" t="str">
        <f aca="false">IF($A738="","",$A738+MOD(6-WEEKDAY($A738),7))</f>
        <v/>
      </c>
      <c r="S738" s="31" t="str">
        <f aca="false">IF($B738="","",IF(AND($M738='Invoice Builder'!$C$5,$Q738='Invoice Builder'!$C$6,N($N738)&gt;0),COUNTIFS($M$5:$M738,'Invoice Builder'!$C$5,$Q$5:$Q738,'Invoice Builder'!$C$6,$N$5:$N738,"&gt;0"),""))</f>
        <v/>
      </c>
      <c r="T738" s="27" t="str">
        <f aca="false">IF($A738="","",IF($A738&gt;=DATE(YEAR($A738),4,6),YEAR($A738)&amp;"/"&amp;RIGHT(YEAR($A738)+1,2),YEAR($A738)-1&amp;"/"&amp;RIGHT(YEAR($A738),2)))</f>
        <v/>
      </c>
    </row>
    <row r="739" customFormat="false" ht="15" hidden="false" customHeight="false" outlineLevel="0" collapsed="false">
      <c r="A739" s="22"/>
      <c r="B739" s="23"/>
      <c r="C739" s="23"/>
      <c r="D739" s="23"/>
      <c r="E739" s="24"/>
      <c r="F739" s="24"/>
      <c r="G739" s="23"/>
      <c r="H739" s="23"/>
      <c r="I739" s="25"/>
      <c r="J739" s="23"/>
      <c r="K739" s="23"/>
      <c r="L739" s="26" t="str">
        <f aca="false">IF(OR($E739="",$F739=""),"",MOD($F739-$E739,1)*24)</f>
        <v/>
      </c>
      <c r="M739" s="27" t="str">
        <f aca="false">IF($B739="","",IFERROR(INDEX(Properties!$D$5:$D$104,MATCH($B739,Properties!$A$5:$A$104,0)),"?"))</f>
        <v/>
      </c>
      <c r="N739" s="28" t="str">
        <f aca="false">IF($B739="","",IFERROR(IF($D739="Completed",INDEX(Properties!$I$5:$I$104,MATCH($B739,Properties!$A$5:$A$104,0))*(1+IF($G739="Y",Settings!$B$8,0))+IF($H739="Y",Settings!$B$7,0)+N($I739),IF($D739="Deep clean",INDEX(Settings!$E$22:$E$26,MATCH(MIN(INDEX(Properties!$E$5:$E$104,MATCH($B739,Properties!$A$5:$A$104,0)),4),Settings!$A$22:$A$26,0))+N($I739),IF($D739="Late cancel",INDEX(Properties!$I$5:$I$104,MATCH($B739,Properties!$A$5:$A$104,0))*Settings!$B$10,0))),0))</f>
        <v/>
      </c>
      <c r="O739" s="28" t="str">
        <f aca="false">IF($B739="","",IFERROR(IF($D739="Completed",INDEX(Properties!$L$5:$L$104,MATCH($B739,Properties!$A$5:$A$104,0))+IF($G739="Y",INDEX(Properties!$I$5:$I$104,MATCH($B739,Properties!$A$5:$A$104,0))*Settings!$B$8*Settings!$B$9,0)+IF($H739="Y",Settings!$B$7*Settings!$B$9,0)+N($I739)*Settings!$B$9,IF($D739="Deep clean",INDEX(Settings!$E$22:$E$26,MATCH(MIN(INDEX(Properties!$E$5:$E$104,MATCH($B739,Properties!$A$5:$A$104,0)),4),Settings!$A$22:$A$26,0))*Settings!$B$19+N($I739)*Settings!$B$9,IF($D739="Late cancel",INDEX(Properties!$L$5:$L$104,MATCH($B739,Properties!$A$5:$A$104,0))*Settings!$B$11,0))),0))</f>
        <v/>
      </c>
      <c r="P739" s="28" t="str">
        <f aca="false">IF($B739="","",$N739-$O739)</f>
        <v/>
      </c>
      <c r="Q739" s="29" t="str">
        <f aca="false">IF($A739="","",DATE(YEAR($A739),MONTH($A739),1))</f>
        <v/>
      </c>
      <c r="R739" s="30" t="str">
        <f aca="false">IF($A739="","",$A739+MOD(6-WEEKDAY($A739),7))</f>
        <v/>
      </c>
      <c r="S739" s="31" t="str">
        <f aca="false">IF($B739="","",IF(AND($M739='Invoice Builder'!$C$5,$Q739='Invoice Builder'!$C$6,N($N739)&gt;0),COUNTIFS($M$5:$M739,'Invoice Builder'!$C$5,$Q$5:$Q739,'Invoice Builder'!$C$6,$N$5:$N739,"&gt;0"),""))</f>
        <v/>
      </c>
      <c r="T739" s="27" t="str">
        <f aca="false">IF($A739="","",IF($A739&gt;=DATE(YEAR($A739),4,6),YEAR($A739)&amp;"/"&amp;RIGHT(YEAR($A739)+1,2),YEAR($A739)-1&amp;"/"&amp;RIGHT(YEAR($A739),2)))</f>
        <v/>
      </c>
    </row>
    <row r="740" customFormat="false" ht="15" hidden="false" customHeight="false" outlineLevel="0" collapsed="false">
      <c r="A740" s="22"/>
      <c r="B740" s="23"/>
      <c r="C740" s="23"/>
      <c r="D740" s="23"/>
      <c r="E740" s="24"/>
      <c r="F740" s="24"/>
      <c r="G740" s="23"/>
      <c r="H740" s="23"/>
      <c r="I740" s="25"/>
      <c r="J740" s="23"/>
      <c r="K740" s="23"/>
      <c r="L740" s="26" t="str">
        <f aca="false">IF(OR($E740="",$F740=""),"",MOD($F740-$E740,1)*24)</f>
        <v/>
      </c>
      <c r="M740" s="27" t="str">
        <f aca="false">IF($B740="","",IFERROR(INDEX(Properties!$D$5:$D$104,MATCH($B740,Properties!$A$5:$A$104,0)),"?"))</f>
        <v/>
      </c>
      <c r="N740" s="28" t="str">
        <f aca="false">IF($B740="","",IFERROR(IF($D740="Completed",INDEX(Properties!$I$5:$I$104,MATCH($B740,Properties!$A$5:$A$104,0))*(1+IF($G740="Y",Settings!$B$8,0))+IF($H740="Y",Settings!$B$7,0)+N($I740),IF($D740="Deep clean",INDEX(Settings!$E$22:$E$26,MATCH(MIN(INDEX(Properties!$E$5:$E$104,MATCH($B740,Properties!$A$5:$A$104,0)),4),Settings!$A$22:$A$26,0))+N($I740),IF($D740="Late cancel",INDEX(Properties!$I$5:$I$104,MATCH($B740,Properties!$A$5:$A$104,0))*Settings!$B$10,0))),0))</f>
        <v/>
      </c>
      <c r="O740" s="28" t="str">
        <f aca="false">IF($B740="","",IFERROR(IF($D740="Completed",INDEX(Properties!$L$5:$L$104,MATCH($B740,Properties!$A$5:$A$104,0))+IF($G740="Y",INDEX(Properties!$I$5:$I$104,MATCH($B740,Properties!$A$5:$A$104,0))*Settings!$B$8*Settings!$B$9,0)+IF($H740="Y",Settings!$B$7*Settings!$B$9,0)+N($I740)*Settings!$B$9,IF($D740="Deep clean",INDEX(Settings!$E$22:$E$26,MATCH(MIN(INDEX(Properties!$E$5:$E$104,MATCH($B740,Properties!$A$5:$A$104,0)),4),Settings!$A$22:$A$26,0))*Settings!$B$19+N($I740)*Settings!$B$9,IF($D740="Late cancel",INDEX(Properties!$L$5:$L$104,MATCH($B740,Properties!$A$5:$A$104,0))*Settings!$B$11,0))),0))</f>
        <v/>
      </c>
      <c r="P740" s="28" t="str">
        <f aca="false">IF($B740="","",$N740-$O740)</f>
        <v/>
      </c>
      <c r="Q740" s="29" t="str">
        <f aca="false">IF($A740="","",DATE(YEAR($A740),MONTH($A740),1))</f>
        <v/>
      </c>
      <c r="R740" s="30" t="str">
        <f aca="false">IF($A740="","",$A740+MOD(6-WEEKDAY($A740),7))</f>
        <v/>
      </c>
      <c r="S740" s="31" t="str">
        <f aca="false">IF($B740="","",IF(AND($M740='Invoice Builder'!$C$5,$Q740='Invoice Builder'!$C$6,N($N740)&gt;0),COUNTIFS($M$5:$M740,'Invoice Builder'!$C$5,$Q$5:$Q740,'Invoice Builder'!$C$6,$N$5:$N740,"&gt;0"),""))</f>
        <v/>
      </c>
      <c r="T740" s="27" t="str">
        <f aca="false">IF($A740="","",IF($A740&gt;=DATE(YEAR($A740),4,6),YEAR($A740)&amp;"/"&amp;RIGHT(YEAR($A740)+1,2),YEAR($A740)-1&amp;"/"&amp;RIGHT(YEAR($A740),2)))</f>
        <v/>
      </c>
    </row>
    <row r="741" customFormat="false" ht="15" hidden="false" customHeight="false" outlineLevel="0" collapsed="false">
      <c r="A741" s="22"/>
      <c r="B741" s="23"/>
      <c r="C741" s="23"/>
      <c r="D741" s="23"/>
      <c r="E741" s="24"/>
      <c r="F741" s="24"/>
      <c r="G741" s="23"/>
      <c r="H741" s="23"/>
      <c r="I741" s="25"/>
      <c r="J741" s="23"/>
      <c r="K741" s="23"/>
      <c r="L741" s="26" t="str">
        <f aca="false">IF(OR($E741="",$F741=""),"",MOD($F741-$E741,1)*24)</f>
        <v/>
      </c>
      <c r="M741" s="27" t="str">
        <f aca="false">IF($B741="","",IFERROR(INDEX(Properties!$D$5:$D$104,MATCH($B741,Properties!$A$5:$A$104,0)),"?"))</f>
        <v/>
      </c>
      <c r="N741" s="28" t="str">
        <f aca="false">IF($B741="","",IFERROR(IF($D741="Completed",INDEX(Properties!$I$5:$I$104,MATCH($B741,Properties!$A$5:$A$104,0))*(1+IF($G741="Y",Settings!$B$8,0))+IF($H741="Y",Settings!$B$7,0)+N($I741),IF($D741="Deep clean",INDEX(Settings!$E$22:$E$26,MATCH(MIN(INDEX(Properties!$E$5:$E$104,MATCH($B741,Properties!$A$5:$A$104,0)),4),Settings!$A$22:$A$26,0))+N($I741),IF($D741="Late cancel",INDEX(Properties!$I$5:$I$104,MATCH($B741,Properties!$A$5:$A$104,0))*Settings!$B$10,0))),0))</f>
        <v/>
      </c>
      <c r="O741" s="28" t="str">
        <f aca="false">IF($B741="","",IFERROR(IF($D741="Completed",INDEX(Properties!$L$5:$L$104,MATCH($B741,Properties!$A$5:$A$104,0))+IF($G741="Y",INDEX(Properties!$I$5:$I$104,MATCH($B741,Properties!$A$5:$A$104,0))*Settings!$B$8*Settings!$B$9,0)+IF($H741="Y",Settings!$B$7*Settings!$B$9,0)+N($I741)*Settings!$B$9,IF($D741="Deep clean",INDEX(Settings!$E$22:$E$26,MATCH(MIN(INDEX(Properties!$E$5:$E$104,MATCH($B741,Properties!$A$5:$A$104,0)),4),Settings!$A$22:$A$26,0))*Settings!$B$19+N($I741)*Settings!$B$9,IF($D741="Late cancel",INDEX(Properties!$L$5:$L$104,MATCH($B741,Properties!$A$5:$A$104,0))*Settings!$B$11,0))),0))</f>
        <v/>
      </c>
      <c r="P741" s="28" t="str">
        <f aca="false">IF($B741="","",$N741-$O741)</f>
        <v/>
      </c>
      <c r="Q741" s="29" t="str">
        <f aca="false">IF($A741="","",DATE(YEAR($A741),MONTH($A741),1))</f>
        <v/>
      </c>
      <c r="R741" s="30" t="str">
        <f aca="false">IF($A741="","",$A741+MOD(6-WEEKDAY($A741),7))</f>
        <v/>
      </c>
      <c r="S741" s="31" t="str">
        <f aca="false">IF($B741="","",IF(AND($M741='Invoice Builder'!$C$5,$Q741='Invoice Builder'!$C$6,N($N741)&gt;0),COUNTIFS($M$5:$M741,'Invoice Builder'!$C$5,$Q$5:$Q741,'Invoice Builder'!$C$6,$N$5:$N741,"&gt;0"),""))</f>
        <v/>
      </c>
      <c r="T741" s="27" t="str">
        <f aca="false">IF($A741="","",IF($A741&gt;=DATE(YEAR($A741),4,6),YEAR($A741)&amp;"/"&amp;RIGHT(YEAR($A741)+1,2),YEAR($A741)-1&amp;"/"&amp;RIGHT(YEAR($A741),2)))</f>
        <v/>
      </c>
    </row>
    <row r="742" customFormat="false" ht="15" hidden="false" customHeight="false" outlineLevel="0" collapsed="false">
      <c r="A742" s="22"/>
      <c r="B742" s="23"/>
      <c r="C742" s="23"/>
      <c r="D742" s="23"/>
      <c r="E742" s="24"/>
      <c r="F742" s="24"/>
      <c r="G742" s="23"/>
      <c r="H742" s="23"/>
      <c r="I742" s="25"/>
      <c r="J742" s="23"/>
      <c r="K742" s="23"/>
      <c r="L742" s="26" t="str">
        <f aca="false">IF(OR($E742="",$F742=""),"",MOD($F742-$E742,1)*24)</f>
        <v/>
      </c>
      <c r="M742" s="27" t="str">
        <f aca="false">IF($B742="","",IFERROR(INDEX(Properties!$D$5:$D$104,MATCH($B742,Properties!$A$5:$A$104,0)),"?"))</f>
        <v/>
      </c>
      <c r="N742" s="28" t="str">
        <f aca="false">IF($B742="","",IFERROR(IF($D742="Completed",INDEX(Properties!$I$5:$I$104,MATCH($B742,Properties!$A$5:$A$104,0))*(1+IF($G742="Y",Settings!$B$8,0))+IF($H742="Y",Settings!$B$7,0)+N($I742),IF($D742="Deep clean",INDEX(Settings!$E$22:$E$26,MATCH(MIN(INDEX(Properties!$E$5:$E$104,MATCH($B742,Properties!$A$5:$A$104,0)),4),Settings!$A$22:$A$26,0))+N($I742),IF($D742="Late cancel",INDEX(Properties!$I$5:$I$104,MATCH($B742,Properties!$A$5:$A$104,0))*Settings!$B$10,0))),0))</f>
        <v/>
      </c>
      <c r="O742" s="28" t="str">
        <f aca="false">IF($B742="","",IFERROR(IF($D742="Completed",INDEX(Properties!$L$5:$L$104,MATCH($B742,Properties!$A$5:$A$104,0))+IF($G742="Y",INDEX(Properties!$I$5:$I$104,MATCH($B742,Properties!$A$5:$A$104,0))*Settings!$B$8*Settings!$B$9,0)+IF($H742="Y",Settings!$B$7*Settings!$B$9,0)+N($I742)*Settings!$B$9,IF($D742="Deep clean",INDEX(Settings!$E$22:$E$26,MATCH(MIN(INDEX(Properties!$E$5:$E$104,MATCH($B742,Properties!$A$5:$A$104,0)),4),Settings!$A$22:$A$26,0))*Settings!$B$19+N($I742)*Settings!$B$9,IF($D742="Late cancel",INDEX(Properties!$L$5:$L$104,MATCH($B742,Properties!$A$5:$A$104,0))*Settings!$B$11,0))),0))</f>
        <v/>
      </c>
      <c r="P742" s="28" t="str">
        <f aca="false">IF($B742="","",$N742-$O742)</f>
        <v/>
      </c>
      <c r="Q742" s="29" t="str">
        <f aca="false">IF($A742="","",DATE(YEAR($A742),MONTH($A742),1))</f>
        <v/>
      </c>
      <c r="R742" s="30" t="str">
        <f aca="false">IF($A742="","",$A742+MOD(6-WEEKDAY($A742),7))</f>
        <v/>
      </c>
      <c r="S742" s="31" t="str">
        <f aca="false">IF($B742="","",IF(AND($M742='Invoice Builder'!$C$5,$Q742='Invoice Builder'!$C$6,N($N742)&gt;0),COUNTIFS($M$5:$M742,'Invoice Builder'!$C$5,$Q$5:$Q742,'Invoice Builder'!$C$6,$N$5:$N742,"&gt;0"),""))</f>
        <v/>
      </c>
      <c r="T742" s="27" t="str">
        <f aca="false">IF($A742="","",IF($A742&gt;=DATE(YEAR($A742),4,6),YEAR($A742)&amp;"/"&amp;RIGHT(YEAR($A742)+1,2),YEAR($A742)-1&amp;"/"&amp;RIGHT(YEAR($A742),2)))</f>
        <v/>
      </c>
    </row>
    <row r="743" customFormat="false" ht="15" hidden="false" customHeight="false" outlineLevel="0" collapsed="false">
      <c r="A743" s="22"/>
      <c r="B743" s="23"/>
      <c r="C743" s="23"/>
      <c r="D743" s="23"/>
      <c r="E743" s="24"/>
      <c r="F743" s="24"/>
      <c r="G743" s="23"/>
      <c r="H743" s="23"/>
      <c r="I743" s="25"/>
      <c r="J743" s="23"/>
      <c r="K743" s="23"/>
      <c r="L743" s="26" t="str">
        <f aca="false">IF(OR($E743="",$F743=""),"",MOD($F743-$E743,1)*24)</f>
        <v/>
      </c>
      <c r="M743" s="27" t="str">
        <f aca="false">IF($B743="","",IFERROR(INDEX(Properties!$D$5:$D$104,MATCH($B743,Properties!$A$5:$A$104,0)),"?"))</f>
        <v/>
      </c>
      <c r="N743" s="28" t="str">
        <f aca="false">IF($B743="","",IFERROR(IF($D743="Completed",INDEX(Properties!$I$5:$I$104,MATCH($B743,Properties!$A$5:$A$104,0))*(1+IF($G743="Y",Settings!$B$8,0))+IF($H743="Y",Settings!$B$7,0)+N($I743),IF($D743="Deep clean",INDEX(Settings!$E$22:$E$26,MATCH(MIN(INDEX(Properties!$E$5:$E$104,MATCH($B743,Properties!$A$5:$A$104,0)),4),Settings!$A$22:$A$26,0))+N($I743),IF($D743="Late cancel",INDEX(Properties!$I$5:$I$104,MATCH($B743,Properties!$A$5:$A$104,0))*Settings!$B$10,0))),0))</f>
        <v/>
      </c>
      <c r="O743" s="28" t="str">
        <f aca="false">IF($B743="","",IFERROR(IF($D743="Completed",INDEX(Properties!$L$5:$L$104,MATCH($B743,Properties!$A$5:$A$104,0))+IF($G743="Y",INDEX(Properties!$I$5:$I$104,MATCH($B743,Properties!$A$5:$A$104,0))*Settings!$B$8*Settings!$B$9,0)+IF($H743="Y",Settings!$B$7*Settings!$B$9,0)+N($I743)*Settings!$B$9,IF($D743="Deep clean",INDEX(Settings!$E$22:$E$26,MATCH(MIN(INDEX(Properties!$E$5:$E$104,MATCH($B743,Properties!$A$5:$A$104,0)),4),Settings!$A$22:$A$26,0))*Settings!$B$19+N($I743)*Settings!$B$9,IF($D743="Late cancel",INDEX(Properties!$L$5:$L$104,MATCH($B743,Properties!$A$5:$A$104,0))*Settings!$B$11,0))),0))</f>
        <v/>
      </c>
      <c r="P743" s="28" t="str">
        <f aca="false">IF($B743="","",$N743-$O743)</f>
        <v/>
      </c>
      <c r="Q743" s="29" t="str">
        <f aca="false">IF($A743="","",DATE(YEAR($A743),MONTH($A743),1))</f>
        <v/>
      </c>
      <c r="R743" s="30" t="str">
        <f aca="false">IF($A743="","",$A743+MOD(6-WEEKDAY($A743),7))</f>
        <v/>
      </c>
      <c r="S743" s="31" t="str">
        <f aca="false">IF($B743="","",IF(AND($M743='Invoice Builder'!$C$5,$Q743='Invoice Builder'!$C$6,N($N743)&gt;0),COUNTIFS($M$5:$M743,'Invoice Builder'!$C$5,$Q$5:$Q743,'Invoice Builder'!$C$6,$N$5:$N743,"&gt;0"),""))</f>
        <v/>
      </c>
      <c r="T743" s="27" t="str">
        <f aca="false">IF($A743="","",IF($A743&gt;=DATE(YEAR($A743),4,6),YEAR($A743)&amp;"/"&amp;RIGHT(YEAR($A743)+1,2),YEAR($A743)-1&amp;"/"&amp;RIGHT(YEAR($A743),2)))</f>
        <v/>
      </c>
    </row>
    <row r="744" customFormat="false" ht="15" hidden="false" customHeight="false" outlineLevel="0" collapsed="false">
      <c r="A744" s="22"/>
      <c r="B744" s="23"/>
      <c r="C744" s="23"/>
      <c r="D744" s="23"/>
      <c r="E744" s="24"/>
      <c r="F744" s="24"/>
      <c r="G744" s="23"/>
      <c r="H744" s="23"/>
      <c r="I744" s="25"/>
      <c r="J744" s="23"/>
      <c r="K744" s="23"/>
      <c r="L744" s="26" t="str">
        <f aca="false">IF(OR($E744="",$F744=""),"",MOD($F744-$E744,1)*24)</f>
        <v/>
      </c>
      <c r="M744" s="27" t="str">
        <f aca="false">IF($B744="","",IFERROR(INDEX(Properties!$D$5:$D$104,MATCH($B744,Properties!$A$5:$A$104,0)),"?"))</f>
        <v/>
      </c>
      <c r="N744" s="28" t="str">
        <f aca="false">IF($B744="","",IFERROR(IF($D744="Completed",INDEX(Properties!$I$5:$I$104,MATCH($B744,Properties!$A$5:$A$104,0))*(1+IF($G744="Y",Settings!$B$8,0))+IF($H744="Y",Settings!$B$7,0)+N($I744),IF($D744="Deep clean",INDEX(Settings!$E$22:$E$26,MATCH(MIN(INDEX(Properties!$E$5:$E$104,MATCH($B744,Properties!$A$5:$A$104,0)),4),Settings!$A$22:$A$26,0))+N($I744),IF($D744="Late cancel",INDEX(Properties!$I$5:$I$104,MATCH($B744,Properties!$A$5:$A$104,0))*Settings!$B$10,0))),0))</f>
        <v/>
      </c>
      <c r="O744" s="28" t="str">
        <f aca="false">IF($B744="","",IFERROR(IF($D744="Completed",INDEX(Properties!$L$5:$L$104,MATCH($B744,Properties!$A$5:$A$104,0))+IF($G744="Y",INDEX(Properties!$I$5:$I$104,MATCH($B744,Properties!$A$5:$A$104,0))*Settings!$B$8*Settings!$B$9,0)+IF($H744="Y",Settings!$B$7*Settings!$B$9,0)+N($I744)*Settings!$B$9,IF($D744="Deep clean",INDEX(Settings!$E$22:$E$26,MATCH(MIN(INDEX(Properties!$E$5:$E$104,MATCH($B744,Properties!$A$5:$A$104,0)),4),Settings!$A$22:$A$26,0))*Settings!$B$19+N($I744)*Settings!$B$9,IF($D744="Late cancel",INDEX(Properties!$L$5:$L$104,MATCH($B744,Properties!$A$5:$A$104,0))*Settings!$B$11,0))),0))</f>
        <v/>
      </c>
      <c r="P744" s="28" t="str">
        <f aca="false">IF($B744="","",$N744-$O744)</f>
        <v/>
      </c>
      <c r="Q744" s="29" t="str">
        <f aca="false">IF($A744="","",DATE(YEAR($A744),MONTH($A744),1))</f>
        <v/>
      </c>
      <c r="R744" s="30" t="str">
        <f aca="false">IF($A744="","",$A744+MOD(6-WEEKDAY($A744),7))</f>
        <v/>
      </c>
      <c r="S744" s="31" t="str">
        <f aca="false">IF($B744="","",IF(AND($M744='Invoice Builder'!$C$5,$Q744='Invoice Builder'!$C$6,N($N744)&gt;0),COUNTIFS($M$5:$M744,'Invoice Builder'!$C$5,$Q$5:$Q744,'Invoice Builder'!$C$6,$N$5:$N744,"&gt;0"),""))</f>
        <v/>
      </c>
      <c r="T744" s="27" t="str">
        <f aca="false">IF($A744="","",IF($A744&gt;=DATE(YEAR($A744),4,6),YEAR($A744)&amp;"/"&amp;RIGHT(YEAR($A744)+1,2),YEAR($A744)-1&amp;"/"&amp;RIGHT(YEAR($A744),2)))</f>
        <v/>
      </c>
    </row>
    <row r="745" customFormat="false" ht="15" hidden="false" customHeight="false" outlineLevel="0" collapsed="false">
      <c r="A745" s="22"/>
      <c r="B745" s="23"/>
      <c r="C745" s="23"/>
      <c r="D745" s="23"/>
      <c r="E745" s="24"/>
      <c r="F745" s="24"/>
      <c r="G745" s="23"/>
      <c r="H745" s="23"/>
      <c r="I745" s="25"/>
      <c r="J745" s="23"/>
      <c r="K745" s="23"/>
      <c r="L745" s="26" t="str">
        <f aca="false">IF(OR($E745="",$F745=""),"",MOD($F745-$E745,1)*24)</f>
        <v/>
      </c>
      <c r="M745" s="27" t="str">
        <f aca="false">IF($B745="","",IFERROR(INDEX(Properties!$D$5:$D$104,MATCH($B745,Properties!$A$5:$A$104,0)),"?"))</f>
        <v/>
      </c>
      <c r="N745" s="28" t="str">
        <f aca="false">IF($B745="","",IFERROR(IF($D745="Completed",INDEX(Properties!$I$5:$I$104,MATCH($B745,Properties!$A$5:$A$104,0))*(1+IF($G745="Y",Settings!$B$8,0))+IF($H745="Y",Settings!$B$7,0)+N($I745),IF($D745="Deep clean",INDEX(Settings!$E$22:$E$26,MATCH(MIN(INDEX(Properties!$E$5:$E$104,MATCH($B745,Properties!$A$5:$A$104,0)),4),Settings!$A$22:$A$26,0))+N($I745),IF($D745="Late cancel",INDEX(Properties!$I$5:$I$104,MATCH($B745,Properties!$A$5:$A$104,0))*Settings!$B$10,0))),0))</f>
        <v/>
      </c>
      <c r="O745" s="28" t="str">
        <f aca="false">IF($B745="","",IFERROR(IF($D745="Completed",INDEX(Properties!$L$5:$L$104,MATCH($B745,Properties!$A$5:$A$104,0))+IF($G745="Y",INDEX(Properties!$I$5:$I$104,MATCH($B745,Properties!$A$5:$A$104,0))*Settings!$B$8*Settings!$B$9,0)+IF($H745="Y",Settings!$B$7*Settings!$B$9,0)+N($I745)*Settings!$B$9,IF($D745="Deep clean",INDEX(Settings!$E$22:$E$26,MATCH(MIN(INDEX(Properties!$E$5:$E$104,MATCH($B745,Properties!$A$5:$A$104,0)),4),Settings!$A$22:$A$26,0))*Settings!$B$19+N($I745)*Settings!$B$9,IF($D745="Late cancel",INDEX(Properties!$L$5:$L$104,MATCH($B745,Properties!$A$5:$A$104,0))*Settings!$B$11,0))),0))</f>
        <v/>
      </c>
      <c r="P745" s="28" t="str">
        <f aca="false">IF($B745="","",$N745-$O745)</f>
        <v/>
      </c>
      <c r="Q745" s="29" t="str">
        <f aca="false">IF($A745="","",DATE(YEAR($A745),MONTH($A745),1))</f>
        <v/>
      </c>
      <c r="R745" s="30" t="str">
        <f aca="false">IF($A745="","",$A745+MOD(6-WEEKDAY($A745),7))</f>
        <v/>
      </c>
      <c r="S745" s="31" t="str">
        <f aca="false">IF($B745="","",IF(AND($M745='Invoice Builder'!$C$5,$Q745='Invoice Builder'!$C$6,N($N745)&gt;0),COUNTIFS($M$5:$M745,'Invoice Builder'!$C$5,$Q$5:$Q745,'Invoice Builder'!$C$6,$N$5:$N745,"&gt;0"),""))</f>
        <v/>
      </c>
      <c r="T745" s="27" t="str">
        <f aca="false">IF($A745="","",IF($A745&gt;=DATE(YEAR($A745),4,6),YEAR($A745)&amp;"/"&amp;RIGHT(YEAR($A745)+1,2),YEAR($A745)-1&amp;"/"&amp;RIGHT(YEAR($A745),2)))</f>
        <v/>
      </c>
    </row>
    <row r="746" customFormat="false" ht="15" hidden="false" customHeight="false" outlineLevel="0" collapsed="false">
      <c r="A746" s="22"/>
      <c r="B746" s="23"/>
      <c r="C746" s="23"/>
      <c r="D746" s="23"/>
      <c r="E746" s="24"/>
      <c r="F746" s="24"/>
      <c r="G746" s="23"/>
      <c r="H746" s="23"/>
      <c r="I746" s="25"/>
      <c r="J746" s="23"/>
      <c r="K746" s="23"/>
      <c r="L746" s="26" t="str">
        <f aca="false">IF(OR($E746="",$F746=""),"",MOD($F746-$E746,1)*24)</f>
        <v/>
      </c>
      <c r="M746" s="27" t="str">
        <f aca="false">IF($B746="","",IFERROR(INDEX(Properties!$D$5:$D$104,MATCH($B746,Properties!$A$5:$A$104,0)),"?"))</f>
        <v/>
      </c>
      <c r="N746" s="28" t="str">
        <f aca="false">IF($B746="","",IFERROR(IF($D746="Completed",INDEX(Properties!$I$5:$I$104,MATCH($B746,Properties!$A$5:$A$104,0))*(1+IF($G746="Y",Settings!$B$8,0))+IF($H746="Y",Settings!$B$7,0)+N($I746),IF($D746="Deep clean",INDEX(Settings!$E$22:$E$26,MATCH(MIN(INDEX(Properties!$E$5:$E$104,MATCH($B746,Properties!$A$5:$A$104,0)),4),Settings!$A$22:$A$26,0))+N($I746),IF($D746="Late cancel",INDEX(Properties!$I$5:$I$104,MATCH($B746,Properties!$A$5:$A$104,0))*Settings!$B$10,0))),0))</f>
        <v/>
      </c>
      <c r="O746" s="28" t="str">
        <f aca="false">IF($B746="","",IFERROR(IF($D746="Completed",INDEX(Properties!$L$5:$L$104,MATCH($B746,Properties!$A$5:$A$104,0))+IF($G746="Y",INDEX(Properties!$I$5:$I$104,MATCH($B746,Properties!$A$5:$A$104,0))*Settings!$B$8*Settings!$B$9,0)+IF($H746="Y",Settings!$B$7*Settings!$B$9,0)+N($I746)*Settings!$B$9,IF($D746="Deep clean",INDEX(Settings!$E$22:$E$26,MATCH(MIN(INDEX(Properties!$E$5:$E$104,MATCH($B746,Properties!$A$5:$A$104,0)),4),Settings!$A$22:$A$26,0))*Settings!$B$19+N($I746)*Settings!$B$9,IF($D746="Late cancel",INDEX(Properties!$L$5:$L$104,MATCH($B746,Properties!$A$5:$A$104,0))*Settings!$B$11,0))),0))</f>
        <v/>
      </c>
      <c r="P746" s="28" t="str">
        <f aca="false">IF($B746="","",$N746-$O746)</f>
        <v/>
      </c>
      <c r="Q746" s="29" t="str">
        <f aca="false">IF($A746="","",DATE(YEAR($A746),MONTH($A746),1))</f>
        <v/>
      </c>
      <c r="R746" s="30" t="str">
        <f aca="false">IF($A746="","",$A746+MOD(6-WEEKDAY($A746),7))</f>
        <v/>
      </c>
      <c r="S746" s="31" t="str">
        <f aca="false">IF($B746="","",IF(AND($M746='Invoice Builder'!$C$5,$Q746='Invoice Builder'!$C$6,N($N746)&gt;0),COUNTIFS($M$5:$M746,'Invoice Builder'!$C$5,$Q$5:$Q746,'Invoice Builder'!$C$6,$N$5:$N746,"&gt;0"),""))</f>
        <v/>
      </c>
      <c r="T746" s="27" t="str">
        <f aca="false">IF($A746="","",IF($A746&gt;=DATE(YEAR($A746),4,6),YEAR($A746)&amp;"/"&amp;RIGHT(YEAR($A746)+1,2),YEAR($A746)-1&amp;"/"&amp;RIGHT(YEAR($A746),2)))</f>
        <v/>
      </c>
    </row>
    <row r="747" customFormat="false" ht="15" hidden="false" customHeight="false" outlineLevel="0" collapsed="false">
      <c r="A747" s="22"/>
      <c r="B747" s="23"/>
      <c r="C747" s="23"/>
      <c r="D747" s="23"/>
      <c r="E747" s="24"/>
      <c r="F747" s="24"/>
      <c r="G747" s="23"/>
      <c r="H747" s="23"/>
      <c r="I747" s="25"/>
      <c r="J747" s="23"/>
      <c r="K747" s="23"/>
      <c r="L747" s="26" t="str">
        <f aca="false">IF(OR($E747="",$F747=""),"",MOD($F747-$E747,1)*24)</f>
        <v/>
      </c>
      <c r="M747" s="27" t="str">
        <f aca="false">IF($B747="","",IFERROR(INDEX(Properties!$D$5:$D$104,MATCH($B747,Properties!$A$5:$A$104,0)),"?"))</f>
        <v/>
      </c>
      <c r="N747" s="28" t="str">
        <f aca="false">IF($B747="","",IFERROR(IF($D747="Completed",INDEX(Properties!$I$5:$I$104,MATCH($B747,Properties!$A$5:$A$104,0))*(1+IF($G747="Y",Settings!$B$8,0))+IF($H747="Y",Settings!$B$7,0)+N($I747),IF($D747="Deep clean",INDEX(Settings!$E$22:$E$26,MATCH(MIN(INDEX(Properties!$E$5:$E$104,MATCH($B747,Properties!$A$5:$A$104,0)),4),Settings!$A$22:$A$26,0))+N($I747),IF($D747="Late cancel",INDEX(Properties!$I$5:$I$104,MATCH($B747,Properties!$A$5:$A$104,0))*Settings!$B$10,0))),0))</f>
        <v/>
      </c>
      <c r="O747" s="28" t="str">
        <f aca="false">IF($B747="","",IFERROR(IF($D747="Completed",INDEX(Properties!$L$5:$L$104,MATCH($B747,Properties!$A$5:$A$104,0))+IF($G747="Y",INDEX(Properties!$I$5:$I$104,MATCH($B747,Properties!$A$5:$A$104,0))*Settings!$B$8*Settings!$B$9,0)+IF($H747="Y",Settings!$B$7*Settings!$B$9,0)+N($I747)*Settings!$B$9,IF($D747="Deep clean",INDEX(Settings!$E$22:$E$26,MATCH(MIN(INDEX(Properties!$E$5:$E$104,MATCH($B747,Properties!$A$5:$A$104,0)),4),Settings!$A$22:$A$26,0))*Settings!$B$19+N($I747)*Settings!$B$9,IF($D747="Late cancel",INDEX(Properties!$L$5:$L$104,MATCH($B747,Properties!$A$5:$A$104,0))*Settings!$B$11,0))),0))</f>
        <v/>
      </c>
      <c r="P747" s="28" t="str">
        <f aca="false">IF($B747="","",$N747-$O747)</f>
        <v/>
      </c>
      <c r="Q747" s="29" t="str">
        <f aca="false">IF($A747="","",DATE(YEAR($A747),MONTH($A747),1))</f>
        <v/>
      </c>
      <c r="R747" s="30" t="str">
        <f aca="false">IF($A747="","",$A747+MOD(6-WEEKDAY($A747),7))</f>
        <v/>
      </c>
      <c r="S747" s="31" t="str">
        <f aca="false">IF($B747="","",IF(AND($M747='Invoice Builder'!$C$5,$Q747='Invoice Builder'!$C$6,N($N747)&gt;0),COUNTIFS($M$5:$M747,'Invoice Builder'!$C$5,$Q$5:$Q747,'Invoice Builder'!$C$6,$N$5:$N747,"&gt;0"),""))</f>
        <v/>
      </c>
      <c r="T747" s="27" t="str">
        <f aca="false">IF($A747="","",IF($A747&gt;=DATE(YEAR($A747),4,6),YEAR($A747)&amp;"/"&amp;RIGHT(YEAR($A747)+1,2),YEAR($A747)-1&amp;"/"&amp;RIGHT(YEAR($A747),2)))</f>
        <v/>
      </c>
    </row>
    <row r="748" customFormat="false" ht="15" hidden="false" customHeight="false" outlineLevel="0" collapsed="false">
      <c r="A748" s="22"/>
      <c r="B748" s="23"/>
      <c r="C748" s="23"/>
      <c r="D748" s="23"/>
      <c r="E748" s="24"/>
      <c r="F748" s="24"/>
      <c r="G748" s="23"/>
      <c r="H748" s="23"/>
      <c r="I748" s="25"/>
      <c r="J748" s="23"/>
      <c r="K748" s="23"/>
      <c r="L748" s="26" t="str">
        <f aca="false">IF(OR($E748="",$F748=""),"",MOD($F748-$E748,1)*24)</f>
        <v/>
      </c>
      <c r="M748" s="27" t="str">
        <f aca="false">IF($B748="","",IFERROR(INDEX(Properties!$D$5:$D$104,MATCH($B748,Properties!$A$5:$A$104,0)),"?"))</f>
        <v/>
      </c>
      <c r="N748" s="28" t="str">
        <f aca="false">IF($B748="","",IFERROR(IF($D748="Completed",INDEX(Properties!$I$5:$I$104,MATCH($B748,Properties!$A$5:$A$104,0))*(1+IF($G748="Y",Settings!$B$8,0))+IF($H748="Y",Settings!$B$7,0)+N($I748),IF($D748="Deep clean",INDEX(Settings!$E$22:$E$26,MATCH(MIN(INDEX(Properties!$E$5:$E$104,MATCH($B748,Properties!$A$5:$A$104,0)),4),Settings!$A$22:$A$26,0))+N($I748),IF($D748="Late cancel",INDEX(Properties!$I$5:$I$104,MATCH($B748,Properties!$A$5:$A$104,0))*Settings!$B$10,0))),0))</f>
        <v/>
      </c>
      <c r="O748" s="28" t="str">
        <f aca="false">IF($B748="","",IFERROR(IF($D748="Completed",INDEX(Properties!$L$5:$L$104,MATCH($B748,Properties!$A$5:$A$104,0))+IF($G748="Y",INDEX(Properties!$I$5:$I$104,MATCH($B748,Properties!$A$5:$A$104,0))*Settings!$B$8*Settings!$B$9,0)+IF($H748="Y",Settings!$B$7*Settings!$B$9,0)+N($I748)*Settings!$B$9,IF($D748="Deep clean",INDEX(Settings!$E$22:$E$26,MATCH(MIN(INDEX(Properties!$E$5:$E$104,MATCH($B748,Properties!$A$5:$A$104,0)),4),Settings!$A$22:$A$26,0))*Settings!$B$19+N($I748)*Settings!$B$9,IF($D748="Late cancel",INDEX(Properties!$L$5:$L$104,MATCH($B748,Properties!$A$5:$A$104,0))*Settings!$B$11,0))),0))</f>
        <v/>
      </c>
      <c r="P748" s="28" t="str">
        <f aca="false">IF($B748="","",$N748-$O748)</f>
        <v/>
      </c>
      <c r="Q748" s="29" t="str">
        <f aca="false">IF($A748="","",DATE(YEAR($A748),MONTH($A748),1))</f>
        <v/>
      </c>
      <c r="R748" s="30" t="str">
        <f aca="false">IF($A748="","",$A748+MOD(6-WEEKDAY($A748),7))</f>
        <v/>
      </c>
      <c r="S748" s="31" t="str">
        <f aca="false">IF($B748="","",IF(AND($M748='Invoice Builder'!$C$5,$Q748='Invoice Builder'!$C$6,N($N748)&gt;0),COUNTIFS($M$5:$M748,'Invoice Builder'!$C$5,$Q$5:$Q748,'Invoice Builder'!$C$6,$N$5:$N748,"&gt;0"),""))</f>
        <v/>
      </c>
      <c r="T748" s="27" t="str">
        <f aca="false">IF($A748="","",IF($A748&gt;=DATE(YEAR($A748),4,6),YEAR($A748)&amp;"/"&amp;RIGHT(YEAR($A748)+1,2),YEAR($A748)-1&amp;"/"&amp;RIGHT(YEAR($A748),2)))</f>
        <v/>
      </c>
    </row>
    <row r="749" customFormat="false" ht="15" hidden="false" customHeight="false" outlineLevel="0" collapsed="false">
      <c r="A749" s="22"/>
      <c r="B749" s="23"/>
      <c r="C749" s="23"/>
      <c r="D749" s="23"/>
      <c r="E749" s="24"/>
      <c r="F749" s="24"/>
      <c r="G749" s="23"/>
      <c r="H749" s="23"/>
      <c r="I749" s="25"/>
      <c r="J749" s="23"/>
      <c r="K749" s="23"/>
      <c r="L749" s="26" t="str">
        <f aca="false">IF(OR($E749="",$F749=""),"",MOD($F749-$E749,1)*24)</f>
        <v/>
      </c>
      <c r="M749" s="27" t="str">
        <f aca="false">IF($B749="","",IFERROR(INDEX(Properties!$D$5:$D$104,MATCH($B749,Properties!$A$5:$A$104,0)),"?"))</f>
        <v/>
      </c>
      <c r="N749" s="28" t="str">
        <f aca="false">IF($B749="","",IFERROR(IF($D749="Completed",INDEX(Properties!$I$5:$I$104,MATCH($B749,Properties!$A$5:$A$104,0))*(1+IF($G749="Y",Settings!$B$8,0))+IF($H749="Y",Settings!$B$7,0)+N($I749),IF($D749="Deep clean",INDEX(Settings!$E$22:$E$26,MATCH(MIN(INDEX(Properties!$E$5:$E$104,MATCH($B749,Properties!$A$5:$A$104,0)),4),Settings!$A$22:$A$26,0))+N($I749),IF($D749="Late cancel",INDEX(Properties!$I$5:$I$104,MATCH($B749,Properties!$A$5:$A$104,0))*Settings!$B$10,0))),0))</f>
        <v/>
      </c>
      <c r="O749" s="28" t="str">
        <f aca="false">IF($B749="","",IFERROR(IF($D749="Completed",INDEX(Properties!$L$5:$L$104,MATCH($B749,Properties!$A$5:$A$104,0))+IF($G749="Y",INDEX(Properties!$I$5:$I$104,MATCH($B749,Properties!$A$5:$A$104,0))*Settings!$B$8*Settings!$B$9,0)+IF($H749="Y",Settings!$B$7*Settings!$B$9,0)+N($I749)*Settings!$B$9,IF($D749="Deep clean",INDEX(Settings!$E$22:$E$26,MATCH(MIN(INDEX(Properties!$E$5:$E$104,MATCH($B749,Properties!$A$5:$A$104,0)),4),Settings!$A$22:$A$26,0))*Settings!$B$19+N($I749)*Settings!$B$9,IF($D749="Late cancel",INDEX(Properties!$L$5:$L$104,MATCH($B749,Properties!$A$5:$A$104,0))*Settings!$B$11,0))),0))</f>
        <v/>
      </c>
      <c r="P749" s="28" t="str">
        <f aca="false">IF($B749="","",$N749-$O749)</f>
        <v/>
      </c>
      <c r="Q749" s="29" t="str">
        <f aca="false">IF($A749="","",DATE(YEAR($A749),MONTH($A749),1))</f>
        <v/>
      </c>
      <c r="R749" s="30" t="str">
        <f aca="false">IF($A749="","",$A749+MOD(6-WEEKDAY($A749),7))</f>
        <v/>
      </c>
      <c r="S749" s="31" t="str">
        <f aca="false">IF($B749="","",IF(AND($M749='Invoice Builder'!$C$5,$Q749='Invoice Builder'!$C$6,N($N749)&gt;0),COUNTIFS($M$5:$M749,'Invoice Builder'!$C$5,$Q$5:$Q749,'Invoice Builder'!$C$6,$N$5:$N749,"&gt;0"),""))</f>
        <v/>
      </c>
      <c r="T749" s="27" t="str">
        <f aca="false">IF($A749="","",IF($A749&gt;=DATE(YEAR($A749),4,6),YEAR($A749)&amp;"/"&amp;RIGHT(YEAR($A749)+1,2),YEAR($A749)-1&amp;"/"&amp;RIGHT(YEAR($A749),2)))</f>
        <v/>
      </c>
    </row>
    <row r="750" customFormat="false" ht="15" hidden="false" customHeight="false" outlineLevel="0" collapsed="false">
      <c r="A750" s="22"/>
      <c r="B750" s="23"/>
      <c r="C750" s="23"/>
      <c r="D750" s="23"/>
      <c r="E750" s="24"/>
      <c r="F750" s="24"/>
      <c r="G750" s="23"/>
      <c r="H750" s="23"/>
      <c r="I750" s="25"/>
      <c r="J750" s="23"/>
      <c r="K750" s="23"/>
      <c r="L750" s="26" t="str">
        <f aca="false">IF(OR($E750="",$F750=""),"",MOD($F750-$E750,1)*24)</f>
        <v/>
      </c>
      <c r="M750" s="27" t="str">
        <f aca="false">IF($B750="","",IFERROR(INDEX(Properties!$D$5:$D$104,MATCH($B750,Properties!$A$5:$A$104,0)),"?"))</f>
        <v/>
      </c>
      <c r="N750" s="28" t="str">
        <f aca="false">IF($B750="","",IFERROR(IF($D750="Completed",INDEX(Properties!$I$5:$I$104,MATCH($B750,Properties!$A$5:$A$104,0))*(1+IF($G750="Y",Settings!$B$8,0))+IF($H750="Y",Settings!$B$7,0)+N($I750),IF($D750="Deep clean",INDEX(Settings!$E$22:$E$26,MATCH(MIN(INDEX(Properties!$E$5:$E$104,MATCH($B750,Properties!$A$5:$A$104,0)),4),Settings!$A$22:$A$26,0))+N($I750),IF($D750="Late cancel",INDEX(Properties!$I$5:$I$104,MATCH($B750,Properties!$A$5:$A$104,0))*Settings!$B$10,0))),0))</f>
        <v/>
      </c>
      <c r="O750" s="28" t="str">
        <f aca="false">IF($B750="","",IFERROR(IF($D750="Completed",INDEX(Properties!$L$5:$L$104,MATCH($B750,Properties!$A$5:$A$104,0))+IF($G750="Y",INDEX(Properties!$I$5:$I$104,MATCH($B750,Properties!$A$5:$A$104,0))*Settings!$B$8*Settings!$B$9,0)+IF($H750="Y",Settings!$B$7*Settings!$B$9,0)+N($I750)*Settings!$B$9,IF($D750="Deep clean",INDEX(Settings!$E$22:$E$26,MATCH(MIN(INDEX(Properties!$E$5:$E$104,MATCH($B750,Properties!$A$5:$A$104,0)),4),Settings!$A$22:$A$26,0))*Settings!$B$19+N($I750)*Settings!$B$9,IF($D750="Late cancel",INDEX(Properties!$L$5:$L$104,MATCH($B750,Properties!$A$5:$A$104,0))*Settings!$B$11,0))),0))</f>
        <v/>
      </c>
      <c r="P750" s="28" t="str">
        <f aca="false">IF($B750="","",$N750-$O750)</f>
        <v/>
      </c>
      <c r="Q750" s="29" t="str">
        <f aca="false">IF($A750="","",DATE(YEAR($A750),MONTH($A750),1))</f>
        <v/>
      </c>
      <c r="R750" s="30" t="str">
        <f aca="false">IF($A750="","",$A750+MOD(6-WEEKDAY($A750),7))</f>
        <v/>
      </c>
      <c r="S750" s="31" t="str">
        <f aca="false">IF($B750="","",IF(AND($M750='Invoice Builder'!$C$5,$Q750='Invoice Builder'!$C$6,N($N750)&gt;0),COUNTIFS($M$5:$M750,'Invoice Builder'!$C$5,$Q$5:$Q750,'Invoice Builder'!$C$6,$N$5:$N750,"&gt;0"),""))</f>
        <v/>
      </c>
      <c r="T750" s="27" t="str">
        <f aca="false">IF($A750="","",IF($A750&gt;=DATE(YEAR($A750),4,6),YEAR($A750)&amp;"/"&amp;RIGHT(YEAR($A750)+1,2),YEAR($A750)-1&amp;"/"&amp;RIGHT(YEAR($A750),2)))</f>
        <v/>
      </c>
    </row>
    <row r="751" customFormat="false" ht="15" hidden="false" customHeight="false" outlineLevel="0" collapsed="false">
      <c r="A751" s="22"/>
      <c r="B751" s="23"/>
      <c r="C751" s="23"/>
      <c r="D751" s="23"/>
      <c r="E751" s="24"/>
      <c r="F751" s="24"/>
      <c r="G751" s="23"/>
      <c r="H751" s="23"/>
      <c r="I751" s="25"/>
      <c r="J751" s="23"/>
      <c r="K751" s="23"/>
      <c r="L751" s="26" t="str">
        <f aca="false">IF(OR($E751="",$F751=""),"",MOD($F751-$E751,1)*24)</f>
        <v/>
      </c>
      <c r="M751" s="27" t="str">
        <f aca="false">IF($B751="","",IFERROR(INDEX(Properties!$D$5:$D$104,MATCH($B751,Properties!$A$5:$A$104,0)),"?"))</f>
        <v/>
      </c>
      <c r="N751" s="28" t="str">
        <f aca="false">IF($B751="","",IFERROR(IF($D751="Completed",INDEX(Properties!$I$5:$I$104,MATCH($B751,Properties!$A$5:$A$104,0))*(1+IF($G751="Y",Settings!$B$8,0))+IF($H751="Y",Settings!$B$7,0)+N($I751),IF($D751="Deep clean",INDEX(Settings!$E$22:$E$26,MATCH(MIN(INDEX(Properties!$E$5:$E$104,MATCH($B751,Properties!$A$5:$A$104,0)),4),Settings!$A$22:$A$26,0))+N($I751),IF($D751="Late cancel",INDEX(Properties!$I$5:$I$104,MATCH($B751,Properties!$A$5:$A$104,0))*Settings!$B$10,0))),0))</f>
        <v/>
      </c>
      <c r="O751" s="28" t="str">
        <f aca="false">IF($B751="","",IFERROR(IF($D751="Completed",INDEX(Properties!$L$5:$L$104,MATCH($B751,Properties!$A$5:$A$104,0))+IF($G751="Y",INDEX(Properties!$I$5:$I$104,MATCH($B751,Properties!$A$5:$A$104,0))*Settings!$B$8*Settings!$B$9,0)+IF($H751="Y",Settings!$B$7*Settings!$B$9,0)+N($I751)*Settings!$B$9,IF($D751="Deep clean",INDEX(Settings!$E$22:$E$26,MATCH(MIN(INDEX(Properties!$E$5:$E$104,MATCH($B751,Properties!$A$5:$A$104,0)),4),Settings!$A$22:$A$26,0))*Settings!$B$19+N($I751)*Settings!$B$9,IF($D751="Late cancel",INDEX(Properties!$L$5:$L$104,MATCH($B751,Properties!$A$5:$A$104,0))*Settings!$B$11,0))),0))</f>
        <v/>
      </c>
      <c r="P751" s="28" t="str">
        <f aca="false">IF($B751="","",$N751-$O751)</f>
        <v/>
      </c>
      <c r="Q751" s="29" t="str">
        <f aca="false">IF($A751="","",DATE(YEAR($A751),MONTH($A751),1))</f>
        <v/>
      </c>
      <c r="R751" s="30" t="str">
        <f aca="false">IF($A751="","",$A751+MOD(6-WEEKDAY($A751),7))</f>
        <v/>
      </c>
      <c r="S751" s="31" t="str">
        <f aca="false">IF($B751="","",IF(AND($M751='Invoice Builder'!$C$5,$Q751='Invoice Builder'!$C$6,N($N751)&gt;0),COUNTIFS($M$5:$M751,'Invoice Builder'!$C$5,$Q$5:$Q751,'Invoice Builder'!$C$6,$N$5:$N751,"&gt;0"),""))</f>
        <v/>
      </c>
      <c r="T751" s="27" t="str">
        <f aca="false">IF($A751="","",IF($A751&gt;=DATE(YEAR($A751),4,6),YEAR($A751)&amp;"/"&amp;RIGHT(YEAR($A751)+1,2),YEAR($A751)-1&amp;"/"&amp;RIGHT(YEAR($A751),2)))</f>
        <v/>
      </c>
    </row>
    <row r="752" customFormat="false" ht="15" hidden="false" customHeight="false" outlineLevel="0" collapsed="false">
      <c r="A752" s="22"/>
      <c r="B752" s="23"/>
      <c r="C752" s="23"/>
      <c r="D752" s="23"/>
      <c r="E752" s="24"/>
      <c r="F752" s="24"/>
      <c r="G752" s="23"/>
      <c r="H752" s="23"/>
      <c r="I752" s="25"/>
      <c r="J752" s="23"/>
      <c r="K752" s="23"/>
      <c r="L752" s="26" t="str">
        <f aca="false">IF(OR($E752="",$F752=""),"",MOD($F752-$E752,1)*24)</f>
        <v/>
      </c>
      <c r="M752" s="27" t="str">
        <f aca="false">IF($B752="","",IFERROR(INDEX(Properties!$D$5:$D$104,MATCH($B752,Properties!$A$5:$A$104,0)),"?"))</f>
        <v/>
      </c>
      <c r="N752" s="28" t="str">
        <f aca="false">IF($B752="","",IFERROR(IF($D752="Completed",INDEX(Properties!$I$5:$I$104,MATCH($B752,Properties!$A$5:$A$104,0))*(1+IF($G752="Y",Settings!$B$8,0))+IF($H752="Y",Settings!$B$7,0)+N($I752),IF($D752="Deep clean",INDEX(Settings!$E$22:$E$26,MATCH(MIN(INDEX(Properties!$E$5:$E$104,MATCH($B752,Properties!$A$5:$A$104,0)),4),Settings!$A$22:$A$26,0))+N($I752),IF($D752="Late cancel",INDEX(Properties!$I$5:$I$104,MATCH($B752,Properties!$A$5:$A$104,0))*Settings!$B$10,0))),0))</f>
        <v/>
      </c>
      <c r="O752" s="28" t="str">
        <f aca="false">IF($B752="","",IFERROR(IF($D752="Completed",INDEX(Properties!$L$5:$L$104,MATCH($B752,Properties!$A$5:$A$104,0))+IF($G752="Y",INDEX(Properties!$I$5:$I$104,MATCH($B752,Properties!$A$5:$A$104,0))*Settings!$B$8*Settings!$B$9,0)+IF($H752="Y",Settings!$B$7*Settings!$B$9,0)+N($I752)*Settings!$B$9,IF($D752="Deep clean",INDEX(Settings!$E$22:$E$26,MATCH(MIN(INDEX(Properties!$E$5:$E$104,MATCH($B752,Properties!$A$5:$A$104,0)),4),Settings!$A$22:$A$26,0))*Settings!$B$19+N($I752)*Settings!$B$9,IF($D752="Late cancel",INDEX(Properties!$L$5:$L$104,MATCH($B752,Properties!$A$5:$A$104,0))*Settings!$B$11,0))),0))</f>
        <v/>
      </c>
      <c r="P752" s="28" t="str">
        <f aca="false">IF($B752="","",$N752-$O752)</f>
        <v/>
      </c>
      <c r="Q752" s="29" t="str">
        <f aca="false">IF($A752="","",DATE(YEAR($A752),MONTH($A752),1))</f>
        <v/>
      </c>
      <c r="R752" s="30" t="str">
        <f aca="false">IF($A752="","",$A752+MOD(6-WEEKDAY($A752),7))</f>
        <v/>
      </c>
      <c r="S752" s="31" t="str">
        <f aca="false">IF($B752="","",IF(AND($M752='Invoice Builder'!$C$5,$Q752='Invoice Builder'!$C$6,N($N752)&gt;0),COUNTIFS($M$5:$M752,'Invoice Builder'!$C$5,$Q$5:$Q752,'Invoice Builder'!$C$6,$N$5:$N752,"&gt;0"),""))</f>
        <v/>
      </c>
      <c r="T752" s="27" t="str">
        <f aca="false">IF($A752="","",IF($A752&gt;=DATE(YEAR($A752),4,6),YEAR($A752)&amp;"/"&amp;RIGHT(YEAR($A752)+1,2),YEAR($A752)-1&amp;"/"&amp;RIGHT(YEAR($A752),2)))</f>
        <v/>
      </c>
    </row>
    <row r="753" customFormat="false" ht="15" hidden="false" customHeight="false" outlineLevel="0" collapsed="false">
      <c r="A753" s="22"/>
      <c r="B753" s="23"/>
      <c r="C753" s="23"/>
      <c r="D753" s="23"/>
      <c r="E753" s="24"/>
      <c r="F753" s="24"/>
      <c r="G753" s="23"/>
      <c r="H753" s="23"/>
      <c r="I753" s="25"/>
      <c r="J753" s="23"/>
      <c r="K753" s="23"/>
      <c r="L753" s="26" t="str">
        <f aca="false">IF(OR($E753="",$F753=""),"",MOD($F753-$E753,1)*24)</f>
        <v/>
      </c>
      <c r="M753" s="27" t="str">
        <f aca="false">IF($B753="","",IFERROR(INDEX(Properties!$D$5:$D$104,MATCH($B753,Properties!$A$5:$A$104,0)),"?"))</f>
        <v/>
      </c>
      <c r="N753" s="28" t="str">
        <f aca="false">IF($B753="","",IFERROR(IF($D753="Completed",INDEX(Properties!$I$5:$I$104,MATCH($B753,Properties!$A$5:$A$104,0))*(1+IF($G753="Y",Settings!$B$8,0))+IF($H753="Y",Settings!$B$7,0)+N($I753),IF($D753="Deep clean",INDEX(Settings!$E$22:$E$26,MATCH(MIN(INDEX(Properties!$E$5:$E$104,MATCH($B753,Properties!$A$5:$A$104,0)),4),Settings!$A$22:$A$26,0))+N($I753),IF($D753="Late cancel",INDEX(Properties!$I$5:$I$104,MATCH($B753,Properties!$A$5:$A$104,0))*Settings!$B$10,0))),0))</f>
        <v/>
      </c>
      <c r="O753" s="28" t="str">
        <f aca="false">IF($B753="","",IFERROR(IF($D753="Completed",INDEX(Properties!$L$5:$L$104,MATCH($B753,Properties!$A$5:$A$104,0))+IF($G753="Y",INDEX(Properties!$I$5:$I$104,MATCH($B753,Properties!$A$5:$A$104,0))*Settings!$B$8*Settings!$B$9,0)+IF($H753="Y",Settings!$B$7*Settings!$B$9,0)+N($I753)*Settings!$B$9,IF($D753="Deep clean",INDEX(Settings!$E$22:$E$26,MATCH(MIN(INDEX(Properties!$E$5:$E$104,MATCH($B753,Properties!$A$5:$A$104,0)),4),Settings!$A$22:$A$26,0))*Settings!$B$19+N($I753)*Settings!$B$9,IF($D753="Late cancel",INDEX(Properties!$L$5:$L$104,MATCH($B753,Properties!$A$5:$A$104,0))*Settings!$B$11,0))),0))</f>
        <v/>
      </c>
      <c r="P753" s="28" t="str">
        <f aca="false">IF($B753="","",$N753-$O753)</f>
        <v/>
      </c>
      <c r="Q753" s="29" t="str">
        <f aca="false">IF($A753="","",DATE(YEAR($A753),MONTH($A753),1))</f>
        <v/>
      </c>
      <c r="R753" s="30" t="str">
        <f aca="false">IF($A753="","",$A753+MOD(6-WEEKDAY($A753),7))</f>
        <v/>
      </c>
      <c r="S753" s="31" t="str">
        <f aca="false">IF($B753="","",IF(AND($M753='Invoice Builder'!$C$5,$Q753='Invoice Builder'!$C$6,N($N753)&gt;0),COUNTIFS($M$5:$M753,'Invoice Builder'!$C$5,$Q$5:$Q753,'Invoice Builder'!$C$6,$N$5:$N753,"&gt;0"),""))</f>
        <v/>
      </c>
      <c r="T753" s="27" t="str">
        <f aca="false">IF($A753="","",IF($A753&gt;=DATE(YEAR($A753),4,6),YEAR($A753)&amp;"/"&amp;RIGHT(YEAR($A753)+1,2),YEAR($A753)-1&amp;"/"&amp;RIGHT(YEAR($A753),2)))</f>
        <v/>
      </c>
    </row>
    <row r="754" customFormat="false" ht="15" hidden="false" customHeight="false" outlineLevel="0" collapsed="false">
      <c r="A754" s="22"/>
      <c r="B754" s="23"/>
      <c r="C754" s="23"/>
      <c r="D754" s="23"/>
      <c r="E754" s="24"/>
      <c r="F754" s="24"/>
      <c r="G754" s="23"/>
      <c r="H754" s="23"/>
      <c r="I754" s="25"/>
      <c r="J754" s="23"/>
      <c r="K754" s="23"/>
      <c r="L754" s="26" t="str">
        <f aca="false">IF(OR($E754="",$F754=""),"",MOD($F754-$E754,1)*24)</f>
        <v/>
      </c>
      <c r="M754" s="27" t="str">
        <f aca="false">IF($B754="","",IFERROR(INDEX(Properties!$D$5:$D$104,MATCH($B754,Properties!$A$5:$A$104,0)),"?"))</f>
        <v/>
      </c>
      <c r="N754" s="28" t="str">
        <f aca="false">IF($B754="","",IFERROR(IF($D754="Completed",INDEX(Properties!$I$5:$I$104,MATCH($B754,Properties!$A$5:$A$104,0))*(1+IF($G754="Y",Settings!$B$8,0))+IF($H754="Y",Settings!$B$7,0)+N($I754),IF($D754="Deep clean",INDEX(Settings!$E$22:$E$26,MATCH(MIN(INDEX(Properties!$E$5:$E$104,MATCH($B754,Properties!$A$5:$A$104,0)),4),Settings!$A$22:$A$26,0))+N($I754),IF($D754="Late cancel",INDEX(Properties!$I$5:$I$104,MATCH($B754,Properties!$A$5:$A$104,0))*Settings!$B$10,0))),0))</f>
        <v/>
      </c>
      <c r="O754" s="28" t="str">
        <f aca="false">IF($B754="","",IFERROR(IF($D754="Completed",INDEX(Properties!$L$5:$L$104,MATCH($B754,Properties!$A$5:$A$104,0))+IF($G754="Y",INDEX(Properties!$I$5:$I$104,MATCH($B754,Properties!$A$5:$A$104,0))*Settings!$B$8*Settings!$B$9,0)+IF($H754="Y",Settings!$B$7*Settings!$B$9,0)+N($I754)*Settings!$B$9,IF($D754="Deep clean",INDEX(Settings!$E$22:$E$26,MATCH(MIN(INDEX(Properties!$E$5:$E$104,MATCH($B754,Properties!$A$5:$A$104,0)),4),Settings!$A$22:$A$26,0))*Settings!$B$19+N($I754)*Settings!$B$9,IF($D754="Late cancel",INDEX(Properties!$L$5:$L$104,MATCH($B754,Properties!$A$5:$A$104,0))*Settings!$B$11,0))),0))</f>
        <v/>
      </c>
      <c r="P754" s="28" t="str">
        <f aca="false">IF($B754="","",$N754-$O754)</f>
        <v/>
      </c>
      <c r="Q754" s="29" t="str">
        <f aca="false">IF($A754="","",DATE(YEAR($A754),MONTH($A754),1))</f>
        <v/>
      </c>
      <c r="R754" s="30" t="str">
        <f aca="false">IF($A754="","",$A754+MOD(6-WEEKDAY($A754),7))</f>
        <v/>
      </c>
      <c r="S754" s="31" t="str">
        <f aca="false">IF($B754="","",IF(AND($M754='Invoice Builder'!$C$5,$Q754='Invoice Builder'!$C$6,N($N754)&gt;0),COUNTIFS($M$5:$M754,'Invoice Builder'!$C$5,$Q$5:$Q754,'Invoice Builder'!$C$6,$N$5:$N754,"&gt;0"),""))</f>
        <v/>
      </c>
      <c r="T754" s="27" t="str">
        <f aca="false">IF($A754="","",IF($A754&gt;=DATE(YEAR($A754),4,6),YEAR($A754)&amp;"/"&amp;RIGHT(YEAR($A754)+1,2),YEAR($A754)-1&amp;"/"&amp;RIGHT(YEAR($A754),2)))</f>
        <v/>
      </c>
    </row>
    <row r="755" customFormat="false" ht="15" hidden="false" customHeight="false" outlineLevel="0" collapsed="false">
      <c r="A755" s="22"/>
      <c r="B755" s="23"/>
      <c r="C755" s="23"/>
      <c r="D755" s="23"/>
      <c r="E755" s="24"/>
      <c r="F755" s="24"/>
      <c r="G755" s="23"/>
      <c r="H755" s="23"/>
      <c r="I755" s="25"/>
      <c r="J755" s="23"/>
      <c r="K755" s="23"/>
      <c r="L755" s="26" t="str">
        <f aca="false">IF(OR($E755="",$F755=""),"",MOD($F755-$E755,1)*24)</f>
        <v/>
      </c>
      <c r="M755" s="27" t="str">
        <f aca="false">IF($B755="","",IFERROR(INDEX(Properties!$D$5:$D$104,MATCH($B755,Properties!$A$5:$A$104,0)),"?"))</f>
        <v/>
      </c>
      <c r="N755" s="28" t="str">
        <f aca="false">IF($B755="","",IFERROR(IF($D755="Completed",INDEX(Properties!$I$5:$I$104,MATCH($B755,Properties!$A$5:$A$104,0))*(1+IF($G755="Y",Settings!$B$8,0))+IF($H755="Y",Settings!$B$7,0)+N($I755),IF($D755="Deep clean",INDEX(Settings!$E$22:$E$26,MATCH(MIN(INDEX(Properties!$E$5:$E$104,MATCH($B755,Properties!$A$5:$A$104,0)),4),Settings!$A$22:$A$26,0))+N($I755),IF($D755="Late cancel",INDEX(Properties!$I$5:$I$104,MATCH($B755,Properties!$A$5:$A$104,0))*Settings!$B$10,0))),0))</f>
        <v/>
      </c>
      <c r="O755" s="28" t="str">
        <f aca="false">IF($B755="","",IFERROR(IF($D755="Completed",INDEX(Properties!$L$5:$L$104,MATCH($B755,Properties!$A$5:$A$104,0))+IF($G755="Y",INDEX(Properties!$I$5:$I$104,MATCH($B755,Properties!$A$5:$A$104,0))*Settings!$B$8*Settings!$B$9,0)+IF($H755="Y",Settings!$B$7*Settings!$B$9,0)+N($I755)*Settings!$B$9,IF($D755="Deep clean",INDEX(Settings!$E$22:$E$26,MATCH(MIN(INDEX(Properties!$E$5:$E$104,MATCH($B755,Properties!$A$5:$A$104,0)),4),Settings!$A$22:$A$26,0))*Settings!$B$19+N($I755)*Settings!$B$9,IF($D755="Late cancel",INDEX(Properties!$L$5:$L$104,MATCH($B755,Properties!$A$5:$A$104,0))*Settings!$B$11,0))),0))</f>
        <v/>
      </c>
      <c r="P755" s="28" t="str">
        <f aca="false">IF($B755="","",$N755-$O755)</f>
        <v/>
      </c>
      <c r="Q755" s="29" t="str">
        <f aca="false">IF($A755="","",DATE(YEAR($A755),MONTH($A755),1))</f>
        <v/>
      </c>
      <c r="R755" s="30" t="str">
        <f aca="false">IF($A755="","",$A755+MOD(6-WEEKDAY($A755),7))</f>
        <v/>
      </c>
      <c r="S755" s="31" t="str">
        <f aca="false">IF($B755="","",IF(AND($M755='Invoice Builder'!$C$5,$Q755='Invoice Builder'!$C$6,N($N755)&gt;0),COUNTIFS($M$5:$M755,'Invoice Builder'!$C$5,$Q$5:$Q755,'Invoice Builder'!$C$6,$N$5:$N755,"&gt;0"),""))</f>
        <v/>
      </c>
      <c r="T755" s="27" t="str">
        <f aca="false">IF($A755="","",IF($A755&gt;=DATE(YEAR($A755),4,6),YEAR($A755)&amp;"/"&amp;RIGHT(YEAR($A755)+1,2),YEAR($A755)-1&amp;"/"&amp;RIGHT(YEAR($A755),2)))</f>
        <v/>
      </c>
    </row>
    <row r="756" customFormat="false" ht="15" hidden="false" customHeight="false" outlineLevel="0" collapsed="false">
      <c r="A756" s="22"/>
      <c r="B756" s="23"/>
      <c r="C756" s="23"/>
      <c r="D756" s="23"/>
      <c r="E756" s="24"/>
      <c r="F756" s="24"/>
      <c r="G756" s="23"/>
      <c r="H756" s="23"/>
      <c r="I756" s="25"/>
      <c r="J756" s="23"/>
      <c r="K756" s="23"/>
      <c r="L756" s="26" t="str">
        <f aca="false">IF(OR($E756="",$F756=""),"",MOD($F756-$E756,1)*24)</f>
        <v/>
      </c>
      <c r="M756" s="27" t="str">
        <f aca="false">IF($B756="","",IFERROR(INDEX(Properties!$D$5:$D$104,MATCH($B756,Properties!$A$5:$A$104,0)),"?"))</f>
        <v/>
      </c>
      <c r="N756" s="28" t="str">
        <f aca="false">IF($B756="","",IFERROR(IF($D756="Completed",INDEX(Properties!$I$5:$I$104,MATCH($B756,Properties!$A$5:$A$104,0))*(1+IF($G756="Y",Settings!$B$8,0))+IF($H756="Y",Settings!$B$7,0)+N($I756),IF($D756="Deep clean",INDEX(Settings!$E$22:$E$26,MATCH(MIN(INDEX(Properties!$E$5:$E$104,MATCH($B756,Properties!$A$5:$A$104,0)),4),Settings!$A$22:$A$26,0))+N($I756),IF($D756="Late cancel",INDEX(Properties!$I$5:$I$104,MATCH($B756,Properties!$A$5:$A$104,0))*Settings!$B$10,0))),0))</f>
        <v/>
      </c>
      <c r="O756" s="28" t="str">
        <f aca="false">IF($B756="","",IFERROR(IF($D756="Completed",INDEX(Properties!$L$5:$L$104,MATCH($B756,Properties!$A$5:$A$104,0))+IF($G756="Y",INDEX(Properties!$I$5:$I$104,MATCH($B756,Properties!$A$5:$A$104,0))*Settings!$B$8*Settings!$B$9,0)+IF($H756="Y",Settings!$B$7*Settings!$B$9,0)+N($I756)*Settings!$B$9,IF($D756="Deep clean",INDEX(Settings!$E$22:$E$26,MATCH(MIN(INDEX(Properties!$E$5:$E$104,MATCH($B756,Properties!$A$5:$A$104,0)),4),Settings!$A$22:$A$26,0))*Settings!$B$19+N($I756)*Settings!$B$9,IF($D756="Late cancel",INDEX(Properties!$L$5:$L$104,MATCH($B756,Properties!$A$5:$A$104,0))*Settings!$B$11,0))),0))</f>
        <v/>
      </c>
      <c r="P756" s="28" t="str">
        <f aca="false">IF($B756="","",$N756-$O756)</f>
        <v/>
      </c>
      <c r="Q756" s="29" t="str">
        <f aca="false">IF($A756="","",DATE(YEAR($A756),MONTH($A756),1))</f>
        <v/>
      </c>
      <c r="R756" s="30" t="str">
        <f aca="false">IF($A756="","",$A756+MOD(6-WEEKDAY($A756),7))</f>
        <v/>
      </c>
      <c r="S756" s="31" t="str">
        <f aca="false">IF($B756="","",IF(AND($M756='Invoice Builder'!$C$5,$Q756='Invoice Builder'!$C$6,N($N756)&gt;0),COUNTIFS($M$5:$M756,'Invoice Builder'!$C$5,$Q$5:$Q756,'Invoice Builder'!$C$6,$N$5:$N756,"&gt;0"),""))</f>
        <v/>
      </c>
      <c r="T756" s="27" t="str">
        <f aca="false">IF($A756="","",IF($A756&gt;=DATE(YEAR($A756),4,6),YEAR($A756)&amp;"/"&amp;RIGHT(YEAR($A756)+1,2),YEAR($A756)-1&amp;"/"&amp;RIGHT(YEAR($A756),2)))</f>
        <v/>
      </c>
    </row>
    <row r="757" customFormat="false" ht="15" hidden="false" customHeight="false" outlineLevel="0" collapsed="false">
      <c r="A757" s="22"/>
      <c r="B757" s="23"/>
      <c r="C757" s="23"/>
      <c r="D757" s="23"/>
      <c r="E757" s="24"/>
      <c r="F757" s="24"/>
      <c r="G757" s="23"/>
      <c r="H757" s="23"/>
      <c r="I757" s="25"/>
      <c r="J757" s="23"/>
      <c r="K757" s="23"/>
      <c r="L757" s="26" t="str">
        <f aca="false">IF(OR($E757="",$F757=""),"",MOD($F757-$E757,1)*24)</f>
        <v/>
      </c>
      <c r="M757" s="27" t="str">
        <f aca="false">IF($B757="","",IFERROR(INDEX(Properties!$D$5:$D$104,MATCH($B757,Properties!$A$5:$A$104,0)),"?"))</f>
        <v/>
      </c>
      <c r="N757" s="28" t="str">
        <f aca="false">IF($B757="","",IFERROR(IF($D757="Completed",INDEX(Properties!$I$5:$I$104,MATCH($B757,Properties!$A$5:$A$104,0))*(1+IF($G757="Y",Settings!$B$8,0))+IF($H757="Y",Settings!$B$7,0)+N($I757),IF($D757="Deep clean",INDEX(Settings!$E$22:$E$26,MATCH(MIN(INDEX(Properties!$E$5:$E$104,MATCH($B757,Properties!$A$5:$A$104,0)),4),Settings!$A$22:$A$26,0))+N($I757),IF($D757="Late cancel",INDEX(Properties!$I$5:$I$104,MATCH($B757,Properties!$A$5:$A$104,0))*Settings!$B$10,0))),0))</f>
        <v/>
      </c>
      <c r="O757" s="28" t="str">
        <f aca="false">IF($B757="","",IFERROR(IF($D757="Completed",INDEX(Properties!$L$5:$L$104,MATCH($B757,Properties!$A$5:$A$104,0))+IF($G757="Y",INDEX(Properties!$I$5:$I$104,MATCH($B757,Properties!$A$5:$A$104,0))*Settings!$B$8*Settings!$B$9,0)+IF($H757="Y",Settings!$B$7*Settings!$B$9,0)+N($I757)*Settings!$B$9,IF($D757="Deep clean",INDEX(Settings!$E$22:$E$26,MATCH(MIN(INDEX(Properties!$E$5:$E$104,MATCH($B757,Properties!$A$5:$A$104,0)),4),Settings!$A$22:$A$26,0))*Settings!$B$19+N($I757)*Settings!$B$9,IF($D757="Late cancel",INDEX(Properties!$L$5:$L$104,MATCH($B757,Properties!$A$5:$A$104,0))*Settings!$B$11,0))),0))</f>
        <v/>
      </c>
      <c r="P757" s="28" t="str">
        <f aca="false">IF($B757="","",$N757-$O757)</f>
        <v/>
      </c>
      <c r="Q757" s="29" t="str">
        <f aca="false">IF($A757="","",DATE(YEAR($A757),MONTH($A757),1))</f>
        <v/>
      </c>
      <c r="R757" s="30" t="str">
        <f aca="false">IF($A757="","",$A757+MOD(6-WEEKDAY($A757),7))</f>
        <v/>
      </c>
      <c r="S757" s="31" t="str">
        <f aca="false">IF($B757="","",IF(AND($M757='Invoice Builder'!$C$5,$Q757='Invoice Builder'!$C$6,N($N757)&gt;0),COUNTIFS($M$5:$M757,'Invoice Builder'!$C$5,$Q$5:$Q757,'Invoice Builder'!$C$6,$N$5:$N757,"&gt;0"),""))</f>
        <v/>
      </c>
      <c r="T757" s="27" t="str">
        <f aca="false">IF($A757="","",IF($A757&gt;=DATE(YEAR($A757),4,6),YEAR($A757)&amp;"/"&amp;RIGHT(YEAR($A757)+1,2),YEAR($A757)-1&amp;"/"&amp;RIGHT(YEAR($A757),2)))</f>
        <v/>
      </c>
    </row>
    <row r="758" customFormat="false" ht="15" hidden="false" customHeight="false" outlineLevel="0" collapsed="false">
      <c r="A758" s="22"/>
      <c r="B758" s="23"/>
      <c r="C758" s="23"/>
      <c r="D758" s="23"/>
      <c r="E758" s="24"/>
      <c r="F758" s="24"/>
      <c r="G758" s="23"/>
      <c r="H758" s="23"/>
      <c r="I758" s="25"/>
      <c r="J758" s="23"/>
      <c r="K758" s="23"/>
      <c r="L758" s="26" t="str">
        <f aca="false">IF(OR($E758="",$F758=""),"",MOD($F758-$E758,1)*24)</f>
        <v/>
      </c>
      <c r="M758" s="27" t="str">
        <f aca="false">IF($B758="","",IFERROR(INDEX(Properties!$D$5:$D$104,MATCH($B758,Properties!$A$5:$A$104,0)),"?"))</f>
        <v/>
      </c>
      <c r="N758" s="28" t="str">
        <f aca="false">IF($B758="","",IFERROR(IF($D758="Completed",INDEX(Properties!$I$5:$I$104,MATCH($B758,Properties!$A$5:$A$104,0))*(1+IF($G758="Y",Settings!$B$8,0))+IF($H758="Y",Settings!$B$7,0)+N($I758),IF($D758="Deep clean",INDEX(Settings!$E$22:$E$26,MATCH(MIN(INDEX(Properties!$E$5:$E$104,MATCH($B758,Properties!$A$5:$A$104,0)),4),Settings!$A$22:$A$26,0))+N($I758),IF($D758="Late cancel",INDEX(Properties!$I$5:$I$104,MATCH($B758,Properties!$A$5:$A$104,0))*Settings!$B$10,0))),0))</f>
        <v/>
      </c>
      <c r="O758" s="28" t="str">
        <f aca="false">IF($B758="","",IFERROR(IF($D758="Completed",INDEX(Properties!$L$5:$L$104,MATCH($B758,Properties!$A$5:$A$104,0))+IF($G758="Y",INDEX(Properties!$I$5:$I$104,MATCH($B758,Properties!$A$5:$A$104,0))*Settings!$B$8*Settings!$B$9,0)+IF($H758="Y",Settings!$B$7*Settings!$B$9,0)+N($I758)*Settings!$B$9,IF($D758="Deep clean",INDEX(Settings!$E$22:$E$26,MATCH(MIN(INDEX(Properties!$E$5:$E$104,MATCH($B758,Properties!$A$5:$A$104,0)),4),Settings!$A$22:$A$26,0))*Settings!$B$19+N($I758)*Settings!$B$9,IF($D758="Late cancel",INDEX(Properties!$L$5:$L$104,MATCH($B758,Properties!$A$5:$A$104,0))*Settings!$B$11,0))),0))</f>
        <v/>
      </c>
      <c r="P758" s="28" t="str">
        <f aca="false">IF($B758="","",$N758-$O758)</f>
        <v/>
      </c>
      <c r="Q758" s="29" t="str">
        <f aca="false">IF($A758="","",DATE(YEAR($A758),MONTH($A758),1))</f>
        <v/>
      </c>
      <c r="R758" s="30" t="str">
        <f aca="false">IF($A758="","",$A758+MOD(6-WEEKDAY($A758),7))</f>
        <v/>
      </c>
      <c r="S758" s="31" t="str">
        <f aca="false">IF($B758="","",IF(AND($M758='Invoice Builder'!$C$5,$Q758='Invoice Builder'!$C$6,N($N758)&gt;0),COUNTIFS($M$5:$M758,'Invoice Builder'!$C$5,$Q$5:$Q758,'Invoice Builder'!$C$6,$N$5:$N758,"&gt;0"),""))</f>
        <v/>
      </c>
      <c r="T758" s="27" t="str">
        <f aca="false">IF($A758="","",IF($A758&gt;=DATE(YEAR($A758),4,6),YEAR($A758)&amp;"/"&amp;RIGHT(YEAR($A758)+1,2),YEAR($A758)-1&amp;"/"&amp;RIGHT(YEAR($A758),2)))</f>
        <v/>
      </c>
    </row>
    <row r="759" customFormat="false" ht="15" hidden="false" customHeight="false" outlineLevel="0" collapsed="false">
      <c r="A759" s="22"/>
      <c r="B759" s="23"/>
      <c r="C759" s="23"/>
      <c r="D759" s="23"/>
      <c r="E759" s="24"/>
      <c r="F759" s="24"/>
      <c r="G759" s="23"/>
      <c r="H759" s="23"/>
      <c r="I759" s="25"/>
      <c r="J759" s="23"/>
      <c r="K759" s="23"/>
      <c r="L759" s="26" t="str">
        <f aca="false">IF(OR($E759="",$F759=""),"",MOD($F759-$E759,1)*24)</f>
        <v/>
      </c>
      <c r="M759" s="27" t="str">
        <f aca="false">IF($B759="","",IFERROR(INDEX(Properties!$D$5:$D$104,MATCH($B759,Properties!$A$5:$A$104,0)),"?"))</f>
        <v/>
      </c>
      <c r="N759" s="28" t="str">
        <f aca="false">IF($B759="","",IFERROR(IF($D759="Completed",INDEX(Properties!$I$5:$I$104,MATCH($B759,Properties!$A$5:$A$104,0))*(1+IF($G759="Y",Settings!$B$8,0))+IF($H759="Y",Settings!$B$7,0)+N($I759),IF($D759="Deep clean",INDEX(Settings!$E$22:$E$26,MATCH(MIN(INDEX(Properties!$E$5:$E$104,MATCH($B759,Properties!$A$5:$A$104,0)),4),Settings!$A$22:$A$26,0))+N($I759),IF($D759="Late cancel",INDEX(Properties!$I$5:$I$104,MATCH($B759,Properties!$A$5:$A$104,0))*Settings!$B$10,0))),0))</f>
        <v/>
      </c>
      <c r="O759" s="28" t="str">
        <f aca="false">IF($B759="","",IFERROR(IF($D759="Completed",INDEX(Properties!$L$5:$L$104,MATCH($B759,Properties!$A$5:$A$104,0))+IF($G759="Y",INDEX(Properties!$I$5:$I$104,MATCH($B759,Properties!$A$5:$A$104,0))*Settings!$B$8*Settings!$B$9,0)+IF($H759="Y",Settings!$B$7*Settings!$B$9,0)+N($I759)*Settings!$B$9,IF($D759="Deep clean",INDEX(Settings!$E$22:$E$26,MATCH(MIN(INDEX(Properties!$E$5:$E$104,MATCH($B759,Properties!$A$5:$A$104,0)),4),Settings!$A$22:$A$26,0))*Settings!$B$19+N($I759)*Settings!$B$9,IF($D759="Late cancel",INDEX(Properties!$L$5:$L$104,MATCH($B759,Properties!$A$5:$A$104,0))*Settings!$B$11,0))),0))</f>
        <v/>
      </c>
      <c r="P759" s="28" t="str">
        <f aca="false">IF($B759="","",$N759-$O759)</f>
        <v/>
      </c>
      <c r="Q759" s="29" t="str">
        <f aca="false">IF($A759="","",DATE(YEAR($A759),MONTH($A759),1))</f>
        <v/>
      </c>
      <c r="R759" s="30" t="str">
        <f aca="false">IF($A759="","",$A759+MOD(6-WEEKDAY($A759),7))</f>
        <v/>
      </c>
      <c r="S759" s="31" t="str">
        <f aca="false">IF($B759="","",IF(AND($M759='Invoice Builder'!$C$5,$Q759='Invoice Builder'!$C$6,N($N759)&gt;0),COUNTIFS($M$5:$M759,'Invoice Builder'!$C$5,$Q$5:$Q759,'Invoice Builder'!$C$6,$N$5:$N759,"&gt;0"),""))</f>
        <v/>
      </c>
      <c r="T759" s="27" t="str">
        <f aca="false">IF($A759="","",IF($A759&gt;=DATE(YEAR($A759),4,6),YEAR($A759)&amp;"/"&amp;RIGHT(YEAR($A759)+1,2),YEAR($A759)-1&amp;"/"&amp;RIGHT(YEAR($A759),2)))</f>
        <v/>
      </c>
    </row>
    <row r="760" customFormat="false" ht="15" hidden="false" customHeight="false" outlineLevel="0" collapsed="false">
      <c r="A760" s="22"/>
      <c r="B760" s="23"/>
      <c r="C760" s="23"/>
      <c r="D760" s="23"/>
      <c r="E760" s="24"/>
      <c r="F760" s="24"/>
      <c r="G760" s="23"/>
      <c r="H760" s="23"/>
      <c r="I760" s="25"/>
      <c r="J760" s="23"/>
      <c r="K760" s="23"/>
      <c r="L760" s="26" t="str">
        <f aca="false">IF(OR($E760="",$F760=""),"",MOD($F760-$E760,1)*24)</f>
        <v/>
      </c>
      <c r="M760" s="27" t="str">
        <f aca="false">IF($B760="","",IFERROR(INDEX(Properties!$D$5:$D$104,MATCH($B760,Properties!$A$5:$A$104,0)),"?"))</f>
        <v/>
      </c>
      <c r="N760" s="28" t="str">
        <f aca="false">IF($B760="","",IFERROR(IF($D760="Completed",INDEX(Properties!$I$5:$I$104,MATCH($B760,Properties!$A$5:$A$104,0))*(1+IF($G760="Y",Settings!$B$8,0))+IF($H760="Y",Settings!$B$7,0)+N($I760),IF($D760="Deep clean",INDEX(Settings!$E$22:$E$26,MATCH(MIN(INDEX(Properties!$E$5:$E$104,MATCH($B760,Properties!$A$5:$A$104,0)),4),Settings!$A$22:$A$26,0))+N($I760),IF($D760="Late cancel",INDEX(Properties!$I$5:$I$104,MATCH($B760,Properties!$A$5:$A$104,0))*Settings!$B$10,0))),0))</f>
        <v/>
      </c>
      <c r="O760" s="28" t="str">
        <f aca="false">IF($B760="","",IFERROR(IF($D760="Completed",INDEX(Properties!$L$5:$L$104,MATCH($B760,Properties!$A$5:$A$104,0))+IF($G760="Y",INDEX(Properties!$I$5:$I$104,MATCH($B760,Properties!$A$5:$A$104,0))*Settings!$B$8*Settings!$B$9,0)+IF($H760="Y",Settings!$B$7*Settings!$B$9,0)+N($I760)*Settings!$B$9,IF($D760="Deep clean",INDEX(Settings!$E$22:$E$26,MATCH(MIN(INDEX(Properties!$E$5:$E$104,MATCH($B760,Properties!$A$5:$A$104,0)),4),Settings!$A$22:$A$26,0))*Settings!$B$19+N($I760)*Settings!$B$9,IF($D760="Late cancel",INDEX(Properties!$L$5:$L$104,MATCH($B760,Properties!$A$5:$A$104,0))*Settings!$B$11,0))),0))</f>
        <v/>
      </c>
      <c r="P760" s="28" t="str">
        <f aca="false">IF($B760="","",$N760-$O760)</f>
        <v/>
      </c>
      <c r="Q760" s="29" t="str">
        <f aca="false">IF($A760="","",DATE(YEAR($A760),MONTH($A760),1))</f>
        <v/>
      </c>
      <c r="R760" s="30" t="str">
        <f aca="false">IF($A760="","",$A760+MOD(6-WEEKDAY($A760),7))</f>
        <v/>
      </c>
      <c r="S760" s="31" t="str">
        <f aca="false">IF($B760="","",IF(AND($M760='Invoice Builder'!$C$5,$Q760='Invoice Builder'!$C$6,N($N760)&gt;0),COUNTIFS($M$5:$M760,'Invoice Builder'!$C$5,$Q$5:$Q760,'Invoice Builder'!$C$6,$N$5:$N760,"&gt;0"),""))</f>
        <v/>
      </c>
      <c r="T760" s="27" t="str">
        <f aca="false">IF($A760="","",IF($A760&gt;=DATE(YEAR($A760),4,6),YEAR($A760)&amp;"/"&amp;RIGHT(YEAR($A760)+1,2),YEAR($A760)-1&amp;"/"&amp;RIGHT(YEAR($A760),2)))</f>
        <v/>
      </c>
    </row>
    <row r="761" customFormat="false" ht="15" hidden="false" customHeight="false" outlineLevel="0" collapsed="false">
      <c r="A761" s="22"/>
      <c r="B761" s="23"/>
      <c r="C761" s="23"/>
      <c r="D761" s="23"/>
      <c r="E761" s="24"/>
      <c r="F761" s="24"/>
      <c r="G761" s="23"/>
      <c r="H761" s="23"/>
      <c r="I761" s="25"/>
      <c r="J761" s="23"/>
      <c r="K761" s="23"/>
      <c r="L761" s="26" t="str">
        <f aca="false">IF(OR($E761="",$F761=""),"",MOD($F761-$E761,1)*24)</f>
        <v/>
      </c>
      <c r="M761" s="27" t="str">
        <f aca="false">IF($B761="","",IFERROR(INDEX(Properties!$D$5:$D$104,MATCH($B761,Properties!$A$5:$A$104,0)),"?"))</f>
        <v/>
      </c>
      <c r="N761" s="28" t="str">
        <f aca="false">IF($B761="","",IFERROR(IF($D761="Completed",INDEX(Properties!$I$5:$I$104,MATCH($B761,Properties!$A$5:$A$104,0))*(1+IF($G761="Y",Settings!$B$8,0))+IF($H761="Y",Settings!$B$7,0)+N($I761),IF($D761="Deep clean",INDEX(Settings!$E$22:$E$26,MATCH(MIN(INDEX(Properties!$E$5:$E$104,MATCH($B761,Properties!$A$5:$A$104,0)),4),Settings!$A$22:$A$26,0))+N($I761),IF($D761="Late cancel",INDEX(Properties!$I$5:$I$104,MATCH($B761,Properties!$A$5:$A$104,0))*Settings!$B$10,0))),0))</f>
        <v/>
      </c>
      <c r="O761" s="28" t="str">
        <f aca="false">IF($B761="","",IFERROR(IF($D761="Completed",INDEX(Properties!$L$5:$L$104,MATCH($B761,Properties!$A$5:$A$104,0))+IF($G761="Y",INDEX(Properties!$I$5:$I$104,MATCH($B761,Properties!$A$5:$A$104,0))*Settings!$B$8*Settings!$B$9,0)+IF($H761="Y",Settings!$B$7*Settings!$B$9,0)+N($I761)*Settings!$B$9,IF($D761="Deep clean",INDEX(Settings!$E$22:$E$26,MATCH(MIN(INDEX(Properties!$E$5:$E$104,MATCH($B761,Properties!$A$5:$A$104,0)),4),Settings!$A$22:$A$26,0))*Settings!$B$19+N($I761)*Settings!$B$9,IF($D761="Late cancel",INDEX(Properties!$L$5:$L$104,MATCH($B761,Properties!$A$5:$A$104,0))*Settings!$B$11,0))),0))</f>
        <v/>
      </c>
      <c r="P761" s="28" t="str">
        <f aca="false">IF($B761="","",$N761-$O761)</f>
        <v/>
      </c>
      <c r="Q761" s="29" t="str">
        <f aca="false">IF($A761="","",DATE(YEAR($A761),MONTH($A761),1))</f>
        <v/>
      </c>
      <c r="R761" s="30" t="str">
        <f aca="false">IF($A761="","",$A761+MOD(6-WEEKDAY($A761),7))</f>
        <v/>
      </c>
      <c r="S761" s="31" t="str">
        <f aca="false">IF($B761="","",IF(AND($M761='Invoice Builder'!$C$5,$Q761='Invoice Builder'!$C$6,N($N761)&gt;0),COUNTIFS($M$5:$M761,'Invoice Builder'!$C$5,$Q$5:$Q761,'Invoice Builder'!$C$6,$N$5:$N761,"&gt;0"),""))</f>
        <v/>
      </c>
      <c r="T761" s="27" t="str">
        <f aca="false">IF($A761="","",IF($A761&gt;=DATE(YEAR($A761),4,6),YEAR($A761)&amp;"/"&amp;RIGHT(YEAR($A761)+1,2),YEAR($A761)-1&amp;"/"&amp;RIGHT(YEAR($A761),2)))</f>
        <v/>
      </c>
    </row>
    <row r="762" customFormat="false" ht="15" hidden="false" customHeight="false" outlineLevel="0" collapsed="false">
      <c r="A762" s="22"/>
      <c r="B762" s="23"/>
      <c r="C762" s="23"/>
      <c r="D762" s="23"/>
      <c r="E762" s="24"/>
      <c r="F762" s="24"/>
      <c r="G762" s="23"/>
      <c r="H762" s="23"/>
      <c r="I762" s="25"/>
      <c r="J762" s="23"/>
      <c r="K762" s="23"/>
      <c r="L762" s="26" t="str">
        <f aca="false">IF(OR($E762="",$F762=""),"",MOD($F762-$E762,1)*24)</f>
        <v/>
      </c>
      <c r="M762" s="27" t="str">
        <f aca="false">IF($B762="","",IFERROR(INDEX(Properties!$D$5:$D$104,MATCH($B762,Properties!$A$5:$A$104,0)),"?"))</f>
        <v/>
      </c>
      <c r="N762" s="28" t="str">
        <f aca="false">IF($B762="","",IFERROR(IF($D762="Completed",INDEX(Properties!$I$5:$I$104,MATCH($B762,Properties!$A$5:$A$104,0))*(1+IF($G762="Y",Settings!$B$8,0))+IF($H762="Y",Settings!$B$7,0)+N($I762),IF($D762="Deep clean",INDEX(Settings!$E$22:$E$26,MATCH(MIN(INDEX(Properties!$E$5:$E$104,MATCH($B762,Properties!$A$5:$A$104,0)),4),Settings!$A$22:$A$26,0))+N($I762),IF($D762="Late cancel",INDEX(Properties!$I$5:$I$104,MATCH($B762,Properties!$A$5:$A$104,0))*Settings!$B$10,0))),0))</f>
        <v/>
      </c>
      <c r="O762" s="28" t="str">
        <f aca="false">IF($B762="","",IFERROR(IF($D762="Completed",INDEX(Properties!$L$5:$L$104,MATCH($B762,Properties!$A$5:$A$104,0))+IF($G762="Y",INDEX(Properties!$I$5:$I$104,MATCH($B762,Properties!$A$5:$A$104,0))*Settings!$B$8*Settings!$B$9,0)+IF($H762="Y",Settings!$B$7*Settings!$B$9,0)+N($I762)*Settings!$B$9,IF($D762="Deep clean",INDEX(Settings!$E$22:$E$26,MATCH(MIN(INDEX(Properties!$E$5:$E$104,MATCH($B762,Properties!$A$5:$A$104,0)),4),Settings!$A$22:$A$26,0))*Settings!$B$19+N($I762)*Settings!$B$9,IF($D762="Late cancel",INDEX(Properties!$L$5:$L$104,MATCH($B762,Properties!$A$5:$A$104,0))*Settings!$B$11,0))),0))</f>
        <v/>
      </c>
      <c r="P762" s="28" t="str">
        <f aca="false">IF($B762="","",$N762-$O762)</f>
        <v/>
      </c>
      <c r="Q762" s="29" t="str">
        <f aca="false">IF($A762="","",DATE(YEAR($A762),MONTH($A762),1))</f>
        <v/>
      </c>
      <c r="R762" s="30" t="str">
        <f aca="false">IF($A762="","",$A762+MOD(6-WEEKDAY($A762),7))</f>
        <v/>
      </c>
      <c r="S762" s="31" t="str">
        <f aca="false">IF($B762="","",IF(AND($M762='Invoice Builder'!$C$5,$Q762='Invoice Builder'!$C$6,N($N762)&gt;0),COUNTIFS($M$5:$M762,'Invoice Builder'!$C$5,$Q$5:$Q762,'Invoice Builder'!$C$6,$N$5:$N762,"&gt;0"),""))</f>
        <v/>
      </c>
      <c r="T762" s="27" t="str">
        <f aca="false">IF($A762="","",IF($A762&gt;=DATE(YEAR($A762),4,6),YEAR($A762)&amp;"/"&amp;RIGHT(YEAR($A762)+1,2),YEAR($A762)-1&amp;"/"&amp;RIGHT(YEAR($A762),2)))</f>
        <v/>
      </c>
    </row>
    <row r="763" customFormat="false" ht="15" hidden="false" customHeight="false" outlineLevel="0" collapsed="false">
      <c r="A763" s="22"/>
      <c r="B763" s="23"/>
      <c r="C763" s="23"/>
      <c r="D763" s="23"/>
      <c r="E763" s="24"/>
      <c r="F763" s="24"/>
      <c r="G763" s="23"/>
      <c r="H763" s="23"/>
      <c r="I763" s="25"/>
      <c r="J763" s="23"/>
      <c r="K763" s="23"/>
      <c r="L763" s="26" t="str">
        <f aca="false">IF(OR($E763="",$F763=""),"",MOD($F763-$E763,1)*24)</f>
        <v/>
      </c>
      <c r="M763" s="27" t="str">
        <f aca="false">IF($B763="","",IFERROR(INDEX(Properties!$D$5:$D$104,MATCH($B763,Properties!$A$5:$A$104,0)),"?"))</f>
        <v/>
      </c>
      <c r="N763" s="28" t="str">
        <f aca="false">IF($B763="","",IFERROR(IF($D763="Completed",INDEX(Properties!$I$5:$I$104,MATCH($B763,Properties!$A$5:$A$104,0))*(1+IF($G763="Y",Settings!$B$8,0))+IF($H763="Y",Settings!$B$7,0)+N($I763),IF($D763="Deep clean",INDEX(Settings!$E$22:$E$26,MATCH(MIN(INDEX(Properties!$E$5:$E$104,MATCH($B763,Properties!$A$5:$A$104,0)),4),Settings!$A$22:$A$26,0))+N($I763),IF($D763="Late cancel",INDEX(Properties!$I$5:$I$104,MATCH($B763,Properties!$A$5:$A$104,0))*Settings!$B$10,0))),0))</f>
        <v/>
      </c>
      <c r="O763" s="28" t="str">
        <f aca="false">IF($B763="","",IFERROR(IF($D763="Completed",INDEX(Properties!$L$5:$L$104,MATCH($B763,Properties!$A$5:$A$104,0))+IF($G763="Y",INDEX(Properties!$I$5:$I$104,MATCH($B763,Properties!$A$5:$A$104,0))*Settings!$B$8*Settings!$B$9,0)+IF($H763="Y",Settings!$B$7*Settings!$B$9,0)+N($I763)*Settings!$B$9,IF($D763="Deep clean",INDEX(Settings!$E$22:$E$26,MATCH(MIN(INDEX(Properties!$E$5:$E$104,MATCH($B763,Properties!$A$5:$A$104,0)),4),Settings!$A$22:$A$26,0))*Settings!$B$19+N($I763)*Settings!$B$9,IF($D763="Late cancel",INDEX(Properties!$L$5:$L$104,MATCH($B763,Properties!$A$5:$A$104,0))*Settings!$B$11,0))),0))</f>
        <v/>
      </c>
      <c r="P763" s="28" t="str">
        <f aca="false">IF($B763="","",$N763-$O763)</f>
        <v/>
      </c>
      <c r="Q763" s="29" t="str">
        <f aca="false">IF($A763="","",DATE(YEAR($A763),MONTH($A763),1))</f>
        <v/>
      </c>
      <c r="R763" s="30" t="str">
        <f aca="false">IF($A763="","",$A763+MOD(6-WEEKDAY($A763),7))</f>
        <v/>
      </c>
      <c r="S763" s="31" t="str">
        <f aca="false">IF($B763="","",IF(AND($M763='Invoice Builder'!$C$5,$Q763='Invoice Builder'!$C$6,N($N763)&gt;0),COUNTIFS($M$5:$M763,'Invoice Builder'!$C$5,$Q$5:$Q763,'Invoice Builder'!$C$6,$N$5:$N763,"&gt;0"),""))</f>
        <v/>
      </c>
      <c r="T763" s="27" t="str">
        <f aca="false">IF($A763="","",IF($A763&gt;=DATE(YEAR($A763),4,6),YEAR($A763)&amp;"/"&amp;RIGHT(YEAR($A763)+1,2),YEAR($A763)-1&amp;"/"&amp;RIGHT(YEAR($A763),2)))</f>
        <v/>
      </c>
    </row>
    <row r="764" customFormat="false" ht="15" hidden="false" customHeight="false" outlineLevel="0" collapsed="false">
      <c r="A764" s="22"/>
      <c r="B764" s="23"/>
      <c r="C764" s="23"/>
      <c r="D764" s="23"/>
      <c r="E764" s="24"/>
      <c r="F764" s="24"/>
      <c r="G764" s="23"/>
      <c r="H764" s="23"/>
      <c r="I764" s="25"/>
      <c r="J764" s="23"/>
      <c r="K764" s="23"/>
      <c r="L764" s="26" t="str">
        <f aca="false">IF(OR($E764="",$F764=""),"",MOD($F764-$E764,1)*24)</f>
        <v/>
      </c>
      <c r="M764" s="27" t="str">
        <f aca="false">IF($B764="","",IFERROR(INDEX(Properties!$D$5:$D$104,MATCH($B764,Properties!$A$5:$A$104,0)),"?"))</f>
        <v/>
      </c>
      <c r="N764" s="28" t="str">
        <f aca="false">IF($B764="","",IFERROR(IF($D764="Completed",INDEX(Properties!$I$5:$I$104,MATCH($B764,Properties!$A$5:$A$104,0))*(1+IF($G764="Y",Settings!$B$8,0))+IF($H764="Y",Settings!$B$7,0)+N($I764),IF($D764="Deep clean",INDEX(Settings!$E$22:$E$26,MATCH(MIN(INDEX(Properties!$E$5:$E$104,MATCH($B764,Properties!$A$5:$A$104,0)),4),Settings!$A$22:$A$26,0))+N($I764),IF($D764="Late cancel",INDEX(Properties!$I$5:$I$104,MATCH($B764,Properties!$A$5:$A$104,0))*Settings!$B$10,0))),0))</f>
        <v/>
      </c>
      <c r="O764" s="28" t="str">
        <f aca="false">IF($B764="","",IFERROR(IF($D764="Completed",INDEX(Properties!$L$5:$L$104,MATCH($B764,Properties!$A$5:$A$104,0))+IF($G764="Y",INDEX(Properties!$I$5:$I$104,MATCH($B764,Properties!$A$5:$A$104,0))*Settings!$B$8*Settings!$B$9,0)+IF($H764="Y",Settings!$B$7*Settings!$B$9,0)+N($I764)*Settings!$B$9,IF($D764="Deep clean",INDEX(Settings!$E$22:$E$26,MATCH(MIN(INDEX(Properties!$E$5:$E$104,MATCH($B764,Properties!$A$5:$A$104,0)),4),Settings!$A$22:$A$26,0))*Settings!$B$19+N($I764)*Settings!$B$9,IF($D764="Late cancel",INDEX(Properties!$L$5:$L$104,MATCH($B764,Properties!$A$5:$A$104,0))*Settings!$B$11,0))),0))</f>
        <v/>
      </c>
      <c r="P764" s="28" t="str">
        <f aca="false">IF($B764="","",$N764-$O764)</f>
        <v/>
      </c>
      <c r="Q764" s="29" t="str">
        <f aca="false">IF($A764="","",DATE(YEAR($A764),MONTH($A764),1))</f>
        <v/>
      </c>
      <c r="R764" s="30" t="str">
        <f aca="false">IF($A764="","",$A764+MOD(6-WEEKDAY($A764),7))</f>
        <v/>
      </c>
      <c r="S764" s="31" t="str">
        <f aca="false">IF($B764="","",IF(AND($M764='Invoice Builder'!$C$5,$Q764='Invoice Builder'!$C$6,N($N764)&gt;0),COUNTIFS($M$5:$M764,'Invoice Builder'!$C$5,$Q$5:$Q764,'Invoice Builder'!$C$6,$N$5:$N764,"&gt;0"),""))</f>
        <v/>
      </c>
      <c r="T764" s="27" t="str">
        <f aca="false">IF($A764="","",IF($A764&gt;=DATE(YEAR($A764),4,6),YEAR($A764)&amp;"/"&amp;RIGHT(YEAR($A764)+1,2),YEAR($A764)-1&amp;"/"&amp;RIGHT(YEAR($A764),2)))</f>
        <v/>
      </c>
    </row>
    <row r="765" customFormat="false" ht="15" hidden="false" customHeight="false" outlineLevel="0" collapsed="false">
      <c r="A765" s="22"/>
      <c r="B765" s="23"/>
      <c r="C765" s="23"/>
      <c r="D765" s="23"/>
      <c r="E765" s="24"/>
      <c r="F765" s="24"/>
      <c r="G765" s="23"/>
      <c r="H765" s="23"/>
      <c r="I765" s="25"/>
      <c r="J765" s="23"/>
      <c r="K765" s="23"/>
      <c r="L765" s="26" t="str">
        <f aca="false">IF(OR($E765="",$F765=""),"",MOD($F765-$E765,1)*24)</f>
        <v/>
      </c>
      <c r="M765" s="27" t="str">
        <f aca="false">IF($B765="","",IFERROR(INDEX(Properties!$D$5:$D$104,MATCH($B765,Properties!$A$5:$A$104,0)),"?"))</f>
        <v/>
      </c>
      <c r="N765" s="28" t="str">
        <f aca="false">IF($B765="","",IFERROR(IF($D765="Completed",INDEX(Properties!$I$5:$I$104,MATCH($B765,Properties!$A$5:$A$104,0))*(1+IF($G765="Y",Settings!$B$8,0))+IF($H765="Y",Settings!$B$7,0)+N($I765),IF($D765="Deep clean",INDEX(Settings!$E$22:$E$26,MATCH(MIN(INDEX(Properties!$E$5:$E$104,MATCH($B765,Properties!$A$5:$A$104,0)),4),Settings!$A$22:$A$26,0))+N($I765),IF($D765="Late cancel",INDEX(Properties!$I$5:$I$104,MATCH($B765,Properties!$A$5:$A$104,0))*Settings!$B$10,0))),0))</f>
        <v/>
      </c>
      <c r="O765" s="28" t="str">
        <f aca="false">IF($B765="","",IFERROR(IF($D765="Completed",INDEX(Properties!$L$5:$L$104,MATCH($B765,Properties!$A$5:$A$104,0))+IF($G765="Y",INDEX(Properties!$I$5:$I$104,MATCH($B765,Properties!$A$5:$A$104,0))*Settings!$B$8*Settings!$B$9,0)+IF($H765="Y",Settings!$B$7*Settings!$B$9,0)+N($I765)*Settings!$B$9,IF($D765="Deep clean",INDEX(Settings!$E$22:$E$26,MATCH(MIN(INDEX(Properties!$E$5:$E$104,MATCH($B765,Properties!$A$5:$A$104,0)),4),Settings!$A$22:$A$26,0))*Settings!$B$19+N($I765)*Settings!$B$9,IF($D765="Late cancel",INDEX(Properties!$L$5:$L$104,MATCH($B765,Properties!$A$5:$A$104,0))*Settings!$B$11,0))),0))</f>
        <v/>
      </c>
      <c r="P765" s="28" t="str">
        <f aca="false">IF($B765="","",$N765-$O765)</f>
        <v/>
      </c>
      <c r="Q765" s="29" t="str">
        <f aca="false">IF($A765="","",DATE(YEAR($A765),MONTH($A765),1))</f>
        <v/>
      </c>
      <c r="R765" s="30" t="str">
        <f aca="false">IF($A765="","",$A765+MOD(6-WEEKDAY($A765),7))</f>
        <v/>
      </c>
      <c r="S765" s="31" t="str">
        <f aca="false">IF($B765="","",IF(AND($M765='Invoice Builder'!$C$5,$Q765='Invoice Builder'!$C$6,N($N765)&gt;0),COUNTIFS($M$5:$M765,'Invoice Builder'!$C$5,$Q$5:$Q765,'Invoice Builder'!$C$6,$N$5:$N765,"&gt;0"),""))</f>
        <v/>
      </c>
      <c r="T765" s="27" t="str">
        <f aca="false">IF($A765="","",IF($A765&gt;=DATE(YEAR($A765),4,6),YEAR($A765)&amp;"/"&amp;RIGHT(YEAR($A765)+1,2),YEAR($A765)-1&amp;"/"&amp;RIGHT(YEAR($A765),2)))</f>
        <v/>
      </c>
    </row>
    <row r="766" customFormat="false" ht="15" hidden="false" customHeight="false" outlineLevel="0" collapsed="false">
      <c r="A766" s="22"/>
      <c r="B766" s="23"/>
      <c r="C766" s="23"/>
      <c r="D766" s="23"/>
      <c r="E766" s="24"/>
      <c r="F766" s="24"/>
      <c r="G766" s="23"/>
      <c r="H766" s="23"/>
      <c r="I766" s="25"/>
      <c r="J766" s="23"/>
      <c r="K766" s="23"/>
      <c r="L766" s="26" t="str">
        <f aca="false">IF(OR($E766="",$F766=""),"",MOD($F766-$E766,1)*24)</f>
        <v/>
      </c>
      <c r="M766" s="27" t="str">
        <f aca="false">IF($B766="","",IFERROR(INDEX(Properties!$D$5:$D$104,MATCH($B766,Properties!$A$5:$A$104,0)),"?"))</f>
        <v/>
      </c>
      <c r="N766" s="28" t="str">
        <f aca="false">IF($B766="","",IFERROR(IF($D766="Completed",INDEX(Properties!$I$5:$I$104,MATCH($B766,Properties!$A$5:$A$104,0))*(1+IF($G766="Y",Settings!$B$8,0))+IF($H766="Y",Settings!$B$7,0)+N($I766),IF($D766="Deep clean",INDEX(Settings!$E$22:$E$26,MATCH(MIN(INDEX(Properties!$E$5:$E$104,MATCH($B766,Properties!$A$5:$A$104,0)),4),Settings!$A$22:$A$26,0))+N($I766),IF($D766="Late cancel",INDEX(Properties!$I$5:$I$104,MATCH($B766,Properties!$A$5:$A$104,0))*Settings!$B$10,0))),0))</f>
        <v/>
      </c>
      <c r="O766" s="28" t="str">
        <f aca="false">IF($B766="","",IFERROR(IF($D766="Completed",INDEX(Properties!$L$5:$L$104,MATCH($B766,Properties!$A$5:$A$104,0))+IF($G766="Y",INDEX(Properties!$I$5:$I$104,MATCH($B766,Properties!$A$5:$A$104,0))*Settings!$B$8*Settings!$B$9,0)+IF($H766="Y",Settings!$B$7*Settings!$B$9,0)+N($I766)*Settings!$B$9,IF($D766="Deep clean",INDEX(Settings!$E$22:$E$26,MATCH(MIN(INDEX(Properties!$E$5:$E$104,MATCH($B766,Properties!$A$5:$A$104,0)),4),Settings!$A$22:$A$26,0))*Settings!$B$19+N($I766)*Settings!$B$9,IF($D766="Late cancel",INDEX(Properties!$L$5:$L$104,MATCH($B766,Properties!$A$5:$A$104,0))*Settings!$B$11,0))),0))</f>
        <v/>
      </c>
      <c r="P766" s="28" t="str">
        <f aca="false">IF($B766="","",$N766-$O766)</f>
        <v/>
      </c>
      <c r="Q766" s="29" t="str">
        <f aca="false">IF($A766="","",DATE(YEAR($A766),MONTH($A766),1))</f>
        <v/>
      </c>
      <c r="R766" s="30" t="str">
        <f aca="false">IF($A766="","",$A766+MOD(6-WEEKDAY($A766),7))</f>
        <v/>
      </c>
      <c r="S766" s="31" t="str">
        <f aca="false">IF($B766="","",IF(AND($M766='Invoice Builder'!$C$5,$Q766='Invoice Builder'!$C$6,N($N766)&gt;0),COUNTIFS($M$5:$M766,'Invoice Builder'!$C$5,$Q$5:$Q766,'Invoice Builder'!$C$6,$N$5:$N766,"&gt;0"),""))</f>
        <v/>
      </c>
      <c r="T766" s="27" t="str">
        <f aca="false">IF($A766="","",IF($A766&gt;=DATE(YEAR($A766),4,6),YEAR($A766)&amp;"/"&amp;RIGHT(YEAR($A766)+1,2),YEAR($A766)-1&amp;"/"&amp;RIGHT(YEAR($A766),2)))</f>
        <v/>
      </c>
    </row>
    <row r="767" customFormat="false" ht="15" hidden="false" customHeight="false" outlineLevel="0" collapsed="false">
      <c r="A767" s="22"/>
      <c r="B767" s="23"/>
      <c r="C767" s="23"/>
      <c r="D767" s="23"/>
      <c r="E767" s="24"/>
      <c r="F767" s="24"/>
      <c r="G767" s="23"/>
      <c r="H767" s="23"/>
      <c r="I767" s="25"/>
      <c r="J767" s="23"/>
      <c r="K767" s="23"/>
      <c r="L767" s="26" t="str">
        <f aca="false">IF(OR($E767="",$F767=""),"",MOD($F767-$E767,1)*24)</f>
        <v/>
      </c>
      <c r="M767" s="27" t="str">
        <f aca="false">IF($B767="","",IFERROR(INDEX(Properties!$D$5:$D$104,MATCH($B767,Properties!$A$5:$A$104,0)),"?"))</f>
        <v/>
      </c>
      <c r="N767" s="28" t="str">
        <f aca="false">IF($B767="","",IFERROR(IF($D767="Completed",INDEX(Properties!$I$5:$I$104,MATCH($B767,Properties!$A$5:$A$104,0))*(1+IF($G767="Y",Settings!$B$8,0))+IF($H767="Y",Settings!$B$7,0)+N($I767),IF($D767="Deep clean",INDEX(Settings!$E$22:$E$26,MATCH(MIN(INDEX(Properties!$E$5:$E$104,MATCH($B767,Properties!$A$5:$A$104,0)),4),Settings!$A$22:$A$26,0))+N($I767),IF($D767="Late cancel",INDEX(Properties!$I$5:$I$104,MATCH($B767,Properties!$A$5:$A$104,0))*Settings!$B$10,0))),0))</f>
        <v/>
      </c>
      <c r="O767" s="28" t="str">
        <f aca="false">IF($B767="","",IFERROR(IF($D767="Completed",INDEX(Properties!$L$5:$L$104,MATCH($B767,Properties!$A$5:$A$104,0))+IF($G767="Y",INDEX(Properties!$I$5:$I$104,MATCH($B767,Properties!$A$5:$A$104,0))*Settings!$B$8*Settings!$B$9,0)+IF($H767="Y",Settings!$B$7*Settings!$B$9,0)+N($I767)*Settings!$B$9,IF($D767="Deep clean",INDEX(Settings!$E$22:$E$26,MATCH(MIN(INDEX(Properties!$E$5:$E$104,MATCH($B767,Properties!$A$5:$A$104,0)),4),Settings!$A$22:$A$26,0))*Settings!$B$19+N($I767)*Settings!$B$9,IF($D767="Late cancel",INDEX(Properties!$L$5:$L$104,MATCH($B767,Properties!$A$5:$A$104,0))*Settings!$B$11,0))),0))</f>
        <v/>
      </c>
      <c r="P767" s="28" t="str">
        <f aca="false">IF($B767="","",$N767-$O767)</f>
        <v/>
      </c>
      <c r="Q767" s="29" t="str">
        <f aca="false">IF($A767="","",DATE(YEAR($A767),MONTH($A767),1))</f>
        <v/>
      </c>
      <c r="R767" s="30" t="str">
        <f aca="false">IF($A767="","",$A767+MOD(6-WEEKDAY($A767),7))</f>
        <v/>
      </c>
      <c r="S767" s="31" t="str">
        <f aca="false">IF($B767="","",IF(AND($M767='Invoice Builder'!$C$5,$Q767='Invoice Builder'!$C$6,N($N767)&gt;0),COUNTIFS($M$5:$M767,'Invoice Builder'!$C$5,$Q$5:$Q767,'Invoice Builder'!$C$6,$N$5:$N767,"&gt;0"),""))</f>
        <v/>
      </c>
      <c r="T767" s="27" t="str">
        <f aca="false">IF($A767="","",IF($A767&gt;=DATE(YEAR($A767),4,6),YEAR($A767)&amp;"/"&amp;RIGHT(YEAR($A767)+1,2),YEAR($A767)-1&amp;"/"&amp;RIGHT(YEAR($A767),2)))</f>
        <v/>
      </c>
    </row>
    <row r="768" customFormat="false" ht="15" hidden="false" customHeight="false" outlineLevel="0" collapsed="false">
      <c r="A768" s="22"/>
      <c r="B768" s="23"/>
      <c r="C768" s="23"/>
      <c r="D768" s="23"/>
      <c r="E768" s="24"/>
      <c r="F768" s="24"/>
      <c r="G768" s="23"/>
      <c r="H768" s="23"/>
      <c r="I768" s="25"/>
      <c r="J768" s="23"/>
      <c r="K768" s="23"/>
      <c r="L768" s="26" t="str">
        <f aca="false">IF(OR($E768="",$F768=""),"",MOD($F768-$E768,1)*24)</f>
        <v/>
      </c>
      <c r="M768" s="27" t="str">
        <f aca="false">IF($B768="","",IFERROR(INDEX(Properties!$D$5:$D$104,MATCH($B768,Properties!$A$5:$A$104,0)),"?"))</f>
        <v/>
      </c>
      <c r="N768" s="28" t="str">
        <f aca="false">IF($B768="","",IFERROR(IF($D768="Completed",INDEX(Properties!$I$5:$I$104,MATCH($B768,Properties!$A$5:$A$104,0))*(1+IF($G768="Y",Settings!$B$8,0))+IF($H768="Y",Settings!$B$7,0)+N($I768),IF($D768="Deep clean",INDEX(Settings!$E$22:$E$26,MATCH(MIN(INDEX(Properties!$E$5:$E$104,MATCH($B768,Properties!$A$5:$A$104,0)),4),Settings!$A$22:$A$26,0))+N($I768),IF($D768="Late cancel",INDEX(Properties!$I$5:$I$104,MATCH($B768,Properties!$A$5:$A$104,0))*Settings!$B$10,0))),0))</f>
        <v/>
      </c>
      <c r="O768" s="28" t="str">
        <f aca="false">IF($B768="","",IFERROR(IF($D768="Completed",INDEX(Properties!$L$5:$L$104,MATCH($B768,Properties!$A$5:$A$104,0))+IF($G768="Y",INDEX(Properties!$I$5:$I$104,MATCH($B768,Properties!$A$5:$A$104,0))*Settings!$B$8*Settings!$B$9,0)+IF($H768="Y",Settings!$B$7*Settings!$B$9,0)+N($I768)*Settings!$B$9,IF($D768="Deep clean",INDEX(Settings!$E$22:$E$26,MATCH(MIN(INDEX(Properties!$E$5:$E$104,MATCH($B768,Properties!$A$5:$A$104,0)),4),Settings!$A$22:$A$26,0))*Settings!$B$19+N($I768)*Settings!$B$9,IF($D768="Late cancel",INDEX(Properties!$L$5:$L$104,MATCH($B768,Properties!$A$5:$A$104,0))*Settings!$B$11,0))),0))</f>
        <v/>
      </c>
      <c r="P768" s="28" t="str">
        <f aca="false">IF($B768="","",$N768-$O768)</f>
        <v/>
      </c>
      <c r="Q768" s="29" t="str">
        <f aca="false">IF($A768="","",DATE(YEAR($A768),MONTH($A768),1))</f>
        <v/>
      </c>
      <c r="R768" s="30" t="str">
        <f aca="false">IF($A768="","",$A768+MOD(6-WEEKDAY($A768),7))</f>
        <v/>
      </c>
      <c r="S768" s="31" t="str">
        <f aca="false">IF($B768="","",IF(AND($M768='Invoice Builder'!$C$5,$Q768='Invoice Builder'!$C$6,N($N768)&gt;0),COUNTIFS($M$5:$M768,'Invoice Builder'!$C$5,$Q$5:$Q768,'Invoice Builder'!$C$6,$N$5:$N768,"&gt;0"),""))</f>
        <v/>
      </c>
      <c r="T768" s="27" t="str">
        <f aca="false">IF($A768="","",IF($A768&gt;=DATE(YEAR($A768),4,6),YEAR($A768)&amp;"/"&amp;RIGHT(YEAR($A768)+1,2),YEAR($A768)-1&amp;"/"&amp;RIGHT(YEAR($A768),2)))</f>
        <v/>
      </c>
    </row>
    <row r="769" customFormat="false" ht="15" hidden="false" customHeight="false" outlineLevel="0" collapsed="false">
      <c r="A769" s="22"/>
      <c r="B769" s="23"/>
      <c r="C769" s="23"/>
      <c r="D769" s="23"/>
      <c r="E769" s="24"/>
      <c r="F769" s="24"/>
      <c r="G769" s="23"/>
      <c r="H769" s="23"/>
      <c r="I769" s="25"/>
      <c r="J769" s="23"/>
      <c r="K769" s="23"/>
      <c r="L769" s="26" t="str">
        <f aca="false">IF(OR($E769="",$F769=""),"",MOD($F769-$E769,1)*24)</f>
        <v/>
      </c>
      <c r="M769" s="27" t="str">
        <f aca="false">IF($B769="","",IFERROR(INDEX(Properties!$D$5:$D$104,MATCH($B769,Properties!$A$5:$A$104,0)),"?"))</f>
        <v/>
      </c>
      <c r="N769" s="28" t="str">
        <f aca="false">IF($B769="","",IFERROR(IF($D769="Completed",INDEX(Properties!$I$5:$I$104,MATCH($B769,Properties!$A$5:$A$104,0))*(1+IF($G769="Y",Settings!$B$8,0))+IF($H769="Y",Settings!$B$7,0)+N($I769),IF($D769="Deep clean",INDEX(Settings!$E$22:$E$26,MATCH(MIN(INDEX(Properties!$E$5:$E$104,MATCH($B769,Properties!$A$5:$A$104,0)),4),Settings!$A$22:$A$26,0))+N($I769),IF($D769="Late cancel",INDEX(Properties!$I$5:$I$104,MATCH($B769,Properties!$A$5:$A$104,0))*Settings!$B$10,0))),0))</f>
        <v/>
      </c>
      <c r="O769" s="28" t="str">
        <f aca="false">IF($B769="","",IFERROR(IF($D769="Completed",INDEX(Properties!$L$5:$L$104,MATCH($B769,Properties!$A$5:$A$104,0))+IF($G769="Y",INDEX(Properties!$I$5:$I$104,MATCH($B769,Properties!$A$5:$A$104,0))*Settings!$B$8*Settings!$B$9,0)+IF($H769="Y",Settings!$B$7*Settings!$B$9,0)+N($I769)*Settings!$B$9,IF($D769="Deep clean",INDEX(Settings!$E$22:$E$26,MATCH(MIN(INDEX(Properties!$E$5:$E$104,MATCH($B769,Properties!$A$5:$A$104,0)),4),Settings!$A$22:$A$26,0))*Settings!$B$19+N($I769)*Settings!$B$9,IF($D769="Late cancel",INDEX(Properties!$L$5:$L$104,MATCH($B769,Properties!$A$5:$A$104,0))*Settings!$B$11,0))),0))</f>
        <v/>
      </c>
      <c r="P769" s="28" t="str">
        <f aca="false">IF($B769="","",$N769-$O769)</f>
        <v/>
      </c>
      <c r="Q769" s="29" t="str">
        <f aca="false">IF($A769="","",DATE(YEAR($A769),MONTH($A769),1))</f>
        <v/>
      </c>
      <c r="R769" s="30" t="str">
        <f aca="false">IF($A769="","",$A769+MOD(6-WEEKDAY($A769),7))</f>
        <v/>
      </c>
      <c r="S769" s="31" t="str">
        <f aca="false">IF($B769="","",IF(AND($M769='Invoice Builder'!$C$5,$Q769='Invoice Builder'!$C$6,N($N769)&gt;0),COUNTIFS($M$5:$M769,'Invoice Builder'!$C$5,$Q$5:$Q769,'Invoice Builder'!$C$6,$N$5:$N769,"&gt;0"),""))</f>
        <v/>
      </c>
      <c r="T769" s="27" t="str">
        <f aca="false">IF($A769="","",IF($A769&gt;=DATE(YEAR($A769),4,6),YEAR($A769)&amp;"/"&amp;RIGHT(YEAR($A769)+1,2),YEAR($A769)-1&amp;"/"&amp;RIGHT(YEAR($A769),2)))</f>
        <v/>
      </c>
    </row>
    <row r="770" customFormat="false" ht="15" hidden="false" customHeight="false" outlineLevel="0" collapsed="false">
      <c r="A770" s="22"/>
      <c r="B770" s="23"/>
      <c r="C770" s="23"/>
      <c r="D770" s="23"/>
      <c r="E770" s="24"/>
      <c r="F770" s="24"/>
      <c r="G770" s="23"/>
      <c r="H770" s="23"/>
      <c r="I770" s="25"/>
      <c r="J770" s="23"/>
      <c r="K770" s="23"/>
      <c r="L770" s="26" t="str">
        <f aca="false">IF(OR($E770="",$F770=""),"",MOD($F770-$E770,1)*24)</f>
        <v/>
      </c>
      <c r="M770" s="27" t="str">
        <f aca="false">IF($B770="","",IFERROR(INDEX(Properties!$D$5:$D$104,MATCH($B770,Properties!$A$5:$A$104,0)),"?"))</f>
        <v/>
      </c>
      <c r="N770" s="28" t="str">
        <f aca="false">IF($B770="","",IFERROR(IF($D770="Completed",INDEX(Properties!$I$5:$I$104,MATCH($B770,Properties!$A$5:$A$104,0))*(1+IF($G770="Y",Settings!$B$8,0))+IF($H770="Y",Settings!$B$7,0)+N($I770),IF($D770="Deep clean",INDEX(Settings!$E$22:$E$26,MATCH(MIN(INDEX(Properties!$E$5:$E$104,MATCH($B770,Properties!$A$5:$A$104,0)),4),Settings!$A$22:$A$26,0))+N($I770),IF($D770="Late cancel",INDEX(Properties!$I$5:$I$104,MATCH($B770,Properties!$A$5:$A$104,0))*Settings!$B$10,0))),0))</f>
        <v/>
      </c>
      <c r="O770" s="28" t="str">
        <f aca="false">IF($B770="","",IFERROR(IF($D770="Completed",INDEX(Properties!$L$5:$L$104,MATCH($B770,Properties!$A$5:$A$104,0))+IF($G770="Y",INDEX(Properties!$I$5:$I$104,MATCH($B770,Properties!$A$5:$A$104,0))*Settings!$B$8*Settings!$B$9,0)+IF($H770="Y",Settings!$B$7*Settings!$B$9,0)+N($I770)*Settings!$B$9,IF($D770="Deep clean",INDEX(Settings!$E$22:$E$26,MATCH(MIN(INDEX(Properties!$E$5:$E$104,MATCH($B770,Properties!$A$5:$A$104,0)),4),Settings!$A$22:$A$26,0))*Settings!$B$19+N($I770)*Settings!$B$9,IF($D770="Late cancel",INDEX(Properties!$L$5:$L$104,MATCH($B770,Properties!$A$5:$A$104,0))*Settings!$B$11,0))),0))</f>
        <v/>
      </c>
      <c r="P770" s="28" t="str">
        <f aca="false">IF($B770="","",$N770-$O770)</f>
        <v/>
      </c>
      <c r="Q770" s="29" t="str">
        <f aca="false">IF($A770="","",DATE(YEAR($A770),MONTH($A770),1))</f>
        <v/>
      </c>
      <c r="R770" s="30" t="str">
        <f aca="false">IF($A770="","",$A770+MOD(6-WEEKDAY($A770),7))</f>
        <v/>
      </c>
      <c r="S770" s="31" t="str">
        <f aca="false">IF($B770="","",IF(AND($M770='Invoice Builder'!$C$5,$Q770='Invoice Builder'!$C$6,N($N770)&gt;0),COUNTIFS($M$5:$M770,'Invoice Builder'!$C$5,$Q$5:$Q770,'Invoice Builder'!$C$6,$N$5:$N770,"&gt;0"),""))</f>
        <v/>
      </c>
      <c r="T770" s="27" t="str">
        <f aca="false">IF($A770="","",IF($A770&gt;=DATE(YEAR($A770),4,6),YEAR($A770)&amp;"/"&amp;RIGHT(YEAR($A770)+1,2),YEAR($A770)-1&amp;"/"&amp;RIGHT(YEAR($A770),2)))</f>
        <v/>
      </c>
    </row>
    <row r="771" customFormat="false" ht="15" hidden="false" customHeight="false" outlineLevel="0" collapsed="false">
      <c r="A771" s="22"/>
      <c r="B771" s="23"/>
      <c r="C771" s="23"/>
      <c r="D771" s="23"/>
      <c r="E771" s="24"/>
      <c r="F771" s="24"/>
      <c r="G771" s="23"/>
      <c r="H771" s="23"/>
      <c r="I771" s="25"/>
      <c r="J771" s="23"/>
      <c r="K771" s="23"/>
      <c r="L771" s="26" t="str">
        <f aca="false">IF(OR($E771="",$F771=""),"",MOD($F771-$E771,1)*24)</f>
        <v/>
      </c>
      <c r="M771" s="27" t="str">
        <f aca="false">IF($B771="","",IFERROR(INDEX(Properties!$D$5:$D$104,MATCH($B771,Properties!$A$5:$A$104,0)),"?"))</f>
        <v/>
      </c>
      <c r="N771" s="28" t="str">
        <f aca="false">IF($B771="","",IFERROR(IF($D771="Completed",INDEX(Properties!$I$5:$I$104,MATCH($B771,Properties!$A$5:$A$104,0))*(1+IF($G771="Y",Settings!$B$8,0))+IF($H771="Y",Settings!$B$7,0)+N($I771),IF($D771="Deep clean",INDEX(Settings!$E$22:$E$26,MATCH(MIN(INDEX(Properties!$E$5:$E$104,MATCH($B771,Properties!$A$5:$A$104,0)),4),Settings!$A$22:$A$26,0))+N($I771),IF($D771="Late cancel",INDEX(Properties!$I$5:$I$104,MATCH($B771,Properties!$A$5:$A$104,0))*Settings!$B$10,0))),0))</f>
        <v/>
      </c>
      <c r="O771" s="28" t="str">
        <f aca="false">IF($B771="","",IFERROR(IF($D771="Completed",INDEX(Properties!$L$5:$L$104,MATCH($B771,Properties!$A$5:$A$104,0))+IF($G771="Y",INDEX(Properties!$I$5:$I$104,MATCH($B771,Properties!$A$5:$A$104,0))*Settings!$B$8*Settings!$B$9,0)+IF($H771="Y",Settings!$B$7*Settings!$B$9,0)+N($I771)*Settings!$B$9,IF($D771="Deep clean",INDEX(Settings!$E$22:$E$26,MATCH(MIN(INDEX(Properties!$E$5:$E$104,MATCH($B771,Properties!$A$5:$A$104,0)),4),Settings!$A$22:$A$26,0))*Settings!$B$19+N($I771)*Settings!$B$9,IF($D771="Late cancel",INDEX(Properties!$L$5:$L$104,MATCH($B771,Properties!$A$5:$A$104,0))*Settings!$B$11,0))),0))</f>
        <v/>
      </c>
      <c r="P771" s="28" t="str">
        <f aca="false">IF($B771="","",$N771-$O771)</f>
        <v/>
      </c>
      <c r="Q771" s="29" t="str">
        <f aca="false">IF($A771="","",DATE(YEAR($A771),MONTH($A771),1))</f>
        <v/>
      </c>
      <c r="R771" s="30" t="str">
        <f aca="false">IF($A771="","",$A771+MOD(6-WEEKDAY($A771),7))</f>
        <v/>
      </c>
      <c r="S771" s="31" t="str">
        <f aca="false">IF($B771="","",IF(AND($M771='Invoice Builder'!$C$5,$Q771='Invoice Builder'!$C$6,N($N771)&gt;0),COUNTIFS($M$5:$M771,'Invoice Builder'!$C$5,$Q$5:$Q771,'Invoice Builder'!$C$6,$N$5:$N771,"&gt;0"),""))</f>
        <v/>
      </c>
      <c r="T771" s="27" t="str">
        <f aca="false">IF($A771="","",IF($A771&gt;=DATE(YEAR($A771),4,6),YEAR($A771)&amp;"/"&amp;RIGHT(YEAR($A771)+1,2),YEAR($A771)-1&amp;"/"&amp;RIGHT(YEAR($A771),2)))</f>
        <v/>
      </c>
    </row>
    <row r="772" customFormat="false" ht="15" hidden="false" customHeight="false" outlineLevel="0" collapsed="false">
      <c r="A772" s="22"/>
      <c r="B772" s="23"/>
      <c r="C772" s="23"/>
      <c r="D772" s="23"/>
      <c r="E772" s="24"/>
      <c r="F772" s="24"/>
      <c r="G772" s="23"/>
      <c r="H772" s="23"/>
      <c r="I772" s="25"/>
      <c r="J772" s="23"/>
      <c r="K772" s="23"/>
      <c r="L772" s="26" t="str">
        <f aca="false">IF(OR($E772="",$F772=""),"",MOD($F772-$E772,1)*24)</f>
        <v/>
      </c>
      <c r="M772" s="27" t="str">
        <f aca="false">IF($B772="","",IFERROR(INDEX(Properties!$D$5:$D$104,MATCH($B772,Properties!$A$5:$A$104,0)),"?"))</f>
        <v/>
      </c>
      <c r="N772" s="28" t="str">
        <f aca="false">IF($B772="","",IFERROR(IF($D772="Completed",INDEX(Properties!$I$5:$I$104,MATCH($B772,Properties!$A$5:$A$104,0))*(1+IF($G772="Y",Settings!$B$8,0))+IF($H772="Y",Settings!$B$7,0)+N($I772),IF($D772="Deep clean",INDEX(Settings!$E$22:$E$26,MATCH(MIN(INDEX(Properties!$E$5:$E$104,MATCH($B772,Properties!$A$5:$A$104,0)),4),Settings!$A$22:$A$26,0))+N($I772),IF($D772="Late cancel",INDEX(Properties!$I$5:$I$104,MATCH($B772,Properties!$A$5:$A$104,0))*Settings!$B$10,0))),0))</f>
        <v/>
      </c>
      <c r="O772" s="28" t="str">
        <f aca="false">IF($B772="","",IFERROR(IF($D772="Completed",INDEX(Properties!$L$5:$L$104,MATCH($B772,Properties!$A$5:$A$104,0))+IF($G772="Y",INDEX(Properties!$I$5:$I$104,MATCH($B772,Properties!$A$5:$A$104,0))*Settings!$B$8*Settings!$B$9,0)+IF($H772="Y",Settings!$B$7*Settings!$B$9,0)+N($I772)*Settings!$B$9,IF($D772="Deep clean",INDEX(Settings!$E$22:$E$26,MATCH(MIN(INDEX(Properties!$E$5:$E$104,MATCH($B772,Properties!$A$5:$A$104,0)),4),Settings!$A$22:$A$26,0))*Settings!$B$19+N($I772)*Settings!$B$9,IF($D772="Late cancel",INDEX(Properties!$L$5:$L$104,MATCH($B772,Properties!$A$5:$A$104,0))*Settings!$B$11,0))),0))</f>
        <v/>
      </c>
      <c r="P772" s="28" t="str">
        <f aca="false">IF($B772="","",$N772-$O772)</f>
        <v/>
      </c>
      <c r="Q772" s="29" t="str">
        <f aca="false">IF($A772="","",DATE(YEAR($A772),MONTH($A772),1))</f>
        <v/>
      </c>
      <c r="R772" s="30" t="str">
        <f aca="false">IF($A772="","",$A772+MOD(6-WEEKDAY($A772),7))</f>
        <v/>
      </c>
      <c r="S772" s="31" t="str">
        <f aca="false">IF($B772="","",IF(AND($M772='Invoice Builder'!$C$5,$Q772='Invoice Builder'!$C$6,N($N772)&gt;0),COUNTIFS($M$5:$M772,'Invoice Builder'!$C$5,$Q$5:$Q772,'Invoice Builder'!$C$6,$N$5:$N772,"&gt;0"),""))</f>
        <v/>
      </c>
      <c r="T772" s="27" t="str">
        <f aca="false">IF($A772="","",IF($A772&gt;=DATE(YEAR($A772),4,6),YEAR($A772)&amp;"/"&amp;RIGHT(YEAR($A772)+1,2),YEAR($A772)-1&amp;"/"&amp;RIGHT(YEAR($A772),2)))</f>
        <v/>
      </c>
    </row>
    <row r="773" customFormat="false" ht="15" hidden="false" customHeight="false" outlineLevel="0" collapsed="false">
      <c r="A773" s="22"/>
      <c r="B773" s="23"/>
      <c r="C773" s="23"/>
      <c r="D773" s="23"/>
      <c r="E773" s="24"/>
      <c r="F773" s="24"/>
      <c r="G773" s="23"/>
      <c r="H773" s="23"/>
      <c r="I773" s="25"/>
      <c r="J773" s="23"/>
      <c r="K773" s="23"/>
      <c r="L773" s="26" t="str">
        <f aca="false">IF(OR($E773="",$F773=""),"",MOD($F773-$E773,1)*24)</f>
        <v/>
      </c>
      <c r="M773" s="27" t="str">
        <f aca="false">IF($B773="","",IFERROR(INDEX(Properties!$D$5:$D$104,MATCH($B773,Properties!$A$5:$A$104,0)),"?"))</f>
        <v/>
      </c>
      <c r="N773" s="28" t="str">
        <f aca="false">IF($B773="","",IFERROR(IF($D773="Completed",INDEX(Properties!$I$5:$I$104,MATCH($B773,Properties!$A$5:$A$104,0))*(1+IF($G773="Y",Settings!$B$8,0))+IF($H773="Y",Settings!$B$7,0)+N($I773),IF($D773="Deep clean",INDEX(Settings!$E$22:$E$26,MATCH(MIN(INDEX(Properties!$E$5:$E$104,MATCH($B773,Properties!$A$5:$A$104,0)),4),Settings!$A$22:$A$26,0))+N($I773),IF($D773="Late cancel",INDEX(Properties!$I$5:$I$104,MATCH($B773,Properties!$A$5:$A$104,0))*Settings!$B$10,0))),0))</f>
        <v/>
      </c>
      <c r="O773" s="28" t="str">
        <f aca="false">IF($B773="","",IFERROR(IF($D773="Completed",INDEX(Properties!$L$5:$L$104,MATCH($B773,Properties!$A$5:$A$104,0))+IF($G773="Y",INDEX(Properties!$I$5:$I$104,MATCH($B773,Properties!$A$5:$A$104,0))*Settings!$B$8*Settings!$B$9,0)+IF($H773="Y",Settings!$B$7*Settings!$B$9,0)+N($I773)*Settings!$B$9,IF($D773="Deep clean",INDEX(Settings!$E$22:$E$26,MATCH(MIN(INDEX(Properties!$E$5:$E$104,MATCH($B773,Properties!$A$5:$A$104,0)),4),Settings!$A$22:$A$26,0))*Settings!$B$19+N($I773)*Settings!$B$9,IF($D773="Late cancel",INDEX(Properties!$L$5:$L$104,MATCH($B773,Properties!$A$5:$A$104,0))*Settings!$B$11,0))),0))</f>
        <v/>
      </c>
      <c r="P773" s="28" t="str">
        <f aca="false">IF($B773="","",$N773-$O773)</f>
        <v/>
      </c>
      <c r="Q773" s="29" t="str">
        <f aca="false">IF($A773="","",DATE(YEAR($A773),MONTH($A773),1))</f>
        <v/>
      </c>
      <c r="R773" s="30" t="str">
        <f aca="false">IF($A773="","",$A773+MOD(6-WEEKDAY($A773),7))</f>
        <v/>
      </c>
      <c r="S773" s="31" t="str">
        <f aca="false">IF($B773="","",IF(AND($M773='Invoice Builder'!$C$5,$Q773='Invoice Builder'!$C$6,N($N773)&gt;0),COUNTIFS($M$5:$M773,'Invoice Builder'!$C$5,$Q$5:$Q773,'Invoice Builder'!$C$6,$N$5:$N773,"&gt;0"),""))</f>
        <v/>
      </c>
      <c r="T773" s="27" t="str">
        <f aca="false">IF($A773="","",IF($A773&gt;=DATE(YEAR($A773),4,6),YEAR($A773)&amp;"/"&amp;RIGHT(YEAR($A773)+1,2),YEAR($A773)-1&amp;"/"&amp;RIGHT(YEAR($A773),2)))</f>
        <v/>
      </c>
    </row>
    <row r="774" customFormat="false" ht="15" hidden="false" customHeight="false" outlineLevel="0" collapsed="false">
      <c r="A774" s="22"/>
      <c r="B774" s="23"/>
      <c r="C774" s="23"/>
      <c r="D774" s="23"/>
      <c r="E774" s="24"/>
      <c r="F774" s="24"/>
      <c r="G774" s="23"/>
      <c r="H774" s="23"/>
      <c r="I774" s="25"/>
      <c r="J774" s="23"/>
      <c r="K774" s="23"/>
      <c r="L774" s="26" t="str">
        <f aca="false">IF(OR($E774="",$F774=""),"",MOD($F774-$E774,1)*24)</f>
        <v/>
      </c>
      <c r="M774" s="27" t="str">
        <f aca="false">IF($B774="","",IFERROR(INDEX(Properties!$D$5:$D$104,MATCH($B774,Properties!$A$5:$A$104,0)),"?"))</f>
        <v/>
      </c>
      <c r="N774" s="28" t="str">
        <f aca="false">IF($B774="","",IFERROR(IF($D774="Completed",INDEX(Properties!$I$5:$I$104,MATCH($B774,Properties!$A$5:$A$104,0))*(1+IF($G774="Y",Settings!$B$8,0))+IF($H774="Y",Settings!$B$7,0)+N($I774),IF($D774="Deep clean",INDEX(Settings!$E$22:$E$26,MATCH(MIN(INDEX(Properties!$E$5:$E$104,MATCH($B774,Properties!$A$5:$A$104,0)),4),Settings!$A$22:$A$26,0))+N($I774),IF($D774="Late cancel",INDEX(Properties!$I$5:$I$104,MATCH($B774,Properties!$A$5:$A$104,0))*Settings!$B$10,0))),0))</f>
        <v/>
      </c>
      <c r="O774" s="28" t="str">
        <f aca="false">IF($B774="","",IFERROR(IF($D774="Completed",INDEX(Properties!$L$5:$L$104,MATCH($B774,Properties!$A$5:$A$104,0))+IF($G774="Y",INDEX(Properties!$I$5:$I$104,MATCH($B774,Properties!$A$5:$A$104,0))*Settings!$B$8*Settings!$B$9,0)+IF($H774="Y",Settings!$B$7*Settings!$B$9,0)+N($I774)*Settings!$B$9,IF($D774="Deep clean",INDEX(Settings!$E$22:$E$26,MATCH(MIN(INDEX(Properties!$E$5:$E$104,MATCH($B774,Properties!$A$5:$A$104,0)),4),Settings!$A$22:$A$26,0))*Settings!$B$19+N($I774)*Settings!$B$9,IF($D774="Late cancel",INDEX(Properties!$L$5:$L$104,MATCH($B774,Properties!$A$5:$A$104,0))*Settings!$B$11,0))),0))</f>
        <v/>
      </c>
      <c r="P774" s="28" t="str">
        <f aca="false">IF($B774="","",$N774-$O774)</f>
        <v/>
      </c>
      <c r="Q774" s="29" t="str">
        <f aca="false">IF($A774="","",DATE(YEAR($A774),MONTH($A774),1))</f>
        <v/>
      </c>
      <c r="R774" s="30" t="str">
        <f aca="false">IF($A774="","",$A774+MOD(6-WEEKDAY($A774),7))</f>
        <v/>
      </c>
      <c r="S774" s="31" t="str">
        <f aca="false">IF($B774="","",IF(AND($M774='Invoice Builder'!$C$5,$Q774='Invoice Builder'!$C$6,N($N774)&gt;0),COUNTIFS($M$5:$M774,'Invoice Builder'!$C$5,$Q$5:$Q774,'Invoice Builder'!$C$6,$N$5:$N774,"&gt;0"),""))</f>
        <v/>
      </c>
      <c r="T774" s="27" t="str">
        <f aca="false">IF($A774="","",IF($A774&gt;=DATE(YEAR($A774),4,6),YEAR($A774)&amp;"/"&amp;RIGHT(YEAR($A774)+1,2),YEAR($A774)-1&amp;"/"&amp;RIGHT(YEAR($A774),2)))</f>
        <v/>
      </c>
    </row>
    <row r="775" customFormat="false" ht="15" hidden="false" customHeight="false" outlineLevel="0" collapsed="false">
      <c r="A775" s="22"/>
      <c r="B775" s="23"/>
      <c r="C775" s="23"/>
      <c r="D775" s="23"/>
      <c r="E775" s="24"/>
      <c r="F775" s="24"/>
      <c r="G775" s="23"/>
      <c r="H775" s="23"/>
      <c r="I775" s="25"/>
      <c r="J775" s="23"/>
      <c r="K775" s="23"/>
      <c r="L775" s="26" t="str">
        <f aca="false">IF(OR($E775="",$F775=""),"",MOD($F775-$E775,1)*24)</f>
        <v/>
      </c>
      <c r="M775" s="27" t="str">
        <f aca="false">IF($B775="","",IFERROR(INDEX(Properties!$D$5:$D$104,MATCH($B775,Properties!$A$5:$A$104,0)),"?"))</f>
        <v/>
      </c>
      <c r="N775" s="28" t="str">
        <f aca="false">IF($B775="","",IFERROR(IF($D775="Completed",INDEX(Properties!$I$5:$I$104,MATCH($B775,Properties!$A$5:$A$104,0))*(1+IF($G775="Y",Settings!$B$8,0))+IF($H775="Y",Settings!$B$7,0)+N($I775),IF($D775="Deep clean",INDEX(Settings!$E$22:$E$26,MATCH(MIN(INDEX(Properties!$E$5:$E$104,MATCH($B775,Properties!$A$5:$A$104,0)),4),Settings!$A$22:$A$26,0))+N($I775),IF($D775="Late cancel",INDEX(Properties!$I$5:$I$104,MATCH($B775,Properties!$A$5:$A$104,0))*Settings!$B$10,0))),0))</f>
        <v/>
      </c>
      <c r="O775" s="28" t="str">
        <f aca="false">IF($B775="","",IFERROR(IF($D775="Completed",INDEX(Properties!$L$5:$L$104,MATCH($B775,Properties!$A$5:$A$104,0))+IF($G775="Y",INDEX(Properties!$I$5:$I$104,MATCH($B775,Properties!$A$5:$A$104,0))*Settings!$B$8*Settings!$B$9,0)+IF($H775="Y",Settings!$B$7*Settings!$B$9,0)+N($I775)*Settings!$B$9,IF($D775="Deep clean",INDEX(Settings!$E$22:$E$26,MATCH(MIN(INDEX(Properties!$E$5:$E$104,MATCH($B775,Properties!$A$5:$A$104,0)),4),Settings!$A$22:$A$26,0))*Settings!$B$19+N($I775)*Settings!$B$9,IF($D775="Late cancel",INDEX(Properties!$L$5:$L$104,MATCH($B775,Properties!$A$5:$A$104,0))*Settings!$B$11,0))),0))</f>
        <v/>
      </c>
      <c r="P775" s="28" t="str">
        <f aca="false">IF($B775="","",$N775-$O775)</f>
        <v/>
      </c>
      <c r="Q775" s="29" t="str">
        <f aca="false">IF($A775="","",DATE(YEAR($A775),MONTH($A775),1))</f>
        <v/>
      </c>
      <c r="R775" s="30" t="str">
        <f aca="false">IF($A775="","",$A775+MOD(6-WEEKDAY($A775),7))</f>
        <v/>
      </c>
      <c r="S775" s="31" t="str">
        <f aca="false">IF($B775="","",IF(AND($M775='Invoice Builder'!$C$5,$Q775='Invoice Builder'!$C$6,N($N775)&gt;0),COUNTIFS($M$5:$M775,'Invoice Builder'!$C$5,$Q$5:$Q775,'Invoice Builder'!$C$6,$N$5:$N775,"&gt;0"),""))</f>
        <v/>
      </c>
      <c r="T775" s="27" t="str">
        <f aca="false">IF($A775="","",IF($A775&gt;=DATE(YEAR($A775),4,6),YEAR($A775)&amp;"/"&amp;RIGHT(YEAR($A775)+1,2),YEAR($A775)-1&amp;"/"&amp;RIGHT(YEAR($A775),2)))</f>
        <v/>
      </c>
    </row>
    <row r="776" customFormat="false" ht="15" hidden="false" customHeight="false" outlineLevel="0" collapsed="false">
      <c r="A776" s="22"/>
      <c r="B776" s="23"/>
      <c r="C776" s="23"/>
      <c r="D776" s="23"/>
      <c r="E776" s="24"/>
      <c r="F776" s="24"/>
      <c r="G776" s="23"/>
      <c r="H776" s="23"/>
      <c r="I776" s="25"/>
      <c r="J776" s="23"/>
      <c r="K776" s="23"/>
      <c r="L776" s="26" t="str">
        <f aca="false">IF(OR($E776="",$F776=""),"",MOD($F776-$E776,1)*24)</f>
        <v/>
      </c>
      <c r="M776" s="27" t="str">
        <f aca="false">IF($B776="","",IFERROR(INDEX(Properties!$D$5:$D$104,MATCH($B776,Properties!$A$5:$A$104,0)),"?"))</f>
        <v/>
      </c>
      <c r="N776" s="28" t="str">
        <f aca="false">IF($B776="","",IFERROR(IF($D776="Completed",INDEX(Properties!$I$5:$I$104,MATCH($B776,Properties!$A$5:$A$104,0))*(1+IF($G776="Y",Settings!$B$8,0))+IF($H776="Y",Settings!$B$7,0)+N($I776),IF($D776="Deep clean",INDEX(Settings!$E$22:$E$26,MATCH(MIN(INDEX(Properties!$E$5:$E$104,MATCH($B776,Properties!$A$5:$A$104,0)),4),Settings!$A$22:$A$26,0))+N($I776),IF($D776="Late cancel",INDEX(Properties!$I$5:$I$104,MATCH($B776,Properties!$A$5:$A$104,0))*Settings!$B$10,0))),0))</f>
        <v/>
      </c>
      <c r="O776" s="28" t="str">
        <f aca="false">IF($B776="","",IFERROR(IF($D776="Completed",INDEX(Properties!$L$5:$L$104,MATCH($B776,Properties!$A$5:$A$104,0))+IF($G776="Y",INDEX(Properties!$I$5:$I$104,MATCH($B776,Properties!$A$5:$A$104,0))*Settings!$B$8*Settings!$B$9,0)+IF($H776="Y",Settings!$B$7*Settings!$B$9,0)+N($I776)*Settings!$B$9,IF($D776="Deep clean",INDEX(Settings!$E$22:$E$26,MATCH(MIN(INDEX(Properties!$E$5:$E$104,MATCH($B776,Properties!$A$5:$A$104,0)),4),Settings!$A$22:$A$26,0))*Settings!$B$19+N($I776)*Settings!$B$9,IF($D776="Late cancel",INDEX(Properties!$L$5:$L$104,MATCH($B776,Properties!$A$5:$A$104,0))*Settings!$B$11,0))),0))</f>
        <v/>
      </c>
      <c r="P776" s="28" t="str">
        <f aca="false">IF($B776="","",$N776-$O776)</f>
        <v/>
      </c>
      <c r="Q776" s="29" t="str">
        <f aca="false">IF($A776="","",DATE(YEAR($A776),MONTH($A776),1))</f>
        <v/>
      </c>
      <c r="R776" s="30" t="str">
        <f aca="false">IF($A776="","",$A776+MOD(6-WEEKDAY($A776),7))</f>
        <v/>
      </c>
      <c r="S776" s="31" t="str">
        <f aca="false">IF($B776="","",IF(AND($M776='Invoice Builder'!$C$5,$Q776='Invoice Builder'!$C$6,N($N776)&gt;0),COUNTIFS($M$5:$M776,'Invoice Builder'!$C$5,$Q$5:$Q776,'Invoice Builder'!$C$6,$N$5:$N776,"&gt;0"),""))</f>
        <v/>
      </c>
      <c r="T776" s="27" t="str">
        <f aca="false">IF($A776="","",IF($A776&gt;=DATE(YEAR($A776),4,6),YEAR($A776)&amp;"/"&amp;RIGHT(YEAR($A776)+1,2),YEAR($A776)-1&amp;"/"&amp;RIGHT(YEAR($A776),2)))</f>
        <v/>
      </c>
    </row>
    <row r="777" customFormat="false" ht="15" hidden="false" customHeight="false" outlineLevel="0" collapsed="false">
      <c r="A777" s="22"/>
      <c r="B777" s="23"/>
      <c r="C777" s="23"/>
      <c r="D777" s="23"/>
      <c r="E777" s="24"/>
      <c r="F777" s="24"/>
      <c r="G777" s="23"/>
      <c r="H777" s="23"/>
      <c r="I777" s="25"/>
      <c r="J777" s="23"/>
      <c r="K777" s="23"/>
      <c r="L777" s="26" t="str">
        <f aca="false">IF(OR($E777="",$F777=""),"",MOD($F777-$E777,1)*24)</f>
        <v/>
      </c>
      <c r="M777" s="27" t="str">
        <f aca="false">IF($B777="","",IFERROR(INDEX(Properties!$D$5:$D$104,MATCH($B777,Properties!$A$5:$A$104,0)),"?"))</f>
        <v/>
      </c>
      <c r="N777" s="28" t="str">
        <f aca="false">IF($B777="","",IFERROR(IF($D777="Completed",INDEX(Properties!$I$5:$I$104,MATCH($B777,Properties!$A$5:$A$104,0))*(1+IF($G777="Y",Settings!$B$8,0))+IF($H777="Y",Settings!$B$7,0)+N($I777),IF($D777="Deep clean",INDEX(Settings!$E$22:$E$26,MATCH(MIN(INDEX(Properties!$E$5:$E$104,MATCH($B777,Properties!$A$5:$A$104,0)),4),Settings!$A$22:$A$26,0))+N($I777),IF($D777="Late cancel",INDEX(Properties!$I$5:$I$104,MATCH($B777,Properties!$A$5:$A$104,0))*Settings!$B$10,0))),0))</f>
        <v/>
      </c>
      <c r="O777" s="28" t="str">
        <f aca="false">IF($B777="","",IFERROR(IF($D777="Completed",INDEX(Properties!$L$5:$L$104,MATCH($B777,Properties!$A$5:$A$104,0))+IF($G777="Y",INDEX(Properties!$I$5:$I$104,MATCH($B777,Properties!$A$5:$A$104,0))*Settings!$B$8*Settings!$B$9,0)+IF($H777="Y",Settings!$B$7*Settings!$B$9,0)+N($I777)*Settings!$B$9,IF($D777="Deep clean",INDEX(Settings!$E$22:$E$26,MATCH(MIN(INDEX(Properties!$E$5:$E$104,MATCH($B777,Properties!$A$5:$A$104,0)),4),Settings!$A$22:$A$26,0))*Settings!$B$19+N($I777)*Settings!$B$9,IF($D777="Late cancel",INDEX(Properties!$L$5:$L$104,MATCH($B777,Properties!$A$5:$A$104,0))*Settings!$B$11,0))),0))</f>
        <v/>
      </c>
      <c r="P777" s="28" t="str">
        <f aca="false">IF($B777="","",$N777-$O777)</f>
        <v/>
      </c>
      <c r="Q777" s="29" t="str">
        <f aca="false">IF($A777="","",DATE(YEAR($A777),MONTH($A777),1))</f>
        <v/>
      </c>
      <c r="R777" s="30" t="str">
        <f aca="false">IF($A777="","",$A777+MOD(6-WEEKDAY($A777),7))</f>
        <v/>
      </c>
      <c r="S777" s="31" t="str">
        <f aca="false">IF($B777="","",IF(AND($M777='Invoice Builder'!$C$5,$Q777='Invoice Builder'!$C$6,N($N777)&gt;0),COUNTIFS($M$5:$M777,'Invoice Builder'!$C$5,$Q$5:$Q777,'Invoice Builder'!$C$6,$N$5:$N777,"&gt;0"),""))</f>
        <v/>
      </c>
      <c r="T777" s="27" t="str">
        <f aca="false">IF($A777="","",IF($A777&gt;=DATE(YEAR($A777),4,6),YEAR($A777)&amp;"/"&amp;RIGHT(YEAR($A777)+1,2),YEAR($A777)-1&amp;"/"&amp;RIGHT(YEAR($A777),2)))</f>
        <v/>
      </c>
    </row>
    <row r="778" customFormat="false" ht="15" hidden="false" customHeight="false" outlineLevel="0" collapsed="false">
      <c r="A778" s="22"/>
      <c r="B778" s="23"/>
      <c r="C778" s="23"/>
      <c r="D778" s="23"/>
      <c r="E778" s="24"/>
      <c r="F778" s="24"/>
      <c r="G778" s="23"/>
      <c r="H778" s="23"/>
      <c r="I778" s="25"/>
      <c r="J778" s="23"/>
      <c r="K778" s="23"/>
      <c r="L778" s="26" t="str">
        <f aca="false">IF(OR($E778="",$F778=""),"",MOD($F778-$E778,1)*24)</f>
        <v/>
      </c>
      <c r="M778" s="27" t="str">
        <f aca="false">IF($B778="","",IFERROR(INDEX(Properties!$D$5:$D$104,MATCH($B778,Properties!$A$5:$A$104,0)),"?"))</f>
        <v/>
      </c>
      <c r="N778" s="28" t="str">
        <f aca="false">IF($B778="","",IFERROR(IF($D778="Completed",INDEX(Properties!$I$5:$I$104,MATCH($B778,Properties!$A$5:$A$104,0))*(1+IF($G778="Y",Settings!$B$8,0))+IF($H778="Y",Settings!$B$7,0)+N($I778),IF($D778="Deep clean",INDEX(Settings!$E$22:$E$26,MATCH(MIN(INDEX(Properties!$E$5:$E$104,MATCH($B778,Properties!$A$5:$A$104,0)),4),Settings!$A$22:$A$26,0))+N($I778),IF($D778="Late cancel",INDEX(Properties!$I$5:$I$104,MATCH($B778,Properties!$A$5:$A$104,0))*Settings!$B$10,0))),0))</f>
        <v/>
      </c>
      <c r="O778" s="28" t="str">
        <f aca="false">IF($B778="","",IFERROR(IF($D778="Completed",INDEX(Properties!$L$5:$L$104,MATCH($B778,Properties!$A$5:$A$104,0))+IF($G778="Y",INDEX(Properties!$I$5:$I$104,MATCH($B778,Properties!$A$5:$A$104,0))*Settings!$B$8*Settings!$B$9,0)+IF($H778="Y",Settings!$B$7*Settings!$B$9,0)+N($I778)*Settings!$B$9,IF($D778="Deep clean",INDEX(Settings!$E$22:$E$26,MATCH(MIN(INDEX(Properties!$E$5:$E$104,MATCH($B778,Properties!$A$5:$A$104,0)),4),Settings!$A$22:$A$26,0))*Settings!$B$19+N($I778)*Settings!$B$9,IF($D778="Late cancel",INDEX(Properties!$L$5:$L$104,MATCH($B778,Properties!$A$5:$A$104,0))*Settings!$B$11,0))),0))</f>
        <v/>
      </c>
      <c r="P778" s="28" t="str">
        <f aca="false">IF($B778="","",$N778-$O778)</f>
        <v/>
      </c>
      <c r="Q778" s="29" t="str">
        <f aca="false">IF($A778="","",DATE(YEAR($A778),MONTH($A778),1))</f>
        <v/>
      </c>
      <c r="R778" s="30" t="str">
        <f aca="false">IF($A778="","",$A778+MOD(6-WEEKDAY($A778),7))</f>
        <v/>
      </c>
      <c r="S778" s="31" t="str">
        <f aca="false">IF($B778="","",IF(AND($M778='Invoice Builder'!$C$5,$Q778='Invoice Builder'!$C$6,N($N778)&gt;0),COUNTIFS($M$5:$M778,'Invoice Builder'!$C$5,$Q$5:$Q778,'Invoice Builder'!$C$6,$N$5:$N778,"&gt;0"),""))</f>
        <v/>
      </c>
      <c r="T778" s="27" t="str">
        <f aca="false">IF($A778="","",IF($A778&gt;=DATE(YEAR($A778),4,6),YEAR($A778)&amp;"/"&amp;RIGHT(YEAR($A778)+1,2),YEAR($A778)-1&amp;"/"&amp;RIGHT(YEAR($A778),2)))</f>
        <v/>
      </c>
    </row>
    <row r="779" customFormat="false" ht="15" hidden="false" customHeight="false" outlineLevel="0" collapsed="false">
      <c r="A779" s="22"/>
      <c r="B779" s="23"/>
      <c r="C779" s="23"/>
      <c r="D779" s="23"/>
      <c r="E779" s="24"/>
      <c r="F779" s="24"/>
      <c r="G779" s="23"/>
      <c r="H779" s="23"/>
      <c r="I779" s="25"/>
      <c r="J779" s="23"/>
      <c r="K779" s="23"/>
      <c r="L779" s="26" t="str">
        <f aca="false">IF(OR($E779="",$F779=""),"",MOD($F779-$E779,1)*24)</f>
        <v/>
      </c>
      <c r="M779" s="27" t="str">
        <f aca="false">IF($B779="","",IFERROR(INDEX(Properties!$D$5:$D$104,MATCH($B779,Properties!$A$5:$A$104,0)),"?"))</f>
        <v/>
      </c>
      <c r="N779" s="28" t="str">
        <f aca="false">IF($B779="","",IFERROR(IF($D779="Completed",INDEX(Properties!$I$5:$I$104,MATCH($B779,Properties!$A$5:$A$104,0))*(1+IF($G779="Y",Settings!$B$8,0))+IF($H779="Y",Settings!$B$7,0)+N($I779),IF($D779="Deep clean",INDEX(Settings!$E$22:$E$26,MATCH(MIN(INDEX(Properties!$E$5:$E$104,MATCH($B779,Properties!$A$5:$A$104,0)),4),Settings!$A$22:$A$26,0))+N($I779),IF($D779="Late cancel",INDEX(Properties!$I$5:$I$104,MATCH($B779,Properties!$A$5:$A$104,0))*Settings!$B$10,0))),0))</f>
        <v/>
      </c>
      <c r="O779" s="28" t="str">
        <f aca="false">IF($B779="","",IFERROR(IF($D779="Completed",INDEX(Properties!$L$5:$L$104,MATCH($B779,Properties!$A$5:$A$104,0))+IF($G779="Y",INDEX(Properties!$I$5:$I$104,MATCH($B779,Properties!$A$5:$A$104,0))*Settings!$B$8*Settings!$B$9,0)+IF($H779="Y",Settings!$B$7*Settings!$B$9,0)+N($I779)*Settings!$B$9,IF($D779="Deep clean",INDEX(Settings!$E$22:$E$26,MATCH(MIN(INDEX(Properties!$E$5:$E$104,MATCH($B779,Properties!$A$5:$A$104,0)),4),Settings!$A$22:$A$26,0))*Settings!$B$19+N($I779)*Settings!$B$9,IF($D779="Late cancel",INDEX(Properties!$L$5:$L$104,MATCH($B779,Properties!$A$5:$A$104,0))*Settings!$B$11,0))),0))</f>
        <v/>
      </c>
      <c r="P779" s="28" t="str">
        <f aca="false">IF($B779="","",$N779-$O779)</f>
        <v/>
      </c>
      <c r="Q779" s="29" t="str">
        <f aca="false">IF($A779="","",DATE(YEAR($A779),MONTH($A779),1))</f>
        <v/>
      </c>
      <c r="R779" s="30" t="str">
        <f aca="false">IF($A779="","",$A779+MOD(6-WEEKDAY($A779),7))</f>
        <v/>
      </c>
      <c r="S779" s="31" t="str">
        <f aca="false">IF($B779="","",IF(AND($M779='Invoice Builder'!$C$5,$Q779='Invoice Builder'!$C$6,N($N779)&gt;0),COUNTIFS($M$5:$M779,'Invoice Builder'!$C$5,$Q$5:$Q779,'Invoice Builder'!$C$6,$N$5:$N779,"&gt;0"),""))</f>
        <v/>
      </c>
      <c r="T779" s="27" t="str">
        <f aca="false">IF($A779="","",IF($A779&gt;=DATE(YEAR($A779),4,6),YEAR($A779)&amp;"/"&amp;RIGHT(YEAR($A779)+1,2),YEAR($A779)-1&amp;"/"&amp;RIGHT(YEAR($A779),2)))</f>
        <v/>
      </c>
    </row>
    <row r="780" customFormat="false" ht="15" hidden="false" customHeight="false" outlineLevel="0" collapsed="false">
      <c r="A780" s="22"/>
      <c r="B780" s="23"/>
      <c r="C780" s="23"/>
      <c r="D780" s="23"/>
      <c r="E780" s="24"/>
      <c r="F780" s="24"/>
      <c r="G780" s="23"/>
      <c r="H780" s="23"/>
      <c r="I780" s="25"/>
      <c r="J780" s="23"/>
      <c r="K780" s="23"/>
      <c r="L780" s="26" t="str">
        <f aca="false">IF(OR($E780="",$F780=""),"",MOD($F780-$E780,1)*24)</f>
        <v/>
      </c>
      <c r="M780" s="27" t="str">
        <f aca="false">IF($B780="","",IFERROR(INDEX(Properties!$D$5:$D$104,MATCH($B780,Properties!$A$5:$A$104,0)),"?"))</f>
        <v/>
      </c>
      <c r="N780" s="28" t="str">
        <f aca="false">IF($B780="","",IFERROR(IF($D780="Completed",INDEX(Properties!$I$5:$I$104,MATCH($B780,Properties!$A$5:$A$104,0))*(1+IF($G780="Y",Settings!$B$8,0))+IF($H780="Y",Settings!$B$7,0)+N($I780),IF($D780="Deep clean",INDEX(Settings!$E$22:$E$26,MATCH(MIN(INDEX(Properties!$E$5:$E$104,MATCH($B780,Properties!$A$5:$A$104,0)),4),Settings!$A$22:$A$26,0))+N($I780),IF($D780="Late cancel",INDEX(Properties!$I$5:$I$104,MATCH($B780,Properties!$A$5:$A$104,0))*Settings!$B$10,0))),0))</f>
        <v/>
      </c>
      <c r="O780" s="28" t="str">
        <f aca="false">IF($B780="","",IFERROR(IF($D780="Completed",INDEX(Properties!$L$5:$L$104,MATCH($B780,Properties!$A$5:$A$104,0))+IF($G780="Y",INDEX(Properties!$I$5:$I$104,MATCH($B780,Properties!$A$5:$A$104,0))*Settings!$B$8*Settings!$B$9,0)+IF($H780="Y",Settings!$B$7*Settings!$B$9,0)+N($I780)*Settings!$B$9,IF($D780="Deep clean",INDEX(Settings!$E$22:$E$26,MATCH(MIN(INDEX(Properties!$E$5:$E$104,MATCH($B780,Properties!$A$5:$A$104,0)),4),Settings!$A$22:$A$26,0))*Settings!$B$19+N($I780)*Settings!$B$9,IF($D780="Late cancel",INDEX(Properties!$L$5:$L$104,MATCH($B780,Properties!$A$5:$A$104,0))*Settings!$B$11,0))),0))</f>
        <v/>
      </c>
      <c r="P780" s="28" t="str">
        <f aca="false">IF($B780="","",$N780-$O780)</f>
        <v/>
      </c>
      <c r="Q780" s="29" t="str">
        <f aca="false">IF($A780="","",DATE(YEAR($A780),MONTH($A780),1))</f>
        <v/>
      </c>
      <c r="R780" s="30" t="str">
        <f aca="false">IF($A780="","",$A780+MOD(6-WEEKDAY($A780),7))</f>
        <v/>
      </c>
      <c r="S780" s="31" t="str">
        <f aca="false">IF($B780="","",IF(AND($M780='Invoice Builder'!$C$5,$Q780='Invoice Builder'!$C$6,N($N780)&gt;0),COUNTIFS($M$5:$M780,'Invoice Builder'!$C$5,$Q$5:$Q780,'Invoice Builder'!$C$6,$N$5:$N780,"&gt;0"),""))</f>
        <v/>
      </c>
      <c r="T780" s="27" t="str">
        <f aca="false">IF($A780="","",IF($A780&gt;=DATE(YEAR($A780),4,6),YEAR($A780)&amp;"/"&amp;RIGHT(YEAR($A780)+1,2),YEAR($A780)-1&amp;"/"&amp;RIGHT(YEAR($A780),2)))</f>
        <v/>
      </c>
    </row>
    <row r="781" customFormat="false" ht="15" hidden="false" customHeight="false" outlineLevel="0" collapsed="false">
      <c r="A781" s="22"/>
      <c r="B781" s="23"/>
      <c r="C781" s="23"/>
      <c r="D781" s="23"/>
      <c r="E781" s="24"/>
      <c r="F781" s="24"/>
      <c r="G781" s="23"/>
      <c r="H781" s="23"/>
      <c r="I781" s="25"/>
      <c r="J781" s="23"/>
      <c r="K781" s="23"/>
      <c r="L781" s="26" t="str">
        <f aca="false">IF(OR($E781="",$F781=""),"",MOD($F781-$E781,1)*24)</f>
        <v/>
      </c>
      <c r="M781" s="27" t="str">
        <f aca="false">IF($B781="","",IFERROR(INDEX(Properties!$D$5:$D$104,MATCH($B781,Properties!$A$5:$A$104,0)),"?"))</f>
        <v/>
      </c>
      <c r="N781" s="28" t="str">
        <f aca="false">IF($B781="","",IFERROR(IF($D781="Completed",INDEX(Properties!$I$5:$I$104,MATCH($B781,Properties!$A$5:$A$104,0))*(1+IF($G781="Y",Settings!$B$8,0))+IF($H781="Y",Settings!$B$7,0)+N($I781),IF($D781="Deep clean",INDEX(Settings!$E$22:$E$26,MATCH(MIN(INDEX(Properties!$E$5:$E$104,MATCH($B781,Properties!$A$5:$A$104,0)),4),Settings!$A$22:$A$26,0))+N($I781),IF($D781="Late cancel",INDEX(Properties!$I$5:$I$104,MATCH($B781,Properties!$A$5:$A$104,0))*Settings!$B$10,0))),0))</f>
        <v/>
      </c>
      <c r="O781" s="28" t="str">
        <f aca="false">IF($B781="","",IFERROR(IF($D781="Completed",INDEX(Properties!$L$5:$L$104,MATCH($B781,Properties!$A$5:$A$104,0))+IF($G781="Y",INDEX(Properties!$I$5:$I$104,MATCH($B781,Properties!$A$5:$A$104,0))*Settings!$B$8*Settings!$B$9,0)+IF($H781="Y",Settings!$B$7*Settings!$B$9,0)+N($I781)*Settings!$B$9,IF($D781="Deep clean",INDEX(Settings!$E$22:$E$26,MATCH(MIN(INDEX(Properties!$E$5:$E$104,MATCH($B781,Properties!$A$5:$A$104,0)),4),Settings!$A$22:$A$26,0))*Settings!$B$19+N($I781)*Settings!$B$9,IF($D781="Late cancel",INDEX(Properties!$L$5:$L$104,MATCH($B781,Properties!$A$5:$A$104,0))*Settings!$B$11,0))),0))</f>
        <v/>
      </c>
      <c r="P781" s="28" t="str">
        <f aca="false">IF($B781="","",$N781-$O781)</f>
        <v/>
      </c>
      <c r="Q781" s="29" t="str">
        <f aca="false">IF($A781="","",DATE(YEAR($A781),MONTH($A781),1))</f>
        <v/>
      </c>
      <c r="R781" s="30" t="str">
        <f aca="false">IF($A781="","",$A781+MOD(6-WEEKDAY($A781),7))</f>
        <v/>
      </c>
      <c r="S781" s="31" t="str">
        <f aca="false">IF($B781="","",IF(AND($M781='Invoice Builder'!$C$5,$Q781='Invoice Builder'!$C$6,N($N781)&gt;0),COUNTIFS($M$5:$M781,'Invoice Builder'!$C$5,$Q$5:$Q781,'Invoice Builder'!$C$6,$N$5:$N781,"&gt;0"),""))</f>
        <v/>
      </c>
      <c r="T781" s="27" t="str">
        <f aca="false">IF($A781="","",IF($A781&gt;=DATE(YEAR($A781),4,6),YEAR($A781)&amp;"/"&amp;RIGHT(YEAR($A781)+1,2),YEAR($A781)-1&amp;"/"&amp;RIGHT(YEAR($A781),2)))</f>
        <v/>
      </c>
    </row>
    <row r="782" customFormat="false" ht="15" hidden="false" customHeight="false" outlineLevel="0" collapsed="false">
      <c r="A782" s="22"/>
      <c r="B782" s="23"/>
      <c r="C782" s="23"/>
      <c r="D782" s="23"/>
      <c r="E782" s="24"/>
      <c r="F782" s="24"/>
      <c r="G782" s="23"/>
      <c r="H782" s="23"/>
      <c r="I782" s="25"/>
      <c r="J782" s="23"/>
      <c r="K782" s="23"/>
      <c r="L782" s="26" t="str">
        <f aca="false">IF(OR($E782="",$F782=""),"",MOD($F782-$E782,1)*24)</f>
        <v/>
      </c>
      <c r="M782" s="27" t="str">
        <f aca="false">IF($B782="","",IFERROR(INDEX(Properties!$D$5:$D$104,MATCH($B782,Properties!$A$5:$A$104,0)),"?"))</f>
        <v/>
      </c>
      <c r="N782" s="28" t="str">
        <f aca="false">IF($B782="","",IFERROR(IF($D782="Completed",INDEX(Properties!$I$5:$I$104,MATCH($B782,Properties!$A$5:$A$104,0))*(1+IF($G782="Y",Settings!$B$8,0))+IF($H782="Y",Settings!$B$7,0)+N($I782),IF($D782="Deep clean",INDEX(Settings!$E$22:$E$26,MATCH(MIN(INDEX(Properties!$E$5:$E$104,MATCH($B782,Properties!$A$5:$A$104,0)),4),Settings!$A$22:$A$26,0))+N($I782),IF($D782="Late cancel",INDEX(Properties!$I$5:$I$104,MATCH($B782,Properties!$A$5:$A$104,0))*Settings!$B$10,0))),0))</f>
        <v/>
      </c>
      <c r="O782" s="28" t="str">
        <f aca="false">IF($B782="","",IFERROR(IF($D782="Completed",INDEX(Properties!$L$5:$L$104,MATCH($B782,Properties!$A$5:$A$104,0))+IF($G782="Y",INDEX(Properties!$I$5:$I$104,MATCH($B782,Properties!$A$5:$A$104,0))*Settings!$B$8*Settings!$B$9,0)+IF($H782="Y",Settings!$B$7*Settings!$B$9,0)+N($I782)*Settings!$B$9,IF($D782="Deep clean",INDEX(Settings!$E$22:$E$26,MATCH(MIN(INDEX(Properties!$E$5:$E$104,MATCH($B782,Properties!$A$5:$A$104,0)),4),Settings!$A$22:$A$26,0))*Settings!$B$19+N($I782)*Settings!$B$9,IF($D782="Late cancel",INDEX(Properties!$L$5:$L$104,MATCH($B782,Properties!$A$5:$A$104,0))*Settings!$B$11,0))),0))</f>
        <v/>
      </c>
      <c r="P782" s="28" t="str">
        <f aca="false">IF($B782="","",$N782-$O782)</f>
        <v/>
      </c>
      <c r="Q782" s="29" t="str">
        <f aca="false">IF($A782="","",DATE(YEAR($A782),MONTH($A782),1))</f>
        <v/>
      </c>
      <c r="R782" s="30" t="str">
        <f aca="false">IF($A782="","",$A782+MOD(6-WEEKDAY($A782),7))</f>
        <v/>
      </c>
      <c r="S782" s="31" t="str">
        <f aca="false">IF($B782="","",IF(AND($M782='Invoice Builder'!$C$5,$Q782='Invoice Builder'!$C$6,N($N782)&gt;0),COUNTIFS($M$5:$M782,'Invoice Builder'!$C$5,$Q$5:$Q782,'Invoice Builder'!$C$6,$N$5:$N782,"&gt;0"),""))</f>
        <v/>
      </c>
      <c r="T782" s="27" t="str">
        <f aca="false">IF($A782="","",IF($A782&gt;=DATE(YEAR($A782),4,6),YEAR($A782)&amp;"/"&amp;RIGHT(YEAR($A782)+1,2),YEAR($A782)-1&amp;"/"&amp;RIGHT(YEAR($A782),2)))</f>
        <v/>
      </c>
    </row>
    <row r="783" customFormat="false" ht="15" hidden="false" customHeight="false" outlineLevel="0" collapsed="false">
      <c r="A783" s="22"/>
      <c r="B783" s="23"/>
      <c r="C783" s="23"/>
      <c r="D783" s="23"/>
      <c r="E783" s="24"/>
      <c r="F783" s="24"/>
      <c r="G783" s="23"/>
      <c r="H783" s="23"/>
      <c r="I783" s="25"/>
      <c r="J783" s="23"/>
      <c r="K783" s="23"/>
      <c r="L783" s="26" t="str">
        <f aca="false">IF(OR($E783="",$F783=""),"",MOD($F783-$E783,1)*24)</f>
        <v/>
      </c>
      <c r="M783" s="27" t="str">
        <f aca="false">IF($B783="","",IFERROR(INDEX(Properties!$D$5:$D$104,MATCH($B783,Properties!$A$5:$A$104,0)),"?"))</f>
        <v/>
      </c>
      <c r="N783" s="28" t="str">
        <f aca="false">IF($B783="","",IFERROR(IF($D783="Completed",INDEX(Properties!$I$5:$I$104,MATCH($B783,Properties!$A$5:$A$104,0))*(1+IF($G783="Y",Settings!$B$8,0))+IF($H783="Y",Settings!$B$7,0)+N($I783),IF($D783="Deep clean",INDEX(Settings!$E$22:$E$26,MATCH(MIN(INDEX(Properties!$E$5:$E$104,MATCH($B783,Properties!$A$5:$A$104,0)),4),Settings!$A$22:$A$26,0))+N($I783),IF($D783="Late cancel",INDEX(Properties!$I$5:$I$104,MATCH($B783,Properties!$A$5:$A$104,0))*Settings!$B$10,0))),0))</f>
        <v/>
      </c>
      <c r="O783" s="28" t="str">
        <f aca="false">IF($B783="","",IFERROR(IF($D783="Completed",INDEX(Properties!$L$5:$L$104,MATCH($B783,Properties!$A$5:$A$104,0))+IF($G783="Y",INDEX(Properties!$I$5:$I$104,MATCH($B783,Properties!$A$5:$A$104,0))*Settings!$B$8*Settings!$B$9,0)+IF($H783="Y",Settings!$B$7*Settings!$B$9,0)+N($I783)*Settings!$B$9,IF($D783="Deep clean",INDEX(Settings!$E$22:$E$26,MATCH(MIN(INDEX(Properties!$E$5:$E$104,MATCH($B783,Properties!$A$5:$A$104,0)),4),Settings!$A$22:$A$26,0))*Settings!$B$19+N($I783)*Settings!$B$9,IF($D783="Late cancel",INDEX(Properties!$L$5:$L$104,MATCH($B783,Properties!$A$5:$A$104,0))*Settings!$B$11,0))),0))</f>
        <v/>
      </c>
      <c r="P783" s="28" t="str">
        <f aca="false">IF($B783="","",$N783-$O783)</f>
        <v/>
      </c>
      <c r="Q783" s="29" t="str">
        <f aca="false">IF($A783="","",DATE(YEAR($A783),MONTH($A783),1))</f>
        <v/>
      </c>
      <c r="R783" s="30" t="str">
        <f aca="false">IF($A783="","",$A783+MOD(6-WEEKDAY($A783),7))</f>
        <v/>
      </c>
      <c r="S783" s="31" t="str">
        <f aca="false">IF($B783="","",IF(AND($M783='Invoice Builder'!$C$5,$Q783='Invoice Builder'!$C$6,N($N783)&gt;0),COUNTIFS($M$5:$M783,'Invoice Builder'!$C$5,$Q$5:$Q783,'Invoice Builder'!$C$6,$N$5:$N783,"&gt;0"),""))</f>
        <v/>
      </c>
      <c r="T783" s="27" t="str">
        <f aca="false">IF($A783="","",IF($A783&gt;=DATE(YEAR($A783),4,6),YEAR($A783)&amp;"/"&amp;RIGHT(YEAR($A783)+1,2),YEAR($A783)-1&amp;"/"&amp;RIGHT(YEAR($A783),2)))</f>
        <v/>
      </c>
    </row>
    <row r="784" customFormat="false" ht="15" hidden="false" customHeight="false" outlineLevel="0" collapsed="false">
      <c r="A784" s="22"/>
      <c r="B784" s="23"/>
      <c r="C784" s="23"/>
      <c r="D784" s="23"/>
      <c r="E784" s="24"/>
      <c r="F784" s="24"/>
      <c r="G784" s="23"/>
      <c r="H784" s="23"/>
      <c r="I784" s="25"/>
      <c r="J784" s="23"/>
      <c r="K784" s="23"/>
      <c r="L784" s="26" t="str">
        <f aca="false">IF(OR($E784="",$F784=""),"",MOD($F784-$E784,1)*24)</f>
        <v/>
      </c>
      <c r="M784" s="27" t="str">
        <f aca="false">IF($B784="","",IFERROR(INDEX(Properties!$D$5:$D$104,MATCH($B784,Properties!$A$5:$A$104,0)),"?"))</f>
        <v/>
      </c>
      <c r="N784" s="28" t="str">
        <f aca="false">IF($B784="","",IFERROR(IF($D784="Completed",INDEX(Properties!$I$5:$I$104,MATCH($B784,Properties!$A$5:$A$104,0))*(1+IF($G784="Y",Settings!$B$8,0))+IF($H784="Y",Settings!$B$7,0)+N($I784),IF($D784="Deep clean",INDEX(Settings!$E$22:$E$26,MATCH(MIN(INDEX(Properties!$E$5:$E$104,MATCH($B784,Properties!$A$5:$A$104,0)),4),Settings!$A$22:$A$26,0))+N($I784),IF($D784="Late cancel",INDEX(Properties!$I$5:$I$104,MATCH($B784,Properties!$A$5:$A$104,0))*Settings!$B$10,0))),0))</f>
        <v/>
      </c>
      <c r="O784" s="28" t="str">
        <f aca="false">IF($B784="","",IFERROR(IF($D784="Completed",INDEX(Properties!$L$5:$L$104,MATCH($B784,Properties!$A$5:$A$104,0))+IF($G784="Y",INDEX(Properties!$I$5:$I$104,MATCH($B784,Properties!$A$5:$A$104,0))*Settings!$B$8*Settings!$B$9,0)+IF($H784="Y",Settings!$B$7*Settings!$B$9,0)+N($I784)*Settings!$B$9,IF($D784="Deep clean",INDEX(Settings!$E$22:$E$26,MATCH(MIN(INDEX(Properties!$E$5:$E$104,MATCH($B784,Properties!$A$5:$A$104,0)),4),Settings!$A$22:$A$26,0))*Settings!$B$19+N($I784)*Settings!$B$9,IF($D784="Late cancel",INDEX(Properties!$L$5:$L$104,MATCH($B784,Properties!$A$5:$A$104,0))*Settings!$B$11,0))),0))</f>
        <v/>
      </c>
      <c r="P784" s="28" t="str">
        <f aca="false">IF($B784="","",$N784-$O784)</f>
        <v/>
      </c>
      <c r="Q784" s="29" t="str">
        <f aca="false">IF($A784="","",DATE(YEAR($A784),MONTH($A784),1))</f>
        <v/>
      </c>
      <c r="R784" s="30" t="str">
        <f aca="false">IF($A784="","",$A784+MOD(6-WEEKDAY($A784),7))</f>
        <v/>
      </c>
      <c r="S784" s="31" t="str">
        <f aca="false">IF($B784="","",IF(AND($M784='Invoice Builder'!$C$5,$Q784='Invoice Builder'!$C$6,N($N784)&gt;0),COUNTIFS($M$5:$M784,'Invoice Builder'!$C$5,$Q$5:$Q784,'Invoice Builder'!$C$6,$N$5:$N784,"&gt;0"),""))</f>
        <v/>
      </c>
      <c r="T784" s="27" t="str">
        <f aca="false">IF($A784="","",IF($A784&gt;=DATE(YEAR($A784),4,6),YEAR($A784)&amp;"/"&amp;RIGHT(YEAR($A784)+1,2),YEAR($A784)-1&amp;"/"&amp;RIGHT(YEAR($A784),2)))</f>
        <v/>
      </c>
    </row>
    <row r="785" customFormat="false" ht="15" hidden="false" customHeight="false" outlineLevel="0" collapsed="false">
      <c r="A785" s="22"/>
      <c r="B785" s="23"/>
      <c r="C785" s="23"/>
      <c r="D785" s="23"/>
      <c r="E785" s="24"/>
      <c r="F785" s="24"/>
      <c r="G785" s="23"/>
      <c r="H785" s="23"/>
      <c r="I785" s="25"/>
      <c r="J785" s="23"/>
      <c r="K785" s="23"/>
      <c r="L785" s="26" t="str">
        <f aca="false">IF(OR($E785="",$F785=""),"",MOD($F785-$E785,1)*24)</f>
        <v/>
      </c>
      <c r="M785" s="27" t="str">
        <f aca="false">IF($B785="","",IFERROR(INDEX(Properties!$D$5:$D$104,MATCH($B785,Properties!$A$5:$A$104,0)),"?"))</f>
        <v/>
      </c>
      <c r="N785" s="28" t="str">
        <f aca="false">IF($B785="","",IFERROR(IF($D785="Completed",INDEX(Properties!$I$5:$I$104,MATCH($B785,Properties!$A$5:$A$104,0))*(1+IF($G785="Y",Settings!$B$8,0))+IF($H785="Y",Settings!$B$7,0)+N($I785),IF($D785="Deep clean",INDEX(Settings!$E$22:$E$26,MATCH(MIN(INDEX(Properties!$E$5:$E$104,MATCH($B785,Properties!$A$5:$A$104,0)),4),Settings!$A$22:$A$26,0))+N($I785),IF($D785="Late cancel",INDEX(Properties!$I$5:$I$104,MATCH($B785,Properties!$A$5:$A$104,0))*Settings!$B$10,0))),0))</f>
        <v/>
      </c>
      <c r="O785" s="28" t="str">
        <f aca="false">IF($B785="","",IFERROR(IF($D785="Completed",INDEX(Properties!$L$5:$L$104,MATCH($B785,Properties!$A$5:$A$104,0))+IF($G785="Y",INDEX(Properties!$I$5:$I$104,MATCH($B785,Properties!$A$5:$A$104,0))*Settings!$B$8*Settings!$B$9,0)+IF($H785="Y",Settings!$B$7*Settings!$B$9,0)+N($I785)*Settings!$B$9,IF($D785="Deep clean",INDEX(Settings!$E$22:$E$26,MATCH(MIN(INDEX(Properties!$E$5:$E$104,MATCH($B785,Properties!$A$5:$A$104,0)),4),Settings!$A$22:$A$26,0))*Settings!$B$19+N($I785)*Settings!$B$9,IF($D785="Late cancel",INDEX(Properties!$L$5:$L$104,MATCH($B785,Properties!$A$5:$A$104,0))*Settings!$B$11,0))),0))</f>
        <v/>
      </c>
      <c r="P785" s="28" t="str">
        <f aca="false">IF($B785="","",$N785-$O785)</f>
        <v/>
      </c>
      <c r="Q785" s="29" t="str">
        <f aca="false">IF($A785="","",DATE(YEAR($A785),MONTH($A785),1))</f>
        <v/>
      </c>
      <c r="R785" s="30" t="str">
        <f aca="false">IF($A785="","",$A785+MOD(6-WEEKDAY($A785),7))</f>
        <v/>
      </c>
      <c r="S785" s="31" t="str">
        <f aca="false">IF($B785="","",IF(AND($M785='Invoice Builder'!$C$5,$Q785='Invoice Builder'!$C$6,N($N785)&gt;0),COUNTIFS($M$5:$M785,'Invoice Builder'!$C$5,$Q$5:$Q785,'Invoice Builder'!$C$6,$N$5:$N785,"&gt;0"),""))</f>
        <v/>
      </c>
      <c r="T785" s="27" t="str">
        <f aca="false">IF($A785="","",IF($A785&gt;=DATE(YEAR($A785),4,6),YEAR($A785)&amp;"/"&amp;RIGHT(YEAR($A785)+1,2),YEAR($A785)-1&amp;"/"&amp;RIGHT(YEAR($A785),2)))</f>
        <v/>
      </c>
    </row>
    <row r="786" customFormat="false" ht="15" hidden="false" customHeight="false" outlineLevel="0" collapsed="false">
      <c r="A786" s="22"/>
      <c r="B786" s="23"/>
      <c r="C786" s="23"/>
      <c r="D786" s="23"/>
      <c r="E786" s="24"/>
      <c r="F786" s="24"/>
      <c r="G786" s="23"/>
      <c r="H786" s="23"/>
      <c r="I786" s="25"/>
      <c r="J786" s="23"/>
      <c r="K786" s="23"/>
      <c r="L786" s="26" t="str">
        <f aca="false">IF(OR($E786="",$F786=""),"",MOD($F786-$E786,1)*24)</f>
        <v/>
      </c>
      <c r="M786" s="27" t="str">
        <f aca="false">IF($B786="","",IFERROR(INDEX(Properties!$D$5:$D$104,MATCH($B786,Properties!$A$5:$A$104,0)),"?"))</f>
        <v/>
      </c>
      <c r="N786" s="28" t="str">
        <f aca="false">IF($B786="","",IFERROR(IF($D786="Completed",INDEX(Properties!$I$5:$I$104,MATCH($B786,Properties!$A$5:$A$104,0))*(1+IF($G786="Y",Settings!$B$8,0))+IF($H786="Y",Settings!$B$7,0)+N($I786),IF($D786="Deep clean",INDEX(Settings!$E$22:$E$26,MATCH(MIN(INDEX(Properties!$E$5:$E$104,MATCH($B786,Properties!$A$5:$A$104,0)),4),Settings!$A$22:$A$26,0))+N($I786),IF($D786="Late cancel",INDEX(Properties!$I$5:$I$104,MATCH($B786,Properties!$A$5:$A$104,0))*Settings!$B$10,0))),0))</f>
        <v/>
      </c>
      <c r="O786" s="28" t="str">
        <f aca="false">IF($B786="","",IFERROR(IF($D786="Completed",INDEX(Properties!$L$5:$L$104,MATCH($B786,Properties!$A$5:$A$104,0))+IF($G786="Y",INDEX(Properties!$I$5:$I$104,MATCH($B786,Properties!$A$5:$A$104,0))*Settings!$B$8*Settings!$B$9,0)+IF($H786="Y",Settings!$B$7*Settings!$B$9,0)+N($I786)*Settings!$B$9,IF($D786="Deep clean",INDEX(Settings!$E$22:$E$26,MATCH(MIN(INDEX(Properties!$E$5:$E$104,MATCH($B786,Properties!$A$5:$A$104,0)),4),Settings!$A$22:$A$26,0))*Settings!$B$19+N($I786)*Settings!$B$9,IF($D786="Late cancel",INDEX(Properties!$L$5:$L$104,MATCH($B786,Properties!$A$5:$A$104,0))*Settings!$B$11,0))),0))</f>
        <v/>
      </c>
      <c r="P786" s="28" t="str">
        <f aca="false">IF($B786="","",$N786-$O786)</f>
        <v/>
      </c>
      <c r="Q786" s="29" t="str">
        <f aca="false">IF($A786="","",DATE(YEAR($A786),MONTH($A786),1))</f>
        <v/>
      </c>
      <c r="R786" s="30" t="str">
        <f aca="false">IF($A786="","",$A786+MOD(6-WEEKDAY($A786),7))</f>
        <v/>
      </c>
      <c r="S786" s="31" t="str">
        <f aca="false">IF($B786="","",IF(AND($M786='Invoice Builder'!$C$5,$Q786='Invoice Builder'!$C$6,N($N786)&gt;0),COUNTIFS($M$5:$M786,'Invoice Builder'!$C$5,$Q$5:$Q786,'Invoice Builder'!$C$6,$N$5:$N786,"&gt;0"),""))</f>
        <v/>
      </c>
      <c r="T786" s="27" t="str">
        <f aca="false">IF($A786="","",IF($A786&gt;=DATE(YEAR($A786),4,6),YEAR($A786)&amp;"/"&amp;RIGHT(YEAR($A786)+1,2),YEAR($A786)-1&amp;"/"&amp;RIGHT(YEAR($A786),2)))</f>
        <v/>
      </c>
    </row>
    <row r="787" customFormat="false" ht="15" hidden="false" customHeight="false" outlineLevel="0" collapsed="false">
      <c r="A787" s="22"/>
      <c r="B787" s="23"/>
      <c r="C787" s="23"/>
      <c r="D787" s="23"/>
      <c r="E787" s="24"/>
      <c r="F787" s="24"/>
      <c r="G787" s="23"/>
      <c r="H787" s="23"/>
      <c r="I787" s="25"/>
      <c r="J787" s="23"/>
      <c r="K787" s="23"/>
      <c r="L787" s="26" t="str">
        <f aca="false">IF(OR($E787="",$F787=""),"",MOD($F787-$E787,1)*24)</f>
        <v/>
      </c>
      <c r="M787" s="27" t="str">
        <f aca="false">IF($B787="","",IFERROR(INDEX(Properties!$D$5:$D$104,MATCH($B787,Properties!$A$5:$A$104,0)),"?"))</f>
        <v/>
      </c>
      <c r="N787" s="28" t="str">
        <f aca="false">IF($B787="","",IFERROR(IF($D787="Completed",INDEX(Properties!$I$5:$I$104,MATCH($B787,Properties!$A$5:$A$104,0))*(1+IF($G787="Y",Settings!$B$8,0))+IF($H787="Y",Settings!$B$7,0)+N($I787),IF($D787="Deep clean",INDEX(Settings!$E$22:$E$26,MATCH(MIN(INDEX(Properties!$E$5:$E$104,MATCH($B787,Properties!$A$5:$A$104,0)),4),Settings!$A$22:$A$26,0))+N($I787),IF($D787="Late cancel",INDEX(Properties!$I$5:$I$104,MATCH($B787,Properties!$A$5:$A$104,0))*Settings!$B$10,0))),0))</f>
        <v/>
      </c>
      <c r="O787" s="28" t="str">
        <f aca="false">IF($B787="","",IFERROR(IF($D787="Completed",INDEX(Properties!$L$5:$L$104,MATCH($B787,Properties!$A$5:$A$104,0))+IF($G787="Y",INDEX(Properties!$I$5:$I$104,MATCH($B787,Properties!$A$5:$A$104,0))*Settings!$B$8*Settings!$B$9,0)+IF($H787="Y",Settings!$B$7*Settings!$B$9,0)+N($I787)*Settings!$B$9,IF($D787="Deep clean",INDEX(Settings!$E$22:$E$26,MATCH(MIN(INDEX(Properties!$E$5:$E$104,MATCH($B787,Properties!$A$5:$A$104,0)),4),Settings!$A$22:$A$26,0))*Settings!$B$19+N($I787)*Settings!$B$9,IF($D787="Late cancel",INDEX(Properties!$L$5:$L$104,MATCH($B787,Properties!$A$5:$A$104,0))*Settings!$B$11,0))),0))</f>
        <v/>
      </c>
      <c r="P787" s="28" t="str">
        <f aca="false">IF($B787="","",$N787-$O787)</f>
        <v/>
      </c>
      <c r="Q787" s="29" t="str">
        <f aca="false">IF($A787="","",DATE(YEAR($A787),MONTH($A787),1))</f>
        <v/>
      </c>
      <c r="R787" s="30" t="str">
        <f aca="false">IF($A787="","",$A787+MOD(6-WEEKDAY($A787),7))</f>
        <v/>
      </c>
      <c r="S787" s="31" t="str">
        <f aca="false">IF($B787="","",IF(AND($M787='Invoice Builder'!$C$5,$Q787='Invoice Builder'!$C$6,N($N787)&gt;0),COUNTIFS($M$5:$M787,'Invoice Builder'!$C$5,$Q$5:$Q787,'Invoice Builder'!$C$6,$N$5:$N787,"&gt;0"),""))</f>
        <v/>
      </c>
      <c r="T787" s="27" t="str">
        <f aca="false">IF($A787="","",IF($A787&gt;=DATE(YEAR($A787),4,6),YEAR($A787)&amp;"/"&amp;RIGHT(YEAR($A787)+1,2),YEAR($A787)-1&amp;"/"&amp;RIGHT(YEAR($A787),2)))</f>
        <v/>
      </c>
    </row>
    <row r="788" customFormat="false" ht="15" hidden="false" customHeight="false" outlineLevel="0" collapsed="false">
      <c r="A788" s="22"/>
      <c r="B788" s="23"/>
      <c r="C788" s="23"/>
      <c r="D788" s="23"/>
      <c r="E788" s="24"/>
      <c r="F788" s="24"/>
      <c r="G788" s="23"/>
      <c r="H788" s="23"/>
      <c r="I788" s="25"/>
      <c r="J788" s="23"/>
      <c r="K788" s="23"/>
      <c r="L788" s="26" t="str">
        <f aca="false">IF(OR($E788="",$F788=""),"",MOD($F788-$E788,1)*24)</f>
        <v/>
      </c>
      <c r="M788" s="27" t="str">
        <f aca="false">IF($B788="","",IFERROR(INDEX(Properties!$D$5:$D$104,MATCH($B788,Properties!$A$5:$A$104,0)),"?"))</f>
        <v/>
      </c>
      <c r="N788" s="28" t="str">
        <f aca="false">IF($B788="","",IFERROR(IF($D788="Completed",INDEX(Properties!$I$5:$I$104,MATCH($B788,Properties!$A$5:$A$104,0))*(1+IF($G788="Y",Settings!$B$8,0))+IF($H788="Y",Settings!$B$7,0)+N($I788),IF($D788="Deep clean",INDEX(Settings!$E$22:$E$26,MATCH(MIN(INDEX(Properties!$E$5:$E$104,MATCH($B788,Properties!$A$5:$A$104,0)),4),Settings!$A$22:$A$26,0))+N($I788),IF($D788="Late cancel",INDEX(Properties!$I$5:$I$104,MATCH($B788,Properties!$A$5:$A$104,0))*Settings!$B$10,0))),0))</f>
        <v/>
      </c>
      <c r="O788" s="28" t="str">
        <f aca="false">IF($B788="","",IFERROR(IF($D788="Completed",INDEX(Properties!$L$5:$L$104,MATCH($B788,Properties!$A$5:$A$104,0))+IF($G788="Y",INDEX(Properties!$I$5:$I$104,MATCH($B788,Properties!$A$5:$A$104,0))*Settings!$B$8*Settings!$B$9,0)+IF($H788="Y",Settings!$B$7*Settings!$B$9,0)+N($I788)*Settings!$B$9,IF($D788="Deep clean",INDEX(Settings!$E$22:$E$26,MATCH(MIN(INDEX(Properties!$E$5:$E$104,MATCH($B788,Properties!$A$5:$A$104,0)),4),Settings!$A$22:$A$26,0))*Settings!$B$19+N($I788)*Settings!$B$9,IF($D788="Late cancel",INDEX(Properties!$L$5:$L$104,MATCH($B788,Properties!$A$5:$A$104,0))*Settings!$B$11,0))),0))</f>
        <v/>
      </c>
      <c r="P788" s="28" t="str">
        <f aca="false">IF($B788="","",$N788-$O788)</f>
        <v/>
      </c>
      <c r="Q788" s="29" t="str">
        <f aca="false">IF($A788="","",DATE(YEAR($A788),MONTH($A788),1))</f>
        <v/>
      </c>
      <c r="R788" s="30" t="str">
        <f aca="false">IF($A788="","",$A788+MOD(6-WEEKDAY($A788),7))</f>
        <v/>
      </c>
      <c r="S788" s="31" t="str">
        <f aca="false">IF($B788="","",IF(AND($M788='Invoice Builder'!$C$5,$Q788='Invoice Builder'!$C$6,N($N788)&gt;0),COUNTIFS($M$5:$M788,'Invoice Builder'!$C$5,$Q$5:$Q788,'Invoice Builder'!$C$6,$N$5:$N788,"&gt;0"),""))</f>
        <v/>
      </c>
      <c r="T788" s="27" t="str">
        <f aca="false">IF($A788="","",IF($A788&gt;=DATE(YEAR($A788),4,6),YEAR($A788)&amp;"/"&amp;RIGHT(YEAR($A788)+1,2),YEAR($A788)-1&amp;"/"&amp;RIGHT(YEAR($A788),2)))</f>
        <v/>
      </c>
    </row>
    <row r="789" customFormat="false" ht="15" hidden="false" customHeight="false" outlineLevel="0" collapsed="false">
      <c r="A789" s="22"/>
      <c r="B789" s="23"/>
      <c r="C789" s="23"/>
      <c r="D789" s="23"/>
      <c r="E789" s="24"/>
      <c r="F789" s="24"/>
      <c r="G789" s="23"/>
      <c r="H789" s="23"/>
      <c r="I789" s="25"/>
      <c r="J789" s="23"/>
      <c r="K789" s="23"/>
      <c r="L789" s="26" t="str">
        <f aca="false">IF(OR($E789="",$F789=""),"",MOD($F789-$E789,1)*24)</f>
        <v/>
      </c>
      <c r="M789" s="27" t="str">
        <f aca="false">IF($B789="","",IFERROR(INDEX(Properties!$D$5:$D$104,MATCH($B789,Properties!$A$5:$A$104,0)),"?"))</f>
        <v/>
      </c>
      <c r="N789" s="28" t="str">
        <f aca="false">IF($B789="","",IFERROR(IF($D789="Completed",INDEX(Properties!$I$5:$I$104,MATCH($B789,Properties!$A$5:$A$104,0))*(1+IF($G789="Y",Settings!$B$8,0))+IF($H789="Y",Settings!$B$7,0)+N($I789),IF($D789="Deep clean",INDEX(Settings!$E$22:$E$26,MATCH(MIN(INDEX(Properties!$E$5:$E$104,MATCH($B789,Properties!$A$5:$A$104,0)),4),Settings!$A$22:$A$26,0))+N($I789),IF($D789="Late cancel",INDEX(Properties!$I$5:$I$104,MATCH($B789,Properties!$A$5:$A$104,0))*Settings!$B$10,0))),0))</f>
        <v/>
      </c>
      <c r="O789" s="28" t="str">
        <f aca="false">IF($B789="","",IFERROR(IF($D789="Completed",INDEX(Properties!$L$5:$L$104,MATCH($B789,Properties!$A$5:$A$104,0))+IF($G789="Y",INDEX(Properties!$I$5:$I$104,MATCH($B789,Properties!$A$5:$A$104,0))*Settings!$B$8*Settings!$B$9,0)+IF($H789="Y",Settings!$B$7*Settings!$B$9,0)+N($I789)*Settings!$B$9,IF($D789="Deep clean",INDEX(Settings!$E$22:$E$26,MATCH(MIN(INDEX(Properties!$E$5:$E$104,MATCH($B789,Properties!$A$5:$A$104,0)),4),Settings!$A$22:$A$26,0))*Settings!$B$19+N($I789)*Settings!$B$9,IF($D789="Late cancel",INDEX(Properties!$L$5:$L$104,MATCH($B789,Properties!$A$5:$A$104,0))*Settings!$B$11,0))),0))</f>
        <v/>
      </c>
      <c r="P789" s="28" t="str">
        <f aca="false">IF($B789="","",$N789-$O789)</f>
        <v/>
      </c>
      <c r="Q789" s="29" t="str">
        <f aca="false">IF($A789="","",DATE(YEAR($A789),MONTH($A789),1))</f>
        <v/>
      </c>
      <c r="R789" s="30" t="str">
        <f aca="false">IF($A789="","",$A789+MOD(6-WEEKDAY($A789),7))</f>
        <v/>
      </c>
      <c r="S789" s="31" t="str">
        <f aca="false">IF($B789="","",IF(AND($M789='Invoice Builder'!$C$5,$Q789='Invoice Builder'!$C$6,N($N789)&gt;0),COUNTIFS($M$5:$M789,'Invoice Builder'!$C$5,$Q$5:$Q789,'Invoice Builder'!$C$6,$N$5:$N789,"&gt;0"),""))</f>
        <v/>
      </c>
      <c r="T789" s="27" t="str">
        <f aca="false">IF($A789="","",IF($A789&gt;=DATE(YEAR($A789),4,6),YEAR($A789)&amp;"/"&amp;RIGHT(YEAR($A789)+1,2),YEAR($A789)-1&amp;"/"&amp;RIGHT(YEAR($A789),2)))</f>
        <v/>
      </c>
    </row>
    <row r="790" customFormat="false" ht="15" hidden="false" customHeight="false" outlineLevel="0" collapsed="false">
      <c r="A790" s="22"/>
      <c r="B790" s="23"/>
      <c r="C790" s="23"/>
      <c r="D790" s="23"/>
      <c r="E790" s="24"/>
      <c r="F790" s="24"/>
      <c r="G790" s="23"/>
      <c r="H790" s="23"/>
      <c r="I790" s="25"/>
      <c r="J790" s="23"/>
      <c r="K790" s="23"/>
      <c r="L790" s="26" t="str">
        <f aca="false">IF(OR($E790="",$F790=""),"",MOD($F790-$E790,1)*24)</f>
        <v/>
      </c>
      <c r="M790" s="27" t="str">
        <f aca="false">IF($B790="","",IFERROR(INDEX(Properties!$D$5:$D$104,MATCH($B790,Properties!$A$5:$A$104,0)),"?"))</f>
        <v/>
      </c>
      <c r="N790" s="28" t="str">
        <f aca="false">IF($B790="","",IFERROR(IF($D790="Completed",INDEX(Properties!$I$5:$I$104,MATCH($B790,Properties!$A$5:$A$104,0))*(1+IF($G790="Y",Settings!$B$8,0))+IF($H790="Y",Settings!$B$7,0)+N($I790),IF($D790="Deep clean",INDEX(Settings!$E$22:$E$26,MATCH(MIN(INDEX(Properties!$E$5:$E$104,MATCH($B790,Properties!$A$5:$A$104,0)),4),Settings!$A$22:$A$26,0))+N($I790),IF($D790="Late cancel",INDEX(Properties!$I$5:$I$104,MATCH($B790,Properties!$A$5:$A$104,0))*Settings!$B$10,0))),0))</f>
        <v/>
      </c>
      <c r="O790" s="28" t="str">
        <f aca="false">IF($B790="","",IFERROR(IF($D790="Completed",INDEX(Properties!$L$5:$L$104,MATCH($B790,Properties!$A$5:$A$104,0))+IF($G790="Y",INDEX(Properties!$I$5:$I$104,MATCH($B790,Properties!$A$5:$A$104,0))*Settings!$B$8*Settings!$B$9,0)+IF($H790="Y",Settings!$B$7*Settings!$B$9,0)+N($I790)*Settings!$B$9,IF($D790="Deep clean",INDEX(Settings!$E$22:$E$26,MATCH(MIN(INDEX(Properties!$E$5:$E$104,MATCH($B790,Properties!$A$5:$A$104,0)),4),Settings!$A$22:$A$26,0))*Settings!$B$19+N($I790)*Settings!$B$9,IF($D790="Late cancel",INDEX(Properties!$L$5:$L$104,MATCH($B790,Properties!$A$5:$A$104,0))*Settings!$B$11,0))),0))</f>
        <v/>
      </c>
      <c r="P790" s="28" t="str">
        <f aca="false">IF($B790="","",$N790-$O790)</f>
        <v/>
      </c>
      <c r="Q790" s="29" t="str">
        <f aca="false">IF($A790="","",DATE(YEAR($A790),MONTH($A790),1))</f>
        <v/>
      </c>
      <c r="R790" s="30" t="str">
        <f aca="false">IF($A790="","",$A790+MOD(6-WEEKDAY($A790),7))</f>
        <v/>
      </c>
      <c r="S790" s="31" t="str">
        <f aca="false">IF($B790="","",IF(AND($M790='Invoice Builder'!$C$5,$Q790='Invoice Builder'!$C$6,N($N790)&gt;0),COUNTIFS($M$5:$M790,'Invoice Builder'!$C$5,$Q$5:$Q790,'Invoice Builder'!$C$6,$N$5:$N790,"&gt;0"),""))</f>
        <v/>
      </c>
      <c r="T790" s="27" t="str">
        <f aca="false">IF($A790="","",IF($A790&gt;=DATE(YEAR($A790),4,6),YEAR($A790)&amp;"/"&amp;RIGHT(YEAR($A790)+1,2),YEAR($A790)-1&amp;"/"&amp;RIGHT(YEAR($A790),2)))</f>
        <v/>
      </c>
    </row>
    <row r="791" customFormat="false" ht="15" hidden="false" customHeight="false" outlineLevel="0" collapsed="false">
      <c r="A791" s="22"/>
      <c r="B791" s="23"/>
      <c r="C791" s="23"/>
      <c r="D791" s="23"/>
      <c r="E791" s="24"/>
      <c r="F791" s="24"/>
      <c r="G791" s="23"/>
      <c r="H791" s="23"/>
      <c r="I791" s="25"/>
      <c r="J791" s="23"/>
      <c r="K791" s="23"/>
      <c r="L791" s="26" t="str">
        <f aca="false">IF(OR($E791="",$F791=""),"",MOD($F791-$E791,1)*24)</f>
        <v/>
      </c>
      <c r="M791" s="27" t="str">
        <f aca="false">IF($B791="","",IFERROR(INDEX(Properties!$D$5:$D$104,MATCH($B791,Properties!$A$5:$A$104,0)),"?"))</f>
        <v/>
      </c>
      <c r="N791" s="28" t="str">
        <f aca="false">IF($B791="","",IFERROR(IF($D791="Completed",INDEX(Properties!$I$5:$I$104,MATCH($B791,Properties!$A$5:$A$104,0))*(1+IF($G791="Y",Settings!$B$8,0))+IF($H791="Y",Settings!$B$7,0)+N($I791),IF($D791="Deep clean",INDEX(Settings!$E$22:$E$26,MATCH(MIN(INDEX(Properties!$E$5:$E$104,MATCH($B791,Properties!$A$5:$A$104,0)),4),Settings!$A$22:$A$26,0))+N($I791),IF($D791="Late cancel",INDEX(Properties!$I$5:$I$104,MATCH($B791,Properties!$A$5:$A$104,0))*Settings!$B$10,0))),0))</f>
        <v/>
      </c>
      <c r="O791" s="28" t="str">
        <f aca="false">IF($B791="","",IFERROR(IF($D791="Completed",INDEX(Properties!$L$5:$L$104,MATCH($B791,Properties!$A$5:$A$104,0))+IF($G791="Y",INDEX(Properties!$I$5:$I$104,MATCH($B791,Properties!$A$5:$A$104,0))*Settings!$B$8*Settings!$B$9,0)+IF($H791="Y",Settings!$B$7*Settings!$B$9,0)+N($I791)*Settings!$B$9,IF($D791="Deep clean",INDEX(Settings!$E$22:$E$26,MATCH(MIN(INDEX(Properties!$E$5:$E$104,MATCH($B791,Properties!$A$5:$A$104,0)),4),Settings!$A$22:$A$26,0))*Settings!$B$19+N($I791)*Settings!$B$9,IF($D791="Late cancel",INDEX(Properties!$L$5:$L$104,MATCH($B791,Properties!$A$5:$A$104,0))*Settings!$B$11,0))),0))</f>
        <v/>
      </c>
      <c r="P791" s="28" t="str">
        <f aca="false">IF($B791="","",$N791-$O791)</f>
        <v/>
      </c>
      <c r="Q791" s="29" t="str">
        <f aca="false">IF($A791="","",DATE(YEAR($A791),MONTH($A791),1))</f>
        <v/>
      </c>
      <c r="R791" s="30" t="str">
        <f aca="false">IF($A791="","",$A791+MOD(6-WEEKDAY($A791),7))</f>
        <v/>
      </c>
      <c r="S791" s="31" t="str">
        <f aca="false">IF($B791="","",IF(AND($M791='Invoice Builder'!$C$5,$Q791='Invoice Builder'!$C$6,N($N791)&gt;0),COUNTIFS($M$5:$M791,'Invoice Builder'!$C$5,$Q$5:$Q791,'Invoice Builder'!$C$6,$N$5:$N791,"&gt;0"),""))</f>
        <v/>
      </c>
      <c r="T791" s="27" t="str">
        <f aca="false">IF($A791="","",IF($A791&gt;=DATE(YEAR($A791),4,6),YEAR($A791)&amp;"/"&amp;RIGHT(YEAR($A791)+1,2),YEAR($A791)-1&amp;"/"&amp;RIGHT(YEAR($A791),2)))</f>
        <v/>
      </c>
    </row>
    <row r="792" customFormat="false" ht="15" hidden="false" customHeight="false" outlineLevel="0" collapsed="false">
      <c r="A792" s="22"/>
      <c r="B792" s="23"/>
      <c r="C792" s="23"/>
      <c r="D792" s="23"/>
      <c r="E792" s="24"/>
      <c r="F792" s="24"/>
      <c r="G792" s="23"/>
      <c r="H792" s="23"/>
      <c r="I792" s="25"/>
      <c r="J792" s="23"/>
      <c r="K792" s="23"/>
      <c r="L792" s="26" t="str">
        <f aca="false">IF(OR($E792="",$F792=""),"",MOD($F792-$E792,1)*24)</f>
        <v/>
      </c>
      <c r="M792" s="27" t="str">
        <f aca="false">IF($B792="","",IFERROR(INDEX(Properties!$D$5:$D$104,MATCH($B792,Properties!$A$5:$A$104,0)),"?"))</f>
        <v/>
      </c>
      <c r="N792" s="28" t="str">
        <f aca="false">IF($B792="","",IFERROR(IF($D792="Completed",INDEX(Properties!$I$5:$I$104,MATCH($B792,Properties!$A$5:$A$104,0))*(1+IF($G792="Y",Settings!$B$8,0))+IF($H792="Y",Settings!$B$7,0)+N($I792),IF($D792="Deep clean",INDEX(Settings!$E$22:$E$26,MATCH(MIN(INDEX(Properties!$E$5:$E$104,MATCH($B792,Properties!$A$5:$A$104,0)),4),Settings!$A$22:$A$26,0))+N($I792),IF($D792="Late cancel",INDEX(Properties!$I$5:$I$104,MATCH($B792,Properties!$A$5:$A$104,0))*Settings!$B$10,0))),0))</f>
        <v/>
      </c>
      <c r="O792" s="28" t="str">
        <f aca="false">IF($B792="","",IFERROR(IF($D792="Completed",INDEX(Properties!$L$5:$L$104,MATCH($B792,Properties!$A$5:$A$104,0))+IF($G792="Y",INDEX(Properties!$I$5:$I$104,MATCH($B792,Properties!$A$5:$A$104,0))*Settings!$B$8*Settings!$B$9,0)+IF($H792="Y",Settings!$B$7*Settings!$B$9,0)+N($I792)*Settings!$B$9,IF($D792="Deep clean",INDEX(Settings!$E$22:$E$26,MATCH(MIN(INDEX(Properties!$E$5:$E$104,MATCH($B792,Properties!$A$5:$A$104,0)),4),Settings!$A$22:$A$26,0))*Settings!$B$19+N($I792)*Settings!$B$9,IF($D792="Late cancel",INDEX(Properties!$L$5:$L$104,MATCH($B792,Properties!$A$5:$A$104,0))*Settings!$B$11,0))),0))</f>
        <v/>
      </c>
      <c r="P792" s="28" t="str">
        <f aca="false">IF($B792="","",$N792-$O792)</f>
        <v/>
      </c>
      <c r="Q792" s="29" t="str">
        <f aca="false">IF($A792="","",DATE(YEAR($A792),MONTH($A792),1))</f>
        <v/>
      </c>
      <c r="R792" s="30" t="str">
        <f aca="false">IF($A792="","",$A792+MOD(6-WEEKDAY($A792),7))</f>
        <v/>
      </c>
      <c r="S792" s="31" t="str">
        <f aca="false">IF($B792="","",IF(AND($M792='Invoice Builder'!$C$5,$Q792='Invoice Builder'!$C$6,N($N792)&gt;0),COUNTIFS($M$5:$M792,'Invoice Builder'!$C$5,$Q$5:$Q792,'Invoice Builder'!$C$6,$N$5:$N792,"&gt;0"),""))</f>
        <v/>
      </c>
      <c r="T792" s="27" t="str">
        <f aca="false">IF($A792="","",IF($A792&gt;=DATE(YEAR($A792),4,6),YEAR($A792)&amp;"/"&amp;RIGHT(YEAR($A792)+1,2),YEAR($A792)-1&amp;"/"&amp;RIGHT(YEAR($A792),2)))</f>
        <v/>
      </c>
    </row>
    <row r="793" customFormat="false" ht="15" hidden="false" customHeight="false" outlineLevel="0" collapsed="false">
      <c r="A793" s="22"/>
      <c r="B793" s="23"/>
      <c r="C793" s="23"/>
      <c r="D793" s="23"/>
      <c r="E793" s="24"/>
      <c r="F793" s="24"/>
      <c r="G793" s="23"/>
      <c r="H793" s="23"/>
      <c r="I793" s="25"/>
      <c r="J793" s="23"/>
      <c r="K793" s="23"/>
      <c r="L793" s="26" t="str">
        <f aca="false">IF(OR($E793="",$F793=""),"",MOD($F793-$E793,1)*24)</f>
        <v/>
      </c>
      <c r="M793" s="27" t="str">
        <f aca="false">IF($B793="","",IFERROR(INDEX(Properties!$D$5:$D$104,MATCH($B793,Properties!$A$5:$A$104,0)),"?"))</f>
        <v/>
      </c>
      <c r="N793" s="28" t="str">
        <f aca="false">IF($B793="","",IFERROR(IF($D793="Completed",INDEX(Properties!$I$5:$I$104,MATCH($B793,Properties!$A$5:$A$104,0))*(1+IF($G793="Y",Settings!$B$8,0))+IF($H793="Y",Settings!$B$7,0)+N($I793),IF($D793="Deep clean",INDEX(Settings!$E$22:$E$26,MATCH(MIN(INDEX(Properties!$E$5:$E$104,MATCH($B793,Properties!$A$5:$A$104,0)),4),Settings!$A$22:$A$26,0))+N($I793),IF($D793="Late cancel",INDEX(Properties!$I$5:$I$104,MATCH($B793,Properties!$A$5:$A$104,0))*Settings!$B$10,0))),0))</f>
        <v/>
      </c>
      <c r="O793" s="28" t="str">
        <f aca="false">IF($B793="","",IFERROR(IF($D793="Completed",INDEX(Properties!$L$5:$L$104,MATCH($B793,Properties!$A$5:$A$104,0))+IF($G793="Y",INDEX(Properties!$I$5:$I$104,MATCH($B793,Properties!$A$5:$A$104,0))*Settings!$B$8*Settings!$B$9,0)+IF($H793="Y",Settings!$B$7*Settings!$B$9,0)+N($I793)*Settings!$B$9,IF($D793="Deep clean",INDEX(Settings!$E$22:$E$26,MATCH(MIN(INDEX(Properties!$E$5:$E$104,MATCH($B793,Properties!$A$5:$A$104,0)),4),Settings!$A$22:$A$26,0))*Settings!$B$19+N($I793)*Settings!$B$9,IF($D793="Late cancel",INDEX(Properties!$L$5:$L$104,MATCH($B793,Properties!$A$5:$A$104,0))*Settings!$B$11,0))),0))</f>
        <v/>
      </c>
      <c r="P793" s="28" t="str">
        <f aca="false">IF($B793="","",$N793-$O793)</f>
        <v/>
      </c>
      <c r="Q793" s="29" t="str">
        <f aca="false">IF($A793="","",DATE(YEAR($A793),MONTH($A793),1))</f>
        <v/>
      </c>
      <c r="R793" s="30" t="str">
        <f aca="false">IF($A793="","",$A793+MOD(6-WEEKDAY($A793),7))</f>
        <v/>
      </c>
      <c r="S793" s="31" t="str">
        <f aca="false">IF($B793="","",IF(AND($M793='Invoice Builder'!$C$5,$Q793='Invoice Builder'!$C$6,N($N793)&gt;0),COUNTIFS($M$5:$M793,'Invoice Builder'!$C$5,$Q$5:$Q793,'Invoice Builder'!$C$6,$N$5:$N793,"&gt;0"),""))</f>
        <v/>
      </c>
      <c r="T793" s="27" t="str">
        <f aca="false">IF($A793="","",IF($A793&gt;=DATE(YEAR($A793),4,6),YEAR($A793)&amp;"/"&amp;RIGHT(YEAR($A793)+1,2),YEAR($A793)-1&amp;"/"&amp;RIGHT(YEAR($A793),2)))</f>
        <v/>
      </c>
    </row>
    <row r="794" customFormat="false" ht="15" hidden="false" customHeight="false" outlineLevel="0" collapsed="false">
      <c r="A794" s="22"/>
      <c r="B794" s="23"/>
      <c r="C794" s="23"/>
      <c r="D794" s="23"/>
      <c r="E794" s="24"/>
      <c r="F794" s="24"/>
      <c r="G794" s="23"/>
      <c r="H794" s="23"/>
      <c r="I794" s="25"/>
      <c r="J794" s="23"/>
      <c r="K794" s="23"/>
      <c r="L794" s="26" t="str">
        <f aca="false">IF(OR($E794="",$F794=""),"",MOD($F794-$E794,1)*24)</f>
        <v/>
      </c>
      <c r="M794" s="27" t="str">
        <f aca="false">IF($B794="","",IFERROR(INDEX(Properties!$D$5:$D$104,MATCH($B794,Properties!$A$5:$A$104,0)),"?"))</f>
        <v/>
      </c>
      <c r="N794" s="28" t="str">
        <f aca="false">IF($B794="","",IFERROR(IF($D794="Completed",INDEX(Properties!$I$5:$I$104,MATCH($B794,Properties!$A$5:$A$104,0))*(1+IF($G794="Y",Settings!$B$8,0))+IF($H794="Y",Settings!$B$7,0)+N($I794),IF($D794="Deep clean",INDEX(Settings!$E$22:$E$26,MATCH(MIN(INDEX(Properties!$E$5:$E$104,MATCH($B794,Properties!$A$5:$A$104,0)),4),Settings!$A$22:$A$26,0))+N($I794),IF($D794="Late cancel",INDEX(Properties!$I$5:$I$104,MATCH($B794,Properties!$A$5:$A$104,0))*Settings!$B$10,0))),0))</f>
        <v/>
      </c>
      <c r="O794" s="28" t="str">
        <f aca="false">IF($B794="","",IFERROR(IF($D794="Completed",INDEX(Properties!$L$5:$L$104,MATCH($B794,Properties!$A$5:$A$104,0))+IF($G794="Y",INDEX(Properties!$I$5:$I$104,MATCH($B794,Properties!$A$5:$A$104,0))*Settings!$B$8*Settings!$B$9,0)+IF($H794="Y",Settings!$B$7*Settings!$B$9,0)+N($I794)*Settings!$B$9,IF($D794="Deep clean",INDEX(Settings!$E$22:$E$26,MATCH(MIN(INDEX(Properties!$E$5:$E$104,MATCH($B794,Properties!$A$5:$A$104,0)),4),Settings!$A$22:$A$26,0))*Settings!$B$19+N($I794)*Settings!$B$9,IF($D794="Late cancel",INDEX(Properties!$L$5:$L$104,MATCH($B794,Properties!$A$5:$A$104,0))*Settings!$B$11,0))),0))</f>
        <v/>
      </c>
      <c r="P794" s="28" t="str">
        <f aca="false">IF($B794="","",$N794-$O794)</f>
        <v/>
      </c>
      <c r="Q794" s="29" t="str">
        <f aca="false">IF($A794="","",DATE(YEAR($A794),MONTH($A794),1))</f>
        <v/>
      </c>
      <c r="R794" s="30" t="str">
        <f aca="false">IF($A794="","",$A794+MOD(6-WEEKDAY($A794),7))</f>
        <v/>
      </c>
      <c r="S794" s="31" t="str">
        <f aca="false">IF($B794="","",IF(AND($M794='Invoice Builder'!$C$5,$Q794='Invoice Builder'!$C$6,N($N794)&gt;0),COUNTIFS($M$5:$M794,'Invoice Builder'!$C$5,$Q$5:$Q794,'Invoice Builder'!$C$6,$N$5:$N794,"&gt;0"),""))</f>
        <v/>
      </c>
      <c r="T794" s="27" t="str">
        <f aca="false">IF($A794="","",IF($A794&gt;=DATE(YEAR($A794),4,6),YEAR($A794)&amp;"/"&amp;RIGHT(YEAR($A794)+1,2),YEAR($A794)-1&amp;"/"&amp;RIGHT(YEAR($A794),2)))</f>
        <v/>
      </c>
    </row>
    <row r="795" customFormat="false" ht="15" hidden="false" customHeight="false" outlineLevel="0" collapsed="false">
      <c r="A795" s="22"/>
      <c r="B795" s="23"/>
      <c r="C795" s="23"/>
      <c r="D795" s="23"/>
      <c r="E795" s="24"/>
      <c r="F795" s="24"/>
      <c r="G795" s="23"/>
      <c r="H795" s="23"/>
      <c r="I795" s="25"/>
      <c r="J795" s="23"/>
      <c r="K795" s="23"/>
      <c r="L795" s="26" t="str">
        <f aca="false">IF(OR($E795="",$F795=""),"",MOD($F795-$E795,1)*24)</f>
        <v/>
      </c>
      <c r="M795" s="27" t="str">
        <f aca="false">IF($B795="","",IFERROR(INDEX(Properties!$D$5:$D$104,MATCH($B795,Properties!$A$5:$A$104,0)),"?"))</f>
        <v/>
      </c>
      <c r="N795" s="28" t="str">
        <f aca="false">IF($B795="","",IFERROR(IF($D795="Completed",INDEX(Properties!$I$5:$I$104,MATCH($B795,Properties!$A$5:$A$104,0))*(1+IF($G795="Y",Settings!$B$8,0))+IF($H795="Y",Settings!$B$7,0)+N($I795),IF($D795="Deep clean",INDEX(Settings!$E$22:$E$26,MATCH(MIN(INDEX(Properties!$E$5:$E$104,MATCH($B795,Properties!$A$5:$A$104,0)),4),Settings!$A$22:$A$26,0))+N($I795),IF($D795="Late cancel",INDEX(Properties!$I$5:$I$104,MATCH($B795,Properties!$A$5:$A$104,0))*Settings!$B$10,0))),0))</f>
        <v/>
      </c>
      <c r="O795" s="28" t="str">
        <f aca="false">IF($B795="","",IFERROR(IF($D795="Completed",INDEX(Properties!$L$5:$L$104,MATCH($B795,Properties!$A$5:$A$104,0))+IF($G795="Y",INDEX(Properties!$I$5:$I$104,MATCH($B795,Properties!$A$5:$A$104,0))*Settings!$B$8*Settings!$B$9,0)+IF($H795="Y",Settings!$B$7*Settings!$B$9,0)+N($I795)*Settings!$B$9,IF($D795="Deep clean",INDEX(Settings!$E$22:$E$26,MATCH(MIN(INDEX(Properties!$E$5:$E$104,MATCH($B795,Properties!$A$5:$A$104,0)),4),Settings!$A$22:$A$26,0))*Settings!$B$19+N($I795)*Settings!$B$9,IF($D795="Late cancel",INDEX(Properties!$L$5:$L$104,MATCH($B795,Properties!$A$5:$A$104,0))*Settings!$B$11,0))),0))</f>
        <v/>
      </c>
      <c r="P795" s="28" t="str">
        <f aca="false">IF($B795="","",$N795-$O795)</f>
        <v/>
      </c>
      <c r="Q795" s="29" t="str">
        <f aca="false">IF($A795="","",DATE(YEAR($A795),MONTH($A795),1))</f>
        <v/>
      </c>
      <c r="R795" s="30" t="str">
        <f aca="false">IF($A795="","",$A795+MOD(6-WEEKDAY($A795),7))</f>
        <v/>
      </c>
      <c r="S795" s="31" t="str">
        <f aca="false">IF($B795="","",IF(AND($M795='Invoice Builder'!$C$5,$Q795='Invoice Builder'!$C$6,N($N795)&gt;0),COUNTIFS($M$5:$M795,'Invoice Builder'!$C$5,$Q$5:$Q795,'Invoice Builder'!$C$6,$N$5:$N795,"&gt;0"),""))</f>
        <v/>
      </c>
      <c r="T795" s="27" t="str">
        <f aca="false">IF($A795="","",IF($A795&gt;=DATE(YEAR($A795),4,6),YEAR($A795)&amp;"/"&amp;RIGHT(YEAR($A795)+1,2),YEAR($A795)-1&amp;"/"&amp;RIGHT(YEAR($A795),2)))</f>
        <v/>
      </c>
    </row>
    <row r="796" customFormat="false" ht="15" hidden="false" customHeight="false" outlineLevel="0" collapsed="false">
      <c r="A796" s="22"/>
      <c r="B796" s="23"/>
      <c r="C796" s="23"/>
      <c r="D796" s="23"/>
      <c r="E796" s="24"/>
      <c r="F796" s="24"/>
      <c r="G796" s="23"/>
      <c r="H796" s="23"/>
      <c r="I796" s="25"/>
      <c r="J796" s="23"/>
      <c r="K796" s="23"/>
      <c r="L796" s="26" t="str">
        <f aca="false">IF(OR($E796="",$F796=""),"",MOD($F796-$E796,1)*24)</f>
        <v/>
      </c>
      <c r="M796" s="27" t="str">
        <f aca="false">IF($B796="","",IFERROR(INDEX(Properties!$D$5:$D$104,MATCH($B796,Properties!$A$5:$A$104,0)),"?"))</f>
        <v/>
      </c>
      <c r="N796" s="28" t="str">
        <f aca="false">IF($B796="","",IFERROR(IF($D796="Completed",INDEX(Properties!$I$5:$I$104,MATCH($B796,Properties!$A$5:$A$104,0))*(1+IF($G796="Y",Settings!$B$8,0))+IF($H796="Y",Settings!$B$7,0)+N($I796),IF($D796="Deep clean",INDEX(Settings!$E$22:$E$26,MATCH(MIN(INDEX(Properties!$E$5:$E$104,MATCH($B796,Properties!$A$5:$A$104,0)),4),Settings!$A$22:$A$26,0))+N($I796),IF($D796="Late cancel",INDEX(Properties!$I$5:$I$104,MATCH($B796,Properties!$A$5:$A$104,0))*Settings!$B$10,0))),0))</f>
        <v/>
      </c>
      <c r="O796" s="28" t="str">
        <f aca="false">IF($B796="","",IFERROR(IF($D796="Completed",INDEX(Properties!$L$5:$L$104,MATCH($B796,Properties!$A$5:$A$104,0))+IF($G796="Y",INDEX(Properties!$I$5:$I$104,MATCH($B796,Properties!$A$5:$A$104,0))*Settings!$B$8*Settings!$B$9,0)+IF($H796="Y",Settings!$B$7*Settings!$B$9,0)+N($I796)*Settings!$B$9,IF($D796="Deep clean",INDEX(Settings!$E$22:$E$26,MATCH(MIN(INDEX(Properties!$E$5:$E$104,MATCH($B796,Properties!$A$5:$A$104,0)),4),Settings!$A$22:$A$26,0))*Settings!$B$19+N($I796)*Settings!$B$9,IF($D796="Late cancel",INDEX(Properties!$L$5:$L$104,MATCH($B796,Properties!$A$5:$A$104,0))*Settings!$B$11,0))),0))</f>
        <v/>
      </c>
      <c r="P796" s="28" t="str">
        <f aca="false">IF($B796="","",$N796-$O796)</f>
        <v/>
      </c>
      <c r="Q796" s="29" t="str">
        <f aca="false">IF($A796="","",DATE(YEAR($A796),MONTH($A796),1))</f>
        <v/>
      </c>
      <c r="R796" s="30" t="str">
        <f aca="false">IF($A796="","",$A796+MOD(6-WEEKDAY($A796),7))</f>
        <v/>
      </c>
      <c r="S796" s="31" t="str">
        <f aca="false">IF($B796="","",IF(AND($M796='Invoice Builder'!$C$5,$Q796='Invoice Builder'!$C$6,N($N796)&gt;0),COUNTIFS($M$5:$M796,'Invoice Builder'!$C$5,$Q$5:$Q796,'Invoice Builder'!$C$6,$N$5:$N796,"&gt;0"),""))</f>
        <v/>
      </c>
      <c r="T796" s="27" t="str">
        <f aca="false">IF($A796="","",IF($A796&gt;=DATE(YEAR($A796),4,6),YEAR($A796)&amp;"/"&amp;RIGHT(YEAR($A796)+1,2),YEAR($A796)-1&amp;"/"&amp;RIGHT(YEAR($A796),2)))</f>
        <v/>
      </c>
    </row>
    <row r="797" customFormat="false" ht="15" hidden="false" customHeight="false" outlineLevel="0" collapsed="false">
      <c r="A797" s="22"/>
      <c r="B797" s="23"/>
      <c r="C797" s="23"/>
      <c r="D797" s="23"/>
      <c r="E797" s="24"/>
      <c r="F797" s="24"/>
      <c r="G797" s="23"/>
      <c r="H797" s="23"/>
      <c r="I797" s="25"/>
      <c r="J797" s="23"/>
      <c r="K797" s="23"/>
      <c r="L797" s="26" t="str">
        <f aca="false">IF(OR($E797="",$F797=""),"",MOD($F797-$E797,1)*24)</f>
        <v/>
      </c>
      <c r="M797" s="27" t="str">
        <f aca="false">IF($B797="","",IFERROR(INDEX(Properties!$D$5:$D$104,MATCH($B797,Properties!$A$5:$A$104,0)),"?"))</f>
        <v/>
      </c>
      <c r="N797" s="28" t="str">
        <f aca="false">IF($B797="","",IFERROR(IF($D797="Completed",INDEX(Properties!$I$5:$I$104,MATCH($B797,Properties!$A$5:$A$104,0))*(1+IF($G797="Y",Settings!$B$8,0))+IF($H797="Y",Settings!$B$7,0)+N($I797),IF($D797="Deep clean",INDEX(Settings!$E$22:$E$26,MATCH(MIN(INDEX(Properties!$E$5:$E$104,MATCH($B797,Properties!$A$5:$A$104,0)),4),Settings!$A$22:$A$26,0))+N($I797),IF($D797="Late cancel",INDEX(Properties!$I$5:$I$104,MATCH($B797,Properties!$A$5:$A$104,0))*Settings!$B$10,0))),0))</f>
        <v/>
      </c>
      <c r="O797" s="28" t="str">
        <f aca="false">IF($B797="","",IFERROR(IF($D797="Completed",INDEX(Properties!$L$5:$L$104,MATCH($B797,Properties!$A$5:$A$104,0))+IF($G797="Y",INDEX(Properties!$I$5:$I$104,MATCH($B797,Properties!$A$5:$A$104,0))*Settings!$B$8*Settings!$B$9,0)+IF($H797="Y",Settings!$B$7*Settings!$B$9,0)+N($I797)*Settings!$B$9,IF($D797="Deep clean",INDEX(Settings!$E$22:$E$26,MATCH(MIN(INDEX(Properties!$E$5:$E$104,MATCH($B797,Properties!$A$5:$A$104,0)),4),Settings!$A$22:$A$26,0))*Settings!$B$19+N($I797)*Settings!$B$9,IF($D797="Late cancel",INDEX(Properties!$L$5:$L$104,MATCH($B797,Properties!$A$5:$A$104,0))*Settings!$B$11,0))),0))</f>
        <v/>
      </c>
      <c r="P797" s="28" t="str">
        <f aca="false">IF($B797="","",$N797-$O797)</f>
        <v/>
      </c>
      <c r="Q797" s="29" t="str">
        <f aca="false">IF($A797="","",DATE(YEAR($A797),MONTH($A797),1))</f>
        <v/>
      </c>
      <c r="R797" s="30" t="str">
        <f aca="false">IF($A797="","",$A797+MOD(6-WEEKDAY($A797),7))</f>
        <v/>
      </c>
      <c r="S797" s="31" t="str">
        <f aca="false">IF($B797="","",IF(AND($M797='Invoice Builder'!$C$5,$Q797='Invoice Builder'!$C$6,N($N797)&gt;0),COUNTIFS($M$5:$M797,'Invoice Builder'!$C$5,$Q$5:$Q797,'Invoice Builder'!$C$6,$N$5:$N797,"&gt;0"),""))</f>
        <v/>
      </c>
      <c r="T797" s="27" t="str">
        <f aca="false">IF($A797="","",IF($A797&gt;=DATE(YEAR($A797),4,6),YEAR($A797)&amp;"/"&amp;RIGHT(YEAR($A797)+1,2),YEAR($A797)-1&amp;"/"&amp;RIGHT(YEAR($A797),2)))</f>
        <v/>
      </c>
    </row>
    <row r="798" customFormat="false" ht="15" hidden="false" customHeight="false" outlineLevel="0" collapsed="false">
      <c r="A798" s="22"/>
      <c r="B798" s="23"/>
      <c r="C798" s="23"/>
      <c r="D798" s="23"/>
      <c r="E798" s="24"/>
      <c r="F798" s="24"/>
      <c r="G798" s="23"/>
      <c r="H798" s="23"/>
      <c r="I798" s="25"/>
      <c r="J798" s="23"/>
      <c r="K798" s="23"/>
      <c r="L798" s="26" t="str">
        <f aca="false">IF(OR($E798="",$F798=""),"",MOD($F798-$E798,1)*24)</f>
        <v/>
      </c>
      <c r="M798" s="27" t="str">
        <f aca="false">IF($B798="","",IFERROR(INDEX(Properties!$D$5:$D$104,MATCH($B798,Properties!$A$5:$A$104,0)),"?"))</f>
        <v/>
      </c>
      <c r="N798" s="28" t="str">
        <f aca="false">IF($B798="","",IFERROR(IF($D798="Completed",INDEX(Properties!$I$5:$I$104,MATCH($B798,Properties!$A$5:$A$104,0))*(1+IF($G798="Y",Settings!$B$8,0))+IF($H798="Y",Settings!$B$7,0)+N($I798),IF($D798="Deep clean",INDEX(Settings!$E$22:$E$26,MATCH(MIN(INDEX(Properties!$E$5:$E$104,MATCH($B798,Properties!$A$5:$A$104,0)),4),Settings!$A$22:$A$26,0))+N($I798),IF($D798="Late cancel",INDEX(Properties!$I$5:$I$104,MATCH($B798,Properties!$A$5:$A$104,0))*Settings!$B$10,0))),0))</f>
        <v/>
      </c>
      <c r="O798" s="28" t="str">
        <f aca="false">IF($B798="","",IFERROR(IF($D798="Completed",INDEX(Properties!$L$5:$L$104,MATCH($B798,Properties!$A$5:$A$104,0))+IF($G798="Y",INDEX(Properties!$I$5:$I$104,MATCH($B798,Properties!$A$5:$A$104,0))*Settings!$B$8*Settings!$B$9,0)+IF($H798="Y",Settings!$B$7*Settings!$B$9,0)+N($I798)*Settings!$B$9,IF($D798="Deep clean",INDEX(Settings!$E$22:$E$26,MATCH(MIN(INDEX(Properties!$E$5:$E$104,MATCH($B798,Properties!$A$5:$A$104,0)),4),Settings!$A$22:$A$26,0))*Settings!$B$19+N($I798)*Settings!$B$9,IF($D798="Late cancel",INDEX(Properties!$L$5:$L$104,MATCH($B798,Properties!$A$5:$A$104,0))*Settings!$B$11,0))),0))</f>
        <v/>
      </c>
      <c r="P798" s="28" t="str">
        <f aca="false">IF($B798="","",$N798-$O798)</f>
        <v/>
      </c>
      <c r="Q798" s="29" t="str">
        <f aca="false">IF($A798="","",DATE(YEAR($A798),MONTH($A798),1))</f>
        <v/>
      </c>
      <c r="R798" s="30" t="str">
        <f aca="false">IF($A798="","",$A798+MOD(6-WEEKDAY($A798),7))</f>
        <v/>
      </c>
      <c r="S798" s="31" t="str">
        <f aca="false">IF($B798="","",IF(AND($M798='Invoice Builder'!$C$5,$Q798='Invoice Builder'!$C$6,N($N798)&gt;0),COUNTIFS($M$5:$M798,'Invoice Builder'!$C$5,$Q$5:$Q798,'Invoice Builder'!$C$6,$N$5:$N798,"&gt;0"),""))</f>
        <v/>
      </c>
      <c r="T798" s="27" t="str">
        <f aca="false">IF($A798="","",IF($A798&gt;=DATE(YEAR($A798),4,6),YEAR($A798)&amp;"/"&amp;RIGHT(YEAR($A798)+1,2),YEAR($A798)-1&amp;"/"&amp;RIGHT(YEAR($A798),2)))</f>
        <v/>
      </c>
    </row>
    <row r="799" customFormat="false" ht="15" hidden="false" customHeight="false" outlineLevel="0" collapsed="false">
      <c r="A799" s="22"/>
      <c r="B799" s="23"/>
      <c r="C799" s="23"/>
      <c r="D799" s="23"/>
      <c r="E799" s="24"/>
      <c r="F799" s="24"/>
      <c r="G799" s="23"/>
      <c r="H799" s="23"/>
      <c r="I799" s="25"/>
      <c r="J799" s="23"/>
      <c r="K799" s="23"/>
      <c r="L799" s="26" t="str">
        <f aca="false">IF(OR($E799="",$F799=""),"",MOD($F799-$E799,1)*24)</f>
        <v/>
      </c>
      <c r="M799" s="27" t="str">
        <f aca="false">IF($B799="","",IFERROR(INDEX(Properties!$D$5:$D$104,MATCH($B799,Properties!$A$5:$A$104,0)),"?"))</f>
        <v/>
      </c>
      <c r="N799" s="28" t="str">
        <f aca="false">IF($B799="","",IFERROR(IF($D799="Completed",INDEX(Properties!$I$5:$I$104,MATCH($B799,Properties!$A$5:$A$104,0))*(1+IF($G799="Y",Settings!$B$8,0))+IF($H799="Y",Settings!$B$7,0)+N($I799),IF($D799="Deep clean",INDEX(Settings!$E$22:$E$26,MATCH(MIN(INDEX(Properties!$E$5:$E$104,MATCH($B799,Properties!$A$5:$A$104,0)),4),Settings!$A$22:$A$26,0))+N($I799),IF($D799="Late cancel",INDEX(Properties!$I$5:$I$104,MATCH($B799,Properties!$A$5:$A$104,0))*Settings!$B$10,0))),0))</f>
        <v/>
      </c>
      <c r="O799" s="28" t="str">
        <f aca="false">IF($B799="","",IFERROR(IF($D799="Completed",INDEX(Properties!$L$5:$L$104,MATCH($B799,Properties!$A$5:$A$104,0))+IF($G799="Y",INDEX(Properties!$I$5:$I$104,MATCH($B799,Properties!$A$5:$A$104,0))*Settings!$B$8*Settings!$B$9,0)+IF($H799="Y",Settings!$B$7*Settings!$B$9,0)+N($I799)*Settings!$B$9,IF($D799="Deep clean",INDEX(Settings!$E$22:$E$26,MATCH(MIN(INDEX(Properties!$E$5:$E$104,MATCH($B799,Properties!$A$5:$A$104,0)),4),Settings!$A$22:$A$26,0))*Settings!$B$19+N($I799)*Settings!$B$9,IF($D799="Late cancel",INDEX(Properties!$L$5:$L$104,MATCH($B799,Properties!$A$5:$A$104,0))*Settings!$B$11,0))),0))</f>
        <v/>
      </c>
      <c r="P799" s="28" t="str">
        <f aca="false">IF($B799="","",$N799-$O799)</f>
        <v/>
      </c>
      <c r="Q799" s="29" t="str">
        <f aca="false">IF($A799="","",DATE(YEAR($A799),MONTH($A799),1))</f>
        <v/>
      </c>
      <c r="R799" s="30" t="str">
        <f aca="false">IF($A799="","",$A799+MOD(6-WEEKDAY($A799),7))</f>
        <v/>
      </c>
      <c r="S799" s="31" t="str">
        <f aca="false">IF($B799="","",IF(AND($M799='Invoice Builder'!$C$5,$Q799='Invoice Builder'!$C$6,N($N799)&gt;0),COUNTIFS($M$5:$M799,'Invoice Builder'!$C$5,$Q$5:$Q799,'Invoice Builder'!$C$6,$N$5:$N799,"&gt;0"),""))</f>
        <v/>
      </c>
      <c r="T799" s="27" t="str">
        <f aca="false">IF($A799="","",IF($A799&gt;=DATE(YEAR($A799),4,6),YEAR($A799)&amp;"/"&amp;RIGHT(YEAR($A799)+1,2),YEAR($A799)-1&amp;"/"&amp;RIGHT(YEAR($A799),2)))</f>
        <v/>
      </c>
    </row>
    <row r="800" customFormat="false" ht="15" hidden="false" customHeight="false" outlineLevel="0" collapsed="false">
      <c r="A800" s="22"/>
      <c r="B800" s="23"/>
      <c r="C800" s="23"/>
      <c r="D800" s="23"/>
      <c r="E800" s="24"/>
      <c r="F800" s="24"/>
      <c r="G800" s="23"/>
      <c r="H800" s="23"/>
      <c r="I800" s="25"/>
      <c r="J800" s="23"/>
      <c r="K800" s="23"/>
      <c r="L800" s="26" t="str">
        <f aca="false">IF(OR($E800="",$F800=""),"",MOD($F800-$E800,1)*24)</f>
        <v/>
      </c>
      <c r="M800" s="27" t="str">
        <f aca="false">IF($B800="","",IFERROR(INDEX(Properties!$D$5:$D$104,MATCH($B800,Properties!$A$5:$A$104,0)),"?"))</f>
        <v/>
      </c>
      <c r="N800" s="28" t="str">
        <f aca="false">IF($B800="","",IFERROR(IF($D800="Completed",INDEX(Properties!$I$5:$I$104,MATCH($B800,Properties!$A$5:$A$104,0))*(1+IF($G800="Y",Settings!$B$8,0))+IF($H800="Y",Settings!$B$7,0)+N($I800),IF($D800="Deep clean",INDEX(Settings!$E$22:$E$26,MATCH(MIN(INDEX(Properties!$E$5:$E$104,MATCH($B800,Properties!$A$5:$A$104,0)),4),Settings!$A$22:$A$26,0))+N($I800),IF($D800="Late cancel",INDEX(Properties!$I$5:$I$104,MATCH($B800,Properties!$A$5:$A$104,0))*Settings!$B$10,0))),0))</f>
        <v/>
      </c>
      <c r="O800" s="28" t="str">
        <f aca="false">IF($B800="","",IFERROR(IF($D800="Completed",INDEX(Properties!$L$5:$L$104,MATCH($B800,Properties!$A$5:$A$104,0))+IF($G800="Y",INDEX(Properties!$I$5:$I$104,MATCH($B800,Properties!$A$5:$A$104,0))*Settings!$B$8*Settings!$B$9,0)+IF($H800="Y",Settings!$B$7*Settings!$B$9,0)+N($I800)*Settings!$B$9,IF($D800="Deep clean",INDEX(Settings!$E$22:$E$26,MATCH(MIN(INDEX(Properties!$E$5:$E$104,MATCH($B800,Properties!$A$5:$A$104,0)),4),Settings!$A$22:$A$26,0))*Settings!$B$19+N($I800)*Settings!$B$9,IF($D800="Late cancel",INDEX(Properties!$L$5:$L$104,MATCH($B800,Properties!$A$5:$A$104,0))*Settings!$B$11,0))),0))</f>
        <v/>
      </c>
      <c r="P800" s="28" t="str">
        <f aca="false">IF($B800="","",$N800-$O800)</f>
        <v/>
      </c>
      <c r="Q800" s="29" t="str">
        <f aca="false">IF($A800="","",DATE(YEAR($A800),MONTH($A800),1))</f>
        <v/>
      </c>
      <c r="R800" s="30" t="str">
        <f aca="false">IF($A800="","",$A800+MOD(6-WEEKDAY($A800),7))</f>
        <v/>
      </c>
      <c r="S800" s="31" t="str">
        <f aca="false">IF($B800="","",IF(AND($M800='Invoice Builder'!$C$5,$Q800='Invoice Builder'!$C$6,N($N800)&gt;0),COUNTIFS($M$5:$M800,'Invoice Builder'!$C$5,$Q$5:$Q800,'Invoice Builder'!$C$6,$N$5:$N800,"&gt;0"),""))</f>
        <v/>
      </c>
      <c r="T800" s="27" t="str">
        <f aca="false">IF($A800="","",IF($A800&gt;=DATE(YEAR($A800),4,6),YEAR($A800)&amp;"/"&amp;RIGHT(YEAR($A800)+1,2),YEAR($A800)-1&amp;"/"&amp;RIGHT(YEAR($A800),2)))</f>
        <v/>
      </c>
    </row>
    <row r="801" customFormat="false" ht="15" hidden="false" customHeight="false" outlineLevel="0" collapsed="false">
      <c r="A801" s="22"/>
      <c r="B801" s="23"/>
      <c r="C801" s="23"/>
      <c r="D801" s="23"/>
      <c r="E801" s="24"/>
      <c r="F801" s="24"/>
      <c r="G801" s="23"/>
      <c r="H801" s="23"/>
      <c r="I801" s="25"/>
      <c r="J801" s="23"/>
      <c r="K801" s="23"/>
      <c r="L801" s="26" t="str">
        <f aca="false">IF(OR($E801="",$F801=""),"",MOD($F801-$E801,1)*24)</f>
        <v/>
      </c>
      <c r="M801" s="27" t="str">
        <f aca="false">IF($B801="","",IFERROR(INDEX(Properties!$D$5:$D$104,MATCH($B801,Properties!$A$5:$A$104,0)),"?"))</f>
        <v/>
      </c>
      <c r="N801" s="28" t="str">
        <f aca="false">IF($B801="","",IFERROR(IF($D801="Completed",INDEX(Properties!$I$5:$I$104,MATCH($B801,Properties!$A$5:$A$104,0))*(1+IF($G801="Y",Settings!$B$8,0))+IF($H801="Y",Settings!$B$7,0)+N($I801),IF($D801="Deep clean",INDEX(Settings!$E$22:$E$26,MATCH(MIN(INDEX(Properties!$E$5:$E$104,MATCH($B801,Properties!$A$5:$A$104,0)),4),Settings!$A$22:$A$26,0))+N($I801),IF($D801="Late cancel",INDEX(Properties!$I$5:$I$104,MATCH($B801,Properties!$A$5:$A$104,0))*Settings!$B$10,0))),0))</f>
        <v/>
      </c>
      <c r="O801" s="28" t="str">
        <f aca="false">IF($B801="","",IFERROR(IF($D801="Completed",INDEX(Properties!$L$5:$L$104,MATCH($B801,Properties!$A$5:$A$104,0))+IF($G801="Y",INDEX(Properties!$I$5:$I$104,MATCH($B801,Properties!$A$5:$A$104,0))*Settings!$B$8*Settings!$B$9,0)+IF($H801="Y",Settings!$B$7*Settings!$B$9,0)+N($I801)*Settings!$B$9,IF($D801="Deep clean",INDEX(Settings!$E$22:$E$26,MATCH(MIN(INDEX(Properties!$E$5:$E$104,MATCH($B801,Properties!$A$5:$A$104,0)),4),Settings!$A$22:$A$26,0))*Settings!$B$19+N($I801)*Settings!$B$9,IF($D801="Late cancel",INDEX(Properties!$L$5:$L$104,MATCH($B801,Properties!$A$5:$A$104,0))*Settings!$B$11,0))),0))</f>
        <v/>
      </c>
      <c r="P801" s="28" t="str">
        <f aca="false">IF($B801="","",$N801-$O801)</f>
        <v/>
      </c>
      <c r="Q801" s="29" t="str">
        <f aca="false">IF($A801="","",DATE(YEAR($A801),MONTH($A801),1))</f>
        <v/>
      </c>
      <c r="R801" s="30" t="str">
        <f aca="false">IF($A801="","",$A801+MOD(6-WEEKDAY($A801),7))</f>
        <v/>
      </c>
      <c r="S801" s="31" t="str">
        <f aca="false">IF($B801="","",IF(AND($M801='Invoice Builder'!$C$5,$Q801='Invoice Builder'!$C$6,N($N801)&gt;0),COUNTIFS($M$5:$M801,'Invoice Builder'!$C$5,$Q$5:$Q801,'Invoice Builder'!$C$6,$N$5:$N801,"&gt;0"),""))</f>
        <v/>
      </c>
      <c r="T801" s="27" t="str">
        <f aca="false">IF($A801="","",IF($A801&gt;=DATE(YEAR($A801),4,6),YEAR($A801)&amp;"/"&amp;RIGHT(YEAR($A801)+1,2),YEAR($A801)-1&amp;"/"&amp;RIGHT(YEAR($A801),2)))</f>
        <v/>
      </c>
    </row>
    <row r="802" customFormat="false" ht="15" hidden="false" customHeight="false" outlineLevel="0" collapsed="false">
      <c r="A802" s="22"/>
      <c r="B802" s="23"/>
      <c r="C802" s="23"/>
      <c r="D802" s="23"/>
      <c r="E802" s="24"/>
      <c r="F802" s="24"/>
      <c r="G802" s="23"/>
      <c r="H802" s="23"/>
      <c r="I802" s="25"/>
      <c r="J802" s="23"/>
      <c r="K802" s="23"/>
      <c r="L802" s="26" t="str">
        <f aca="false">IF(OR($E802="",$F802=""),"",MOD($F802-$E802,1)*24)</f>
        <v/>
      </c>
      <c r="M802" s="27" t="str">
        <f aca="false">IF($B802="","",IFERROR(INDEX(Properties!$D$5:$D$104,MATCH($B802,Properties!$A$5:$A$104,0)),"?"))</f>
        <v/>
      </c>
      <c r="N802" s="28" t="str">
        <f aca="false">IF($B802="","",IFERROR(IF($D802="Completed",INDEX(Properties!$I$5:$I$104,MATCH($B802,Properties!$A$5:$A$104,0))*(1+IF($G802="Y",Settings!$B$8,0))+IF($H802="Y",Settings!$B$7,0)+N($I802),IF($D802="Deep clean",INDEX(Settings!$E$22:$E$26,MATCH(MIN(INDEX(Properties!$E$5:$E$104,MATCH($B802,Properties!$A$5:$A$104,0)),4),Settings!$A$22:$A$26,0))+N($I802),IF($D802="Late cancel",INDEX(Properties!$I$5:$I$104,MATCH($B802,Properties!$A$5:$A$104,0))*Settings!$B$10,0))),0))</f>
        <v/>
      </c>
      <c r="O802" s="28" t="str">
        <f aca="false">IF($B802="","",IFERROR(IF($D802="Completed",INDEX(Properties!$L$5:$L$104,MATCH($B802,Properties!$A$5:$A$104,0))+IF($G802="Y",INDEX(Properties!$I$5:$I$104,MATCH($B802,Properties!$A$5:$A$104,0))*Settings!$B$8*Settings!$B$9,0)+IF($H802="Y",Settings!$B$7*Settings!$B$9,0)+N($I802)*Settings!$B$9,IF($D802="Deep clean",INDEX(Settings!$E$22:$E$26,MATCH(MIN(INDEX(Properties!$E$5:$E$104,MATCH($B802,Properties!$A$5:$A$104,0)),4),Settings!$A$22:$A$26,0))*Settings!$B$19+N($I802)*Settings!$B$9,IF($D802="Late cancel",INDEX(Properties!$L$5:$L$104,MATCH($B802,Properties!$A$5:$A$104,0))*Settings!$B$11,0))),0))</f>
        <v/>
      </c>
      <c r="P802" s="28" t="str">
        <f aca="false">IF($B802="","",$N802-$O802)</f>
        <v/>
      </c>
      <c r="Q802" s="29" t="str">
        <f aca="false">IF($A802="","",DATE(YEAR($A802),MONTH($A802),1))</f>
        <v/>
      </c>
      <c r="R802" s="30" t="str">
        <f aca="false">IF($A802="","",$A802+MOD(6-WEEKDAY($A802),7))</f>
        <v/>
      </c>
      <c r="S802" s="31" t="str">
        <f aca="false">IF($B802="","",IF(AND($M802='Invoice Builder'!$C$5,$Q802='Invoice Builder'!$C$6,N($N802)&gt;0),COUNTIFS($M$5:$M802,'Invoice Builder'!$C$5,$Q$5:$Q802,'Invoice Builder'!$C$6,$N$5:$N802,"&gt;0"),""))</f>
        <v/>
      </c>
      <c r="T802" s="27" t="str">
        <f aca="false">IF($A802="","",IF($A802&gt;=DATE(YEAR($A802),4,6),YEAR($A802)&amp;"/"&amp;RIGHT(YEAR($A802)+1,2),YEAR($A802)-1&amp;"/"&amp;RIGHT(YEAR($A802),2)))</f>
        <v/>
      </c>
    </row>
    <row r="803" customFormat="false" ht="15" hidden="false" customHeight="false" outlineLevel="0" collapsed="false">
      <c r="A803" s="22"/>
      <c r="B803" s="23"/>
      <c r="C803" s="23"/>
      <c r="D803" s="23"/>
      <c r="E803" s="24"/>
      <c r="F803" s="24"/>
      <c r="G803" s="23"/>
      <c r="H803" s="23"/>
      <c r="I803" s="25"/>
      <c r="J803" s="23"/>
      <c r="K803" s="23"/>
      <c r="L803" s="26" t="str">
        <f aca="false">IF(OR($E803="",$F803=""),"",MOD($F803-$E803,1)*24)</f>
        <v/>
      </c>
      <c r="M803" s="27" t="str">
        <f aca="false">IF($B803="","",IFERROR(INDEX(Properties!$D$5:$D$104,MATCH($B803,Properties!$A$5:$A$104,0)),"?"))</f>
        <v/>
      </c>
      <c r="N803" s="28" t="str">
        <f aca="false">IF($B803="","",IFERROR(IF($D803="Completed",INDEX(Properties!$I$5:$I$104,MATCH($B803,Properties!$A$5:$A$104,0))*(1+IF($G803="Y",Settings!$B$8,0))+IF($H803="Y",Settings!$B$7,0)+N($I803),IF($D803="Deep clean",INDEX(Settings!$E$22:$E$26,MATCH(MIN(INDEX(Properties!$E$5:$E$104,MATCH($B803,Properties!$A$5:$A$104,0)),4),Settings!$A$22:$A$26,0))+N($I803),IF($D803="Late cancel",INDEX(Properties!$I$5:$I$104,MATCH($B803,Properties!$A$5:$A$104,0))*Settings!$B$10,0))),0))</f>
        <v/>
      </c>
      <c r="O803" s="28" t="str">
        <f aca="false">IF($B803="","",IFERROR(IF($D803="Completed",INDEX(Properties!$L$5:$L$104,MATCH($B803,Properties!$A$5:$A$104,0))+IF($G803="Y",INDEX(Properties!$I$5:$I$104,MATCH($B803,Properties!$A$5:$A$104,0))*Settings!$B$8*Settings!$B$9,0)+IF($H803="Y",Settings!$B$7*Settings!$B$9,0)+N($I803)*Settings!$B$9,IF($D803="Deep clean",INDEX(Settings!$E$22:$E$26,MATCH(MIN(INDEX(Properties!$E$5:$E$104,MATCH($B803,Properties!$A$5:$A$104,0)),4),Settings!$A$22:$A$26,0))*Settings!$B$19+N($I803)*Settings!$B$9,IF($D803="Late cancel",INDEX(Properties!$L$5:$L$104,MATCH($B803,Properties!$A$5:$A$104,0))*Settings!$B$11,0))),0))</f>
        <v/>
      </c>
      <c r="P803" s="28" t="str">
        <f aca="false">IF($B803="","",$N803-$O803)</f>
        <v/>
      </c>
      <c r="Q803" s="29" t="str">
        <f aca="false">IF($A803="","",DATE(YEAR($A803),MONTH($A803),1))</f>
        <v/>
      </c>
      <c r="R803" s="30" t="str">
        <f aca="false">IF($A803="","",$A803+MOD(6-WEEKDAY($A803),7))</f>
        <v/>
      </c>
      <c r="S803" s="31" t="str">
        <f aca="false">IF($B803="","",IF(AND($M803='Invoice Builder'!$C$5,$Q803='Invoice Builder'!$C$6,N($N803)&gt;0),COUNTIFS($M$5:$M803,'Invoice Builder'!$C$5,$Q$5:$Q803,'Invoice Builder'!$C$6,$N$5:$N803,"&gt;0"),""))</f>
        <v/>
      </c>
      <c r="T803" s="27" t="str">
        <f aca="false">IF($A803="","",IF($A803&gt;=DATE(YEAR($A803),4,6),YEAR($A803)&amp;"/"&amp;RIGHT(YEAR($A803)+1,2),YEAR($A803)-1&amp;"/"&amp;RIGHT(YEAR($A803),2)))</f>
        <v/>
      </c>
    </row>
    <row r="804" customFormat="false" ht="15" hidden="false" customHeight="false" outlineLevel="0" collapsed="false">
      <c r="A804" s="22"/>
      <c r="B804" s="23"/>
      <c r="C804" s="23"/>
      <c r="D804" s="23"/>
      <c r="E804" s="24"/>
      <c r="F804" s="24"/>
      <c r="G804" s="23"/>
      <c r="H804" s="23"/>
      <c r="I804" s="25"/>
      <c r="J804" s="23"/>
      <c r="K804" s="23"/>
      <c r="L804" s="26" t="str">
        <f aca="false">IF(OR($E804="",$F804=""),"",MOD($F804-$E804,1)*24)</f>
        <v/>
      </c>
      <c r="M804" s="27" t="str">
        <f aca="false">IF($B804="","",IFERROR(INDEX(Properties!$D$5:$D$104,MATCH($B804,Properties!$A$5:$A$104,0)),"?"))</f>
        <v/>
      </c>
      <c r="N804" s="28" t="str">
        <f aca="false">IF($B804="","",IFERROR(IF($D804="Completed",INDEX(Properties!$I$5:$I$104,MATCH($B804,Properties!$A$5:$A$104,0))*(1+IF($G804="Y",Settings!$B$8,0))+IF($H804="Y",Settings!$B$7,0)+N($I804),IF($D804="Deep clean",INDEX(Settings!$E$22:$E$26,MATCH(MIN(INDEX(Properties!$E$5:$E$104,MATCH($B804,Properties!$A$5:$A$104,0)),4),Settings!$A$22:$A$26,0))+N($I804),IF($D804="Late cancel",INDEX(Properties!$I$5:$I$104,MATCH($B804,Properties!$A$5:$A$104,0))*Settings!$B$10,0))),0))</f>
        <v/>
      </c>
      <c r="O804" s="28" t="str">
        <f aca="false">IF($B804="","",IFERROR(IF($D804="Completed",INDEX(Properties!$L$5:$L$104,MATCH($B804,Properties!$A$5:$A$104,0))+IF($G804="Y",INDEX(Properties!$I$5:$I$104,MATCH($B804,Properties!$A$5:$A$104,0))*Settings!$B$8*Settings!$B$9,0)+IF($H804="Y",Settings!$B$7*Settings!$B$9,0)+N($I804)*Settings!$B$9,IF($D804="Deep clean",INDEX(Settings!$E$22:$E$26,MATCH(MIN(INDEX(Properties!$E$5:$E$104,MATCH($B804,Properties!$A$5:$A$104,0)),4),Settings!$A$22:$A$26,0))*Settings!$B$19+N($I804)*Settings!$B$9,IF($D804="Late cancel",INDEX(Properties!$L$5:$L$104,MATCH($B804,Properties!$A$5:$A$104,0))*Settings!$B$11,0))),0))</f>
        <v/>
      </c>
      <c r="P804" s="28" t="str">
        <f aca="false">IF($B804="","",$N804-$O804)</f>
        <v/>
      </c>
      <c r="Q804" s="29" t="str">
        <f aca="false">IF($A804="","",DATE(YEAR($A804),MONTH($A804),1))</f>
        <v/>
      </c>
      <c r="R804" s="30" t="str">
        <f aca="false">IF($A804="","",$A804+MOD(6-WEEKDAY($A804),7))</f>
        <v/>
      </c>
      <c r="S804" s="31" t="str">
        <f aca="false">IF($B804="","",IF(AND($M804='Invoice Builder'!$C$5,$Q804='Invoice Builder'!$C$6,N($N804)&gt;0),COUNTIFS($M$5:$M804,'Invoice Builder'!$C$5,$Q$5:$Q804,'Invoice Builder'!$C$6,$N$5:$N804,"&gt;0"),""))</f>
        <v/>
      </c>
      <c r="T804" s="27" t="str">
        <f aca="false">IF($A804="","",IF($A804&gt;=DATE(YEAR($A804),4,6),YEAR($A804)&amp;"/"&amp;RIGHT(YEAR($A804)+1,2),YEAR($A804)-1&amp;"/"&amp;RIGHT(YEAR($A804),2)))</f>
        <v/>
      </c>
    </row>
    <row r="805" customFormat="false" ht="15" hidden="false" customHeight="false" outlineLevel="0" collapsed="false">
      <c r="A805" s="22"/>
      <c r="B805" s="23"/>
      <c r="C805" s="23"/>
      <c r="D805" s="23"/>
      <c r="E805" s="24"/>
      <c r="F805" s="24"/>
      <c r="G805" s="23"/>
      <c r="H805" s="23"/>
      <c r="I805" s="25"/>
      <c r="J805" s="23"/>
      <c r="K805" s="23"/>
      <c r="L805" s="26" t="str">
        <f aca="false">IF(OR($E805="",$F805=""),"",MOD($F805-$E805,1)*24)</f>
        <v/>
      </c>
      <c r="M805" s="27" t="str">
        <f aca="false">IF($B805="","",IFERROR(INDEX(Properties!$D$5:$D$104,MATCH($B805,Properties!$A$5:$A$104,0)),"?"))</f>
        <v/>
      </c>
      <c r="N805" s="28" t="str">
        <f aca="false">IF($B805="","",IFERROR(IF($D805="Completed",INDEX(Properties!$I$5:$I$104,MATCH($B805,Properties!$A$5:$A$104,0))*(1+IF($G805="Y",Settings!$B$8,0))+IF($H805="Y",Settings!$B$7,0)+N($I805),IF($D805="Deep clean",INDEX(Settings!$E$22:$E$26,MATCH(MIN(INDEX(Properties!$E$5:$E$104,MATCH($B805,Properties!$A$5:$A$104,0)),4),Settings!$A$22:$A$26,0))+N($I805),IF($D805="Late cancel",INDEX(Properties!$I$5:$I$104,MATCH($B805,Properties!$A$5:$A$104,0))*Settings!$B$10,0))),0))</f>
        <v/>
      </c>
      <c r="O805" s="28" t="str">
        <f aca="false">IF($B805="","",IFERROR(IF($D805="Completed",INDEX(Properties!$L$5:$L$104,MATCH($B805,Properties!$A$5:$A$104,0))+IF($G805="Y",INDEX(Properties!$I$5:$I$104,MATCH($B805,Properties!$A$5:$A$104,0))*Settings!$B$8*Settings!$B$9,0)+IF($H805="Y",Settings!$B$7*Settings!$B$9,0)+N($I805)*Settings!$B$9,IF($D805="Deep clean",INDEX(Settings!$E$22:$E$26,MATCH(MIN(INDEX(Properties!$E$5:$E$104,MATCH($B805,Properties!$A$5:$A$104,0)),4),Settings!$A$22:$A$26,0))*Settings!$B$19+N($I805)*Settings!$B$9,IF($D805="Late cancel",INDEX(Properties!$L$5:$L$104,MATCH($B805,Properties!$A$5:$A$104,0))*Settings!$B$11,0))),0))</f>
        <v/>
      </c>
      <c r="P805" s="28" t="str">
        <f aca="false">IF($B805="","",$N805-$O805)</f>
        <v/>
      </c>
      <c r="Q805" s="29" t="str">
        <f aca="false">IF($A805="","",DATE(YEAR($A805),MONTH($A805),1))</f>
        <v/>
      </c>
      <c r="R805" s="30" t="str">
        <f aca="false">IF($A805="","",$A805+MOD(6-WEEKDAY($A805),7))</f>
        <v/>
      </c>
      <c r="S805" s="31" t="str">
        <f aca="false">IF($B805="","",IF(AND($M805='Invoice Builder'!$C$5,$Q805='Invoice Builder'!$C$6,N($N805)&gt;0),COUNTIFS($M$5:$M805,'Invoice Builder'!$C$5,$Q$5:$Q805,'Invoice Builder'!$C$6,$N$5:$N805,"&gt;0"),""))</f>
        <v/>
      </c>
      <c r="T805" s="27" t="str">
        <f aca="false">IF($A805="","",IF($A805&gt;=DATE(YEAR($A805),4,6),YEAR($A805)&amp;"/"&amp;RIGHT(YEAR($A805)+1,2),YEAR($A805)-1&amp;"/"&amp;RIGHT(YEAR($A805),2)))</f>
        <v/>
      </c>
    </row>
    <row r="806" customFormat="false" ht="15" hidden="false" customHeight="false" outlineLevel="0" collapsed="false">
      <c r="A806" s="22"/>
      <c r="B806" s="23"/>
      <c r="C806" s="23"/>
      <c r="D806" s="23"/>
      <c r="E806" s="24"/>
      <c r="F806" s="24"/>
      <c r="G806" s="23"/>
      <c r="H806" s="23"/>
      <c r="I806" s="25"/>
      <c r="J806" s="23"/>
      <c r="K806" s="23"/>
      <c r="L806" s="26" t="str">
        <f aca="false">IF(OR($E806="",$F806=""),"",MOD($F806-$E806,1)*24)</f>
        <v/>
      </c>
      <c r="M806" s="27" t="str">
        <f aca="false">IF($B806="","",IFERROR(INDEX(Properties!$D$5:$D$104,MATCH($B806,Properties!$A$5:$A$104,0)),"?"))</f>
        <v/>
      </c>
      <c r="N806" s="28" t="str">
        <f aca="false">IF($B806="","",IFERROR(IF($D806="Completed",INDEX(Properties!$I$5:$I$104,MATCH($B806,Properties!$A$5:$A$104,0))*(1+IF($G806="Y",Settings!$B$8,0))+IF($H806="Y",Settings!$B$7,0)+N($I806),IF($D806="Deep clean",INDEX(Settings!$E$22:$E$26,MATCH(MIN(INDEX(Properties!$E$5:$E$104,MATCH($B806,Properties!$A$5:$A$104,0)),4),Settings!$A$22:$A$26,0))+N($I806),IF($D806="Late cancel",INDEX(Properties!$I$5:$I$104,MATCH($B806,Properties!$A$5:$A$104,0))*Settings!$B$10,0))),0))</f>
        <v/>
      </c>
      <c r="O806" s="28" t="str">
        <f aca="false">IF($B806="","",IFERROR(IF($D806="Completed",INDEX(Properties!$L$5:$L$104,MATCH($B806,Properties!$A$5:$A$104,0))+IF($G806="Y",INDEX(Properties!$I$5:$I$104,MATCH($B806,Properties!$A$5:$A$104,0))*Settings!$B$8*Settings!$B$9,0)+IF($H806="Y",Settings!$B$7*Settings!$B$9,0)+N($I806)*Settings!$B$9,IF($D806="Deep clean",INDEX(Settings!$E$22:$E$26,MATCH(MIN(INDEX(Properties!$E$5:$E$104,MATCH($B806,Properties!$A$5:$A$104,0)),4),Settings!$A$22:$A$26,0))*Settings!$B$19+N($I806)*Settings!$B$9,IF($D806="Late cancel",INDEX(Properties!$L$5:$L$104,MATCH($B806,Properties!$A$5:$A$104,0))*Settings!$B$11,0))),0))</f>
        <v/>
      </c>
      <c r="P806" s="28" t="str">
        <f aca="false">IF($B806="","",$N806-$O806)</f>
        <v/>
      </c>
      <c r="Q806" s="29" t="str">
        <f aca="false">IF($A806="","",DATE(YEAR($A806),MONTH($A806),1))</f>
        <v/>
      </c>
      <c r="R806" s="30" t="str">
        <f aca="false">IF($A806="","",$A806+MOD(6-WEEKDAY($A806),7))</f>
        <v/>
      </c>
      <c r="S806" s="31" t="str">
        <f aca="false">IF($B806="","",IF(AND($M806='Invoice Builder'!$C$5,$Q806='Invoice Builder'!$C$6,N($N806)&gt;0),COUNTIFS($M$5:$M806,'Invoice Builder'!$C$5,$Q$5:$Q806,'Invoice Builder'!$C$6,$N$5:$N806,"&gt;0"),""))</f>
        <v/>
      </c>
      <c r="T806" s="27" t="str">
        <f aca="false">IF($A806="","",IF($A806&gt;=DATE(YEAR($A806),4,6),YEAR($A806)&amp;"/"&amp;RIGHT(YEAR($A806)+1,2),YEAR($A806)-1&amp;"/"&amp;RIGHT(YEAR($A806),2)))</f>
        <v/>
      </c>
    </row>
    <row r="807" customFormat="false" ht="15" hidden="false" customHeight="false" outlineLevel="0" collapsed="false">
      <c r="A807" s="22"/>
      <c r="B807" s="23"/>
      <c r="C807" s="23"/>
      <c r="D807" s="23"/>
      <c r="E807" s="24"/>
      <c r="F807" s="24"/>
      <c r="G807" s="23"/>
      <c r="H807" s="23"/>
      <c r="I807" s="25"/>
      <c r="J807" s="23"/>
      <c r="K807" s="23"/>
      <c r="L807" s="26" t="str">
        <f aca="false">IF(OR($E807="",$F807=""),"",MOD($F807-$E807,1)*24)</f>
        <v/>
      </c>
      <c r="M807" s="27" t="str">
        <f aca="false">IF($B807="","",IFERROR(INDEX(Properties!$D$5:$D$104,MATCH($B807,Properties!$A$5:$A$104,0)),"?"))</f>
        <v/>
      </c>
      <c r="N807" s="28" t="str">
        <f aca="false">IF($B807="","",IFERROR(IF($D807="Completed",INDEX(Properties!$I$5:$I$104,MATCH($B807,Properties!$A$5:$A$104,0))*(1+IF($G807="Y",Settings!$B$8,0))+IF($H807="Y",Settings!$B$7,0)+N($I807),IF($D807="Deep clean",INDEX(Settings!$E$22:$E$26,MATCH(MIN(INDEX(Properties!$E$5:$E$104,MATCH($B807,Properties!$A$5:$A$104,0)),4),Settings!$A$22:$A$26,0))+N($I807),IF($D807="Late cancel",INDEX(Properties!$I$5:$I$104,MATCH($B807,Properties!$A$5:$A$104,0))*Settings!$B$10,0))),0))</f>
        <v/>
      </c>
      <c r="O807" s="28" t="str">
        <f aca="false">IF($B807="","",IFERROR(IF($D807="Completed",INDEX(Properties!$L$5:$L$104,MATCH($B807,Properties!$A$5:$A$104,0))+IF($G807="Y",INDEX(Properties!$I$5:$I$104,MATCH($B807,Properties!$A$5:$A$104,0))*Settings!$B$8*Settings!$B$9,0)+IF($H807="Y",Settings!$B$7*Settings!$B$9,0)+N($I807)*Settings!$B$9,IF($D807="Deep clean",INDEX(Settings!$E$22:$E$26,MATCH(MIN(INDEX(Properties!$E$5:$E$104,MATCH($B807,Properties!$A$5:$A$104,0)),4),Settings!$A$22:$A$26,0))*Settings!$B$19+N($I807)*Settings!$B$9,IF($D807="Late cancel",INDEX(Properties!$L$5:$L$104,MATCH($B807,Properties!$A$5:$A$104,0))*Settings!$B$11,0))),0))</f>
        <v/>
      </c>
      <c r="P807" s="28" t="str">
        <f aca="false">IF($B807="","",$N807-$O807)</f>
        <v/>
      </c>
      <c r="Q807" s="29" t="str">
        <f aca="false">IF($A807="","",DATE(YEAR($A807),MONTH($A807),1))</f>
        <v/>
      </c>
      <c r="R807" s="30" t="str">
        <f aca="false">IF($A807="","",$A807+MOD(6-WEEKDAY($A807),7))</f>
        <v/>
      </c>
      <c r="S807" s="31" t="str">
        <f aca="false">IF($B807="","",IF(AND($M807='Invoice Builder'!$C$5,$Q807='Invoice Builder'!$C$6,N($N807)&gt;0),COUNTIFS($M$5:$M807,'Invoice Builder'!$C$5,$Q$5:$Q807,'Invoice Builder'!$C$6,$N$5:$N807,"&gt;0"),""))</f>
        <v/>
      </c>
      <c r="T807" s="27" t="str">
        <f aca="false">IF($A807="","",IF($A807&gt;=DATE(YEAR($A807),4,6),YEAR($A807)&amp;"/"&amp;RIGHT(YEAR($A807)+1,2),YEAR($A807)-1&amp;"/"&amp;RIGHT(YEAR($A807),2)))</f>
        <v/>
      </c>
    </row>
    <row r="808" customFormat="false" ht="15" hidden="false" customHeight="false" outlineLevel="0" collapsed="false">
      <c r="A808" s="22"/>
      <c r="B808" s="23"/>
      <c r="C808" s="23"/>
      <c r="D808" s="23"/>
      <c r="E808" s="24"/>
      <c r="F808" s="24"/>
      <c r="G808" s="23"/>
      <c r="H808" s="23"/>
      <c r="I808" s="25"/>
      <c r="J808" s="23"/>
      <c r="K808" s="23"/>
      <c r="L808" s="26" t="str">
        <f aca="false">IF(OR($E808="",$F808=""),"",MOD($F808-$E808,1)*24)</f>
        <v/>
      </c>
      <c r="M808" s="27" t="str">
        <f aca="false">IF($B808="","",IFERROR(INDEX(Properties!$D$5:$D$104,MATCH($B808,Properties!$A$5:$A$104,0)),"?"))</f>
        <v/>
      </c>
      <c r="N808" s="28" t="str">
        <f aca="false">IF($B808="","",IFERROR(IF($D808="Completed",INDEX(Properties!$I$5:$I$104,MATCH($B808,Properties!$A$5:$A$104,0))*(1+IF($G808="Y",Settings!$B$8,0))+IF($H808="Y",Settings!$B$7,0)+N($I808),IF($D808="Deep clean",INDEX(Settings!$E$22:$E$26,MATCH(MIN(INDEX(Properties!$E$5:$E$104,MATCH($B808,Properties!$A$5:$A$104,0)),4),Settings!$A$22:$A$26,0))+N($I808),IF($D808="Late cancel",INDEX(Properties!$I$5:$I$104,MATCH($B808,Properties!$A$5:$A$104,0))*Settings!$B$10,0))),0))</f>
        <v/>
      </c>
      <c r="O808" s="28" t="str">
        <f aca="false">IF($B808="","",IFERROR(IF($D808="Completed",INDEX(Properties!$L$5:$L$104,MATCH($B808,Properties!$A$5:$A$104,0))+IF($G808="Y",INDEX(Properties!$I$5:$I$104,MATCH($B808,Properties!$A$5:$A$104,0))*Settings!$B$8*Settings!$B$9,0)+IF($H808="Y",Settings!$B$7*Settings!$B$9,0)+N($I808)*Settings!$B$9,IF($D808="Deep clean",INDEX(Settings!$E$22:$E$26,MATCH(MIN(INDEX(Properties!$E$5:$E$104,MATCH($B808,Properties!$A$5:$A$104,0)),4),Settings!$A$22:$A$26,0))*Settings!$B$19+N($I808)*Settings!$B$9,IF($D808="Late cancel",INDEX(Properties!$L$5:$L$104,MATCH($B808,Properties!$A$5:$A$104,0))*Settings!$B$11,0))),0))</f>
        <v/>
      </c>
      <c r="P808" s="28" t="str">
        <f aca="false">IF($B808="","",$N808-$O808)</f>
        <v/>
      </c>
      <c r="Q808" s="29" t="str">
        <f aca="false">IF($A808="","",DATE(YEAR($A808),MONTH($A808),1))</f>
        <v/>
      </c>
      <c r="R808" s="30" t="str">
        <f aca="false">IF($A808="","",$A808+MOD(6-WEEKDAY($A808),7))</f>
        <v/>
      </c>
      <c r="S808" s="31" t="str">
        <f aca="false">IF($B808="","",IF(AND($M808='Invoice Builder'!$C$5,$Q808='Invoice Builder'!$C$6,N($N808)&gt;0),COUNTIFS($M$5:$M808,'Invoice Builder'!$C$5,$Q$5:$Q808,'Invoice Builder'!$C$6,$N$5:$N808,"&gt;0"),""))</f>
        <v/>
      </c>
      <c r="T808" s="27" t="str">
        <f aca="false">IF($A808="","",IF($A808&gt;=DATE(YEAR($A808),4,6),YEAR($A808)&amp;"/"&amp;RIGHT(YEAR($A808)+1,2),YEAR($A808)-1&amp;"/"&amp;RIGHT(YEAR($A808),2)))</f>
        <v/>
      </c>
    </row>
    <row r="809" customFormat="false" ht="15" hidden="false" customHeight="false" outlineLevel="0" collapsed="false">
      <c r="A809" s="22"/>
      <c r="B809" s="23"/>
      <c r="C809" s="23"/>
      <c r="D809" s="23"/>
      <c r="E809" s="24"/>
      <c r="F809" s="24"/>
      <c r="G809" s="23"/>
      <c r="H809" s="23"/>
      <c r="I809" s="25"/>
      <c r="J809" s="23"/>
      <c r="K809" s="23"/>
      <c r="L809" s="26" t="str">
        <f aca="false">IF(OR($E809="",$F809=""),"",MOD($F809-$E809,1)*24)</f>
        <v/>
      </c>
      <c r="M809" s="27" t="str">
        <f aca="false">IF($B809="","",IFERROR(INDEX(Properties!$D$5:$D$104,MATCH($B809,Properties!$A$5:$A$104,0)),"?"))</f>
        <v/>
      </c>
      <c r="N809" s="28" t="str">
        <f aca="false">IF($B809="","",IFERROR(IF($D809="Completed",INDEX(Properties!$I$5:$I$104,MATCH($B809,Properties!$A$5:$A$104,0))*(1+IF($G809="Y",Settings!$B$8,0))+IF($H809="Y",Settings!$B$7,0)+N($I809),IF($D809="Deep clean",INDEX(Settings!$E$22:$E$26,MATCH(MIN(INDEX(Properties!$E$5:$E$104,MATCH($B809,Properties!$A$5:$A$104,0)),4),Settings!$A$22:$A$26,0))+N($I809),IF($D809="Late cancel",INDEX(Properties!$I$5:$I$104,MATCH($B809,Properties!$A$5:$A$104,0))*Settings!$B$10,0))),0))</f>
        <v/>
      </c>
      <c r="O809" s="28" t="str">
        <f aca="false">IF($B809="","",IFERROR(IF($D809="Completed",INDEX(Properties!$L$5:$L$104,MATCH($B809,Properties!$A$5:$A$104,0))+IF($G809="Y",INDEX(Properties!$I$5:$I$104,MATCH($B809,Properties!$A$5:$A$104,0))*Settings!$B$8*Settings!$B$9,0)+IF($H809="Y",Settings!$B$7*Settings!$B$9,0)+N($I809)*Settings!$B$9,IF($D809="Deep clean",INDEX(Settings!$E$22:$E$26,MATCH(MIN(INDEX(Properties!$E$5:$E$104,MATCH($B809,Properties!$A$5:$A$104,0)),4),Settings!$A$22:$A$26,0))*Settings!$B$19+N($I809)*Settings!$B$9,IF($D809="Late cancel",INDEX(Properties!$L$5:$L$104,MATCH($B809,Properties!$A$5:$A$104,0))*Settings!$B$11,0))),0))</f>
        <v/>
      </c>
      <c r="P809" s="28" t="str">
        <f aca="false">IF($B809="","",$N809-$O809)</f>
        <v/>
      </c>
      <c r="Q809" s="29" t="str">
        <f aca="false">IF($A809="","",DATE(YEAR($A809),MONTH($A809),1))</f>
        <v/>
      </c>
      <c r="R809" s="30" t="str">
        <f aca="false">IF($A809="","",$A809+MOD(6-WEEKDAY($A809),7))</f>
        <v/>
      </c>
      <c r="S809" s="31" t="str">
        <f aca="false">IF($B809="","",IF(AND($M809='Invoice Builder'!$C$5,$Q809='Invoice Builder'!$C$6,N($N809)&gt;0),COUNTIFS($M$5:$M809,'Invoice Builder'!$C$5,$Q$5:$Q809,'Invoice Builder'!$C$6,$N$5:$N809,"&gt;0"),""))</f>
        <v/>
      </c>
      <c r="T809" s="27" t="str">
        <f aca="false">IF($A809="","",IF($A809&gt;=DATE(YEAR($A809),4,6),YEAR($A809)&amp;"/"&amp;RIGHT(YEAR($A809)+1,2),YEAR($A809)-1&amp;"/"&amp;RIGHT(YEAR($A809),2)))</f>
        <v/>
      </c>
    </row>
    <row r="810" customFormat="false" ht="15" hidden="false" customHeight="false" outlineLevel="0" collapsed="false">
      <c r="A810" s="22"/>
      <c r="B810" s="23"/>
      <c r="C810" s="23"/>
      <c r="D810" s="23"/>
      <c r="E810" s="24"/>
      <c r="F810" s="24"/>
      <c r="G810" s="23"/>
      <c r="H810" s="23"/>
      <c r="I810" s="25"/>
      <c r="J810" s="23"/>
      <c r="K810" s="23"/>
      <c r="L810" s="26" t="str">
        <f aca="false">IF(OR($E810="",$F810=""),"",MOD($F810-$E810,1)*24)</f>
        <v/>
      </c>
      <c r="M810" s="27" t="str">
        <f aca="false">IF($B810="","",IFERROR(INDEX(Properties!$D$5:$D$104,MATCH($B810,Properties!$A$5:$A$104,0)),"?"))</f>
        <v/>
      </c>
      <c r="N810" s="28" t="str">
        <f aca="false">IF($B810="","",IFERROR(IF($D810="Completed",INDEX(Properties!$I$5:$I$104,MATCH($B810,Properties!$A$5:$A$104,0))*(1+IF($G810="Y",Settings!$B$8,0))+IF($H810="Y",Settings!$B$7,0)+N($I810),IF($D810="Deep clean",INDEX(Settings!$E$22:$E$26,MATCH(MIN(INDEX(Properties!$E$5:$E$104,MATCH($B810,Properties!$A$5:$A$104,0)),4),Settings!$A$22:$A$26,0))+N($I810),IF($D810="Late cancel",INDEX(Properties!$I$5:$I$104,MATCH($B810,Properties!$A$5:$A$104,0))*Settings!$B$10,0))),0))</f>
        <v/>
      </c>
      <c r="O810" s="28" t="str">
        <f aca="false">IF($B810="","",IFERROR(IF($D810="Completed",INDEX(Properties!$L$5:$L$104,MATCH($B810,Properties!$A$5:$A$104,0))+IF($G810="Y",INDEX(Properties!$I$5:$I$104,MATCH($B810,Properties!$A$5:$A$104,0))*Settings!$B$8*Settings!$B$9,0)+IF($H810="Y",Settings!$B$7*Settings!$B$9,0)+N($I810)*Settings!$B$9,IF($D810="Deep clean",INDEX(Settings!$E$22:$E$26,MATCH(MIN(INDEX(Properties!$E$5:$E$104,MATCH($B810,Properties!$A$5:$A$104,0)),4),Settings!$A$22:$A$26,0))*Settings!$B$19+N($I810)*Settings!$B$9,IF($D810="Late cancel",INDEX(Properties!$L$5:$L$104,MATCH($B810,Properties!$A$5:$A$104,0))*Settings!$B$11,0))),0))</f>
        <v/>
      </c>
      <c r="P810" s="28" t="str">
        <f aca="false">IF($B810="","",$N810-$O810)</f>
        <v/>
      </c>
      <c r="Q810" s="29" t="str">
        <f aca="false">IF($A810="","",DATE(YEAR($A810),MONTH($A810),1))</f>
        <v/>
      </c>
      <c r="R810" s="30" t="str">
        <f aca="false">IF($A810="","",$A810+MOD(6-WEEKDAY($A810),7))</f>
        <v/>
      </c>
      <c r="S810" s="31" t="str">
        <f aca="false">IF($B810="","",IF(AND($M810='Invoice Builder'!$C$5,$Q810='Invoice Builder'!$C$6,N($N810)&gt;0),COUNTIFS($M$5:$M810,'Invoice Builder'!$C$5,$Q$5:$Q810,'Invoice Builder'!$C$6,$N$5:$N810,"&gt;0"),""))</f>
        <v/>
      </c>
      <c r="T810" s="27" t="str">
        <f aca="false">IF($A810="","",IF($A810&gt;=DATE(YEAR($A810),4,6),YEAR($A810)&amp;"/"&amp;RIGHT(YEAR($A810)+1,2),YEAR($A810)-1&amp;"/"&amp;RIGHT(YEAR($A810),2)))</f>
        <v/>
      </c>
    </row>
    <row r="811" customFormat="false" ht="15" hidden="false" customHeight="false" outlineLevel="0" collapsed="false">
      <c r="A811" s="22"/>
      <c r="B811" s="23"/>
      <c r="C811" s="23"/>
      <c r="D811" s="23"/>
      <c r="E811" s="24"/>
      <c r="F811" s="24"/>
      <c r="G811" s="23"/>
      <c r="H811" s="23"/>
      <c r="I811" s="25"/>
      <c r="J811" s="23"/>
      <c r="K811" s="23"/>
      <c r="L811" s="26" t="str">
        <f aca="false">IF(OR($E811="",$F811=""),"",MOD($F811-$E811,1)*24)</f>
        <v/>
      </c>
      <c r="M811" s="27" t="str">
        <f aca="false">IF($B811="","",IFERROR(INDEX(Properties!$D$5:$D$104,MATCH($B811,Properties!$A$5:$A$104,0)),"?"))</f>
        <v/>
      </c>
      <c r="N811" s="28" t="str">
        <f aca="false">IF($B811="","",IFERROR(IF($D811="Completed",INDEX(Properties!$I$5:$I$104,MATCH($B811,Properties!$A$5:$A$104,0))*(1+IF($G811="Y",Settings!$B$8,0))+IF($H811="Y",Settings!$B$7,0)+N($I811),IF($D811="Deep clean",INDEX(Settings!$E$22:$E$26,MATCH(MIN(INDEX(Properties!$E$5:$E$104,MATCH($B811,Properties!$A$5:$A$104,0)),4),Settings!$A$22:$A$26,0))+N($I811),IF($D811="Late cancel",INDEX(Properties!$I$5:$I$104,MATCH($B811,Properties!$A$5:$A$104,0))*Settings!$B$10,0))),0))</f>
        <v/>
      </c>
      <c r="O811" s="28" t="str">
        <f aca="false">IF($B811="","",IFERROR(IF($D811="Completed",INDEX(Properties!$L$5:$L$104,MATCH($B811,Properties!$A$5:$A$104,0))+IF($G811="Y",INDEX(Properties!$I$5:$I$104,MATCH($B811,Properties!$A$5:$A$104,0))*Settings!$B$8*Settings!$B$9,0)+IF($H811="Y",Settings!$B$7*Settings!$B$9,0)+N($I811)*Settings!$B$9,IF($D811="Deep clean",INDEX(Settings!$E$22:$E$26,MATCH(MIN(INDEX(Properties!$E$5:$E$104,MATCH($B811,Properties!$A$5:$A$104,0)),4),Settings!$A$22:$A$26,0))*Settings!$B$19+N($I811)*Settings!$B$9,IF($D811="Late cancel",INDEX(Properties!$L$5:$L$104,MATCH($B811,Properties!$A$5:$A$104,0))*Settings!$B$11,0))),0))</f>
        <v/>
      </c>
      <c r="P811" s="28" t="str">
        <f aca="false">IF($B811="","",$N811-$O811)</f>
        <v/>
      </c>
      <c r="Q811" s="29" t="str">
        <f aca="false">IF($A811="","",DATE(YEAR($A811),MONTH($A811),1))</f>
        <v/>
      </c>
      <c r="R811" s="30" t="str">
        <f aca="false">IF($A811="","",$A811+MOD(6-WEEKDAY($A811),7))</f>
        <v/>
      </c>
      <c r="S811" s="31" t="str">
        <f aca="false">IF($B811="","",IF(AND($M811='Invoice Builder'!$C$5,$Q811='Invoice Builder'!$C$6,N($N811)&gt;0),COUNTIFS($M$5:$M811,'Invoice Builder'!$C$5,$Q$5:$Q811,'Invoice Builder'!$C$6,$N$5:$N811,"&gt;0"),""))</f>
        <v/>
      </c>
      <c r="T811" s="27" t="str">
        <f aca="false">IF($A811="","",IF($A811&gt;=DATE(YEAR($A811),4,6),YEAR($A811)&amp;"/"&amp;RIGHT(YEAR($A811)+1,2),YEAR($A811)-1&amp;"/"&amp;RIGHT(YEAR($A811),2)))</f>
        <v/>
      </c>
    </row>
    <row r="812" customFormat="false" ht="15" hidden="false" customHeight="false" outlineLevel="0" collapsed="false">
      <c r="A812" s="22"/>
      <c r="B812" s="23"/>
      <c r="C812" s="23"/>
      <c r="D812" s="23"/>
      <c r="E812" s="24"/>
      <c r="F812" s="24"/>
      <c r="G812" s="23"/>
      <c r="H812" s="23"/>
      <c r="I812" s="25"/>
      <c r="J812" s="23"/>
      <c r="K812" s="23"/>
      <c r="L812" s="26" t="str">
        <f aca="false">IF(OR($E812="",$F812=""),"",MOD($F812-$E812,1)*24)</f>
        <v/>
      </c>
      <c r="M812" s="27" t="str">
        <f aca="false">IF($B812="","",IFERROR(INDEX(Properties!$D$5:$D$104,MATCH($B812,Properties!$A$5:$A$104,0)),"?"))</f>
        <v/>
      </c>
      <c r="N812" s="28" t="str">
        <f aca="false">IF($B812="","",IFERROR(IF($D812="Completed",INDEX(Properties!$I$5:$I$104,MATCH($B812,Properties!$A$5:$A$104,0))*(1+IF($G812="Y",Settings!$B$8,0))+IF($H812="Y",Settings!$B$7,0)+N($I812),IF($D812="Deep clean",INDEX(Settings!$E$22:$E$26,MATCH(MIN(INDEX(Properties!$E$5:$E$104,MATCH($B812,Properties!$A$5:$A$104,0)),4),Settings!$A$22:$A$26,0))+N($I812),IF($D812="Late cancel",INDEX(Properties!$I$5:$I$104,MATCH($B812,Properties!$A$5:$A$104,0))*Settings!$B$10,0))),0))</f>
        <v/>
      </c>
      <c r="O812" s="28" t="str">
        <f aca="false">IF($B812="","",IFERROR(IF($D812="Completed",INDEX(Properties!$L$5:$L$104,MATCH($B812,Properties!$A$5:$A$104,0))+IF($G812="Y",INDEX(Properties!$I$5:$I$104,MATCH($B812,Properties!$A$5:$A$104,0))*Settings!$B$8*Settings!$B$9,0)+IF($H812="Y",Settings!$B$7*Settings!$B$9,0)+N($I812)*Settings!$B$9,IF($D812="Deep clean",INDEX(Settings!$E$22:$E$26,MATCH(MIN(INDEX(Properties!$E$5:$E$104,MATCH($B812,Properties!$A$5:$A$104,0)),4),Settings!$A$22:$A$26,0))*Settings!$B$19+N($I812)*Settings!$B$9,IF($D812="Late cancel",INDEX(Properties!$L$5:$L$104,MATCH($B812,Properties!$A$5:$A$104,0))*Settings!$B$11,0))),0))</f>
        <v/>
      </c>
      <c r="P812" s="28" t="str">
        <f aca="false">IF($B812="","",$N812-$O812)</f>
        <v/>
      </c>
      <c r="Q812" s="29" t="str">
        <f aca="false">IF($A812="","",DATE(YEAR($A812),MONTH($A812),1))</f>
        <v/>
      </c>
      <c r="R812" s="30" t="str">
        <f aca="false">IF($A812="","",$A812+MOD(6-WEEKDAY($A812),7))</f>
        <v/>
      </c>
      <c r="S812" s="31" t="str">
        <f aca="false">IF($B812="","",IF(AND($M812='Invoice Builder'!$C$5,$Q812='Invoice Builder'!$C$6,N($N812)&gt;0),COUNTIFS($M$5:$M812,'Invoice Builder'!$C$5,$Q$5:$Q812,'Invoice Builder'!$C$6,$N$5:$N812,"&gt;0"),""))</f>
        <v/>
      </c>
      <c r="T812" s="27" t="str">
        <f aca="false">IF($A812="","",IF($A812&gt;=DATE(YEAR($A812),4,6),YEAR($A812)&amp;"/"&amp;RIGHT(YEAR($A812)+1,2),YEAR($A812)-1&amp;"/"&amp;RIGHT(YEAR($A812),2)))</f>
        <v/>
      </c>
    </row>
    <row r="813" customFormat="false" ht="15" hidden="false" customHeight="false" outlineLevel="0" collapsed="false">
      <c r="A813" s="22"/>
      <c r="B813" s="23"/>
      <c r="C813" s="23"/>
      <c r="D813" s="23"/>
      <c r="E813" s="24"/>
      <c r="F813" s="24"/>
      <c r="G813" s="23"/>
      <c r="H813" s="23"/>
      <c r="I813" s="25"/>
      <c r="J813" s="23"/>
      <c r="K813" s="23"/>
      <c r="L813" s="26" t="str">
        <f aca="false">IF(OR($E813="",$F813=""),"",MOD($F813-$E813,1)*24)</f>
        <v/>
      </c>
      <c r="M813" s="27" t="str">
        <f aca="false">IF($B813="","",IFERROR(INDEX(Properties!$D$5:$D$104,MATCH($B813,Properties!$A$5:$A$104,0)),"?"))</f>
        <v/>
      </c>
      <c r="N813" s="28" t="str">
        <f aca="false">IF($B813="","",IFERROR(IF($D813="Completed",INDEX(Properties!$I$5:$I$104,MATCH($B813,Properties!$A$5:$A$104,0))*(1+IF($G813="Y",Settings!$B$8,0))+IF($H813="Y",Settings!$B$7,0)+N($I813),IF($D813="Deep clean",INDEX(Settings!$E$22:$E$26,MATCH(MIN(INDEX(Properties!$E$5:$E$104,MATCH($B813,Properties!$A$5:$A$104,0)),4),Settings!$A$22:$A$26,0))+N($I813),IF($D813="Late cancel",INDEX(Properties!$I$5:$I$104,MATCH($B813,Properties!$A$5:$A$104,0))*Settings!$B$10,0))),0))</f>
        <v/>
      </c>
      <c r="O813" s="28" t="str">
        <f aca="false">IF($B813="","",IFERROR(IF($D813="Completed",INDEX(Properties!$L$5:$L$104,MATCH($B813,Properties!$A$5:$A$104,0))+IF($G813="Y",INDEX(Properties!$I$5:$I$104,MATCH($B813,Properties!$A$5:$A$104,0))*Settings!$B$8*Settings!$B$9,0)+IF($H813="Y",Settings!$B$7*Settings!$B$9,0)+N($I813)*Settings!$B$9,IF($D813="Deep clean",INDEX(Settings!$E$22:$E$26,MATCH(MIN(INDEX(Properties!$E$5:$E$104,MATCH($B813,Properties!$A$5:$A$104,0)),4),Settings!$A$22:$A$26,0))*Settings!$B$19+N($I813)*Settings!$B$9,IF($D813="Late cancel",INDEX(Properties!$L$5:$L$104,MATCH($B813,Properties!$A$5:$A$104,0))*Settings!$B$11,0))),0))</f>
        <v/>
      </c>
      <c r="P813" s="28" t="str">
        <f aca="false">IF($B813="","",$N813-$O813)</f>
        <v/>
      </c>
      <c r="Q813" s="29" t="str">
        <f aca="false">IF($A813="","",DATE(YEAR($A813),MONTH($A813),1))</f>
        <v/>
      </c>
      <c r="R813" s="30" t="str">
        <f aca="false">IF($A813="","",$A813+MOD(6-WEEKDAY($A813),7))</f>
        <v/>
      </c>
      <c r="S813" s="31" t="str">
        <f aca="false">IF($B813="","",IF(AND($M813='Invoice Builder'!$C$5,$Q813='Invoice Builder'!$C$6,N($N813)&gt;0),COUNTIFS($M$5:$M813,'Invoice Builder'!$C$5,$Q$5:$Q813,'Invoice Builder'!$C$6,$N$5:$N813,"&gt;0"),""))</f>
        <v/>
      </c>
      <c r="T813" s="27" t="str">
        <f aca="false">IF($A813="","",IF($A813&gt;=DATE(YEAR($A813),4,6),YEAR($A813)&amp;"/"&amp;RIGHT(YEAR($A813)+1,2),YEAR($A813)-1&amp;"/"&amp;RIGHT(YEAR($A813),2)))</f>
        <v/>
      </c>
    </row>
    <row r="814" customFormat="false" ht="15" hidden="false" customHeight="false" outlineLevel="0" collapsed="false">
      <c r="A814" s="22"/>
      <c r="B814" s="23"/>
      <c r="C814" s="23"/>
      <c r="D814" s="23"/>
      <c r="E814" s="24"/>
      <c r="F814" s="24"/>
      <c r="G814" s="23"/>
      <c r="H814" s="23"/>
      <c r="I814" s="25"/>
      <c r="J814" s="23"/>
      <c r="K814" s="23"/>
      <c r="L814" s="26" t="str">
        <f aca="false">IF(OR($E814="",$F814=""),"",MOD($F814-$E814,1)*24)</f>
        <v/>
      </c>
      <c r="M814" s="27" t="str">
        <f aca="false">IF($B814="","",IFERROR(INDEX(Properties!$D$5:$D$104,MATCH($B814,Properties!$A$5:$A$104,0)),"?"))</f>
        <v/>
      </c>
      <c r="N814" s="28" t="str">
        <f aca="false">IF($B814="","",IFERROR(IF($D814="Completed",INDEX(Properties!$I$5:$I$104,MATCH($B814,Properties!$A$5:$A$104,0))*(1+IF($G814="Y",Settings!$B$8,0))+IF($H814="Y",Settings!$B$7,0)+N($I814),IF($D814="Deep clean",INDEX(Settings!$E$22:$E$26,MATCH(MIN(INDEX(Properties!$E$5:$E$104,MATCH($B814,Properties!$A$5:$A$104,0)),4),Settings!$A$22:$A$26,0))+N($I814),IF($D814="Late cancel",INDEX(Properties!$I$5:$I$104,MATCH($B814,Properties!$A$5:$A$104,0))*Settings!$B$10,0))),0))</f>
        <v/>
      </c>
      <c r="O814" s="28" t="str">
        <f aca="false">IF($B814="","",IFERROR(IF($D814="Completed",INDEX(Properties!$L$5:$L$104,MATCH($B814,Properties!$A$5:$A$104,0))+IF($G814="Y",INDEX(Properties!$I$5:$I$104,MATCH($B814,Properties!$A$5:$A$104,0))*Settings!$B$8*Settings!$B$9,0)+IF($H814="Y",Settings!$B$7*Settings!$B$9,0)+N($I814)*Settings!$B$9,IF($D814="Deep clean",INDEX(Settings!$E$22:$E$26,MATCH(MIN(INDEX(Properties!$E$5:$E$104,MATCH($B814,Properties!$A$5:$A$104,0)),4),Settings!$A$22:$A$26,0))*Settings!$B$19+N($I814)*Settings!$B$9,IF($D814="Late cancel",INDEX(Properties!$L$5:$L$104,MATCH($B814,Properties!$A$5:$A$104,0))*Settings!$B$11,0))),0))</f>
        <v/>
      </c>
      <c r="P814" s="28" t="str">
        <f aca="false">IF($B814="","",$N814-$O814)</f>
        <v/>
      </c>
      <c r="Q814" s="29" t="str">
        <f aca="false">IF($A814="","",DATE(YEAR($A814),MONTH($A814),1))</f>
        <v/>
      </c>
      <c r="R814" s="30" t="str">
        <f aca="false">IF($A814="","",$A814+MOD(6-WEEKDAY($A814),7))</f>
        <v/>
      </c>
      <c r="S814" s="31" t="str">
        <f aca="false">IF($B814="","",IF(AND($M814='Invoice Builder'!$C$5,$Q814='Invoice Builder'!$C$6,N($N814)&gt;0),COUNTIFS($M$5:$M814,'Invoice Builder'!$C$5,$Q$5:$Q814,'Invoice Builder'!$C$6,$N$5:$N814,"&gt;0"),""))</f>
        <v/>
      </c>
      <c r="T814" s="27" t="str">
        <f aca="false">IF($A814="","",IF($A814&gt;=DATE(YEAR($A814),4,6),YEAR($A814)&amp;"/"&amp;RIGHT(YEAR($A814)+1,2),YEAR($A814)-1&amp;"/"&amp;RIGHT(YEAR($A814),2)))</f>
        <v/>
      </c>
    </row>
    <row r="815" customFormat="false" ht="15" hidden="false" customHeight="false" outlineLevel="0" collapsed="false">
      <c r="A815" s="22"/>
      <c r="B815" s="23"/>
      <c r="C815" s="23"/>
      <c r="D815" s="23"/>
      <c r="E815" s="24"/>
      <c r="F815" s="24"/>
      <c r="G815" s="23"/>
      <c r="H815" s="23"/>
      <c r="I815" s="25"/>
      <c r="J815" s="23"/>
      <c r="K815" s="23"/>
      <c r="L815" s="26" t="str">
        <f aca="false">IF(OR($E815="",$F815=""),"",MOD($F815-$E815,1)*24)</f>
        <v/>
      </c>
      <c r="M815" s="27" t="str">
        <f aca="false">IF($B815="","",IFERROR(INDEX(Properties!$D$5:$D$104,MATCH($B815,Properties!$A$5:$A$104,0)),"?"))</f>
        <v/>
      </c>
      <c r="N815" s="28" t="str">
        <f aca="false">IF($B815="","",IFERROR(IF($D815="Completed",INDEX(Properties!$I$5:$I$104,MATCH($B815,Properties!$A$5:$A$104,0))*(1+IF($G815="Y",Settings!$B$8,0))+IF($H815="Y",Settings!$B$7,0)+N($I815),IF($D815="Deep clean",INDEX(Settings!$E$22:$E$26,MATCH(MIN(INDEX(Properties!$E$5:$E$104,MATCH($B815,Properties!$A$5:$A$104,0)),4),Settings!$A$22:$A$26,0))+N($I815),IF($D815="Late cancel",INDEX(Properties!$I$5:$I$104,MATCH($B815,Properties!$A$5:$A$104,0))*Settings!$B$10,0))),0))</f>
        <v/>
      </c>
      <c r="O815" s="28" t="str">
        <f aca="false">IF($B815="","",IFERROR(IF($D815="Completed",INDEX(Properties!$L$5:$L$104,MATCH($B815,Properties!$A$5:$A$104,0))+IF($G815="Y",INDEX(Properties!$I$5:$I$104,MATCH($B815,Properties!$A$5:$A$104,0))*Settings!$B$8*Settings!$B$9,0)+IF($H815="Y",Settings!$B$7*Settings!$B$9,0)+N($I815)*Settings!$B$9,IF($D815="Deep clean",INDEX(Settings!$E$22:$E$26,MATCH(MIN(INDEX(Properties!$E$5:$E$104,MATCH($B815,Properties!$A$5:$A$104,0)),4),Settings!$A$22:$A$26,0))*Settings!$B$19+N($I815)*Settings!$B$9,IF($D815="Late cancel",INDEX(Properties!$L$5:$L$104,MATCH($B815,Properties!$A$5:$A$104,0))*Settings!$B$11,0))),0))</f>
        <v/>
      </c>
      <c r="P815" s="28" t="str">
        <f aca="false">IF($B815="","",$N815-$O815)</f>
        <v/>
      </c>
      <c r="Q815" s="29" t="str">
        <f aca="false">IF($A815="","",DATE(YEAR($A815),MONTH($A815),1))</f>
        <v/>
      </c>
      <c r="R815" s="30" t="str">
        <f aca="false">IF($A815="","",$A815+MOD(6-WEEKDAY($A815),7))</f>
        <v/>
      </c>
      <c r="S815" s="31" t="str">
        <f aca="false">IF($B815="","",IF(AND($M815='Invoice Builder'!$C$5,$Q815='Invoice Builder'!$C$6,N($N815)&gt;0),COUNTIFS($M$5:$M815,'Invoice Builder'!$C$5,$Q$5:$Q815,'Invoice Builder'!$C$6,$N$5:$N815,"&gt;0"),""))</f>
        <v/>
      </c>
      <c r="T815" s="27" t="str">
        <f aca="false">IF($A815="","",IF($A815&gt;=DATE(YEAR($A815),4,6),YEAR($A815)&amp;"/"&amp;RIGHT(YEAR($A815)+1,2),YEAR($A815)-1&amp;"/"&amp;RIGHT(YEAR($A815),2)))</f>
        <v/>
      </c>
    </row>
    <row r="816" customFormat="false" ht="15" hidden="false" customHeight="false" outlineLevel="0" collapsed="false">
      <c r="A816" s="22"/>
      <c r="B816" s="23"/>
      <c r="C816" s="23"/>
      <c r="D816" s="23"/>
      <c r="E816" s="24"/>
      <c r="F816" s="24"/>
      <c r="G816" s="23"/>
      <c r="H816" s="23"/>
      <c r="I816" s="25"/>
      <c r="J816" s="23"/>
      <c r="K816" s="23"/>
      <c r="L816" s="26" t="str">
        <f aca="false">IF(OR($E816="",$F816=""),"",MOD($F816-$E816,1)*24)</f>
        <v/>
      </c>
      <c r="M816" s="27" t="str">
        <f aca="false">IF($B816="","",IFERROR(INDEX(Properties!$D$5:$D$104,MATCH($B816,Properties!$A$5:$A$104,0)),"?"))</f>
        <v/>
      </c>
      <c r="N816" s="28" t="str">
        <f aca="false">IF($B816="","",IFERROR(IF($D816="Completed",INDEX(Properties!$I$5:$I$104,MATCH($B816,Properties!$A$5:$A$104,0))*(1+IF($G816="Y",Settings!$B$8,0))+IF($H816="Y",Settings!$B$7,0)+N($I816),IF($D816="Deep clean",INDEX(Settings!$E$22:$E$26,MATCH(MIN(INDEX(Properties!$E$5:$E$104,MATCH($B816,Properties!$A$5:$A$104,0)),4),Settings!$A$22:$A$26,0))+N($I816),IF($D816="Late cancel",INDEX(Properties!$I$5:$I$104,MATCH($B816,Properties!$A$5:$A$104,0))*Settings!$B$10,0))),0))</f>
        <v/>
      </c>
      <c r="O816" s="28" t="str">
        <f aca="false">IF($B816="","",IFERROR(IF($D816="Completed",INDEX(Properties!$L$5:$L$104,MATCH($B816,Properties!$A$5:$A$104,0))+IF($G816="Y",INDEX(Properties!$I$5:$I$104,MATCH($B816,Properties!$A$5:$A$104,0))*Settings!$B$8*Settings!$B$9,0)+IF($H816="Y",Settings!$B$7*Settings!$B$9,0)+N($I816)*Settings!$B$9,IF($D816="Deep clean",INDEX(Settings!$E$22:$E$26,MATCH(MIN(INDEX(Properties!$E$5:$E$104,MATCH($B816,Properties!$A$5:$A$104,0)),4),Settings!$A$22:$A$26,0))*Settings!$B$19+N($I816)*Settings!$B$9,IF($D816="Late cancel",INDEX(Properties!$L$5:$L$104,MATCH($B816,Properties!$A$5:$A$104,0))*Settings!$B$11,0))),0))</f>
        <v/>
      </c>
      <c r="P816" s="28" t="str">
        <f aca="false">IF($B816="","",$N816-$O816)</f>
        <v/>
      </c>
      <c r="Q816" s="29" t="str">
        <f aca="false">IF($A816="","",DATE(YEAR($A816),MONTH($A816),1))</f>
        <v/>
      </c>
      <c r="R816" s="30" t="str">
        <f aca="false">IF($A816="","",$A816+MOD(6-WEEKDAY($A816),7))</f>
        <v/>
      </c>
      <c r="S816" s="31" t="str">
        <f aca="false">IF($B816="","",IF(AND($M816='Invoice Builder'!$C$5,$Q816='Invoice Builder'!$C$6,N($N816)&gt;0),COUNTIFS($M$5:$M816,'Invoice Builder'!$C$5,$Q$5:$Q816,'Invoice Builder'!$C$6,$N$5:$N816,"&gt;0"),""))</f>
        <v/>
      </c>
      <c r="T816" s="27" t="str">
        <f aca="false">IF($A816="","",IF($A816&gt;=DATE(YEAR($A816),4,6),YEAR($A816)&amp;"/"&amp;RIGHT(YEAR($A816)+1,2),YEAR($A816)-1&amp;"/"&amp;RIGHT(YEAR($A816),2)))</f>
        <v/>
      </c>
    </row>
    <row r="817" customFormat="false" ht="15" hidden="false" customHeight="false" outlineLevel="0" collapsed="false">
      <c r="A817" s="22"/>
      <c r="B817" s="23"/>
      <c r="C817" s="23"/>
      <c r="D817" s="23"/>
      <c r="E817" s="24"/>
      <c r="F817" s="24"/>
      <c r="G817" s="23"/>
      <c r="H817" s="23"/>
      <c r="I817" s="25"/>
      <c r="J817" s="23"/>
      <c r="K817" s="23"/>
      <c r="L817" s="26" t="str">
        <f aca="false">IF(OR($E817="",$F817=""),"",MOD($F817-$E817,1)*24)</f>
        <v/>
      </c>
      <c r="M817" s="27" t="str">
        <f aca="false">IF($B817="","",IFERROR(INDEX(Properties!$D$5:$D$104,MATCH($B817,Properties!$A$5:$A$104,0)),"?"))</f>
        <v/>
      </c>
      <c r="N817" s="28" t="str">
        <f aca="false">IF($B817="","",IFERROR(IF($D817="Completed",INDEX(Properties!$I$5:$I$104,MATCH($B817,Properties!$A$5:$A$104,0))*(1+IF($G817="Y",Settings!$B$8,0))+IF($H817="Y",Settings!$B$7,0)+N($I817),IF($D817="Deep clean",INDEX(Settings!$E$22:$E$26,MATCH(MIN(INDEX(Properties!$E$5:$E$104,MATCH($B817,Properties!$A$5:$A$104,0)),4),Settings!$A$22:$A$26,0))+N($I817),IF($D817="Late cancel",INDEX(Properties!$I$5:$I$104,MATCH($B817,Properties!$A$5:$A$104,0))*Settings!$B$10,0))),0))</f>
        <v/>
      </c>
      <c r="O817" s="28" t="str">
        <f aca="false">IF($B817="","",IFERROR(IF($D817="Completed",INDEX(Properties!$L$5:$L$104,MATCH($B817,Properties!$A$5:$A$104,0))+IF($G817="Y",INDEX(Properties!$I$5:$I$104,MATCH($B817,Properties!$A$5:$A$104,0))*Settings!$B$8*Settings!$B$9,0)+IF($H817="Y",Settings!$B$7*Settings!$B$9,0)+N($I817)*Settings!$B$9,IF($D817="Deep clean",INDEX(Settings!$E$22:$E$26,MATCH(MIN(INDEX(Properties!$E$5:$E$104,MATCH($B817,Properties!$A$5:$A$104,0)),4),Settings!$A$22:$A$26,0))*Settings!$B$19+N($I817)*Settings!$B$9,IF($D817="Late cancel",INDEX(Properties!$L$5:$L$104,MATCH($B817,Properties!$A$5:$A$104,0))*Settings!$B$11,0))),0))</f>
        <v/>
      </c>
      <c r="P817" s="28" t="str">
        <f aca="false">IF($B817="","",$N817-$O817)</f>
        <v/>
      </c>
      <c r="Q817" s="29" t="str">
        <f aca="false">IF($A817="","",DATE(YEAR($A817),MONTH($A817),1))</f>
        <v/>
      </c>
      <c r="R817" s="30" t="str">
        <f aca="false">IF($A817="","",$A817+MOD(6-WEEKDAY($A817),7))</f>
        <v/>
      </c>
      <c r="S817" s="31" t="str">
        <f aca="false">IF($B817="","",IF(AND($M817='Invoice Builder'!$C$5,$Q817='Invoice Builder'!$C$6,N($N817)&gt;0),COUNTIFS($M$5:$M817,'Invoice Builder'!$C$5,$Q$5:$Q817,'Invoice Builder'!$C$6,$N$5:$N817,"&gt;0"),""))</f>
        <v/>
      </c>
      <c r="T817" s="27" t="str">
        <f aca="false">IF($A817="","",IF($A817&gt;=DATE(YEAR($A817),4,6),YEAR($A817)&amp;"/"&amp;RIGHT(YEAR($A817)+1,2),YEAR($A817)-1&amp;"/"&amp;RIGHT(YEAR($A817),2)))</f>
        <v/>
      </c>
    </row>
    <row r="818" customFormat="false" ht="15" hidden="false" customHeight="false" outlineLevel="0" collapsed="false">
      <c r="A818" s="22"/>
      <c r="B818" s="23"/>
      <c r="C818" s="23"/>
      <c r="D818" s="23"/>
      <c r="E818" s="24"/>
      <c r="F818" s="24"/>
      <c r="G818" s="23"/>
      <c r="H818" s="23"/>
      <c r="I818" s="25"/>
      <c r="J818" s="23"/>
      <c r="K818" s="23"/>
      <c r="L818" s="26" t="str">
        <f aca="false">IF(OR($E818="",$F818=""),"",MOD($F818-$E818,1)*24)</f>
        <v/>
      </c>
      <c r="M818" s="27" t="str">
        <f aca="false">IF($B818="","",IFERROR(INDEX(Properties!$D$5:$D$104,MATCH($B818,Properties!$A$5:$A$104,0)),"?"))</f>
        <v/>
      </c>
      <c r="N818" s="28" t="str">
        <f aca="false">IF($B818="","",IFERROR(IF($D818="Completed",INDEX(Properties!$I$5:$I$104,MATCH($B818,Properties!$A$5:$A$104,0))*(1+IF($G818="Y",Settings!$B$8,0))+IF($H818="Y",Settings!$B$7,0)+N($I818),IF($D818="Deep clean",INDEX(Settings!$E$22:$E$26,MATCH(MIN(INDEX(Properties!$E$5:$E$104,MATCH($B818,Properties!$A$5:$A$104,0)),4),Settings!$A$22:$A$26,0))+N($I818),IF($D818="Late cancel",INDEX(Properties!$I$5:$I$104,MATCH($B818,Properties!$A$5:$A$104,0))*Settings!$B$10,0))),0))</f>
        <v/>
      </c>
      <c r="O818" s="28" t="str">
        <f aca="false">IF($B818="","",IFERROR(IF($D818="Completed",INDEX(Properties!$L$5:$L$104,MATCH($B818,Properties!$A$5:$A$104,0))+IF($G818="Y",INDEX(Properties!$I$5:$I$104,MATCH($B818,Properties!$A$5:$A$104,0))*Settings!$B$8*Settings!$B$9,0)+IF($H818="Y",Settings!$B$7*Settings!$B$9,0)+N($I818)*Settings!$B$9,IF($D818="Deep clean",INDEX(Settings!$E$22:$E$26,MATCH(MIN(INDEX(Properties!$E$5:$E$104,MATCH($B818,Properties!$A$5:$A$104,0)),4),Settings!$A$22:$A$26,0))*Settings!$B$19+N($I818)*Settings!$B$9,IF($D818="Late cancel",INDEX(Properties!$L$5:$L$104,MATCH($B818,Properties!$A$5:$A$104,0))*Settings!$B$11,0))),0))</f>
        <v/>
      </c>
      <c r="P818" s="28" t="str">
        <f aca="false">IF($B818="","",$N818-$O818)</f>
        <v/>
      </c>
      <c r="Q818" s="29" t="str">
        <f aca="false">IF($A818="","",DATE(YEAR($A818),MONTH($A818),1))</f>
        <v/>
      </c>
      <c r="R818" s="30" t="str">
        <f aca="false">IF($A818="","",$A818+MOD(6-WEEKDAY($A818),7))</f>
        <v/>
      </c>
      <c r="S818" s="31" t="str">
        <f aca="false">IF($B818="","",IF(AND($M818='Invoice Builder'!$C$5,$Q818='Invoice Builder'!$C$6,N($N818)&gt;0),COUNTIFS($M$5:$M818,'Invoice Builder'!$C$5,$Q$5:$Q818,'Invoice Builder'!$C$6,$N$5:$N818,"&gt;0"),""))</f>
        <v/>
      </c>
      <c r="T818" s="27" t="str">
        <f aca="false">IF($A818="","",IF($A818&gt;=DATE(YEAR($A818),4,6),YEAR($A818)&amp;"/"&amp;RIGHT(YEAR($A818)+1,2),YEAR($A818)-1&amp;"/"&amp;RIGHT(YEAR($A818),2)))</f>
        <v/>
      </c>
    </row>
    <row r="819" customFormat="false" ht="15" hidden="false" customHeight="false" outlineLevel="0" collapsed="false">
      <c r="A819" s="22"/>
      <c r="B819" s="23"/>
      <c r="C819" s="23"/>
      <c r="D819" s="23"/>
      <c r="E819" s="24"/>
      <c r="F819" s="24"/>
      <c r="G819" s="23"/>
      <c r="H819" s="23"/>
      <c r="I819" s="25"/>
      <c r="J819" s="23"/>
      <c r="K819" s="23"/>
      <c r="L819" s="26" t="str">
        <f aca="false">IF(OR($E819="",$F819=""),"",MOD($F819-$E819,1)*24)</f>
        <v/>
      </c>
      <c r="M819" s="27" t="str">
        <f aca="false">IF($B819="","",IFERROR(INDEX(Properties!$D$5:$D$104,MATCH($B819,Properties!$A$5:$A$104,0)),"?"))</f>
        <v/>
      </c>
      <c r="N819" s="28" t="str">
        <f aca="false">IF($B819="","",IFERROR(IF($D819="Completed",INDEX(Properties!$I$5:$I$104,MATCH($B819,Properties!$A$5:$A$104,0))*(1+IF($G819="Y",Settings!$B$8,0))+IF($H819="Y",Settings!$B$7,0)+N($I819),IF($D819="Deep clean",INDEX(Settings!$E$22:$E$26,MATCH(MIN(INDEX(Properties!$E$5:$E$104,MATCH($B819,Properties!$A$5:$A$104,0)),4),Settings!$A$22:$A$26,0))+N($I819),IF($D819="Late cancel",INDEX(Properties!$I$5:$I$104,MATCH($B819,Properties!$A$5:$A$104,0))*Settings!$B$10,0))),0))</f>
        <v/>
      </c>
      <c r="O819" s="28" t="str">
        <f aca="false">IF($B819="","",IFERROR(IF($D819="Completed",INDEX(Properties!$L$5:$L$104,MATCH($B819,Properties!$A$5:$A$104,0))+IF($G819="Y",INDEX(Properties!$I$5:$I$104,MATCH($B819,Properties!$A$5:$A$104,0))*Settings!$B$8*Settings!$B$9,0)+IF($H819="Y",Settings!$B$7*Settings!$B$9,0)+N($I819)*Settings!$B$9,IF($D819="Deep clean",INDEX(Settings!$E$22:$E$26,MATCH(MIN(INDEX(Properties!$E$5:$E$104,MATCH($B819,Properties!$A$5:$A$104,0)),4),Settings!$A$22:$A$26,0))*Settings!$B$19+N($I819)*Settings!$B$9,IF($D819="Late cancel",INDEX(Properties!$L$5:$L$104,MATCH($B819,Properties!$A$5:$A$104,0))*Settings!$B$11,0))),0))</f>
        <v/>
      </c>
      <c r="P819" s="28" t="str">
        <f aca="false">IF($B819="","",$N819-$O819)</f>
        <v/>
      </c>
      <c r="Q819" s="29" t="str">
        <f aca="false">IF($A819="","",DATE(YEAR($A819),MONTH($A819),1))</f>
        <v/>
      </c>
      <c r="R819" s="30" t="str">
        <f aca="false">IF($A819="","",$A819+MOD(6-WEEKDAY($A819),7))</f>
        <v/>
      </c>
      <c r="S819" s="31" t="str">
        <f aca="false">IF($B819="","",IF(AND($M819='Invoice Builder'!$C$5,$Q819='Invoice Builder'!$C$6,N($N819)&gt;0),COUNTIFS($M$5:$M819,'Invoice Builder'!$C$5,$Q$5:$Q819,'Invoice Builder'!$C$6,$N$5:$N819,"&gt;0"),""))</f>
        <v/>
      </c>
      <c r="T819" s="27" t="str">
        <f aca="false">IF($A819="","",IF($A819&gt;=DATE(YEAR($A819),4,6),YEAR($A819)&amp;"/"&amp;RIGHT(YEAR($A819)+1,2),YEAR($A819)-1&amp;"/"&amp;RIGHT(YEAR($A819),2)))</f>
        <v/>
      </c>
    </row>
    <row r="820" customFormat="false" ht="15" hidden="false" customHeight="false" outlineLevel="0" collapsed="false">
      <c r="A820" s="22"/>
      <c r="B820" s="23"/>
      <c r="C820" s="23"/>
      <c r="D820" s="23"/>
      <c r="E820" s="24"/>
      <c r="F820" s="24"/>
      <c r="G820" s="23"/>
      <c r="H820" s="23"/>
      <c r="I820" s="25"/>
      <c r="J820" s="23"/>
      <c r="K820" s="23"/>
      <c r="L820" s="26" t="str">
        <f aca="false">IF(OR($E820="",$F820=""),"",MOD($F820-$E820,1)*24)</f>
        <v/>
      </c>
      <c r="M820" s="27" t="str">
        <f aca="false">IF($B820="","",IFERROR(INDEX(Properties!$D$5:$D$104,MATCH($B820,Properties!$A$5:$A$104,0)),"?"))</f>
        <v/>
      </c>
      <c r="N820" s="28" t="str">
        <f aca="false">IF($B820="","",IFERROR(IF($D820="Completed",INDEX(Properties!$I$5:$I$104,MATCH($B820,Properties!$A$5:$A$104,0))*(1+IF($G820="Y",Settings!$B$8,0))+IF($H820="Y",Settings!$B$7,0)+N($I820),IF($D820="Deep clean",INDEX(Settings!$E$22:$E$26,MATCH(MIN(INDEX(Properties!$E$5:$E$104,MATCH($B820,Properties!$A$5:$A$104,0)),4),Settings!$A$22:$A$26,0))+N($I820),IF($D820="Late cancel",INDEX(Properties!$I$5:$I$104,MATCH($B820,Properties!$A$5:$A$104,0))*Settings!$B$10,0))),0))</f>
        <v/>
      </c>
      <c r="O820" s="28" t="str">
        <f aca="false">IF($B820="","",IFERROR(IF($D820="Completed",INDEX(Properties!$L$5:$L$104,MATCH($B820,Properties!$A$5:$A$104,0))+IF($G820="Y",INDEX(Properties!$I$5:$I$104,MATCH($B820,Properties!$A$5:$A$104,0))*Settings!$B$8*Settings!$B$9,0)+IF($H820="Y",Settings!$B$7*Settings!$B$9,0)+N($I820)*Settings!$B$9,IF($D820="Deep clean",INDEX(Settings!$E$22:$E$26,MATCH(MIN(INDEX(Properties!$E$5:$E$104,MATCH($B820,Properties!$A$5:$A$104,0)),4),Settings!$A$22:$A$26,0))*Settings!$B$19+N($I820)*Settings!$B$9,IF($D820="Late cancel",INDEX(Properties!$L$5:$L$104,MATCH($B820,Properties!$A$5:$A$104,0))*Settings!$B$11,0))),0))</f>
        <v/>
      </c>
      <c r="P820" s="28" t="str">
        <f aca="false">IF($B820="","",$N820-$O820)</f>
        <v/>
      </c>
      <c r="Q820" s="29" t="str">
        <f aca="false">IF($A820="","",DATE(YEAR($A820),MONTH($A820),1))</f>
        <v/>
      </c>
      <c r="R820" s="30" t="str">
        <f aca="false">IF($A820="","",$A820+MOD(6-WEEKDAY($A820),7))</f>
        <v/>
      </c>
      <c r="S820" s="31" t="str">
        <f aca="false">IF($B820="","",IF(AND($M820='Invoice Builder'!$C$5,$Q820='Invoice Builder'!$C$6,N($N820)&gt;0),COUNTIFS($M$5:$M820,'Invoice Builder'!$C$5,$Q$5:$Q820,'Invoice Builder'!$C$6,$N$5:$N820,"&gt;0"),""))</f>
        <v/>
      </c>
      <c r="T820" s="27" t="str">
        <f aca="false">IF($A820="","",IF($A820&gt;=DATE(YEAR($A820),4,6),YEAR($A820)&amp;"/"&amp;RIGHT(YEAR($A820)+1,2),YEAR($A820)-1&amp;"/"&amp;RIGHT(YEAR($A820),2)))</f>
        <v/>
      </c>
    </row>
    <row r="821" customFormat="false" ht="15" hidden="false" customHeight="false" outlineLevel="0" collapsed="false">
      <c r="A821" s="22"/>
      <c r="B821" s="23"/>
      <c r="C821" s="23"/>
      <c r="D821" s="23"/>
      <c r="E821" s="24"/>
      <c r="F821" s="24"/>
      <c r="G821" s="23"/>
      <c r="H821" s="23"/>
      <c r="I821" s="25"/>
      <c r="J821" s="23"/>
      <c r="K821" s="23"/>
      <c r="L821" s="26" t="str">
        <f aca="false">IF(OR($E821="",$F821=""),"",MOD($F821-$E821,1)*24)</f>
        <v/>
      </c>
      <c r="M821" s="27" t="str">
        <f aca="false">IF($B821="","",IFERROR(INDEX(Properties!$D$5:$D$104,MATCH($B821,Properties!$A$5:$A$104,0)),"?"))</f>
        <v/>
      </c>
      <c r="N821" s="28" t="str">
        <f aca="false">IF($B821="","",IFERROR(IF($D821="Completed",INDEX(Properties!$I$5:$I$104,MATCH($B821,Properties!$A$5:$A$104,0))*(1+IF($G821="Y",Settings!$B$8,0))+IF($H821="Y",Settings!$B$7,0)+N($I821),IF($D821="Deep clean",INDEX(Settings!$E$22:$E$26,MATCH(MIN(INDEX(Properties!$E$5:$E$104,MATCH($B821,Properties!$A$5:$A$104,0)),4),Settings!$A$22:$A$26,0))+N($I821),IF($D821="Late cancel",INDEX(Properties!$I$5:$I$104,MATCH($B821,Properties!$A$5:$A$104,0))*Settings!$B$10,0))),0))</f>
        <v/>
      </c>
      <c r="O821" s="28" t="str">
        <f aca="false">IF($B821="","",IFERROR(IF($D821="Completed",INDEX(Properties!$L$5:$L$104,MATCH($B821,Properties!$A$5:$A$104,0))+IF($G821="Y",INDEX(Properties!$I$5:$I$104,MATCH($B821,Properties!$A$5:$A$104,0))*Settings!$B$8*Settings!$B$9,0)+IF($H821="Y",Settings!$B$7*Settings!$B$9,0)+N($I821)*Settings!$B$9,IF($D821="Deep clean",INDEX(Settings!$E$22:$E$26,MATCH(MIN(INDEX(Properties!$E$5:$E$104,MATCH($B821,Properties!$A$5:$A$104,0)),4),Settings!$A$22:$A$26,0))*Settings!$B$19+N($I821)*Settings!$B$9,IF($D821="Late cancel",INDEX(Properties!$L$5:$L$104,MATCH($B821,Properties!$A$5:$A$104,0))*Settings!$B$11,0))),0))</f>
        <v/>
      </c>
      <c r="P821" s="28" t="str">
        <f aca="false">IF($B821="","",$N821-$O821)</f>
        <v/>
      </c>
      <c r="Q821" s="29" t="str">
        <f aca="false">IF($A821="","",DATE(YEAR($A821),MONTH($A821),1))</f>
        <v/>
      </c>
      <c r="R821" s="30" t="str">
        <f aca="false">IF($A821="","",$A821+MOD(6-WEEKDAY($A821),7))</f>
        <v/>
      </c>
      <c r="S821" s="31" t="str">
        <f aca="false">IF($B821="","",IF(AND($M821='Invoice Builder'!$C$5,$Q821='Invoice Builder'!$C$6,N($N821)&gt;0),COUNTIFS($M$5:$M821,'Invoice Builder'!$C$5,$Q$5:$Q821,'Invoice Builder'!$C$6,$N$5:$N821,"&gt;0"),""))</f>
        <v/>
      </c>
      <c r="T821" s="27" t="str">
        <f aca="false">IF($A821="","",IF($A821&gt;=DATE(YEAR($A821),4,6),YEAR($A821)&amp;"/"&amp;RIGHT(YEAR($A821)+1,2),YEAR($A821)-1&amp;"/"&amp;RIGHT(YEAR($A821),2)))</f>
        <v/>
      </c>
    </row>
    <row r="822" customFormat="false" ht="15" hidden="false" customHeight="false" outlineLevel="0" collapsed="false">
      <c r="A822" s="22"/>
      <c r="B822" s="23"/>
      <c r="C822" s="23"/>
      <c r="D822" s="23"/>
      <c r="E822" s="24"/>
      <c r="F822" s="24"/>
      <c r="G822" s="23"/>
      <c r="H822" s="23"/>
      <c r="I822" s="25"/>
      <c r="J822" s="23"/>
      <c r="K822" s="23"/>
      <c r="L822" s="26" t="str">
        <f aca="false">IF(OR($E822="",$F822=""),"",MOD($F822-$E822,1)*24)</f>
        <v/>
      </c>
      <c r="M822" s="27" t="str">
        <f aca="false">IF($B822="","",IFERROR(INDEX(Properties!$D$5:$D$104,MATCH($B822,Properties!$A$5:$A$104,0)),"?"))</f>
        <v/>
      </c>
      <c r="N822" s="28" t="str">
        <f aca="false">IF($B822="","",IFERROR(IF($D822="Completed",INDEX(Properties!$I$5:$I$104,MATCH($B822,Properties!$A$5:$A$104,0))*(1+IF($G822="Y",Settings!$B$8,0))+IF($H822="Y",Settings!$B$7,0)+N($I822),IF($D822="Deep clean",INDEX(Settings!$E$22:$E$26,MATCH(MIN(INDEX(Properties!$E$5:$E$104,MATCH($B822,Properties!$A$5:$A$104,0)),4),Settings!$A$22:$A$26,0))+N($I822),IF($D822="Late cancel",INDEX(Properties!$I$5:$I$104,MATCH($B822,Properties!$A$5:$A$104,0))*Settings!$B$10,0))),0))</f>
        <v/>
      </c>
      <c r="O822" s="28" t="str">
        <f aca="false">IF($B822="","",IFERROR(IF($D822="Completed",INDEX(Properties!$L$5:$L$104,MATCH($B822,Properties!$A$5:$A$104,0))+IF($G822="Y",INDEX(Properties!$I$5:$I$104,MATCH($B822,Properties!$A$5:$A$104,0))*Settings!$B$8*Settings!$B$9,0)+IF($H822="Y",Settings!$B$7*Settings!$B$9,0)+N($I822)*Settings!$B$9,IF($D822="Deep clean",INDEX(Settings!$E$22:$E$26,MATCH(MIN(INDEX(Properties!$E$5:$E$104,MATCH($B822,Properties!$A$5:$A$104,0)),4),Settings!$A$22:$A$26,0))*Settings!$B$19+N($I822)*Settings!$B$9,IF($D822="Late cancel",INDEX(Properties!$L$5:$L$104,MATCH($B822,Properties!$A$5:$A$104,0))*Settings!$B$11,0))),0))</f>
        <v/>
      </c>
      <c r="P822" s="28" t="str">
        <f aca="false">IF($B822="","",$N822-$O822)</f>
        <v/>
      </c>
      <c r="Q822" s="29" t="str">
        <f aca="false">IF($A822="","",DATE(YEAR($A822),MONTH($A822),1))</f>
        <v/>
      </c>
      <c r="R822" s="30" t="str">
        <f aca="false">IF($A822="","",$A822+MOD(6-WEEKDAY($A822),7))</f>
        <v/>
      </c>
      <c r="S822" s="31" t="str">
        <f aca="false">IF($B822="","",IF(AND($M822='Invoice Builder'!$C$5,$Q822='Invoice Builder'!$C$6,N($N822)&gt;0),COUNTIFS($M$5:$M822,'Invoice Builder'!$C$5,$Q$5:$Q822,'Invoice Builder'!$C$6,$N$5:$N822,"&gt;0"),""))</f>
        <v/>
      </c>
      <c r="T822" s="27" t="str">
        <f aca="false">IF($A822="","",IF($A822&gt;=DATE(YEAR($A822),4,6),YEAR($A822)&amp;"/"&amp;RIGHT(YEAR($A822)+1,2),YEAR($A822)-1&amp;"/"&amp;RIGHT(YEAR($A822),2)))</f>
        <v/>
      </c>
    </row>
    <row r="823" customFormat="false" ht="15" hidden="false" customHeight="false" outlineLevel="0" collapsed="false">
      <c r="A823" s="22"/>
      <c r="B823" s="23"/>
      <c r="C823" s="23"/>
      <c r="D823" s="23"/>
      <c r="E823" s="24"/>
      <c r="F823" s="24"/>
      <c r="G823" s="23"/>
      <c r="H823" s="23"/>
      <c r="I823" s="25"/>
      <c r="J823" s="23"/>
      <c r="K823" s="23"/>
      <c r="L823" s="26" t="str">
        <f aca="false">IF(OR($E823="",$F823=""),"",MOD($F823-$E823,1)*24)</f>
        <v/>
      </c>
      <c r="M823" s="27" t="str">
        <f aca="false">IF($B823="","",IFERROR(INDEX(Properties!$D$5:$D$104,MATCH($B823,Properties!$A$5:$A$104,0)),"?"))</f>
        <v/>
      </c>
      <c r="N823" s="28" t="str">
        <f aca="false">IF($B823="","",IFERROR(IF($D823="Completed",INDEX(Properties!$I$5:$I$104,MATCH($B823,Properties!$A$5:$A$104,0))*(1+IF($G823="Y",Settings!$B$8,0))+IF($H823="Y",Settings!$B$7,0)+N($I823),IF($D823="Deep clean",INDEX(Settings!$E$22:$E$26,MATCH(MIN(INDEX(Properties!$E$5:$E$104,MATCH($B823,Properties!$A$5:$A$104,0)),4),Settings!$A$22:$A$26,0))+N($I823),IF($D823="Late cancel",INDEX(Properties!$I$5:$I$104,MATCH($B823,Properties!$A$5:$A$104,0))*Settings!$B$10,0))),0))</f>
        <v/>
      </c>
      <c r="O823" s="28" t="str">
        <f aca="false">IF($B823="","",IFERROR(IF($D823="Completed",INDEX(Properties!$L$5:$L$104,MATCH($B823,Properties!$A$5:$A$104,0))+IF($G823="Y",INDEX(Properties!$I$5:$I$104,MATCH($B823,Properties!$A$5:$A$104,0))*Settings!$B$8*Settings!$B$9,0)+IF($H823="Y",Settings!$B$7*Settings!$B$9,0)+N($I823)*Settings!$B$9,IF($D823="Deep clean",INDEX(Settings!$E$22:$E$26,MATCH(MIN(INDEX(Properties!$E$5:$E$104,MATCH($B823,Properties!$A$5:$A$104,0)),4),Settings!$A$22:$A$26,0))*Settings!$B$19+N($I823)*Settings!$B$9,IF($D823="Late cancel",INDEX(Properties!$L$5:$L$104,MATCH($B823,Properties!$A$5:$A$104,0))*Settings!$B$11,0))),0))</f>
        <v/>
      </c>
      <c r="P823" s="28" t="str">
        <f aca="false">IF($B823="","",$N823-$O823)</f>
        <v/>
      </c>
      <c r="Q823" s="29" t="str">
        <f aca="false">IF($A823="","",DATE(YEAR($A823),MONTH($A823),1))</f>
        <v/>
      </c>
      <c r="R823" s="30" t="str">
        <f aca="false">IF($A823="","",$A823+MOD(6-WEEKDAY($A823),7))</f>
        <v/>
      </c>
      <c r="S823" s="31" t="str">
        <f aca="false">IF($B823="","",IF(AND($M823='Invoice Builder'!$C$5,$Q823='Invoice Builder'!$C$6,N($N823)&gt;0),COUNTIFS($M$5:$M823,'Invoice Builder'!$C$5,$Q$5:$Q823,'Invoice Builder'!$C$6,$N$5:$N823,"&gt;0"),""))</f>
        <v/>
      </c>
      <c r="T823" s="27" t="str">
        <f aca="false">IF($A823="","",IF($A823&gt;=DATE(YEAR($A823),4,6),YEAR($A823)&amp;"/"&amp;RIGHT(YEAR($A823)+1,2),YEAR($A823)-1&amp;"/"&amp;RIGHT(YEAR($A823),2)))</f>
        <v/>
      </c>
    </row>
    <row r="824" customFormat="false" ht="15" hidden="false" customHeight="false" outlineLevel="0" collapsed="false">
      <c r="A824" s="22"/>
      <c r="B824" s="23"/>
      <c r="C824" s="23"/>
      <c r="D824" s="23"/>
      <c r="E824" s="24"/>
      <c r="F824" s="24"/>
      <c r="G824" s="23"/>
      <c r="H824" s="23"/>
      <c r="I824" s="25"/>
      <c r="J824" s="23"/>
      <c r="K824" s="23"/>
      <c r="L824" s="26" t="str">
        <f aca="false">IF(OR($E824="",$F824=""),"",MOD($F824-$E824,1)*24)</f>
        <v/>
      </c>
      <c r="M824" s="27" t="str">
        <f aca="false">IF($B824="","",IFERROR(INDEX(Properties!$D$5:$D$104,MATCH($B824,Properties!$A$5:$A$104,0)),"?"))</f>
        <v/>
      </c>
      <c r="N824" s="28" t="str">
        <f aca="false">IF($B824="","",IFERROR(IF($D824="Completed",INDEX(Properties!$I$5:$I$104,MATCH($B824,Properties!$A$5:$A$104,0))*(1+IF($G824="Y",Settings!$B$8,0))+IF($H824="Y",Settings!$B$7,0)+N($I824),IF($D824="Deep clean",INDEX(Settings!$E$22:$E$26,MATCH(MIN(INDEX(Properties!$E$5:$E$104,MATCH($B824,Properties!$A$5:$A$104,0)),4),Settings!$A$22:$A$26,0))+N($I824),IF($D824="Late cancel",INDEX(Properties!$I$5:$I$104,MATCH($B824,Properties!$A$5:$A$104,0))*Settings!$B$10,0))),0))</f>
        <v/>
      </c>
      <c r="O824" s="28" t="str">
        <f aca="false">IF($B824="","",IFERROR(IF($D824="Completed",INDEX(Properties!$L$5:$L$104,MATCH($B824,Properties!$A$5:$A$104,0))+IF($G824="Y",INDEX(Properties!$I$5:$I$104,MATCH($B824,Properties!$A$5:$A$104,0))*Settings!$B$8*Settings!$B$9,0)+IF($H824="Y",Settings!$B$7*Settings!$B$9,0)+N($I824)*Settings!$B$9,IF($D824="Deep clean",INDEX(Settings!$E$22:$E$26,MATCH(MIN(INDEX(Properties!$E$5:$E$104,MATCH($B824,Properties!$A$5:$A$104,0)),4),Settings!$A$22:$A$26,0))*Settings!$B$19+N($I824)*Settings!$B$9,IF($D824="Late cancel",INDEX(Properties!$L$5:$L$104,MATCH($B824,Properties!$A$5:$A$104,0))*Settings!$B$11,0))),0))</f>
        <v/>
      </c>
      <c r="P824" s="28" t="str">
        <f aca="false">IF($B824="","",$N824-$O824)</f>
        <v/>
      </c>
      <c r="Q824" s="29" t="str">
        <f aca="false">IF($A824="","",DATE(YEAR($A824),MONTH($A824),1))</f>
        <v/>
      </c>
      <c r="R824" s="30" t="str">
        <f aca="false">IF($A824="","",$A824+MOD(6-WEEKDAY($A824),7))</f>
        <v/>
      </c>
      <c r="S824" s="31" t="str">
        <f aca="false">IF($B824="","",IF(AND($M824='Invoice Builder'!$C$5,$Q824='Invoice Builder'!$C$6,N($N824)&gt;0),COUNTIFS($M$5:$M824,'Invoice Builder'!$C$5,$Q$5:$Q824,'Invoice Builder'!$C$6,$N$5:$N824,"&gt;0"),""))</f>
        <v/>
      </c>
      <c r="T824" s="27" t="str">
        <f aca="false">IF($A824="","",IF($A824&gt;=DATE(YEAR($A824),4,6),YEAR($A824)&amp;"/"&amp;RIGHT(YEAR($A824)+1,2),YEAR($A824)-1&amp;"/"&amp;RIGHT(YEAR($A824),2)))</f>
        <v/>
      </c>
    </row>
    <row r="825" customFormat="false" ht="15" hidden="false" customHeight="false" outlineLevel="0" collapsed="false">
      <c r="A825" s="22"/>
      <c r="B825" s="23"/>
      <c r="C825" s="23"/>
      <c r="D825" s="23"/>
      <c r="E825" s="24"/>
      <c r="F825" s="24"/>
      <c r="G825" s="23"/>
      <c r="H825" s="23"/>
      <c r="I825" s="25"/>
      <c r="J825" s="23"/>
      <c r="K825" s="23"/>
      <c r="L825" s="26" t="str">
        <f aca="false">IF(OR($E825="",$F825=""),"",MOD($F825-$E825,1)*24)</f>
        <v/>
      </c>
      <c r="M825" s="27" t="str">
        <f aca="false">IF($B825="","",IFERROR(INDEX(Properties!$D$5:$D$104,MATCH($B825,Properties!$A$5:$A$104,0)),"?"))</f>
        <v/>
      </c>
      <c r="N825" s="28" t="str">
        <f aca="false">IF($B825="","",IFERROR(IF($D825="Completed",INDEX(Properties!$I$5:$I$104,MATCH($B825,Properties!$A$5:$A$104,0))*(1+IF($G825="Y",Settings!$B$8,0))+IF($H825="Y",Settings!$B$7,0)+N($I825),IF($D825="Deep clean",INDEX(Settings!$E$22:$E$26,MATCH(MIN(INDEX(Properties!$E$5:$E$104,MATCH($B825,Properties!$A$5:$A$104,0)),4),Settings!$A$22:$A$26,0))+N($I825),IF($D825="Late cancel",INDEX(Properties!$I$5:$I$104,MATCH($B825,Properties!$A$5:$A$104,0))*Settings!$B$10,0))),0))</f>
        <v/>
      </c>
      <c r="O825" s="28" t="str">
        <f aca="false">IF($B825="","",IFERROR(IF($D825="Completed",INDEX(Properties!$L$5:$L$104,MATCH($B825,Properties!$A$5:$A$104,0))+IF($G825="Y",INDEX(Properties!$I$5:$I$104,MATCH($B825,Properties!$A$5:$A$104,0))*Settings!$B$8*Settings!$B$9,0)+IF($H825="Y",Settings!$B$7*Settings!$B$9,0)+N($I825)*Settings!$B$9,IF($D825="Deep clean",INDEX(Settings!$E$22:$E$26,MATCH(MIN(INDEX(Properties!$E$5:$E$104,MATCH($B825,Properties!$A$5:$A$104,0)),4),Settings!$A$22:$A$26,0))*Settings!$B$19+N($I825)*Settings!$B$9,IF($D825="Late cancel",INDEX(Properties!$L$5:$L$104,MATCH($B825,Properties!$A$5:$A$104,0))*Settings!$B$11,0))),0))</f>
        <v/>
      </c>
      <c r="P825" s="28" t="str">
        <f aca="false">IF($B825="","",$N825-$O825)</f>
        <v/>
      </c>
      <c r="Q825" s="29" t="str">
        <f aca="false">IF($A825="","",DATE(YEAR($A825),MONTH($A825),1))</f>
        <v/>
      </c>
      <c r="R825" s="30" t="str">
        <f aca="false">IF($A825="","",$A825+MOD(6-WEEKDAY($A825),7))</f>
        <v/>
      </c>
      <c r="S825" s="31" t="str">
        <f aca="false">IF($B825="","",IF(AND($M825='Invoice Builder'!$C$5,$Q825='Invoice Builder'!$C$6,N($N825)&gt;0),COUNTIFS($M$5:$M825,'Invoice Builder'!$C$5,$Q$5:$Q825,'Invoice Builder'!$C$6,$N$5:$N825,"&gt;0"),""))</f>
        <v/>
      </c>
      <c r="T825" s="27" t="str">
        <f aca="false">IF($A825="","",IF($A825&gt;=DATE(YEAR($A825),4,6),YEAR($A825)&amp;"/"&amp;RIGHT(YEAR($A825)+1,2),YEAR($A825)-1&amp;"/"&amp;RIGHT(YEAR($A825),2)))</f>
        <v/>
      </c>
    </row>
    <row r="826" customFormat="false" ht="15" hidden="false" customHeight="false" outlineLevel="0" collapsed="false">
      <c r="A826" s="22"/>
      <c r="B826" s="23"/>
      <c r="C826" s="23"/>
      <c r="D826" s="23"/>
      <c r="E826" s="24"/>
      <c r="F826" s="24"/>
      <c r="G826" s="23"/>
      <c r="H826" s="23"/>
      <c r="I826" s="25"/>
      <c r="J826" s="23"/>
      <c r="K826" s="23"/>
      <c r="L826" s="26" t="str">
        <f aca="false">IF(OR($E826="",$F826=""),"",MOD($F826-$E826,1)*24)</f>
        <v/>
      </c>
      <c r="M826" s="27" t="str">
        <f aca="false">IF($B826="","",IFERROR(INDEX(Properties!$D$5:$D$104,MATCH($B826,Properties!$A$5:$A$104,0)),"?"))</f>
        <v/>
      </c>
      <c r="N826" s="28" t="str">
        <f aca="false">IF($B826="","",IFERROR(IF($D826="Completed",INDEX(Properties!$I$5:$I$104,MATCH($B826,Properties!$A$5:$A$104,0))*(1+IF($G826="Y",Settings!$B$8,0))+IF($H826="Y",Settings!$B$7,0)+N($I826),IF($D826="Deep clean",INDEX(Settings!$E$22:$E$26,MATCH(MIN(INDEX(Properties!$E$5:$E$104,MATCH($B826,Properties!$A$5:$A$104,0)),4),Settings!$A$22:$A$26,0))+N($I826),IF($D826="Late cancel",INDEX(Properties!$I$5:$I$104,MATCH($B826,Properties!$A$5:$A$104,0))*Settings!$B$10,0))),0))</f>
        <v/>
      </c>
      <c r="O826" s="28" t="str">
        <f aca="false">IF($B826="","",IFERROR(IF($D826="Completed",INDEX(Properties!$L$5:$L$104,MATCH($B826,Properties!$A$5:$A$104,0))+IF($G826="Y",INDEX(Properties!$I$5:$I$104,MATCH($B826,Properties!$A$5:$A$104,0))*Settings!$B$8*Settings!$B$9,0)+IF($H826="Y",Settings!$B$7*Settings!$B$9,0)+N($I826)*Settings!$B$9,IF($D826="Deep clean",INDEX(Settings!$E$22:$E$26,MATCH(MIN(INDEX(Properties!$E$5:$E$104,MATCH($B826,Properties!$A$5:$A$104,0)),4),Settings!$A$22:$A$26,0))*Settings!$B$19+N($I826)*Settings!$B$9,IF($D826="Late cancel",INDEX(Properties!$L$5:$L$104,MATCH($B826,Properties!$A$5:$A$104,0))*Settings!$B$11,0))),0))</f>
        <v/>
      </c>
      <c r="P826" s="28" t="str">
        <f aca="false">IF($B826="","",$N826-$O826)</f>
        <v/>
      </c>
      <c r="Q826" s="29" t="str">
        <f aca="false">IF($A826="","",DATE(YEAR($A826),MONTH($A826),1))</f>
        <v/>
      </c>
      <c r="R826" s="30" t="str">
        <f aca="false">IF($A826="","",$A826+MOD(6-WEEKDAY($A826),7))</f>
        <v/>
      </c>
      <c r="S826" s="31" t="str">
        <f aca="false">IF($B826="","",IF(AND($M826='Invoice Builder'!$C$5,$Q826='Invoice Builder'!$C$6,N($N826)&gt;0),COUNTIFS($M$5:$M826,'Invoice Builder'!$C$5,$Q$5:$Q826,'Invoice Builder'!$C$6,$N$5:$N826,"&gt;0"),""))</f>
        <v/>
      </c>
      <c r="T826" s="27" t="str">
        <f aca="false">IF($A826="","",IF($A826&gt;=DATE(YEAR($A826),4,6),YEAR($A826)&amp;"/"&amp;RIGHT(YEAR($A826)+1,2),YEAR($A826)-1&amp;"/"&amp;RIGHT(YEAR($A826),2)))</f>
        <v/>
      </c>
    </row>
    <row r="827" customFormat="false" ht="15" hidden="false" customHeight="false" outlineLevel="0" collapsed="false">
      <c r="A827" s="22"/>
      <c r="B827" s="23"/>
      <c r="C827" s="23"/>
      <c r="D827" s="23"/>
      <c r="E827" s="24"/>
      <c r="F827" s="24"/>
      <c r="G827" s="23"/>
      <c r="H827" s="23"/>
      <c r="I827" s="25"/>
      <c r="J827" s="23"/>
      <c r="K827" s="23"/>
      <c r="L827" s="26" t="str">
        <f aca="false">IF(OR($E827="",$F827=""),"",MOD($F827-$E827,1)*24)</f>
        <v/>
      </c>
      <c r="M827" s="27" t="str">
        <f aca="false">IF($B827="","",IFERROR(INDEX(Properties!$D$5:$D$104,MATCH($B827,Properties!$A$5:$A$104,0)),"?"))</f>
        <v/>
      </c>
      <c r="N827" s="28" t="str">
        <f aca="false">IF($B827="","",IFERROR(IF($D827="Completed",INDEX(Properties!$I$5:$I$104,MATCH($B827,Properties!$A$5:$A$104,0))*(1+IF($G827="Y",Settings!$B$8,0))+IF($H827="Y",Settings!$B$7,0)+N($I827),IF($D827="Deep clean",INDEX(Settings!$E$22:$E$26,MATCH(MIN(INDEX(Properties!$E$5:$E$104,MATCH($B827,Properties!$A$5:$A$104,0)),4),Settings!$A$22:$A$26,0))+N($I827),IF($D827="Late cancel",INDEX(Properties!$I$5:$I$104,MATCH($B827,Properties!$A$5:$A$104,0))*Settings!$B$10,0))),0))</f>
        <v/>
      </c>
      <c r="O827" s="28" t="str">
        <f aca="false">IF($B827="","",IFERROR(IF($D827="Completed",INDEX(Properties!$L$5:$L$104,MATCH($B827,Properties!$A$5:$A$104,0))+IF($G827="Y",INDEX(Properties!$I$5:$I$104,MATCH($B827,Properties!$A$5:$A$104,0))*Settings!$B$8*Settings!$B$9,0)+IF($H827="Y",Settings!$B$7*Settings!$B$9,0)+N($I827)*Settings!$B$9,IF($D827="Deep clean",INDEX(Settings!$E$22:$E$26,MATCH(MIN(INDEX(Properties!$E$5:$E$104,MATCH($B827,Properties!$A$5:$A$104,0)),4),Settings!$A$22:$A$26,0))*Settings!$B$19+N($I827)*Settings!$B$9,IF($D827="Late cancel",INDEX(Properties!$L$5:$L$104,MATCH($B827,Properties!$A$5:$A$104,0))*Settings!$B$11,0))),0))</f>
        <v/>
      </c>
      <c r="P827" s="28" t="str">
        <f aca="false">IF($B827="","",$N827-$O827)</f>
        <v/>
      </c>
      <c r="Q827" s="29" t="str">
        <f aca="false">IF($A827="","",DATE(YEAR($A827),MONTH($A827),1))</f>
        <v/>
      </c>
      <c r="R827" s="30" t="str">
        <f aca="false">IF($A827="","",$A827+MOD(6-WEEKDAY($A827),7))</f>
        <v/>
      </c>
      <c r="S827" s="31" t="str">
        <f aca="false">IF($B827="","",IF(AND($M827='Invoice Builder'!$C$5,$Q827='Invoice Builder'!$C$6,N($N827)&gt;0),COUNTIFS($M$5:$M827,'Invoice Builder'!$C$5,$Q$5:$Q827,'Invoice Builder'!$C$6,$N$5:$N827,"&gt;0"),""))</f>
        <v/>
      </c>
      <c r="T827" s="27" t="str">
        <f aca="false">IF($A827="","",IF($A827&gt;=DATE(YEAR($A827),4,6),YEAR($A827)&amp;"/"&amp;RIGHT(YEAR($A827)+1,2),YEAR($A827)-1&amp;"/"&amp;RIGHT(YEAR($A827),2)))</f>
        <v/>
      </c>
    </row>
    <row r="828" customFormat="false" ht="15" hidden="false" customHeight="false" outlineLevel="0" collapsed="false">
      <c r="A828" s="22"/>
      <c r="B828" s="23"/>
      <c r="C828" s="23"/>
      <c r="D828" s="23"/>
      <c r="E828" s="24"/>
      <c r="F828" s="24"/>
      <c r="G828" s="23"/>
      <c r="H828" s="23"/>
      <c r="I828" s="25"/>
      <c r="J828" s="23"/>
      <c r="K828" s="23"/>
      <c r="L828" s="26" t="str">
        <f aca="false">IF(OR($E828="",$F828=""),"",MOD($F828-$E828,1)*24)</f>
        <v/>
      </c>
      <c r="M828" s="27" t="str">
        <f aca="false">IF($B828="","",IFERROR(INDEX(Properties!$D$5:$D$104,MATCH($B828,Properties!$A$5:$A$104,0)),"?"))</f>
        <v/>
      </c>
      <c r="N828" s="28" t="str">
        <f aca="false">IF($B828="","",IFERROR(IF($D828="Completed",INDEX(Properties!$I$5:$I$104,MATCH($B828,Properties!$A$5:$A$104,0))*(1+IF($G828="Y",Settings!$B$8,0))+IF($H828="Y",Settings!$B$7,0)+N($I828),IF($D828="Deep clean",INDEX(Settings!$E$22:$E$26,MATCH(MIN(INDEX(Properties!$E$5:$E$104,MATCH($B828,Properties!$A$5:$A$104,0)),4),Settings!$A$22:$A$26,0))+N($I828),IF($D828="Late cancel",INDEX(Properties!$I$5:$I$104,MATCH($B828,Properties!$A$5:$A$104,0))*Settings!$B$10,0))),0))</f>
        <v/>
      </c>
      <c r="O828" s="28" t="str">
        <f aca="false">IF($B828="","",IFERROR(IF($D828="Completed",INDEX(Properties!$L$5:$L$104,MATCH($B828,Properties!$A$5:$A$104,0))+IF($G828="Y",INDEX(Properties!$I$5:$I$104,MATCH($B828,Properties!$A$5:$A$104,0))*Settings!$B$8*Settings!$B$9,0)+IF($H828="Y",Settings!$B$7*Settings!$B$9,0)+N($I828)*Settings!$B$9,IF($D828="Deep clean",INDEX(Settings!$E$22:$E$26,MATCH(MIN(INDEX(Properties!$E$5:$E$104,MATCH($B828,Properties!$A$5:$A$104,0)),4),Settings!$A$22:$A$26,0))*Settings!$B$19+N($I828)*Settings!$B$9,IF($D828="Late cancel",INDEX(Properties!$L$5:$L$104,MATCH($B828,Properties!$A$5:$A$104,0))*Settings!$B$11,0))),0))</f>
        <v/>
      </c>
      <c r="P828" s="28" t="str">
        <f aca="false">IF($B828="","",$N828-$O828)</f>
        <v/>
      </c>
      <c r="Q828" s="29" t="str">
        <f aca="false">IF($A828="","",DATE(YEAR($A828),MONTH($A828),1))</f>
        <v/>
      </c>
      <c r="R828" s="30" t="str">
        <f aca="false">IF($A828="","",$A828+MOD(6-WEEKDAY($A828),7))</f>
        <v/>
      </c>
      <c r="S828" s="31" t="str">
        <f aca="false">IF($B828="","",IF(AND($M828='Invoice Builder'!$C$5,$Q828='Invoice Builder'!$C$6,N($N828)&gt;0),COUNTIFS($M$5:$M828,'Invoice Builder'!$C$5,$Q$5:$Q828,'Invoice Builder'!$C$6,$N$5:$N828,"&gt;0"),""))</f>
        <v/>
      </c>
      <c r="T828" s="27" t="str">
        <f aca="false">IF($A828="","",IF($A828&gt;=DATE(YEAR($A828),4,6),YEAR($A828)&amp;"/"&amp;RIGHT(YEAR($A828)+1,2),YEAR($A828)-1&amp;"/"&amp;RIGHT(YEAR($A828),2)))</f>
        <v/>
      </c>
    </row>
    <row r="829" customFormat="false" ht="15" hidden="false" customHeight="false" outlineLevel="0" collapsed="false">
      <c r="A829" s="22"/>
      <c r="B829" s="23"/>
      <c r="C829" s="23"/>
      <c r="D829" s="23"/>
      <c r="E829" s="24"/>
      <c r="F829" s="24"/>
      <c r="G829" s="23"/>
      <c r="H829" s="23"/>
      <c r="I829" s="25"/>
      <c r="J829" s="23"/>
      <c r="K829" s="23"/>
      <c r="L829" s="26" t="str">
        <f aca="false">IF(OR($E829="",$F829=""),"",MOD($F829-$E829,1)*24)</f>
        <v/>
      </c>
      <c r="M829" s="27" t="str">
        <f aca="false">IF($B829="","",IFERROR(INDEX(Properties!$D$5:$D$104,MATCH($B829,Properties!$A$5:$A$104,0)),"?"))</f>
        <v/>
      </c>
      <c r="N829" s="28" t="str">
        <f aca="false">IF($B829="","",IFERROR(IF($D829="Completed",INDEX(Properties!$I$5:$I$104,MATCH($B829,Properties!$A$5:$A$104,0))*(1+IF($G829="Y",Settings!$B$8,0))+IF($H829="Y",Settings!$B$7,0)+N($I829),IF($D829="Deep clean",INDEX(Settings!$E$22:$E$26,MATCH(MIN(INDEX(Properties!$E$5:$E$104,MATCH($B829,Properties!$A$5:$A$104,0)),4),Settings!$A$22:$A$26,0))+N($I829),IF($D829="Late cancel",INDEX(Properties!$I$5:$I$104,MATCH($B829,Properties!$A$5:$A$104,0))*Settings!$B$10,0))),0))</f>
        <v/>
      </c>
      <c r="O829" s="28" t="str">
        <f aca="false">IF($B829="","",IFERROR(IF($D829="Completed",INDEX(Properties!$L$5:$L$104,MATCH($B829,Properties!$A$5:$A$104,0))+IF($G829="Y",INDEX(Properties!$I$5:$I$104,MATCH($B829,Properties!$A$5:$A$104,0))*Settings!$B$8*Settings!$B$9,0)+IF($H829="Y",Settings!$B$7*Settings!$B$9,0)+N($I829)*Settings!$B$9,IF($D829="Deep clean",INDEX(Settings!$E$22:$E$26,MATCH(MIN(INDEX(Properties!$E$5:$E$104,MATCH($B829,Properties!$A$5:$A$104,0)),4),Settings!$A$22:$A$26,0))*Settings!$B$19+N($I829)*Settings!$B$9,IF($D829="Late cancel",INDEX(Properties!$L$5:$L$104,MATCH($B829,Properties!$A$5:$A$104,0))*Settings!$B$11,0))),0))</f>
        <v/>
      </c>
      <c r="P829" s="28" t="str">
        <f aca="false">IF($B829="","",$N829-$O829)</f>
        <v/>
      </c>
      <c r="Q829" s="29" t="str">
        <f aca="false">IF($A829="","",DATE(YEAR($A829),MONTH($A829),1))</f>
        <v/>
      </c>
      <c r="R829" s="30" t="str">
        <f aca="false">IF($A829="","",$A829+MOD(6-WEEKDAY($A829),7))</f>
        <v/>
      </c>
      <c r="S829" s="31" t="str">
        <f aca="false">IF($B829="","",IF(AND($M829='Invoice Builder'!$C$5,$Q829='Invoice Builder'!$C$6,N($N829)&gt;0),COUNTIFS($M$5:$M829,'Invoice Builder'!$C$5,$Q$5:$Q829,'Invoice Builder'!$C$6,$N$5:$N829,"&gt;0"),""))</f>
        <v/>
      </c>
      <c r="T829" s="27" t="str">
        <f aca="false">IF($A829="","",IF($A829&gt;=DATE(YEAR($A829),4,6),YEAR($A829)&amp;"/"&amp;RIGHT(YEAR($A829)+1,2),YEAR($A829)-1&amp;"/"&amp;RIGHT(YEAR($A829),2)))</f>
        <v/>
      </c>
    </row>
    <row r="830" customFormat="false" ht="15" hidden="false" customHeight="false" outlineLevel="0" collapsed="false">
      <c r="A830" s="22"/>
      <c r="B830" s="23"/>
      <c r="C830" s="23"/>
      <c r="D830" s="23"/>
      <c r="E830" s="24"/>
      <c r="F830" s="24"/>
      <c r="G830" s="23"/>
      <c r="H830" s="23"/>
      <c r="I830" s="25"/>
      <c r="J830" s="23"/>
      <c r="K830" s="23"/>
      <c r="L830" s="26" t="str">
        <f aca="false">IF(OR($E830="",$F830=""),"",MOD($F830-$E830,1)*24)</f>
        <v/>
      </c>
      <c r="M830" s="27" t="str">
        <f aca="false">IF($B830="","",IFERROR(INDEX(Properties!$D$5:$D$104,MATCH($B830,Properties!$A$5:$A$104,0)),"?"))</f>
        <v/>
      </c>
      <c r="N830" s="28" t="str">
        <f aca="false">IF($B830="","",IFERROR(IF($D830="Completed",INDEX(Properties!$I$5:$I$104,MATCH($B830,Properties!$A$5:$A$104,0))*(1+IF($G830="Y",Settings!$B$8,0))+IF($H830="Y",Settings!$B$7,0)+N($I830),IF($D830="Deep clean",INDEX(Settings!$E$22:$E$26,MATCH(MIN(INDEX(Properties!$E$5:$E$104,MATCH($B830,Properties!$A$5:$A$104,0)),4),Settings!$A$22:$A$26,0))+N($I830),IF($D830="Late cancel",INDEX(Properties!$I$5:$I$104,MATCH($B830,Properties!$A$5:$A$104,0))*Settings!$B$10,0))),0))</f>
        <v/>
      </c>
      <c r="O830" s="28" t="str">
        <f aca="false">IF($B830="","",IFERROR(IF($D830="Completed",INDEX(Properties!$L$5:$L$104,MATCH($B830,Properties!$A$5:$A$104,0))+IF($G830="Y",INDEX(Properties!$I$5:$I$104,MATCH($B830,Properties!$A$5:$A$104,0))*Settings!$B$8*Settings!$B$9,0)+IF($H830="Y",Settings!$B$7*Settings!$B$9,0)+N($I830)*Settings!$B$9,IF($D830="Deep clean",INDEX(Settings!$E$22:$E$26,MATCH(MIN(INDEX(Properties!$E$5:$E$104,MATCH($B830,Properties!$A$5:$A$104,0)),4),Settings!$A$22:$A$26,0))*Settings!$B$19+N($I830)*Settings!$B$9,IF($D830="Late cancel",INDEX(Properties!$L$5:$L$104,MATCH($B830,Properties!$A$5:$A$104,0))*Settings!$B$11,0))),0))</f>
        <v/>
      </c>
      <c r="P830" s="28" t="str">
        <f aca="false">IF($B830="","",$N830-$O830)</f>
        <v/>
      </c>
      <c r="Q830" s="29" t="str">
        <f aca="false">IF($A830="","",DATE(YEAR($A830),MONTH($A830),1))</f>
        <v/>
      </c>
      <c r="R830" s="30" t="str">
        <f aca="false">IF($A830="","",$A830+MOD(6-WEEKDAY($A830),7))</f>
        <v/>
      </c>
      <c r="S830" s="31" t="str">
        <f aca="false">IF($B830="","",IF(AND($M830='Invoice Builder'!$C$5,$Q830='Invoice Builder'!$C$6,N($N830)&gt;0),COUNTIFS($M$5:$M830,'Invoice Builder'!$C$5,$Q$5:$Q830,'Invoice Builder'!$C$6,$N$5:$N830,"&gt;0"),""))</f>
        <v/>
      </c>
      <c r="T830" s="27" t="str">
        <f aca="false">IF($A830="","",IF($A830&gt;=DATE(YEAR($A830),4,6),YEAR($A830)&amp;"/"&amp;RIGHT(YEAR($A830)+1,2),YEAR($A830)-1&amp;"/"&amp;RIGHT(YEAR($A830),2)))</f>
        <v/>
      </c>
    </row>
    <row r="831" customFormat="false" ht="15" hidden="false" customHeight="false" outlineLevel="0" collapsed="false">
      <c r="A831" s="22"/>
      <c r="B831" s="23"/>
      <c r="C831" s="23"/>
      <c r="D831" s="23"/>
      <c r="E831" s="24"/>
      <c r="F831" s="24"/>
      <c r="G831" s="23"/>
      <c r="H831" s="23"/>
      <c r="I831" s="25"/>
      <c r="J831" s="23"/>
      <c r="K831" s="23"/>
      <c r="L831" s="26" t="str">
        <f aca="false">IF(OR($E831="",$F831=""),"",MOD($F831-$E831,1)*24)</f>
        <v/>
      </c>
      <c r="M831" s="27" t="str">
        <f aca="false">IF($B831="","",IFERROR(INDEX(Properties!$D$5:$D$104,MATCH($B831,Properties!$A$5:$A$104,0)),"?"))</f>
        <v/>
      </c>
      <c r="N831" s="28" t="str">
        <f aca="false">IF($B831="","",IFERROR(IF($D831="Completed",INDEX(Properties!$I$5:$I$104,MATCH($B831,Properties!$A$5:$A$104,0))*(1+IF($G831="Y",Settings!$B$8,0))+IF($H831="Y",Settings!$B$7,0)+N($I831),IF($D831="Deep clean",INDEX(Settings!$E$22:$E$26,MATCH(MIN(INDEX(Properties!$E$5:$E$104,MATCH($B831,Properties!$A$5:$A$104,0)),4),Settings!$A$22:$A$26,0))+N($I831),IF($D831="Late cancel",INDEX(Properties!$I$5:$I$104,MATCH($B831,Properties!$A$5:$A$104,0))*Settings!$B$10,0))),0))</f>
        <v/>
      </c>
      <c r="O831" s="28" t="str">
        <f aca="false">IF($B831="","",IFERROR(IF($D831="Completed",INDEX(Properties!$L$5:$L$104,MATCH($B831,Properties!$A$5:$A$104,0))+IF($G831="Y",INDEX(Properties!$I$5:$I$104,MATCH($B831,Properties!$A$5:$A$104,0))*Settings!$B$8*Settings!$B$9,0)+IF($H831="Y",Settings!$B$7*Settings!$B$9,0)+N($I831)*Settings!$B$9,IF($D831="Deep clean",INDEX(Settings!$E$22:$E$26,MATCH(MIN(INDEX(Properties!$E$5:$E$104,MATCH($B831,Properties!$A$5:$A$104,0)),4),Settings!$A$22:$A$26,0))*Settings!$B$19+N($I831)*Settings!$B$9,IF($D831="Late cancel",INDEX(Properties!$L$5:$L$104,MATCH($B831,Properties!$A$5:$A$104,0))*Settings!$B$11,0))),0))</f>
        <v/>
      </c>
      <c r="P831" s="28" t="str">
        <f aca="false">IF($B831="","",$N831-$O831)</f>
        <v/>
      </c>
      <c r="Q831" s="29" t="str">
        <f aca="false">IF($A831="","",DATE(YEAR($A831),MONTH($A831),1))</f>
        <v/>
      </c>
      <c r="R831" s="30" t="str">
        <f aca="false">IF($A831="","",$A831+MOD(6-WEEKDAY($A831),7))</f>
        <v/>
      </c>
      <c r="S831" s="31" t="str">
        <f aca="false">IF($B831="","",IF(AND($M831='Invoice Builder'!$C$5,$Q831='Invoice Builder'!$C$6,N($N831)&gt;0),COUNTIFS($M$5:$M831,'Invoice Builder'!$C$5,$Q$5:$Q831,'Invoice Builder'!$C$6,$N$5:$N831,"&gt;0"),""))</f>
        <v/>
      </c>
      <c r="T831" s="27" t="str">
        <f aca="false">IF($A831="","",IF($A831&gt;=DATE(YEAR($A831),4,6),YEAR($A831)&amp;"/"&amp;RIGHT(YEAR($A831)+1,2),YEAR($A831)-1&amp;"/"&amp;RIGHT(YEAR($A831),2)))</f>
        <v/>
      </c>
    </row>
    <row r="832" customFormat="false" ht="15" hidden="false" customHeight="false" outlineLevel="0" collapsed="false">
      <c r="A832" s="22"/>
      <c r="B832" s="23"/>
      <c r="C832" s="23"/>
      <c r="D832" s="23"/>
      <c r="E832" s="24"/>
      <c r="F832" s="24"/>
      <c r="G832" s="23"/>
      <c r="H832" s="23"/>
      <c r="I832" s="25"/>
      <c r="J832" s="23"/>
      <c r="K832" s="23"/>
      <c r="L832" s="26" t="str">
        <f aca="false">IF(OR($E832="",$F832=""),"",MOD($F832-$E832,1)*24)</f>
        <v/>
      </c>
      <c r="M832" s="27" t="str">
        <f aca="false">IF($B832="","",IFERROR(INDEX(Properties!$D$5:$D$104,MATCH($B832,Properties!$A$5:$A$104,0)),"?"))</f>
        <v/>
      </c>
      <c r="N832" s="28" t="str">
        <f aca="false">IF($B832="","",IFERROR(IF($D832="Completed",INDEX(Properties!$I$5:$I$104,MATCH($B832,Properties!$A$5:$A$104,0))*(1+IF($G832="Y",Settings!$B$8,0))+IF($H832="Y",Settings!$B$7,0)+N($I832),IF($D832="Deep clean",INDEX(Settings!$E$22:$E$26,MATCH(MIN(INDEX(Properties!$E$5:$E$104,MATCH($B832,Properties!$A$5:$A$104,0)),4),Settings!$A$22:$A$26,0))+N($I832),IF($D832="Late cancel",INDEX(Properties!$I$5:$I$104,MATCH($B832,Properties!$A$5:$A$104,0))*Settings!$B$10,0))),0))</f>
        <v/>
      </c>
      <c r="O832" s="28" t="str">
        <f aca="false">IF($B832="","",IFERROR(IF($D832="Completed",INDEX(Properties!$L$5:$L$104,MATCH($B832,Properties!$A$5:$A$104,0))+IF($G832="Y",INDEX(Properties!$I$5:$I$104,MATCH($B832,Properties!$A$5:$A$104,0))*Settings!$B$8*Settings!$B$9,0)+IF($H832="Y",Settings!$B$7*Settings!$B$9,0)+N($I832)*Settings!$B$9,IF($D832="Deep clean",INDEX(Settings!$E$22:$E$26,MATCH(MIN(INDEX(Properties!$E$5:$E$104,MATCH($B832,Properties!$A$5:$A$104,0)),4),Settings!$A$22:$A$26,0))*Settings!$B$19+N($I832)*Settings!$B$9,IF($D832="Late cancel",INDEX(Properties!$L$5:$L$104,MATCH($B832,Properties!$A$5:$A$104,0))*Settings!$B$11,0))),0))</f>
        <v/>
      </c>
      <c r="P832" s="28" t="str">
        <f aca="false">IF($B832="","",$N832-$O832)</f>
        <v/>
      </c>
      <c r="Q832" s="29" t="str">
        <f aca="false">IF($A832="","",DATE(YEAR($A832),MONTH($A832),1))</f>
        <v/>
      </c>
      <c r="R832" s="30" t="str">
        <f aca="false">IF($A832="","",$A832+MOD(6-WEEKDAY($A832),7))</f>
        <v/>
      </c>
      <c r="S832" s="31" t="str">
        <f aca="false">IF($B832="","",IF(AND($M832='Invoice Builder'!$C$5,$Q832='Invoice Builder'!$C$6,N($N832)&gt;0),COUNTIFS($M$5:$M832,'Invoice Builder'!$C$5,$Q$5:$Q832,'Invoice Builder'!$C$6,$N$5:$N832,"&gt;0"),""))</f>
        <v/>
      </c>
      <c r="T832" s="27" t="str">
        <f aca="false">IF($A832="","",IF($A832&gt;=DATE(YEAR($A832),4,6),YEAR($A832)&amp;"/"&amp;RIGHT(YEAR($A832)+1,2),YEAR($A832)-1&amp;"/"&amp;RIGHT(YEAR($A832),2)))</f>
        <v/>
      </c>
    </row>
    <row r="833" customFormat="false" ht="15" hidden="false" customHeight="false" outlineLevel="0" collapsed="false">
      <c r="A833" s="22"/>
      <c r="B833" s="23"/>
      <c r="C833" s="23"/>
      <c r="D833" s="23"/>
      <c r="E833" s="24"/>
      <c r="F833" s="24"/>
      <c r="G833" s="23"/>
      <c r="H833" s="23"/>
      <c r="I833" s="25"/>
      <c r="J833" s="23"/>
      <c r="K833" s="23"/>
      <c r="L833" s="26" t="str">
        <f aca="false">IF(OR($E833="",$F833=""),"",MOD($F833-$E833,1)*24)</f>
        <v/>
      </c>
      <c r="M833" s="27" t="str">
        <f aca="false">IF($B833="","",IFERROR(INDEX(Properties!$D$5:$D$104,MATCH($B833,Properties!$A$5:$A$104,0)),"?"))</f>
        <v/>
      </c>
      <c r="N833" s="28" t="str">
        <f aca="false">IF($B833="","",IFERROR(IF($D833="Completed",INDEX(Properties!$I$5:$I$104,MATCH($B833,Properties!$A$5:$A$104,0))*(1+IF($G833="Y",Settings!$B$8,0))+IF($H833="Y",Settings!$B$7,0)+N($I833),IF($D833="Deep clean",INDEX(Settings!$E$22:$E$26,MATCH(MIN(INDEX(Properties!$E$5:$E$104,MATCH($B833,Properties!$A$5:$A$104,0)),4),Settings!$A$22:$A$26,0))+N($I833),IF($D833="Late cancel",INDEX(Properties!$I$5:$I$104,MATCH($B833,Properties!$A$5:$A$104,0))*Settings!$B$10,0))),0))</f>
        <v/>
      </c>
      <c r="O833" s="28" t="str">
        <f aca="false">IF($B833="","",IFERROR(IF($D833="Completed",INDEX(Properties!$L$5:$L$104,MATCH($B833,Properties!$A$5:$A$104,0))+IF($G833="Y",INDEX(Properties!$I$5:$I$104,MATCH($B833,Properties!$A$5:$A$104,0))*Settings!$B$8*Settings!$B$9,0)+IF($H833="Y",Settings!$B$7*Settings!$B$9,0)+N($I833)*Settings!$B$9,IF($D833="Deep clean",INDEX(Settings!$E$22:$E$26,MATCH(MIN(INDEX(Properties!$E$5:$E$104,MATCH($B833,Properties!$A$5:$A$104,0)),4),Settings!$A$22:$A$26,0))*Settings!$B$19+N($I833)*Settings!$B$9,IF($D833="Late cancel",INDEX(Properties!$L$5:$L$104,MATCH($B833,Properties!$A$5:$A$104,0))*Settings!$B$11,0))),0))</f>
        <v/>
      </c>
      <c r="P833" s="28" t="str">
        <f aca="false">IF($B833="","",$N833-$O833)</f>
        <v/>
      </c>
      <c r="Q833" s="29" t="str">
        <f aca="false">IF($A833="","",DATE(YEAR($A833),MONTH($A833),1))</f>
        <v/>
      </c>
      <c r="R833" s="30" t="str">
        <f aca="false">IF($A833="","",$A833+MOD(6-WEEKDAY($A833),7))</f>
        <v/>
      </c>
      <c r="S833" s="31" t="str">
        <f aca="false">IF($B833="","",IF(AND($M833='Invoice Builder'!$C$5,$Q833='Invoice Builder'!$C$6,N($N833)&gt;0),COUNTIFS($M$5:$M833,'Invoice Builder'!$C$5,$Q$5:$Q833,'Invoice Builder'!$C$6,$N$5:$N833,"&gt;0"),""))</f>
        <v/>
      </c>
      <c r="T833" s="27" t="str">
        <f aca="false">IF($A833="","",IF($A833&gt;=DATE(YEAR($A833),4,6),YEAR($A833)&amp;"/"&amp;RIGHT(YEAR($A833)+1,2),YEAR($A833)-1&amp;"/"&amp;RIGHT(YEAR($A833),2)))</f>
        <v/>
      </c>
    </row>
    <row r="834" customFormat="false" ht="15" hidden="false" customHeight="false" outlineLevel="0" collapsed="false">
      <c r="A834" s="22"/>
      <c r="B834" s="23"/>
      <c r="C834" s="23"/>
      <c r="D834" s="23"/>
      <c r="E834" s="24"/>
      <c r="F834" s="24"/>
      <c r="G834" s="23"/>
      <c r="H834" s="23"/>
      <c r="I834" s="25"/>
      <c r="J834" s="23"/>
      <c r="K834" s="23"/>
      <c r="L834" s="26" t="str">
        <f aca="false">IF(OR($E834="",$F834=""),"",MOD($F834-$E834,1)*24)</f>
        <v/>
      </c>
      <c r="M834" s="27" t="str">
        <f aca="false">IF($B834="","",IFERROR(INDEX(Properties!$D$5:$D$104,MATCH($B834,Properties!$A$5:$A$104,0)),"?"))</f>
        <v/>
      </c>
      <c r="N834" s="28" t="str">
        <f aca="false">IF($B834="","",IFERROR(IF($D834="Completed",INDEX(Properties!$I$5:$I$104,MATCH($B834,Properties!$A$5:$A$104,0))*(1+IF($G834="Y",Settings!$B$8,0))+IF($H834="Y",Settings!$B$7,0)+N($I834),IF($D834="Deep clean",INDEX(Settings!$E$22:$E$26,MATCH(MIN(INDEX(Properties!$E$5:$E$104,MATCH($B834,Properties!$A$5:$A$104,0)),4),Settings!$A$22:$A$26,0))+N($I834),IF($D834="Late cancel",INDEX(Properties!$I$5:$I$104,MATCH($B834,Properties!$A$5:$A$104,0))*Settings!$B$10,0))),0))</f>
        <v/>
      </c>
      <c r="O834" s="28" t="str">
        <f aca="false">IF($B834="","",IFERROR(IF($D834="Completed",INDEX(Properties!$L$5:$L$104,MATCH($B834,Properties!$A$5:$A$104,0))+IF($G834="Y",INDEX(Properties!$I$5:$I$104,MATCH($B834,Properties!$A$5:$A$104,0))*Settings!$B$8*Settings!$B$9,0)+IF($H834="Y",Settings!$B$7*Settings!$B$9,0)+N($I834)*Settings!$B$9,IF($D834="Deep clean",INDEX(Settings!$E$22:$E$26,MATCH(MIN(INDEX(Properties!$E$5:$E$104,MATCH($B834,Properties!$A$5:$A$104,0)),4),Settings!$A$22:$A$26,0))*Settings!$B$19+N($I834)*Settings!$B$9,IF($D834="Late cancel",INDEX(Properties!$L$5:$L$104,MATCH($B834,Properties!$A$5:$A$104,0))*Settings!$B$11,0))),0))</f>
        <v/>
      </c>
      <c r="P834" s="28" t="str">
        <f aca="false">IF($B834="","",$N834-$O834)</f>
        <v/>
      </c>
      <c r="Q834" s="29" t="str">
        <f aca="false">IF($A834="","",DATE(YEAR($A834),MONTH($A834),1))</f>
        <v/>
      </c>
      <c r="R834" s="30" t="str">
        <f aca="false">IF($A834="","",$A834+MOD(6-WEEKDAY($A834),7))</f>
        <v/>
      </c>
      <c r="S834" s="31" t="str">
        <f aca="false">IF($B834="","",IF(AND($M834='Invoice Builder'!$C$5,$Q834='Invoice Builder'!$C$6,N($N834)&gt;0),COUNTIFS($M$5:$M834,'Invoice Builder'!$C$5,$Q$5:$Q834,'Invoice Builder'!$C$6,$N$5:$N834,"&gt;0"),""))</f>
        <v/>
      </c>
      <c r="T834" s="27" t="str">
        <f aca="false">IF($A834="","",IF($A834&gt;=DATE(YEAR($A834),4,6),YEAR($A834)&amp;"/"&amp;RIGHT(YEAR($A834)+1,2),YEAR($A834)-1&amp;"/"&amp;RIGHT(YEAR($A834),2)))</f>
        <v/>
      </c>
    </row>
    <row r="835" customFormat="false" ht="15" hidden="false" customHeight="false" outlineLevel="0" collapsed="false">
      <c r="A835" s="22"/>
      <c r="B835" s="23"/>
      <c r="C835" s="23"/>
      <c r="D835" s="23"/>
      <c r="E835" s="24"/>
      <c r="F835" s="24"/>
      <c r="G835" s="23"/>
      <c r="H835" s="23"/>
      <c r="I835" s="25"/>
      <c r="J835" s="23"/>
      <c r="K835" s="23"/>
      <c r="L835" s="26" t="str">
        <f aca="false">IF(OR($E835="",$F835=""),"",MOD($F835-$E835,1)*24)</f>
        <v/>
      </c>
      <c r="M835" s="27" t="str">
        <f aca="false">IF($B835="","",IFERROR(INDEX(Properties!$D$5:$D$104,MATCH($B835,Properties!$A$5:$A$104,0)),"?"))</f>
        <v/>
      </c>
      <c r="N835" s="28" t="str">
        <f aca="false">IF($B835="","",IFERROR(IF($D835="Completed",INDEX(Properties!$I$5:$I$104,MATCH($B835,Properties!$A$5:$A$104,0))*(1+IF($G835="Y",Settings!$B$8,0))+IF($H835="Y",Settings!$B$7,0)+N($I835),IF($D835="Deep clean",INDEX(Settings!$E$22:$E$26,MATCH(MIN(INDEX(Properties!$E$5:$E$104,MATCH($B835,Properties!$A$5:$A$104,0)),4),Settings!$A$22:$A$26,0))+N($I835),IF($D835="Late cancel",INDEX(Properties!$I$5:$I$104,MATCH($B835,Properties!$A$5:$A$104,0))*Settings!$B$10,0))),0))</f>
        <v/>
      </c>
      <c r="O835" s="28" t="str">
        <f aca="false">IF($B835="","",IFERROR(IF($D835="Completed",INDEX(Properties!$L$5:$L$104,MATCH($B835,Properties!$A$5:$A$104,0))+IF($G835="Y",INDEX(Properties!$I$5:$I$104,MATCH($B835,Properties!$A$5:$A$104,0))*Settings!$B$8*Settings!$B$9,0)+IF($H835="Y",Settings!$B$7*Settings!$B$9,0)+N($I835)*Settings!$B$9,IF($D835="Deep clean",INDEX(Settings!$E$22:$E$26,MATCH(MIN(INDEX(Properties!$E$5:$E$104,MATCH($B835,Properties!$A$5:$A$104,0)),4),Settings!$A$22:$A$26,0))*Settings!$B$19+N($I835)*Settings!$B$9,IF($D835="Late cancel",INDEX(Properties!$L$5:$L$104,MATCH($B835,Properties!$A$5:$A$104,0))*Settings!$B$11,0))),0))</f>
        <v/>
      </c>
      <c r="P835" s="28" t="str">
        <f aca="false">IF($B835="","",$N835-$O835)</f>
        <v/>
      </c>
      <c r="Q835" s="29" t="str">
        <f aca="false">IF($A835="","",DATE(YEAR($A835),MONTH($A835),1))</f>
        <v/>
      </c>
      <c r="R835" s="30" t="str">
        <f aca="false">IF($A835="","",$A835+MOD(6-WEEKDAY($A835),7))</f>
        <v/>
      </c>
      <c r="S835" s="31" t="str">
        <f aca="false">IF($B835="","",IF(AND($M835='Invoice Builder'!$C$5,$Q835='Invoice Builder'!$C$6,N($N835)&gt;0),COUNTIFS($M$5:$M835,'Invoice Builder'!$C$5,$Q$5:$Q835,'Invoice Builder'!$C$6,$N$5:$N835,"&gt;0"),""))</f>
        <v/>
      </c>
      <c r="T835" s="27" t="str">
        <f aca="false">IF($A835="","",IF($A835&gt;=DATE(YEAR($A835),4,6),YEAR($A835)&amp;"/"&amp;RIGHT(YEAR($A835)+1,2),YEAR($A835)-1&amp;"/"&amp;RIGHT(YEAR($A835),2)))</f>
        <v/>
      </c>
    </row>
    <row r="836" customFormat="false" ht="15" hidden="false" customHeight="false" outlineLevel="0" collapsed="false">
      <c r="A836" s="22"/>
      <c r="B836" s="23"/>
      <c r="C836" s="23"/>
      <c r="D836" s="23"/>
      <c r="E836" s="24"/>
      <c r="F836" s="24"/>
      <c r="G836" s="23"/>
      <c r="H836" s="23"/>
      <c r="I836" s="25"/>
      <c r="J836" s="23"/>
      <c r="K836" s="23"/>
      <c r="L836" s="26" t="str">
        <f aca="false">IF(OR($E836="",$F836=""),"",MOD($F836-$E836,1)*24)</f>
        <v/>
      </c>
      <c r="M836" s="27" t="str">
        <f aca="false">IF($B836="","",IFERROR(INDEX(Properties!$D$5:$D$104,MATCH($B836,Properties!$A$5:$A$104,0)),"?"))</f>
        <v/>
      </c>
      <c r="N836" s="28" t="str">
        <f aca="false">IF($B836="","",IFERROR(IF($D836="Completed",INDEX(Properties!$I$5:$I$104,MATCH($B836,Properties!$A$5:$A$104,0))*(1+IF($G836="Y",Settings!$B$8,0))+IF($H836="Y",Settings!$B$7,0)+N($I836),IF($D836="Deep clean",INDEX(Settings!$E$22:$E$26,MATCH(MIN(INDEX(Properties!$E$5:$E$104,MATCH($B836,Properties!$A$5:$A$104,0)),4),Settings!$A$22:$A$26,0))+N($I836),IF($D836="Late cancel",INDEX(Properties!$I$5:$I$104,MATCH($B836,Properties!$A$5:$A$104,0))*Settings!$B$10,0))),0))</f>
        <v/>
      </c>
      <c r="O836" s="28" t="str">
        <f aca="false">IF($B836="","",IFERROR(IF($D836="Completed",INDEX(Properties!$L$5:$L$104,MATCH($B836,Properties!$A$5:$A$104,0))+IF($G836="Y",INDEX(Properties!$I$5:$I$104,MATCH($B836,Properties!$A$5:$A$104,0))*Settings!$B$8*Settings!$B$9,0)+IF($H836="Y",Settings!$B$7*Settings!$B$9,0)+N($I836)*Settings!$B$9,IF($D836="Deep clean",INDEX(Settings!$E$22:$E$26,MATCH(MIN(INDEX(Properties!$E$5:$E$104,MATCH($B836,Properties!$A$5:$A$104,0)),4),Settings!$A$22:$A$26,0))*Settings!$B$19+N($I836)*Settings!$B$9,IF($D836="Late cancel",INDEX(Properties!$L$5:$L$104,MATCH($B836,Properties!$A$5:$A$104,0))*Settings!$B$11,0))),0))</f>
        <v/>
      </c>
      <c r="P836" s="28" t="str">
        <f aca="false">IF($B836="","",$N836-$O836)</f>
        <v/>
      </c>
      <c r="Q836" s="29" t="str">
        <f aca="false">IF($A836="","",DATE(YEAR($A836),MONTH($A836),1))</f>
        <v/>
      </c>
      <c r="R836" s="30" t="str">
        <f aca="false">IF($A836="","",$A836+MOD(6-WEEKDAY($A836),7))</f>
        <v/>
      </c>
      <c r="S836" s="31" t="str">
        <f aca="false">IF($B836="","",IF(AND($M836='Invoice Builder'!$C$5,$Q836='Invoice Builder'!$C$6,N($N836)&gt;0),COUNTIFS($M$5:$M836,'Invoice Builder'!$C$5,$Q$5:$Q836,'Invoice Builder'!$C$6,$N$5:$N836,"&gt;0"),""))</f>
        <v/>
      </c>
      <c r="T836" s="27" t="str">
        <f aca="false">IF($A836="","",IF($A836&gt;=DATE(YEAR($A836),4,6),YEAR($A836)&amp;"/"&amp;RIGHT(YEAR($A836)+1,2),YEAR($A836)-1&amp;"/"&amp;RIGHT(YEAR($A836),2)))</f>
        <v/>
      </c>
    </row>
    <row r="837" customFormat="false" ht="15" hidden="false" customHeight="false" outlineLevel="0" collapsed="false">
      <c r="A837" s="22"/>
      <c r="B837" s="23"/>
      <c r="C837" s="23"/>
      <c r="D837" s="23"/>
      <c r="E837" s="24"/>
      <c r="F837" s="24"/>
      <c r="G837" s="23"/>
      <c r="H837" s="23"/>
      <c r="I837" s="25"/>
      <c r="J837" s="23"/>
      <c r="K837" s="23"/>
      <c r="L837" s="26" t="str">
        <f aca="false">IF(OR($E837="",$F837=""),"",MOD($F837-$E837,1)*24)</f>
        <v/>
      </c>
      <c r="M837" s="27" t="str">
        <f aca="false">IF($B837="","",IFERROR(INDEX(Properties!$D$5:$D$104,MATCH($B837,Properties!$A$5:$A$104,0)),"?"))</f>
        <v/>
      </c>
      <c r="N837" s="28" t="str">
        <f aca="false">IF($B837="","",IFERROR(IF($D837="Completed",INDEX(Properties!$I$5:$I$104,MATCH($B837,Properties!$A$5:$A$104,0))*(1+IF($G837="Y",Settings!$B$8,0))+IF($H837="Y",Settings!$B$7,0)+N($I837),IF($D837="Deep clean",INDEX(Settings!$E$22:$E$26,MATCH(MIN(INDEX(Properties!$E$5:$E$104,MATCH($B837,Properties!$A$5:$A$104,0)),4),Settings!$A$22:$A$26,0))+N($I837),IF($D837="Late cancel",INDEX(Properties!$I$5:$I$104,MATCH($B837,Properties!$A$5:$A$104,0))*Settings!$B$10,0))),0))</f>
        <v/>
      </c>
      <c r="O837" s="28" t="str">
        <f aca="false">IF($B837="","",IFERROR(IF($D837="Completed",INDEX(Properties!$L$5:$L$104,MATCH($B837,Properties!$A$5:$A$104,0))+IF($G837="Y",INDEX(Properties!$I$5:$I$104,MATCH($B837,Properties!$A$5:$A$104,0))*Settings!$B$8*Settings!$B$9,0)+IF($H837="Y",Settings!$B$7*Settings!$B$9,0)+N($I837)*Settings!$B$9,IF($D837="Deep clean",INDEX(Settings!$E$22:$E$26,MATCH(MIN(INDEX(Properties!$E$5:$E$104,MATCH($B837,Properties!$A$5:$A$104,0)),4),Settings!$A$22:$A$26,0))*Settings!$B$19+N($I837)*Settings!$B$9,IF($D837="Late cancel",INDEX(Properties!$L$5:$L$104,MATCH($B837,Properties!$A$5:$A$104,0))*Settings!$B$11,0))),0))</f>
        <v/>
      </c>
      <c r="P837" s="28" t="str">
        <f aca="false">IF($B837="","",$N837-$O837)</f>
        <v/>
      </c>
      <c r="Q837" s="29" t="str">
        <f aca="false">IF($A837="","",DATE(YEAR($A837),MONTH($A837),1))</f>
        <v/>
      </c>
      <c r="R837" s="30" t="str">
        <f aca="false">IF($A837="","",$A837+MOD(6-WEEKDAY($A837),7))</f>
        <v/>
      </c>
      <c r="S837" s="31" t="str">
        <f aca="false">IF($B837="","",IF(AND($M837='Invoice Builder'!$C$5,$Q837='Invoice Builder'!$C$6,N($N837)&gt;0),COUNTIFS($M$5:$M837,'Invoice Builder'!$C$5,$Q$5:$Q837,'Invoice Builder'!$C$6,$N$5:$N837,"&gt;0"),""))</f>
        <v/>
      </c>
      <c r="T837" s="27" t="str">
        <f aca="false">IF($A837="","",IF($A837&gt;=DATE(YEAR($A837),4,6),YEAR($A837)&amp;"/"&amp;RIGHT(YEAR($A837)+1,2),YEAR($A837)-1&amp;"/"&amp;RIGHT(YEAR($A837),2)))</f>
        <v/>
      </c>
    </row>
    <row r="838" customFormat="false" ht="15" hidden="false" customHeight="false" outlineLevel="0" collapsed="false">
      <c r="A838" s="22"/>
      <c r="B838" s="23"/>
      <c r="C838" s="23"/>
      <c r="D838" s="23"/>
      <c r="E838" s="24"/>
      <c r="F838" s="24"/>
      <c r="G838" s="23"/>
      <c r="H838" s="23"/>
      <c r="I838" s="25"/>
      <c r="J838" s="23"/>
      <c r="K838" s="23"/>
      <c r="L838" s="26" t="str">
        <f aca="false">IF(OR($E838="",$F838=""),"",MOD($F838-$E838,1)*24)</f>
        <v/>
      </c>
      <c r="M838" s="27" t="str">
        <f aca="false">IF($B838="","",IFERROR(INDEX(Properties!$D$5:$D$104,MATCH($B838,Properties!$A$5:$A$104,0)),"?"))</f>
        <v/>
      </c>
      <c r="N838" s="28" t="str">
        <f aca="false">IF($B838="","",IFERROR(IF($D838="Completed",INDEX(Properties!$I$5:$I$104,MATCH($B838,Properties!$A$5:$A$104,0))*(1+IF($G838="Y",Settings!$B$8,0))+IF($H838="Y",Settings!$B$7,0)+N($I838),IF($D838="Deep clean",INDEX(Settings!$E$22:$E$26,MATCH(MIN(INDEX(Properties!$E$5:$E$104,MATCH($B838,Properties!$A$5:$A$104,0)),4),Settings!$A$22:$A$26,0))+N($I838),IF($D838="Late cancel",INDEX(Properties!$I$5:$I$104,MATCH($B838,Properties!$A$5:$A$104,0))*Settings!$B$10,0))),0))</f>
        <v/>
      </c>
      <c r="O838" s="28" t="str">
        <f aca="false">IF($B838="","",IFERROR(IF($D838="Completed",INDEX(Properties!$L$5:$L$104,MATCH($B838,Properties!$A$5:$A$104,0))+IF($G838="Y",INDEX(Properties!$I$5:$I$104,MATCH($B838,Properties!$A$5:$A$104,0))*Settings!$B$8*Settings!$B$9,0)+IF($H838="Y",Settings!$B$7*Settings!$B$9,0)+N($I838)*Settings!$B$9,IF($D838="Deep clean",INDEX(Settings!$E$22:$E$26,MATCH(MIN(INDEX(Properties!$E$5:$E$104,MATCH($B838,Properties!$A$5:$A$104,0)),4),Settings!$A$22:$A$26,0))*Settings!$B$19+N($I838)*Settings!$B$9,IF($D838="Late cancel",INDEX(Properties!$L$5:$L$104,MATCH($B838,Properties!$A$5:$A$104,0))*Settings!$B$11,0))),0))</f>
        <v/>
      </c>
      <c r="P838" s="28" t="str">
        <f aca="false">IF($B838="","",$N838-$O838)</f>
        <v/>
      </c>
      <c r="Q838" s="29" t="str">
        <f aca="false">IF($A838="","",DATE(YEAR($A838),MONTH($A838),1))</f>
        <v/>
      </c>
      <c r="R838" s="30" t="str">
        <f aca="false">IF($A838="","",$A838+MOD(6-WEEKDAY($A838),7))</f>
        <v/>
      </c>
      <c r="S838" s="31" t="str">
        <f aca="false">IF($B838="","",IF(AND($M838='Invoice Builder'!$C$5,$Q838='Invoice Builder'!$C$6,N($N838)&gt;0),COUNTIFS($M$5:$M838,'Invoice Builder'!$C$5,$Q$5:$Q838,'Invoice Builder'!$C$6,$N$5:$N838,"&gt;0"),""))</f>
        <v/>
      </c>
      <c r="T838" s="27" t="str">
        <f aca="false">IF($A838="","",IF($A838&gt;=DATE(YEAR($A838),4,6),YEAR($A838)&amp;"/"&amp;RIGHT(YEAR($A838)+1,2),YEAR($A838)-1&amp;"/"&amp;RIGHT(YEAR($A838),2)))</f>
        <v/>
      </c>
    </row>
    <row r="839" customFormat="false" ht="15" hidden="false" customHeight="false" outlineLevel="0" collapsed="false">
      <c r="A839" s="22"/>
      <c r="B839" s="23"/>
      <c r="C839" s="23"/>
      <c r="D839" s="23"/>
      <c r="E839" s="24"/>
      <c r="F839" s="24"/>
      <c r="G839" s="23"/>
      <c r="H839" s="23"/>
      <c r="I839" s="25"/>
      <c r="J839" s="23"/>
      <c r="K839" s="23"/>
      <c r="L839" s="26" t="str">
        <f aca="false">IF(OR($E839="",$F839=""),"",MOD($F839-$E839,1)*24)</f>
        <v/>
      </c>
      <c r="M839" s="27" t="str">
        <f aca="false">IF($B839="","",IFERROR(INDEX(Properties!$D$5:$D$104,MATCH($B839,Properties!$A$5:$A$104,0)),"?"))</f>
        <v/>
      </c>
      <c r="N839" s="28" t="str">
        <f aca="false">IF($B839="","",IFERROR(IF($D839="Completed",INDEX(Properties!$I$5:$I$104,MATCH($B839,Properties!$A$5:$A$104,0))*(1+IF($G839="Y",Settings!$B$8,0))+IF($H839="Y",Settings!$B$7,0)+N($I839),IF($D839="Deep clean",INDEX(Settings!$E$22:$E$26,MATCH(MIN(INDEX(Properties!$E$5:$E$104,MATCH($B839,Properties!$A$5:$A$104,0)),4),Settings!$A$22:$A$26,0))+N($I839),IF($D839="Late cancel",INDEX(Properties!$I$5:$I$104,MATCH($B839,Properties!$A$5:$A$104,0))*Settings!$B$10,0))),0))</f>
        <v/>
      </c>
      <c r="O839" s="28" t="str">
        <f aca="false">IF($B839="","",IFERROR(IF($D839="Completed",INDEX(Properties!$L$5:$L$104,MATCH($B839,Properties!$A$5:$A$104,0))+IF($G839="Y",INDEX(Properties!$I$5:$I$104,MATCH($B839,Properties!$A$5:$A$104,0))*Settings!$B$8*Settings!$B$9,0)+IF($H839="Y",Settings!$B$7*Settings!$B$9,0)+N($I839)*Settings!$B$9,IF($D839="Deep clean",INDEX(Settings!$E$22:$E$26,MATCH(MIN(INDEX(Properties!$E$5:$E$104,MATCH($B839,Properties!$A$5:$A$104,0)),4),Settings!$A$22:$A$26,0))*Settings!$B$19+N($I839)*Settings!$B$9,IF($D839="Late cancel",INDEX(Properties!$L$5:$L$104,MATCH($B839,Properties!$A$5:$A$104,0))*Settings!$B$11,0))),0))</f>
        <v/>
      </c>
      <c r="P839" s="28" t="str">
        <f aca="false">IF($B839="","",$N839-$O839)</f>
        <v/>
      </c>
      <c r="Q839" s="29" t="str">
        <f aca="false">IF($A839="","",DATE(YEAR($A839),MONTH($A839),1))</f>
        <v/>
      </c>
      <c r="R839" s="30" t="str">
        <f aca="false">IF($A839="","",$A839+MOD(6-WEEKDAY($A839),7))</f>
        <v/>
      </c>
      <c r="S839" s="31" t="str">
        <f aca="false">IF($B839="","",IF(AND($M839='Invoice Builder'!$C$5,$Q839='Invoice Builder'!$C$6,N($N839)&gt;0),COUNTIFS($M$5:$M839,'Invoice Builder'!$C$5,$Q$5:$Q839,'Invoice Builder'!$C$6,$N$5:$N839,"&gt;0"),""))</f>
        <v/>
      </c>
      <c r="T839" s="27" t="str">
        <f aca="false">IF($A839="","",IF($A839&gt;=DATE(YEAR($A839),4,6),YEAR($A839)&amp;"/"&amp;RIGHT(YEAR($A839)+1,2),YEAR($A839)-1&amp;"/"&amp;RIGHT(YEAR($A839),2)))</f>
        <v/>
      </c>
    </row>
    <row r="840" customFormat="false" ht="15" hidden="false" customHeight="false" outlineLevel="0" collapsed="false">
      <c r="A840" s="22"/>
      <c r="B840" s="23"/>
      <c r="C840" s="23"/>
      <c r="D840" s="23"/>
      <c r="E840" s="24"/>
      <c r="F840" s="24"/>
      <c r="G840" s="23"/>
      <c r="H840" s="23"/>
      <c r="I840" s="25"/>
      <c r="J840" s="23"/>
      <c r="K840" s="23"/>
      <c r="L840" s="26" t="str">
        <f aca="false">IF(OR($E840="",$F840=""),"",MOD($F840-$E840,1)*24)</f>
        <v/>
      </c>
      <c r="M840" s="27" t="str">
        <f aca="false">IF($B840="","",IFERROR(INDEX(Properties!$D$5:$D$104,MATCH($B840,Properties!$A$5:$A$104,0)),"?"))</f>
        <v/>
      </c>
      <c r="N840" s="28" t="str">
        <f aca="false">IF($B840="","",IFERROR(IF($D840="Completed",INDEX(Properties!$I$5:$I$104,MATCH($B840,Properties!$A$5:$A$104,0))*(1+IF($G840="Y",Settings!$B$8,0))+IF($H840="Y",Settings!$B$7,0)+N($I840),IF($D840="Deep clean",INDEX(Settings!$E$22:$E$26,MATCH(MIN(INDEX(Properties!$E$5:$E$104,MATCH($B840,Properties!$A$5:$A$104,0)),4),Settings!$A$22:$A$26,0))+N($I840),IF($D840="Late cancel",INDEX(Properties!$I$5:$I$104,MATCH($B840,Properties!$A$5:$A$104,0))*Settings!$B$10,0))),0))</f>
        <v/>
      </c>
      <c r="O840" s="28" t="str">
        <f aca="false">IF($B840="","",IFERROR(IF($D840="Completed",INDEX(Properties!$L$5:$L$104,MATCH($B840,Properties!$A$5:$A$104,0))+IF($G840="Y",INDEX(Properties!$I$5:$I$104,MATCH($B840,Properties!$A$5:$A$104,0))*Settings!$B$8*Settings!$B$9,0)+IF($H840="Y",Settings!$B$7*Settings!$B$9,0)+N($I840)*Settings!$B$9,IF($D840="Deep clean",INDEX(Settings!$E$22:$E$26,MATCH(MIN(INDEX(Properties!$E$5:$E$104,MATCH($B840,Properties!$A$5:$A$104,0)),4),Settings!$A$22:$A$26,0))*Settings!$B$19+N($I840)*Settings!$B$9,IF($D840="Late cancel",INDEX(Properties!$L$5:$L$104,MATCH($B840,Properties!$A$5:$A$104,0))*Settings!$B$11,0))),0))</f>
        <v/>
      </c>
      <c r="P840" s="28" t="str">
        <f aca="false">IF($B840="","",$N840-$O840)</f>
        <v/>
      </c>
      <c r="Q840" s="29" t="str">
        <f aca="false">IF($A840="","",DATE(YEAR($A840),MONTH($A840),1))</f>
        <v/>
      </c>
      <c r="R840" s="30" t="str">
        <f aca="false">IF($A840="","",$A840+MOD(6-WEEKDAY($A840),7))</f>
        <v/>
      </c>
      <c r="S840" s="31" t="str">
        <f aca="false">IF($B840="","",IF(AND($M840='Invoice Builder'!$C$5,$Q840='Invoice Builder'!$C$6,N($N840)&gt;0),COUNTIFS($M$5:$M840,'Invoice Builder'!$C$5,$Q$5:$Q840,'Invoice Builder'!$C$6,$N$5:$N840,"&gt;0"),""))</f>
        <v/>
      </c>
      <c r="T840" s="27" t="str">
        <f aca="false">IF($A840="","",IF($A840&gt;=DATE(YEAR($A840),4,6),YEAR($A840)&amp;"/"&amp;RIGHT(YEAR($A840)+1,2),YEAR($A840)-1&amp;"/"&amp;RIGHT(YEAR($A840),2)))</f>
        <v/>
      </c>
    </row>
    <row r="841" customFormat="false" ht="15" hidden="false" customHeight="false" outlineLevel="0" collapsed="false">
      <c r="A841" s="22"/>
      <c r="B841" s="23"/>
      <c r="C841" s="23"/>
      <c r="D841" s="23"/>
      <c r="E841" s="24"/>
      <c r="F841" s="24"/>
      <c r="G841" s="23"/>
      <c r="H841" s="23"/>
      <c r="I841" s="25"/>
      <c r="J841" s="23"/>
      <c r="K841" s="23"/>
      <c r="L841" s="26" t="str">
        <f aca="false">IF(OR($E841="",$F841=""),"",MOD($F841-$E841,1)*24)</f>
        <v/>
      </c>
      <c r="M841" s="27" t="str">
        <f aca="false">IF($B841="","",IFERROR(INDEX(Properties!$D$5:$D$104,MATCH($B841,Properties!$A$5:$A$104,0)),"?"))</f>
        <v/>
      </c>
      <c r="N841" s="28" t="str">
        <f aca="false">IF($B841="","",IFERROR(IF($D841="Completed",INDEX(Properties!$I$5:$I$104,MATCH($B841,Properties!$A$5:$A$104,0))*(1+IF($G841="Y",Settings!$B$8,0))+IF($H841="Y",Settings!$B$7,0)+N($I841),IF($D841="Deep clean",INDEX(Settings!$E$22:$E$26,MATCH(MIN(INDEX(Properties!$E$5:$E$104,MATCH($B841,Properties!$A$5:$A$104,0)),4),Settings!$A$22:$A$26,0))+N($I841),IF($D841="Late cancel",INDEX(Properties!$I$5:$I$104,MATCH($B841,Properties!$A$5:$A$104,0))*Settings!$B$10,0))),0))</f>
        <v/>
      </c>
      <c r="O841" s="28" t="str">
        <f aca="false">IF($B841="","",IFERROR(IF($D841="Completed",INDEX(Properties!$L$5:$L$104,MATCH($B841,Properties!$A$5:$A$104,0))+IF($G841="Y",INDEX(Properties!$I$5:$I$104,MATCH($B841,Properties!$A$5:$A$104,0))*Settings!$B$8*Settings!$B$9,0)+IF($H841="Y",Settings!$B$7*Settings!$B$9,0)+N($I841)*Settings!$B$9,IF($D841="Deep clean",INDEX(Settings!$E$22:$E$26,MATCH(MIN(INDEX(Properties!$E$5:$E$104,MATCH($B841,Properties!$A$5:$A$104,0)),4),Settings!$A$22:$A$26,0))*Settings!$B$19+N($I841)*Settings!$B$9,IF($D841="Late cancel",INDEX(Properties!$L$5:$L$104,MATCH($B841,Properties!$A$5:$A$104,0))*Settings!$B$11,0))),0))</f>
        <v/>
      </c>
      <c r="P841" s="28" t="str">
        <f aca="false">IF($B841="","",$N841-$O841)</f>
        <v/>
      </c>
      <c r="Q841" s="29" t="str">
        <f aca="false">IF($A841="","",DATE(YEAR($A841),MONTH($A841),1))</f>
        <v/>
      </c>
      <c r="R841" s="30" t="str">
        <f aca="false">IF($A841="","",$A841+MOD(6-WEEKDAY($A841),7))</f>
        <v/>
      </c>
      <c r="S841" s="31" t="str">
        <f aca="false">IF($B841="","",IF(AND($M841='Invoice Builder'!$C$5,$Q841='Invoice Builder'!$C$6,N($N841)&gt;0),COUNTIFS($M$5:$M841,'Invoice Builder'!$C$5,$Q$5:$Q841,'Invoice Builder'!$C$6,$N$5:$N841,"&gt;0"),""))</f>
        <v/>
      </c>
      <c r="T841" s="27" t="str">
        <f aca="false">IF($A841="","",IF($A841&gt;=DATE(YEAR($A841),4,6),YEAR($A841)&amp;"/"&amp;RIGHT(YEAR($A841)+1,2),YEAR($A841)-1&amp;"/"&amp;RIGHT(YEAR($A841),2)))</f>
        <v/>
      </c>
    </row>
    <row r="842" customFormat="false" ht="15" hidden="false" customHeight="false" outlineLevel="0" collapsed="false">
      <c r="A842" s="22"/>
      <c r="B842" s="23"/>
      <c r="C842" s="23"/>
      <c r="D842" s="23"/>
      <c r="E842" s="24"/>
      <c r="F842" s="24"/>
      <c r="G842" s="23"/>
      <c r="H842" s="23"/>
      <c r="I842" s="25"/>
      <c r="J842" s="23"/>
      <c r="K842" s="23"/>
      <c r="L842" s="26" t="str">
        <f aca="false">IF(OR($E842="",$F842=""),"",MOD($F842-$E842,1)*24)</f>
        <v/>
      </c>
      <c r="M842" s="27" t="str">
        <f aca="false">IF($B842="","",IFERROR(INDEX(Properties!$D$5:$D$104,MATCH($B842,Properties!$A$5:$A$104,0)),"?"))</f>
        <v/>
      </c>
      <c r="N842" s="28" t="str">
        <f aca="false">IF($B842="","",IFERROR(IF($D842="Completed",INDEX(Properties!$I$5:$I$104,MATCH($B842,Properties!$A$5:$A$104,0))*(1+IF($G842="Y",Settings!$B$8,0))+IF($H842="Y",Settings!$B$7,0)+N($I842),IF($D842="Deep clean",INDEX(Settings!$E$22:$E$26,MATCH(MIN(INDEX(Properties!$E$5:$E$104,MATCH($B842,Properties!$A$5:$A$104,0)),4),Settings!$A$22:$A$26,0))+N($I842),IF($D842="Late cancel",INDEX(Properties!$I$5:$I$104,MATCH($B842,Properties!$A$5:$A$104,0))*Settings!$B$10,0))),0))</f>
        <v/>
      </c>
      <c r="O842" s="28" t="str">
        <f aca="false">IF($B842="","",IFERROR(IF($D842="Completed",INDEX(Properties!$L$5:$L$104,MATCH($B842,Properties!$A$5:$A$104,0))+IF($G842="Y",INDEX(Properties!$I$5:$I$104,MATCH($B842,Properties!$A$5:$A$104,0))*Settings!$B$8*Settings!$B$9,0)+IF($H842="Y",Settings!$B$7*Settings!$B$9,0)+N($I842)*Settings!$B$9,IF($D842="Deep clean",INDEX(Settings!$E$22:$E$26,MATCH(MIN(INDEX(Properties!$E$5:$E$104,MATCH($B842,Properties!$A$5:$A$104,0)),4),Settings!$A$22:$A$26,0))*Settings!$B$19+N($I842)*Settings!$B$9,IF($D842="Late cancel",INDEX(Properties!$L$5:$L$104,MATCH($B842,Properties!$A$5:$A$104,0))*Settings!$B$11,0))),0))</f>
        <v/>
      </c>
      <c r="P842" s="28" t="str">
        <f aca="false">IF($B842="","",$N842-$O842)</f>
        <v/>
      </c>
      <c r="Q842" s="29" t="str">
        <f aca="false">IF($A842="","",DATE(YEAR($A842),MONTH($A842),1))</f>
        <v/>
      </c>
      <c r="R842" s="30" t="str">
        <f aca="false">IF($A842="","",$A842+MOD(6-WEEKDAY($A842),7))</f>
        <v/>
      </c>
      <c r="S842" s="31" t="str">
        <f aca="false">IF($B842="","",IF(AND($M842='Invoice Builder'!$C$5,$Q842='Invoice Builder'!$C$6,N($N842)&gt;0),COUNTIFS($M$5:$M842,'Invoice Builder'!$C$5,$Q$5:$Q842,'Invoice Builder'!$C$6,$N$5:$N842,"&gt;0"),""))</f>
        <v/>
      </c>
      <c r="T842" s="27" t="str">
        <f aca="false">IF($A842="","",IF($A842&gt;=DATE(YEAR($A842),4,6),YEAR($A842)&amp;"/"&amp;RIGHT(YEAR($A842)+1,2),YEAR($A842)-1&amp;"/"&amp;RIGHT(YEAR($A842),2)))</f>
        <v/>
      </c>
    </row>
    <row r="843" customFormat="false" ht="15" hidden="false" customHeight="false" outlineLevel="0" collapsed="false">
      <c r="A843" s="22"/>
      <c r="B843" s="23"/>
      <c r="C843" s="23"/>
      <c r="D843" s="23"/>
      <c r="E843" s="24"/>
      <c r="F843" s="24"/>
      <c r="G843" s="23"/>
      <c r="H843" s="23"/>
      <c r="I843" s="25"/>
      <c r="J843" s="23"/>
      <c r="K843" s="23"/>
      <c r="L843" s="26" t="str">
        <f aca="false">IF(OR($E843="",$F843=""),"",MOD($F843-$E843,1)*24)</f>
        <v/>
      </c>
      <c r="M843" s="27" t="str">
        <f aca="false">IF($B843="","",IFERROR(INDEX(Properties!$D$5:$D$104,MATCH($B843,Properties!$A$5:$A$104,0)),"?"))</f>
        <v/>
      </c>
      <c r="N843" s="28" t="str">
        <f aca="false">IF($B843="","",IFERROR(IF($D843="Completed",INDEX(Properties!$I$5:$I$104,MATCH($B843,Properties!$A$5:$A$104,0))*(1+IF($G843="Y",Settings!$B$8,0))+IF($H843="Y",Settings!$B$7,0)+N($I843),IF($D843="Deep clean",INDEX(Settings!$E$22:$E$26,MATCH(MIN(INDEX(Properties!$E$5:$E$104,MATCH($B843,Properties!$A$5:$A$104,0)),4),Settings!$A$22:$A$26,0))+N($I843),IF($D843="Late cancel",INDEX(Properties!$I$5:$I$104,MATCH($B843,Properties!$A$5:$A$104,0))*Settings!$B$10,0))),0))</f>
        <v/>
      </c>
      <c r="O843" s="28" t="str">
        <f aca="false">IF($B843="","",IFERROR(IF($D843="Completed",INDEX(Properties!$L$5:$L$104,MATCH($B843,Properties!$A$5:$A$104,0))+IF($G843="Y",INDEX(Properties!$I$5:$I$104,MATCH($B843,Properties!$A$5:$A$104,0))*Settings!$B$8*Settings!$B$9,0)+IF($H843="Y",Settings!$B$7*Settings!$B$9,0)+N($I843)*Settings!$B$9,IF($D843="Deep clean",INDEX(Settings!$E$22:$E$26,MATCH(MIN(INDEX(Properties!$E$5:$E$104,MATCH($B843,Properties!$A$5:$A$104,0)),4),Settings!$A$22:$A$26,0))*Settings!$B$19+N($I843)*Settings!$B$9,IF($D843="Late cancel",INDEX(Properties!$L$5:$L$104,MATCH($B843,Properties!$A$5:$A$104,0))*Settings!$B$11,0))),0))</f>
        <v/>
      </c>
      <c r="P843" s="28" t="str">
        <f aca="false">IF($B843="","",$N843-$O843)</f>
        <v/>
      </c>
      <c r="Q843" s="29" t="str">
        <f aca="false">IF($A843="","",DATE(YEAR($A843),MONTH($A843),1))</f>
        <v/>
      </c>
      <c r="R843" s="30" t="str">
        <f aca="false">IF($A843="","",$A843+MOD(6-WEEKDAY($A843),7))</f>
        <v/>
      </c>
      <c r="S843" s="31" t="str">
        <f aca="false">IF($B843="","",IF(AND($M843='Invoice Builder'!$C$5,$Q843='Invoice Builder'!$C$6,N($N843)&gt;0),COUNTIFS($M$5:$M843,'Invoice Builder'!$C$5,$Q$5:$Q843,'Invoice Builder'!$C$6,$N$5:$N843,"&gt;0"),""))</f>
        <v/>
      </c>
      <c r="T843" s="27" t="str">
        <f aca="false">IF($A843="","",IF($A843&gt;=DATE(YEAR($A843),4,6),YEAR($A843)&amp;"/"&amp;RIGHT(YEAR($A843)+1,2),YEAR($A843)-1&amp;"/"&amp;RIGHT(YEAR($A843),2)))</f>
        <v/>
      </c>
    </row>
    <row r="844" customFormat="false" ht="15" hidden="false" customHeight="false" outlineLevel="0" collapsed="false">
      <c r="A844" s="22"/>
      <c r="B844" s="23"/>
      <c r="C844" s="23"/>
      <c r="D844" s="23"/>
      <c r="E844" s="24"/>
      <c r="F844" s="24"/>
      <c r="G844" s="23"/>
      <c r="H844" s="23"/>
      <c r="I844" s="25"/>
      <c r="J844" s="23"/>
      <c r="K844" s="23"/>
      <c r="L844" s="26" t="str">
        <f aca="false">IF(OR($E844="",$F844=""),"",MOD($F844-$E844,1)*24)</f>
        <v/>
      </c>
      <c r="M844" s="27" t="str">
        <f aca="false">IF($B844="","",IFERROR(INDEX(Properties!$D$5:$D$104,MATCH($B844,Properties!$A$5:$A$104,0)),"?"))</f>
        <v/>
      </c>
      <c r="N844" s="28" t="str">
        <f aca="false">IF($B844="","",IFERROR(IF($D844="Completed",INDEX(Properties!$I$5:$I$104,MATCH($B844,Properties!$A$5:$A$104,0))*(1+IF($G844="Y",Settings!$B$8,0))+IF($H844="Y",Settings!$B$7,0)+N($I844),IF($D844="Deep clean",INDEX(Settings!$E$22:$E$26,MATCH(MIN(INDEX(Properties!$E$5:$E$104,MATCH($B844,Properties!$A$5:$A$104,0)),4),Settings!$A$22:$A$26,0))+N($I844),IF($D844="Late cancel",INDEX(Properties!$I$5:$I$104,MATCH($B844,Properties!$A$5:$A$104,0))*Settings!$B$10,0))),0))</f>
        <v/>
      </c>
      <c r="O844" s="28" t="str">
        <f aca="false">IF($B844="","",IFERROR(IF($D844="Completed",INDEX(Properties!$L$5:$L$104,MATCH($B844,Properties!$A$5:$A$104,0))+IF($G844="Y",INDEX(Properties!$I$5:$I$104,MATCH($B844,Properties!$A$5:$A$104,0))*Settings!$B$8*Settings!$B$9,0)+IF($H844="Y",Settings!$B$7*Settings!$B$9,0)+N($I844)*Settings!$B$9,IF($D844="Deep clean",INDEX(Settings!$E$22:$E$26,MATCH(MIN(INDEX(Properties!$E$5:$E$104,MATCH($B844,Properties!$A$5:$A$104,0)),4),Settings!$A$22:$A$26,0))*Settings!$B$19+N($I844)*Settings!$B$9,IF($D844="Late cancel",INDEX(Properties!$L$5:$L$104,MATCH($B844,Properties!$A$5:$A$104,0))*Settings!$B$11,0))),0))</f>
        <v/>
      </c>
      <c r="P844" s="28" t="str">
        <f aca="false">IF($B844="","",$N844-$O844)</f>
        <v/>
      </c>
      <c r="Q844" s="29" t="str">
        <f aca="false">IF($A844="","",DATE(YEAR($A844),MONTH($A844),1))</f>
        <v/>
      </c>
      <c r="R844" s="30" t="str">
        <f aca="false">IF($A844="","",$A844+MOD(6-WEEKDAY($A844),7))</f>
        <v/>
      </c>
      <c r="S844" s="31" t="str">
        <f aca="false">IF($B844="","",IF(AND($M844='Invoice Builder'!$C$5,$Q844='Invoice Builder'!$C$6,N($N844)&gt;0),COUNTIFS($M$5:$M844,'Invoice Builder'!$C$5,$Q$5:$Q844,'Invoice Builder'!$C$6,$N$5:$N844,"&gt;0"),""))</f>
        <v/>
      </c>
      <c r="T844" s="27" t="str">
        <f aca="false">IF($A844="","",IF($A844&gt;=DATE(YEAR($A844),4,6),YEAR($A844)&amp;"/"&amp;RIGHT(YEAR($A844)+1,2),YEAR($A844)-1&amp;"/"&amp;RIGHT(YEAR($A844),2)))</f>
        <v/>
      </c>
    </row>
    <row r="845" customFormat="false" ht="15" hidden="false" customHeight="false" outlineLevel="0" collapsed="false">
      <c r="A845" s="22"/>
      <c r="B845" s="23"/>
      <c r="C845" s="23"/>
      <c r="D845" s="23"/>
      <c r="E845" s="24"/>
      <c r="F845" s="24"/>
      <c r="G845" s="23"/>
      <c r="H845" s="23"/>
      <c r="I845" s="25"/>
      <c r="J845" s="23"/>
      <c r="K845" s="23"/>
      <c r="L845" s="26" t="str">
        <f aca="false">IF(OR($E845="",$F845=""),"",MOD($F845-$E845,1)*24)</f>
        <v/>
      </c>
      <c r="M845" s="27" t="str">
        <f aca="false">IF($B845="","",IFERROR(INDEX(Properties!$D$5:$D$104,MATCH($B845,Properties!$A$5:$A$104,0)),"?"))</f>
        <v/>
      </c>
      <c r="N845" s="28" t="str">
        <f aca="false">IF($B845="","",IFERROR(IF($D845="Completed",INDEX(Properties!$I$5:$I$104,MATCH($B845,Properties!$A$5:$A$104,0))*(1+IF($G845="Y",Settings!$B$8,0))+IF($H845="Y",Settings!$B$7,0)+N($I845),IF($D845="Deep clean",INDEX(Settings!$E$22:$E$26,MATCH(MIN(INDEX(Properties!$E$5:$E$104,MATCH($B845,Properties!$A$5:$A$104,0)),4),Settings!$A$22:$A$26,0))+N($I845),IF($D845="Late cancel",INDEX(Properties!$I$5:$I$104,MATCH($B845,Properties!$A$5:$A$104,0))*Settings!$B$10,0))),0))</f>
        <v/>
      </c>
      <c r="O845" s="28" t="str">
        <f aca="false">IF($B845="","",IFERROR(IF($D845="Completed",INDEX(Properties!$L$5:$L$104,MATCH($B845,Properties!$A$5:$A$104,0))+IF($G845="Y",INDEX(Properties!$I$5:$I$104,MATCH($B845,Properties!$A$5:$A$104,0))*Settings!$B$8*Settings!$B$9,0)+IF($H845="Y",Settings!$B$7*Settings!$B$9,0)+N($I845)*Settings!$B$9,IF($D845="Deep clean",INDEX(Settings!$E$22:$E$26,MATCH(MIN(INDEX(Properties!$E$5:$E$104,MATCH($B845,Properties!$A$5:$A$104,0)),4),Settings!$A$22:$A$26,0))*Settings!$B$19+N($I845)*Settings!$B$9,IF($D845="Late cancel",INDEX(Properties!$L$5:$L$104,MATCH($B845,Properties!$A$5:$A$104,0))*Settings!$B$11,0))),0))</f>
        <v/>
      </c>
      <c r="P845" s="28" t="str">
        <f aca="false">IF($B845="","",$N845-$O845)</f>
        <v/>
      </c>
      <c r="Q845" s="29" t="str">
        <f aca="false">IF($A845="","",DATE(YEAR($A845),MONTH($A845),1))</f>
        <v/>
      </c>
      <c r="R845" s="30" t="str">
        <f aca="false">IF($A845="","",$A845+MOD(6-WEEKDAY($A845),7))</f>
        <v/>
      </c>
      <c r="S845" s="31" t="str">
        <f aca="false">IF($B845="","",IF(AND($M845='Invoice Builder'!$C$5,$Q845='Invoice Builder'!$C$6,N($N845)&gt;0),COUNTIFS($M$5:$M845,'Invoice Builder'!$C$5,$Q$5:$Q845,'Invoice Builder'!$C$6,$N$5:$N845,"&gt;0"),""))</f>
        <v/>
      </c>
      <c r="T845" s="27" t="str">
        <f aca="false">IF($A845="","",IF($A845&gt;=DATE(YEAR($A845),4,6),YEAR($A845)&amp;"/"&amp;RIGHT(YEAR($A845)+1,2),YEAR($A845)-1&amp;"/"&amp;RIGHT(YEAR($A845),2)))</f>
        <v/>
      </c>
    </row>
    <row r="846" customFormat="false" ht="15" hidden="false" customHeight="false" outlineLevel="0" collapsed="false">
      <c r="A846" s="22"/>
      <c r="B846" s="23"/>
      <c r="C846" s="23"/>
      <c r="D846" s="23"/>
      <c r="E846" s="24"/>
      <c r="F846" s="24"/>
      <c r="G846" s="23"/>
      <c r="H846" s="23"/>
      <c r="I846" s="25"/>
      <c r="J846" s="23"/>
      <c r="K846" s="23"/>
      <c r="L846" s="26" t="str">
        <f aca="false">IF(OR($E846="",$F846=""),"",MOD($F846-$E846,1)*24)</f>
        <v/>
      </c>
      <c r="M846" s="27" t="str">
        <f aca="false">IF($B846="","",IFERROR(INDEX(Properties!$D$5:$D$104,MATCH($B846,Properties!$A$5:$A$104,0)),"?"))</f>
        <v/>
      </c>
      <c r="N846" s="28" t="str">
        <f aca="false">IF($B846="","",IFERROR(IF($D846="Completed",INDEX(Properties!$I$5:$I$104,MATCH($B846,Properties!$A$5:$A$104,0))*(1+IF($G846="Y",Settings!$B$8,0))+IF($H846="Y",Settings!$B$7,0)+N($I846),IF($D846="Deep clean",INDEX(Settings!$E$22:$E$26,MATCH(MIN(INDEX(Properties!$E$5:$E$104,MATCH($B846,Properties!$A$5:$A$104,0)),4),Settings!$A$22:$A$26,0))+N($I846),IF($D846="Late cancel",INDEX(Properties!$I$5:$I$104,MATCH($B846,Properties!$A$5:$A$104,0))*Settings!$B$10,0))),0))</f>
        <v/>
      </c>
      <c r="O846" s="28" t="str">
        <f aca="false">IF($B846="","",IFERROR(IF($D846="Completed",INDEX(Properties!$L$5:$L$104,MATCH($B846,Properties!$A$5:$A$104,0))+IF($G846="Y",INDEX(Properties!$I$5:$I$104,MATCH($B846,Properties!$A$5:$A$104,0))*Settings!$B$8*Settings!$B$9,0)+IF($H846="Y",Settings!$B$7*Settings!$B$9,0)+N($I846)*Settings!$B$9,IF($D846="Deep clean",INDEX(Settings!$E$22:$E$26,MATCH(MIN(INDEX(Properties!$E$5:$E$104,MATCH($B846,Properties!$A$5:$A$104,0)),4),Settings!$A$22:$A$26,0))*Settings!$B$19+N($I846)*Settings!$B$9,IF($D846="Late cancel",INDEX(Properties!$L$5:$L$104,MATCH($B846,Properties!$A$5:$A$104,0))*Settings!$B$11,0))),0))</f>
        <v/>
      </c>
      <c r="P846" s="28" t="str">
        <f aca="false">IF($B846="","",$N846-$O846)</f>
        <v/>
      </c>
      <c r="Q846" s="29" t="str">
        <f aca="false">IF($A846="","",DATE(YEAR($A846),MONTH($A846),1))</f>
        <v/>
      </c>
      <c r="R846" s="30" t="str">
        <f aca="false">IF($A846="","",$A846+MOD(6-WEEKDAY($A846),7))</f>
        <v/>
      </c>
      <c r="S846" s="31" t="str">
        <f aca="false">IF($B846="","",IF(AND($M846='Invoice Builder'!$C$5,$Q846='Invoice Builder'!$C$6,N($N846)&gt;0),COUNTIFS($M$5:$M846,'Invoice Builder'!$C$5,$Q$5:$Q846,'Invoice Builder'!$C$6,$N$5:$N846,"&gt;0"),""))</f>
        <v/>
      </c>
      <c r="T846" s="27" t="str">
        <f aca="false">IF($A846="","",IF($A846&gt;=DATE(YEAR($A846),4,6),YEAR($A846)&amp;"/"&amp;RIGHT(YEAR($A846)+1,2),YEAR($A846)-1&amp;"/"&amp;RIGHT(YEAR($A846),2)))</f>
        <v/>
      </c>
    </row>
    <row r="847" customFormat="false" ht="15" hidden="false" customHeight="false" outlineLevel="0" collapsed="false">
      <c r="A847" s="22"/>
      <c r="B847" s="23"/>
      <c r="C847" s="23"/>
      <c r="D847" s="23"/>
      <c r="E847" s="24"/>
      <c r="F847" s="24"/>
      <c r="G847" s="23"/>
      <c r="H847" s="23"/>
      <c r="I847" s="25"/>
      <c r="J847" s="23"/>
      <c r="K847" s="23"/>
      <c r="L847" s="26" t="str">
        <f aca="false">IF(OR($E847="",$F847=""),"",MOD($F847-$E847,1)*24)</f>
        <v/>
      </c>
      <c r="M847" s="27" t="str">
        <f aca="false">IF($B847="","",IFERROR(INDEX(Properties!$D$5:$D$104,MATCH($B847,Properties!$A$5:$A$104,0)),"?"))</f>
        <v/>
      </c>
      <c r="N847" s="28" t="str">
        <f aca="false">IF($B847="","",IFERROR(IF($D847="Completed",INDEX(Properties!$I$5:$I$104,MATCH($B847,Properties!$A$5:$A$104,0))*(1+IF($G847="Y",Settings!$B$8,0))+IF($H847="Y",Settings!$B$7,0)+N($I847),IF($D847="Deep clean",INDEX(Settings!$E$22:$E$26,MATCH(MIN(INDEX(Properties!$E$5:$E$104,MATCH($B847,Properties!$A$5:$A$104,0)),4),Settings!$A$22:$A$26,0))+N($I847),IF($D847="Late cancel",INDEX(Properties!$I$5:$I$104,MATCH($B847,Properties!$A$5:$A$104,0))*Settings!$B$10,0))),0))</f>
        <v/>
      </c>
      <c r="O847" s="28" t="str">
        <f aca="false">IF($B847="","",IFERROR(IF($D847="Completed",INDEX(Properties!$L$5:$L$104,MATCH($B847,Properties!$A$5:$A$104,0))+IF($G847="Y",INDEX(Properties!$I$5:$I$104,MATCH($B847,Properties!$A$5:$A$104,0))*Settings!$B$8*Settings!$B$9,0)+IF($H847="Y",Settings!$B$7*Settings!$B$9,0)+N($I847)*Settings!$B$9,IF($D847="Deep clean",INDEX(Settings!$E$22:$E$26,MATCH(MIN(INDEX(Properties!$E$5:$E$104,MATCH($B847,Properties!$A$5:$A$104,0)),4),Settings!$A$22:$A$26,0))*Settings!$B$19+N($I847)*Settings!$B$9,IF($D847="Late cancel",INDEX(Properties!$L$5:$L$104,MATCH($B847,Properties!$A$5:$A$104,0))*Settings!$B$11,0))),0))</f>
        <v/>
      </c>
      <c r="P847" s="28" t="str">
        <f aca="false">IF($B847="","",$N847-$O847)</f>
        <v/>
      </c>
      <c r="Q847" s="29" t="str">
        <f aca="false">IF($A847="","",DATE(YEAR($A847),MONTH($A847),1))</f>
        <v/>
      </c>
      <c r="R847" s="30" t="str">
        <f aca="false">IF($A847="","",$A847+MOD(6-WEEKDAY($A847),7))</f>
        <v/>
      </c>
      <c r="S847" s="31" t="str">
        <f aca="false">IF($B847="","",IF(AND($M847='Invoice Builder'!$C$5,$Q847='Invoice Builder'!$C$6,N($N847)&gt;0),COUNTIFS($M$5:$M847,'Invoice Builder'!$C$5,$Q$5:$Q847,'Invoice Builder'!$C$6,$N$5:$N847,"&gt;0"),""))</f>
        <v/>
      </c>
      <c r="T847" s="27" t="str">
        <f aca="false">IF($A847="","",IF($A847&gt;=DATE(YEAR($A847),4,6),YEAR($A847)&amp;"/"&amp;RIGHT(YEAR($A847)+1,2),YEAR($A847)-1&amp;"/"&amp;RIGHT(YEAR($A847),2)))</f>
        <v/>
      </c>
    </row>
    <row r="848" customFormat="false" ht="15" hidden="false" customHeight="false" outlineLevel="0" collapsed="false">
      <c r="A848" s="22"/>
      <c r="B848" s="23"/>
      <c r="C848" s="23"/>
      <c r="D848" s="23"/>
      <c r="E848" s="24"/>
      <c r="F848" s="24"/>
      <c r="G848" s="23"/>
      <c r="H848" s="23"/>
      <c r="I848" s="25"/>
      <c r="J848" s="23"/>
      <c r="K848" s="23"/>
      <c r="L848" s="26" t="str">
        <f aca="false">IF(OR($E848="",$F848=""),"",MOD($F848-$E848,1)*24)</f>
        <v/>
      </c>
      <c r="M848" s="27" t="str">
        <f aca="false">IF($B848="","",IFERROR(INDEX(Properties!$D$5:$D$104,MATCH($B848,Properties!$A$5:$A$104,0)),"?"))</f>
        <v/>
      </c>
      <c r="N848" s="28" t="str">
        <f aca="false">IF($B848="","",IFERROR(IF($D848="Completed",INDEX(Properties!$I$5:$I$104,MATCH($B848,Properties!$A$5:$A$104,0))*(1+IF($G848="Y",Settings!$B$8,0))+IF($H848="Y",Settings!$B$7,0)+N($I848),IF($D848="Deep clean",INDEX(Settings!$E$22:$E$26,MATCH(MIN(INDEX(Properties!$E$5:$E$104,MATCH($B848,Properties!$A$5:$A$104,0)),4),Settings!$A$22:$A$26,0))+N($I848),IF($D848="Late cancel",INDEX(Properties!$I$5:$I$104,MATCH($B848,Properties!$A$5:$A$104,0))*Settings!$B$10,0))),0))</f>
        <v/>
      </c>
      <c r="O848" s="28" t="str">
        <f aca="false">IF($B848="","",IFERROR(IF($D848="Completed",INDEX(Properties!$L$5:$L$104,MATCH($B848,Properties!$A$5:$A$104,0))+IF($G848="Y",INDEX(Properties!$I$5:$I$104,MATCH($B848,Properties!$A$5:$A$104,0))*Settings!$B$8*Settings!$B$9,0)+IF($H848="Y",Settings!$B$7*Settings!$B$9,0)+N($I848)*Settings!$B$9,IF($D848="Deep clean",INDEX(Settings!$E$22:$E$26,MATCH(MIN(INDEX(Properties!$E$5:$E$104,MATCH($B848,Properties!$A$5:$A$104,0)),4),Settings!$A$22:$A$26,0))*Settings!$B$19+N($I848)*Settings!$B$9,IF($D848="Late cancel",INDEX(Properties!$L$5:$L$104,MATCH($B848,Properties!$A$5:$A$104,0))*Settings!$B$11,0))),0))</f>
        <v/>
      </c>
      <c r="P848" s="28" t="str">
        <f aca="false">IF($B848="","",$N848-$O848)</f>
        <v/>
      </c>
      <c r="Q848" s="29" t="str">
        <f aca="false">IF($A848="","",DATE(YEAR($A848),MONTH($A848),1))</f>
        <v/>
      </c>
      <c r="R848" s="30" t="str">
        <f aca="false">IF($A848="","",$A848+MOD(6-WEEKDAY($A848),7))</f>
        <v/>
      </c>
      <c r="S848" s="31" t="str">
        <f aca="false">IF($B848="","",IF(AND($M848='Invoice Builder'!$C$5,$Q848='Invoice Builder'!$C$6,N($N848)&gt;0),COUNTIFS($M$5:$M848,'Invoice Builder'!$C$5,$Q$5:$Q848,'Invoice Builder'!$C$6,$N$5:$N848,"&gt;0"),""))</f>
        <v/>
      </c>
      <c r="T848" s="27" t="str">
        <f aca="false">IF($A848="","",IF($A848&gt;=DATE(YEAR($A848),4,6),YEAR($A848)&amp;"/"&amp;RIGHT(YEAR($A848)+1,2),YEAR($A848)-1&amp;"/"&amp;RIGHT(YEAR($A848),2)))</f>
        <v/>
      </c>
    </row>
    <row r="849" customFormat="false" ht="15" hidden="false" customHeight="false" outlineLevel="0" collapsed="false">
      <c r="A849" s="22"/>
      <c r="B849" s="23"/>
      <c r="C849" s="23"/>
      <c r="D849" s="23"/>
      <c r="E849" s="24"/>
      <c r="F849" s="24"/>
      <c r="G849" s="23"/>
      <c r="H849" s="23"/>
      <c r="I849" s="25"/>
      <c r="J849" s="23"/>
      <c r="K849" s="23"/>
      <c r="L849" s="26" t="str">
        <f aca="false">IF(OR($E849="",$F849=""),"",MOD($F849-$E849,1)*24)</f>
        <v/>
      </c>
      <c r="M849" s="27" t="str">
        <f aca="false">IF($B849="","",IFERROR(INDEX(Properties!$D$5:$D$104,MATCH($B849,Properties!$A$5:$A$104,0)),"?"))</f>
        <v/>
      </c>
      <c r="N849" s="28" t="str">
        <f aca="false">IF($B849="","",IFERROR(IF($D849="Completed",INDEX(Properties!$I$5:$I$104,MATCH($B849,Properties!$A$5:$A$104,0))*(1+IF($G849="Y",Settings!$B$8,0))+IF($H849="Y",Settings!$B$7,0)+N($I849),IF($D849="Deep clean",INDEX(Settings!$E$22:$E$26,MATCH(MIN(INDEX(Properties!$E$5:$E$104,MATCH($B849,Properties!$A$5:$A$104,0)),4),Settings!$A$22:$A$26,0))+N($I849),IF($D849="Late cancel",INDEX(Properties!$I$5:$I$104,MATCH($B849,Properties!$A$5:$A$104,0))*Settings!$B$10,0))),0))</f>
        <v/>
      </c>
      <c r="O849" s="28" t="str">
        <f aca="false">IF($B849="","",IFERROR(IF($D849="Completed",INDEX(Properties!$L$5:$L$104,MATCH($B849,Properties!$A$5:$A$104,0))+IF($G849="Y",INDEX(Properties!$I$5:$I$104,MATCH($B849,Properties!$A$5:$A$104,0))*Settings!$B$8*Settings!$B$9,0)+IF($H849="Y",Settings!$B$7*Settings!$B$9,0)+N($I849)*Settings!$B$9,IF($D849="Deep clean",INDEX(Settings!$E$22:$E$26,MATCH(MIN(INDEX(Properties!$E$5:$E$104,MATCH($B849,Properties!$A$5:$A$104,0)),4),Settings!$A$22:$A$26,0))*Settings!$B$19+N($I849)*Settings!$B$9,IF($D849="Late cancel",INDEX(Properties!$L$5:$L$104,MATCH($B849,Properties!$A$5:$A$104,0))*Settings!$B$11,0))),0))</f>
        <v/>
      </c>
      <c r="P849" s="28" t="str">
        <f aca="false">IF($B849="","",$N849-$O849)</f>
        <v/>
      </c>
      <c r="Q849" s="29" t="str">
        <f aca="false">IF($A849="","",DATE(YEAR($A849),MONTH($A849),1))</f>
        <v/>
      </c>
      <c r="R849" s="30" t="str">
        <f aca="false">IF($A849="","",$A849+MOD(6-WEEKDAY($A849),7))</f>
        <v/>
      </c>
      <c r="S849" s="31" t="str">
        <f aca="false">IF($B849="","",IF(AND($M849='Invoice Builder'!$C$5,$Q849='Invoice Builder'!$C$6,N($N849)&gt;0),COUNTIFS($M$5:$M849,'Invoice Builder'!$C$5,$Q$5:$Q849,'Invoice Builder'!$C$6,$N$5:$N849,"&gt;0"),""))</f>
        <v/>
      </c>
      <c r="T849" s="27" t="str">
        <f aca="false">IF($A849="","",IF($A849&gt;=DATE(YEAR($A849),4,6),YEAR($A849)&amp;"/"&amp;RIGHT(YEAR($A849)+1,2),YEAR($A849)-1&amp;"/"&amp;RIGHT(YEAR($A849),2)))</f>
        <v/>
      </c>
    </row>
    <row r="850" customFormat="false" ht="15" hidden="false" customHeight="false" outlineLevel="0" collapsed="false">
      <c r="A850" s="22"/>
      <c r="B850" s="23"/>
      <c r="C850" s="23"/>
      <c r="D850" s="23"/>
      <c r="E850" s="24"/>
      <c r="F850" s="24"/>
      <c r="G850" s="23"/>
      <c r="H850" s="23"/>
      <c r="I850" s="25"/>
      <c r="J850" s="23"/>
      <c r="K850" s="23"/>
      <c r="L850" s="26" t="str">
        <f aca="false">IF(OR($E850="",$F850=""),"",MOD($F850-$E850,1)*24)</f>
        <v/>
      </c>
      <c r="M850" s="27" t="str">
        <f aca="false">IF($B850="","",IFERROR(INDEX(Properties!$D$5:$D$104,MATCH($B850,Properties!$A$5:$A$104,0)),"?"))</f>
        <v/>
      </c>
      <c r="N850" s="28" t="str">
        <f aca="false">IF($B850="","",IFERROR(IF($D850="Completed",INDEX(Properties!$I$5:$I$104,MATCH($B850,Properties!$A$5:$A$104,0))*(1+IF($G850="Y",Settings!$B$8,0))+IF($H850="Y",Settings!$B$7,0)+N($I850),IF($D850="Deep clean",INDEX(Settings!$E$22:$E$26,MATCH(MIN(INDEX(Properties!$E$5:$E$104,MATCH($B850,Properties!$A$5:$A$104,0)),4),Settings!$A$22:$A$26,0))+N($I850),IF($D850="Late cancel",INDEX(Properties!$I$5:$I$104,MATCH($B850,Properties!$A$5:$A$104,0))*Settings!$B$10,0))),0))</f>
        <v/>
      </c>
      <c r="O850" s="28" t="str">
        <f aca="false">IF($B850="","",IFERROR(IF($D850="Completed",INDEX(Properties!$L$5:$L$104,MATCH($B850,Properties!$A$5:$A$104,0))+IF($G850="Y",INDEX(Properties!$I$5:$I$104,MATCH($B850,Properties!$A$5:$A$104,0))*Settings!$B$8*Settings!$B$9,0)+IF($H850="Y",Settings!$B$7*Settings!$B$9,0)+N($I850)*Settings!$B$9,IF($D850="Deep clean",INDEX(Settings!$E$22:$E$26,MATCH(MIN(INDEX(Properties!$E$5:$E$104,MATCH($B850,Properties!$A$5:$A$104,0)),4),Settings!$A$22:$A$26,0))*Settings!$B$19+N($I850)*Settings!$B$9,IF($D850="Late cancel",INDEX(Properties!$L$5:$L$104,MATCH($B850,Properties!$A$5:$A$104,0))*Settings!$B$11,0))),0))</f>
        <v/>
      </c>
      <c r="P850" s="28" t="str">
        <f aca="false">IF($B850="","",$N850-$O850)</f>
        <v/>
      </c>
      <c r="Q850" s="29" t="str">
        <f aca="false">IF($A850="","",DATE(YEAR($A850),MONTH($A850),1))</f>
        <v/>
      </c>
      <c r="R850" s="30" t="str">
        <f aca="false">IF($A850="","",$A850+MOD(6-WEEKDAY($A850),7))</f>
        <v/>
      </c>
      <c r="S850" s="31" t="str">
        <f aca="false">IF($B850="","",IF(AND($M850='Invoice Builder'!$C$5,$Q850='Invoice Builder'!$C$6,N($N850)&gt;0),COUNTIFS($M$5:$M850,'Invoice Builder'!$C$5,$Q$5:$Q850,'Invoice Builder'!$C$6,$N$5:$N850,"&gt;0"),""))</f>
        <v/>
      </c>
      <c r="T850" s="27" t="str">
        <f aca="false">IF($A850="","",IF($A850&gt;=DATE(YEAR($A850),4,6),YEAR($A850)&amp;"/"&amp;RIGHT(YEAR($A850)+1,2),YEAR($A850)-1&amp;"/"&amp;RIGHT(YEAR($A850),2)))</f>
        <v/>
      </c>
    </row>
    <row r="851" customFormat="false" ht="15" hidden="false" customHeight="false" outlineLevel="0" collapsed="false">
      <c r="A851" s="22"/>
      <c r="B851" s="23"/>
      <c r="C851" s="23"/>
      <c r="D851" s="23"/>
      <c r="E851" s="24"/>
      <c r="F851" s="24"/>
      <c r="G851" s="23"/>
      <c r="H851" s="23"/>
      <c r="I851" s="25"/>
      <c r="J851" s="23"/>
      <c r="K851" s="23"/>
      <c r="L851" s="26" t="str">
        <f aca="false">IF(OR($E851="",$F851=""),"",MOD($F851-$E851,1)*24)</f>
        <v/>
      </c>
      <c r="M851" s="27" t="str">
        <f aca="false">IF($B851="","",IFERROR(INDEX(Properties!$D$5:$D$104,MATCH($B851,Properties!$A$5:$A$104,0)),"?"))</f>
        <v/>
      </c>
      <c r="N851" s="28" t="str">
        <f aca="false">IF($B851="","",IFERROR(IF($D851="Completed",INDEX(Properties!$I$5:$I$104,MATCH($B851,Properties!$A$5:$A$104,0))*(1+IF($G851="Y",Settings!$B$8,0))+IF($H851="Y",Settings!$B$7,0)+N($I851),IF($D851="Deep clean",INDEX(Settings!$E$22:$E$26,MATCH(MIN(INDEX(Properties!$E$5:$E$104,MATCH($B851,Properties!$A$5:$A$104,0)),4),Settings!$A$22:$A$26,0))+N($I851),IF($D851="Late cancel",INDEX(Properties!$I$5:$I$104,MATCH($B851,Properties!$A$5:$A$104,0))*Settings!$B$10,0))),0))</f>
        <v/>
      </c>
      <c r="O851" s="28" t="str">
        <f aca="false">IF($B851="","",IFERROR(IF($D851="Completed",INDEX(Properties!$L$5:$L$104,MATCH($B851,Properties!$A$5:$A$104,0))+IF($G851="Y",INDEX(Properties!$I$5:$I$104,MATCH($B851,Properties!$A$5:$A$104,0))*Settings!$B$8*Settings!$B$9,0)+IF($H851="Y",Settings!$B$7*Settings!$B$9,0)+N($I851)*Settings!$B$9,IF($D851="Deep clean",INDEX(Settings!$E$22:$E$26,MATCH(MIN(INDEX(Properties!$E$5:$E$104,MATCH($B851,Properties!$A$5:$A$104,0)),4),Settings!$A$22:$A$26,0))*Settings!$B$19+N($I851)*Settings!$B$9,IF($D851="Late cancel",INDEX(Properties!$L$5:$L$104,MATCH($B851,Properties!$A$5:$A$104,0))*Settings!$B$11,0))),0))</f>
        <v/>
      </c>
      <c r="P851" s="28" t="str">
        <f aca="false">IF($B851="","",$N851-$O851)</f>
        <v/>
      </c>
      <c r="Q851" s="29" t="str">
        <f aca="false">IF($A851="","",DATE(YEAR($A851),MONTH($A851),1))</f>
        <v/>
      </c>
      <c r="R851" s="30" t="str">
        <f aca="false">IF($A851="","",$A851+MOD(6-WEEKDAY($A851),7))</f>
        <v/>
      </c>
      <c r="S851" s="31" t="str">
        <f aca="false">IF($B851="","",IF(AND($M851='Invoice Builder'!$C$5,$Q851='Invoice Builder'!$C$6,N($N851)&gt;0),COUNTIFS($M$5:$M851,'Invoice Builder'!$C$5,$Q$5:$Q851,'Invoice Builder'!$C$6,$N$5:$N851,"&gt;0"),""))</f>
        <v/>
      </c>
      <c r="T851" s="27" t="str">
        <f aca="false">IF($A851="","",IF($A851&gt;=DATE(YEAR($A851),4,6),YEAR($A851)&amp;"/"&amp;RIGHT(YEAR($A851)+1,2),YEAR($A851)-1&amp;"/"&amp;RIGHT(YEAR($A851),2)))</f>
        <v/>
      </c>
    </row>
    <row r="852" customFormat="false" ht="15" hidden="false" customHeight="false" outlineLevel="0" collapsed="false">
      <c r="A852" s="22"/>
      <c r="B852" s="23"/>
      <c r="C852" s="23"/>
      <c r="D852" s="23"/>
      <c r="E852" s="24"/>
      <c r="F852" s="24"/>
      <c r="G852" s="23"/>
      <c r="H852" s="23"/>
      <c r="I852" s="25"/>
      <c r="J852" s="23"/>
      <c r="K852" s="23"/>
      <c r="L852" s="26" t="str">
        <f aca="false">IF(OR($E852="",$F852=""),"",MOD($F852-$E852,1)*24)</f>
        <v/>
      </c>
      <c r="M852" s="27" t="str">
        <f aca="false">IF($B852="","",IFERROR(INDEX(Properties!$D$5:$D$104,MATCH($B852,Properties!$A$5:$A$104,0)),"?"))</f>
        <v/>
      </c>
      <c r="N852" s="28" t="str">
        <f aca="false">IF($B852="","",IFERROR(IF($D852="Completed",INDEX(Properties!$I$5:$I$104,MATCH($B852,Properties!$A$5:$A$104,0))*(1+IF($G852="Y",Settings!$B$8,0))+IF($H852="Y",Settings!$B$7,0)+N($I852),IF($D852="Deep clean",INDEX(Settings!$E$22:$E$26,MATCH(MIN(INDEX(Properties!$E$5:$E$104,MATCH($B852,Properties!$A$5:$A$104,0)),4),Settings!$A$22:$A$26,0))+N($I852),IF($D852="Late cancel",INDEX(Properties!$I$5:$I$104,MATCH($B852,Properties!$A$5:$A$104,0))*Settings!$B$10,0))),0))</f>
        <v/>
      </c>
      <c r="O852" s="28" t="str">
        <f aca="false">IF($B852="","",IFERROR(IF($D852="Completed",INDEX(Properties!$L$5:$L$104,MATCH($B852,Properties!$A$5:$A$104,0))+IF($G852="Y",INDEX(Properties!$I$5:$I$104,MATCH($B852,Properties!$A$5:$A$104,0))*Settings!$B$8*Settings!$B$9,0)+IF($H852="Y",Settings!$B$7*Settings!$B$9,0)+N($I852)*Settings!$B$9,IF($D852="Deep clean",INDEX(Settings!$E$22:$E$26,MATCH(MIN(INDEX(Properties!$E$5:$E$104,MATCH($B852,Properties!$A$5:$A$104,0)),4),Settings!$A$22:$A$26,0))*Settings!$B$19+N($I852)*Settings!$B$9,IF($D852="Late cancel",INDEX(Properties!$L$5:$L$104,MATCH($B852,Properties!$A$5:$A$104,0))*Settings!$B$11,0))),0))</f>
        <v/>
      </c>
      <c r="P852" s="28" t="str">
        <f aca="false">IF($B852="","",$N852-$O852)</f>
        <v/>
      </c>
      <c r="Q852" s="29" t="str">
        <f aca="false">IF($A852="","",DATE(YEAR($A852),MONTH($A852),1))</f>
        <v/>
      </c>
      <c r="R852" s="30" t="str">
        <f aca="false">IF($A852="","",$A852+MOD(6-WEEKDAY($A852),7))</f>
        <v/>
      </c>
      <c r="S852" s="31" t="str">
        <f aca="false">IF($B852="","",IF(AND($M852='Invoice Builder'!$C$5,$Q852='Invoice Builder'!$C$6,N($N852)&gt;0),COUNTIFS($M$5:$M852,'Invoice Builder'!$C$5,$Q$5:$Q852,'Invoice Builder'!$C$6,$N$5:$N852,"&gt;0"),""))</f>
        <v/>
      </c>
      <c r="T852" s="27" t="str">
        <f aca="false">IF($A852="","",IF($A852&gt;=DATE(YEAR($A852),4,6),YEAR($A852)&amp;"/"&amp;RIGHT(YEAR($A852)+1,2),YEAR($A852)-1&amp;"/"&amp;RIGHT(YEAR($A852),2)))</f>
        <v/>
      </c>
    </row>
    <row r="853" customFormat="false" ht="15" hidden="false" customHeight="false" outlineLevel="0" collapsed="false">
      <c r="A853" s="22"/>
      <c r="B853" s="23"/>
      <c r="C853" s="23"/>
      <c r="D853" s="23"/>
      <c r="E853" s="24"/>
      <c r="F853" s="24"/>
      <c r="G853" s="23"/>
      <c r="H853" s="23"/>
      <c r="I853" s="25"/>
      <c r="J853" s="23"/>
      <c r="K853" s="23"/>
      <c r="L853" s="26" t="str">
        <f aca="false">IF(OR($E853="",$F853=""),"",MOD($F853-$E853,1)*24)</f>
        <v/>
      </c>
      <c r="M853" s="27" t="str">
        <f aca="false">IF($B853="","",IFERROR(INDEX(Properties!$D$5:$D$104,MATCH($B853,Properties!$A$5:$A$104,0)),"?"))</f>
        <v/>
      </c>
      <c r="N853" s="28" t="str">
        <f aca="false">IF($B853="","",IFERROR(IF($D853="Completed",INDEX(Properties!$I$5:$I$104,MATCH($B853,Properties!$A$5:$A$104,0))*(1+IF($G853="Y",Settings!$B$8,0))+IF($H853="Y",Settings!$B$7,0)+N($I853),IF($D853="Deep clean",INDEX(Settings!$E$22:$E$26,MATCH(MIN(INDEX(Properties!$E$5:$E$104,MATCH($B853,Properties!$A$5:$A$104,0)),4),Settings!$A$22:$A$26,0))+N($I853),IF($D853="Late cancel",INDEX(Properties!$I$5:$I$104,MATCH($B853,Properties!$A$5:$A$104,0))*Settings!$B$10,0))),0))</f>
        <v/>
      </c>
      <c r="O853" s="28" t="str">
        <f aca="false">IF($B853="","",IFERROR(IF($D853="Completed",INDEX(Properties!$L$5:$L$104,MATCH($B853,Properties!$A$5:$A$104,0))+IF($G853="Y",INDEX(Properties!$I$5:$I$104,MATCH($B853,Properties!$A$5:$A$104,0))*Settings!$B$8*Settings!$B$9,0)+IF($H853="Y",Settings!$B$7*Settings!$B$9,0)+N($I853)*Settings!$B$9,IF($D853="Deep clean",INDEX(Settings!$E$22:$E$26,MATCH(MIN(INDEX(Properties!$E$5:$E$104,MATCH($B853,Properties!$A$5:$A$104,0)),4),Settings!$A$22:$A$26,0))*Settings!$B$19+N($I853)*Settings!$B$9,IF($D853="Late cancel",INDEX(Properties!$L$5:$L$104,MATCH($B853,Properties!$A$5:$A$104,0))*Settings!$B$11,0))),0))</f>
        <v/>
      </c>
      <c r="P853" s="28" t="str">
        <f aca="false">IF($B853="","",$N853-$O853)</f>
        <v/>
      </c>
      <c r="Q853" s="29" t="str">
        <f aca="false">IF($A853="","",DATE(YEAR($A853),MONTH($A853),1))</f>
        <v/>
      </c>
      <c r="R853" s="30" t="str">
        <f aca="false">IF($A853="","",$A853+MOD(6-WEEKDAY($A853),7))</f>
        <v/>
      </c>
      <c r="S853" s="31" t="str">
        <f aca="false">IF($B853="","",IF(AND($M853='Invoice Builder'!$C$5,$Q853='Invoice Builder'!$C$6,N($N853)&gt;0),COUNTIFS($M$5:$M853,'Invoice Builder'!$C$5,$Q$5:$Q853,'Invoice Builder'!$C$6,$N$5:$N853,"&gt;0"),""))</f>
        <v/>
      </c>
      <c r="T853" s="27" t="str">
        <f aca="false">IF($A853="","",IF($A853&gt;=DATE(YEAR($A853),4,6),YEAR($A853)&amp;"/"&amp;RIGHT(YEAR($A853)+1,2),YEAR($A853)-1&amp;"/"&amp;RIGHT(YEAR($A853),2)))</f>
        <v/>
      </c>
    </row>
    <row r="854" customFormat="false" ht="15" hidden="false" customHeight="false" outlineLevel="0" collapsed="false">
      <c r="A854" s="22"/>
      <c r="B854" s="23"/>
      <c r="C854" s="23"/>
      <c r="D854" s="23"/>
      <c r="E854" s="24"/>
      <c r="F854" s="24"/>
      <c r="G854" s="23"/>
      <c r="H854" s="23"/>
      <c r="I854" s="25"/>
      <c r="J854" s="23"/>
      <c r="K854" s="23"/>
      <c r="L854" s="26" t="str">
        <f aca="false">IF(OR($E854="",$F854=""),"",MOD($F854-$E854,1)*24)</f>
        <v/>
      </c>
      <c r="M854" s="27" t="str">
        <f aca="false">IF($B854="","",IFERROR(INDEX(Properties!$D$5:$D$104,MATCH($B854,Properties!$A$5:$A$104,0)),"?"))</f>
        <v/>
      </c>
      <c r="N854" s="28" t="str">
        <f aca="false">IF($B854="","",IFERROR(IF($D854="Completed",INDEX(Properties!$I$5:$I$104,MATCH($B854,Properties!$A$5:$A$104,0))*(1+IF($G854="Y",Settings!$B$8,0))+IF($H854="Y",Settings!$B$7,0)+N($I854),IF($D854="Deep clean",INDEX(Settings!$E$22:$E$26,MATCH(MIN(INDEX(Properties!$E$5:$E$104,MATCH($B854,Properties!$A$5:$A$104,0)),4),Settings!$A$22:$A$26,0))+N($I854),IF($D854="Late cancel",INDEX(Properties!$I$5:$I$104,MATCH($B854,Properties!$A$5:$A$104,0))*Settings!$B$10,0))),0))</f>
        <v/>
      </c>
      <c r="O854" s="28" t="str">
        <f aca="false">IF($B854="","",IFERROR(IF($D854="Completed",INDEX(Properties!$L$5:$L$104,MATCH($B854,Properties!$A$5:$A$104,0))+IF($G854="Y",INDEX(Properties!$I$5:$I$104,MATCH($B854,Properties!$A$5:$A$104,0))*Settings!$B$8*Settings!$B$9,0)+IF($H854="Y",Settings!$B$7*Settings!$B$9,0)+N($I854)*Settings!$B$9,IF($D854="Deep clean",INDEX(Settings!$E$22:$E$26,MATCH(MIN(INDEX(Properties!$E$5:$E$104,MATCH($B854,Properties!$A$5:$A$104,0)),4),Settings!$A$22:$A$26,0))*Settings!$B$19+N($I854)*Settings!$B$9,IF($D854="Late cancel",INDEX(Properties!$L$5:$L$104,MATCH($B854,Properties!$A$5:$A$104,0))*Settings!$B$11,0))),0))</f>
        <v/>
      </c>
      <c r="P854" s="28" t="str">
        <f aca="false">IF($B854="","",$N854-$O854)</f>
        <v/>
      </c>
      <c r="Q854" s="29" t="str">
        <f aca="false">IF($A854="","",DATE(YEAR($A854),MONTH($A854),1))</f>
        <v/>
      </c>
      <c r="R854" s="30" t="str">
        <f aca="false">IF($A854="","",$A854+MOD(6-WEEKDAY($A854),7))</f>
        <v/>
      </c>
      <c r="S854" s="31" t="str">
        <f aca="false">IF($B854="","",IF(AND($M854='Invoice Builder'!$C$5,$Q854='Invoice Builder'!$C$6,N($N854)&gt;0),COUNTIFS($M$5:$M854,'Invoice Builder'!$C$5,$Q$5:$Q854,'Invoice Builder'!$C$6,$N$5:$N854,"&gt;0"),""))</f>
        <v/>
      </c>
      <c r="T854" s="27" t="str">
        <f aca="false">IF($A854="","",IF($A854&gt;=DATE(YEAR($A854),4,6),YEAR($A854)&amp;"/"&amp;RIGHT(YEAR($A854)+1,2),YEAR($A854)-1&amp;"/"&amp;RIGHT(YEAR($A854),2)))</f>
        <v/>
      </c>
    </row>
    <row r="855" customFormat="false" ht="15" hidden="false" customHeight="false" outlineLevel="0" collapsed="false">
      <c r="A855" s="22"/>
      <c r="B855" s="23"/>
      <c r="C855" s="23"/>
      <c r="D855" s="23"/>
      <c r="E855" s="24"/>
      <c r="F855" s="24"/>
      <c r="G855" s="23"/>
      <c r="H855" s="23"/>
      <c r="I855" s="25"/>
      <c r="J855" s="23"/>
      <c r="K855" s="23"/>
      <c r="L855" s="26" t="str">
        <f aca="false">IF(OR($E855="",$F855=""),"",MOD($F855-$E855,1)*24)</f>
        <v/>
      </c>
      <c r="M855" s="27" t="str">
        <f aca="false">IF($B855="","",IFERROR(INDEX(Properties!$D$5:$D$104,MATCH($B855,Properties!$A$5:$A$104,0)),"?"))</f>
        <v/>
      </c>
      <c r="N855" s="28" t="str">
        <f aca="false">IF($B855="","",IFERROR(IF($D855="Completed",INDEX(Properties!$I$5:$I$104,MATCH($B855,Properties!$A$5:$A$104,0))*(1+IF($G855="Y",Settings!$B$8,0))+IF($H855="Y",Settings!$B$7,0)+N($I855),IF($D855="Deep clean",INDEX(Settings!$E$22:$E$26,MATCH(MIN(INDEX(Properties!$E$5:$E$104,MATCH($B855,Properties!$A$5:$A$104,0)),4),Settings!$A$22:$A$26,0))+N($I855),IF($D855="Late cancel",INDEX(Properties!$I$5:$I$104,MATCH($B855,Properties!$A$5:$A$104,0))*Settings!$B$10,0))),0))</f>
        <v/>
      </c>
      <c r="O855" s="28" t="str">
        <f aca="false">IF($B855="","",IFERROR(IF($D855="Completed",INDEX(Properties!$L$5:$L$104,MATCH($B855,Properties!$A$5:$A$104,0))+IF($G855="Y",INDEX(Properties!$I$5:$I$104,MATCH($B855,Properties!$A$5:$A$104,0))*Settings!$B$8*Settings!$B$9,0)+IF($H855="Y",Settings!$B$7*Settings!$B$9,0)+N($I855)*Settings!$B$9,IF($D855="Deep clean",INDEX(Settings!$E$22:$E$26,MATCH(MIN(INDEX(Properties!$E$5:$E$104,MATCH($B855,Properties!$A$5:$A$104,0)),4),Settings!$A$22:$A$26,0))*Settings!$B$19+N($I855)*Settings!$B$9,IF($D855="Late cancel",INDEX(Properties!$L$5:$L$104,MATCH($B855,Properties!$A$5:$A$104,0))*Settings!$B$11,0))),0))</f>
        <v/>
      </c>
      <c r="P855" s="28" t="str">
        <f aca="false">IF($B855="","",$N855-$O855)</f>
        <v/>
      </c>
      <c r="Q855" s="29" t="str">
        <f aca="false">IF($A855="","",DATE(YEAR($A855),MONTH($A855),1))</f>
        <v/>
      </c>
      <c r="R855" s="30" t="str">
        <f aca="false">IF($A855="","",$A855+MOD(6-WEEKDAY($A855),7))</f>
        <v/>
      </c>
      <c r="S855" s="31" t="str">
        <f aca="false">IF($B855="","",IF(AND($M855='Invoice Builder'!$C$5,$Q855='Invoice Builder'!$C$6,N($N855)&gt;0),COUNTIFS($M$5:$M855,'Invoice Builder'!$C$5,$Q$5:$Q855,'Invoice Builder'!$C$6,$N$5:$N855,"&gt;0"),""))</f>
        <v/>
      </c>
      <c r="T855" s="27" t="str">
        <f aca="false">IF($A855="","",IF($A855&gt;=DATE(YEAR($A855),4,6),YEAR($A855)&amp;"/"&amp;RIGHT(YEAR($A855)+1,2),YEAR($A855)-1&amp;"/"&amp;RIGHT(YEAR($A855),2)))</f>
        <v/>
      </c>
    </row>
    <row r="856" customFormat="false" ht="15" hidden="false" customHeight="false" outlineLevel="0" collapsed="false">
      <c r="A856" s="22"/>
      <c r="B856" s="23"/>
      <c r="C856" s="23"/>
      <c r="D856" s="23"/>
      <c r="E856" s="24"/>
      <c r="F856" s="24"/>
      <c r="G856" s="23"/>
      <c r="H856" s="23"/>
      <c r="I856" s="25"/>
      <c r="J856" s="23"/>
      <c r="K856" s="23"/>
      <c r="L856" s="26" t="str">
        <f aca="false">IF(OR($E856="",$F856=""),"",MOD($F856-$E856,1)*24)</f>
        <v/>
      </c>
      <c r="M856" s="27" t="str">
        <f aca="false">IF($B856="","",IFERROR(INDEX(Properties!$D$5:$D$104,MATCH($B856,Properties!$A$5:$A$104,0)),"?"))</f>
        <v/>
      </c>
      <c r="N856" s="28" t="str">
        <f aca="false">IF($B856="","",IFERROR(IF($D856="Completed",INDEX(Properties!$I$5:$I$104,MATCH($B856,Properties!$A$5:$A$104,0))*(1+IF($G856="Y",Settings!$B$8,0))+IF($H856="Y",Settings!$B$7,0)+N($I856),IF($D856="Deep clean",INDEX(Settings!$E$22:$E$26,MATCH(MIN(INDEX(Properties!$E$5:$E$104,MATCH($B856,Properties!$A$5:$A$104,0)),4),Settings!$A$22:$A$26,0))+N($I856),IF($D856="Late cancel",INDEX(Properties!$I$5:$I$104,MATCH($B856,Properties!$A$5:$A$104,0))*Settings!$B$10,0))),0))</f>
        <v/>
      </c>
      <c r="O856" s="28" t="str">
        <f aca="false">IF($B856="","",IFERROR(IF($D856="Completed",INDEX(Properties!$L$5:$L$104,MATCH($B856,Properties!$A$5:$A$104,0))+IF($G856="Y",INDEX(Properties!$I$5:$I$104,MATCH($B856,Properties!$A$5:$A$104,0))*Settings!$B$8*Settings!$B$9,0)+IF($H856="Y",Settings!$B$7*Settings!$B$9,0)+N($I856)*Settings!$B$9,IF($D856="Deep clean",INDEX(Settings!$E$22:$E$26,MATCH(MIN(INDEX(Properties!$E$5:$E$104,MATCH($B856,Properties!$A$5:$A$104,0)),4),Settings!$A$22:$A$26,0))*Settings!$B$19+N($I856)*Settings!$B$9,IF($D856="Late cancel",INDEX(Properties!$L$5:$L$104,MATCH($B856,Properties!$A$5:$A$104,0))*Settings!$B$11,0))),0))</f>
        <v/>
      </c>
      <c r="P856" s="28" t="str">
        <f aca="false">IF($B856="","",$N856-$O856)</f>
        <v/>
      </c>
      <c r="Q856" s="29" t="str">
        <f aca="false">IF($A856="","",DATE(YEAR($A856),MONTH($A856),1))</f>
        <v/>
      </c>
      <c r="R856" s="30" t="str">
        <f aca="false">IF($A856="","",$A856+MOD(6-WEEKDAY($A856),7))</f>
        <v/>
      </c>
      <c r="S856" s="31" t="str">
        <f aca="false">IF($B856="","",IF(AND($M856='Invoice Builder'!$C$5,$Q856='Invoice Builder'!$C$6,N($N856)&gt;0),COUNTIFS($M$5:$M856,'Invoice Builder'!$C$5,$Q$5:$Q856,'Invoice Builder'!$C$6,$N$5:$N856,"&gt;0"),""))</f>
        <v/>
      </c>
      <c r="T856" s="27" t="str">
        <f aca="false">IF($A856="","",IF($A856&gt;=DATE(YEAR($A856),4,6),YEAR($A856)&amp;"/"&amp;RIGHT(YEAR($A856)+1,2),YEAR($A856)-1&amp;"/"&amp;RIGHT(YEAR($A856),2)))</f>
        <v/>
      </c>
    </row>
    <row r="857" customFormat="false" ht="15" hidden="false" customHeight="false" outlineLevel="0" collapsed="false">
      <c r="A857" s="22"/>
      <c r="B857" s="23"/>
      <c r="C857" s="23"/>
      <c r="D857" s="23"/>
      <c r="E857" s="24"/>
      <c r="F857" s="24"/>
      <c r="G857" s="23"/>
      <c r="H857" s="23"/>
      <c r="I857" s="25"/>
      <c r="J857" s="23"/>
      <c r="K857" s="23"/>
      <c r="L857" s="26" t="str">
        <f aca="false">IF(OR($E857="",$F857=""),"",MOD($F857-$E857,1)*24)</f>
        <v/>
      </c>
      <c r="M857" s="27" t="str">
        <f aca="false">IF($B857="","",IFERROR(INDEX(Properties!$D$5:$D$104,MATCH($B857,Properties!$A$5:$A$104,0)),"?"))</f>
        <v/>
      </c>
      <c r="N857" s="28" t="str">
        <f aca="false">IF($B857="","",IFERROR(IF($D857="Completed",INDEX(Properties!$I$5:$I$104,MATCH($B857,Properties!$A$5:$A$104,0))*(1+IF($G857="Y",Settings!$B$8,0))+IF($H857="Y",Settings!$B$7,0)+N($I857),IF($D857="Deep clean",INDEX(Settings!$E$22:$E$26,MATCH(MIN(INDEX(Properties!$E$5:$E$104,MATCH($B857,Properties!$A$5:$A$104,0)),4),Settings!$A$22:$A$26,0))+N($I857),IF($D857="Late cancel",INDEX(Properties!$I$5:$I$104,MATCH($B857,Properties!$A$5:$A$104,0))*Settings!$B$10,0))),0))</f>
        <v/>
      </c>
      <c r="O857" s="28" t="str">
        <f aca="false">IF($B857="","",IFERROR(IF($D857="Completed",INDEX(Properties!$L$5:$L$104,MATCH($B857,Properties!$A$5:$A$104,0))+IF($G857="Y",INDEX(Properties!$I$5:$I$104,MATCH($B857,Properties!$A$5:$A$104,0))*Settings!$B$8*Settings!$B$9,0)+IF($H857="Y",Settings!$B$7*Settings!$B$9,0)+N($I857)*Settings!$B$9,IF($D857="Deep clean",INDEX(Settings!$E$22:$E$26,MATCH(MIN(INDEX(Properties!$E$5:$E$104,MATCH($B857,Properties!$A$5:$A$104,0)),4),Settings!$A$22:$A$26,0))*Settings!$B$19+N($I857)*Settings!$B$9,IF($D857="Late cancel",INDEX(Properties!$L$5:$L$104,MATCH($B857,Properties!$A$5:$A$104,0))*Settings!$B$11,0))),0))</f>
        <v/>
      </c>
      <c r="P857" s="28" t="str">
        <f aca="false">IF($B857="","",$N857-$O857)</f>
        <v/>
      </c>
      <c r="Q857" s="29" t="str">
        <f aca="false">IF($A857="","",DATE(YEAR($A857),MONTH($A857),1))</f>
        <v/>
      </c>
      <c r="R857" s="30" t="str">
        <f aca="false">IF($A857="","",$A857+MOD(6-WEEKDAY($A857),7))</f>
        <v/>
      </c>
      <c r="S857" s="31" t="str">
        <f aca="false">IF($B857="","",IF(AND($M857='Invoice Builder'!$C$5,$Q857='Invoice Builder'!$C$6,N($N857)&gt;0),COUNTIFS($M$5:$M857,'Invoice Builder'!$C$5,$Q$5:$Q857,'Invoice Builder'!$C$6,$N$5:$N857,"&gt;0"),""))</f>
        <v/>
      </c>
      <c r="T857" s="27" t="str">
        <f aca="false">IF($A857="","",IF($A857&gt;=DATE(YEAR($A857),4,6),YEAR($A857)&amp;"/"&amp;RIGHT(YEAR($A857)+1,2),YEAR($A857)-1&amp;"/"&amp;RIGHT(YEAR($A857),2)))</f>
        <v/>
      </c>
    </row>
    <row r="858" customFormat="false" ht="15" hidden="false" customHeight="false" outlineLevel="0" collapsed="false">
      <c r="A858" s="22"/>
      <c r="B858" s="23"/>
      <c r="C858" s="23"/>
      <c r="D858" s="23"/>
      <c r="E858" s="24"/>
      <c r="F858" s="24"/>
      <c r="G858" s="23"/>
      <c r="H858" s="23"/>
      <c r="I858" s="25"/>
      <c r="J858" s="23"/>
      <c r="K858" s="23"/>
      <c r="L858" s="26" t="str">
        <f aca="false">IF(OR($E858="",$F858=""),"",MOD($F858-$E858,1)*24)</f>
        <v/>
      </c>
      <c r="M858" s="27" t="str">
        <f aca="false">IF($B858="","",IFERROR(INDEX(Properties!$D$5:$D$104,MATCH($B858,Properties!$A$5:$A$104,0)),"?"))</f>
        <v/>
      </c>
      <c r="N858" s="28" t="str">
        <f aca="false">IF($B858="","",IFERROR(IF($D858="Completed",INDEX(Properties!$I$5:$I$104,MATCH($B858,Properties!$A$5:$A$104,0))*(1+IF($G858="Y",Settings!$B$8,0))+IF($H858="Y",Settings!$B$7,0)+N($I858),IF($D858="Deep clean",INDEX(Settings!$E$22:$E$26,MATCH(MIN(INDEX(Properties!$E$5:$E$104,MATCH($B858,Properties!$A$5:$A$104,0)),4),Settings!$A$22:$A$26,0))+N($I858),IF($D858="Late cancel",INDEX(Properties!$I$5:$I$104,MATCH($B858,Properties!$A$5:$A$104,0))*Settings!$B$10,0))),0))</f>
        <v/>
      </c>
      <c r="O858" s="28" t="str">
        <f aca="false">IF($B858="","",IFERROR(IF($D858="Completed",INDEX(Properties!$L$5:$L$104,MATCH($B858,Properties!$A$5:$A$104,0))+IF($G858="Y",INDEX(Properties!$I$5:$I$104,MATCH($B858,Properties!$A$5:$A$104,0))*Settings!$B$8*Settings!$B$9,0)+IF($H858="Y",Settings!$B$7*Settings!$B$9,0)+N($I858)*Settings!$B$9,IF($D858="Deep clean",INDEX(Settings!$E$22:$E$26,MATCH(MIN(INDEX(Properties!$E$5:$E$104,MATCH($B858,Properties!$A$5:$A$104,0)),4),Settings!$A$22:$A$26,0))*Settings!$B$19+N($I858)*Settings!$B$9,IF($D858="Late cancel",INDEX(Properties!$L$5:$L$104,MATCH($B858,Properties!$A$5:$A$104,0))*Settings!$B$11,0))),0))</f>
        <v/>
      </c>
      <c r="P858" s="28" t="str">
        <f aca="false">IF($B858="","",$N858-$O858)</f>
        <v/>
      </c>
      <c r="Q858" s="29" t="str">
        <f aca="false">IF($A858="","",DATE(YEAR($A858),MONTH($A858),1))</f>
        <v/>
      </c>
      <c r="R858" s="30" t="str">
        <f aca="false">IF($A858="","",$A858+MOD(6-WEEKDAY($A858),7))</f>
        <v/>
      </c>
      <c r="S858" s="31" t="str">
        <f aca="false">IF($B858="","",IF(AND($M858='Invoice Builder'!$C$5,$Q858='Invoice Builder'!$C$6,N($N858)&gt;0),COUNTIFS($M$5:$M858,'Invoice Builder'!$C$5,$Q$5:$Q858,'Invoice Builder'!$C$6,$N$5:$N858,"&gt;0"),""))</f>
        <v/>
      </c>
      <c r="T858" s="27" t="str">
        <f aca="false">IF($A858="","",IF($A858&gt;=DATE(YEAR($A858),4,6),YEAR($A858)&amp;"/"&amp;RIGHT(YEAR($A858)+1,2),YEAR($A858)-1&amp;"/"&amp;RIGHT(YEAR($A858),2)))</f>
        <v/>
      </c>
    </row>
    <row r="859" customFormat="false" ht="15" hidden="false" customHeight="false" outlineLevel="0" collapsed="false">
      <c r="A859" s="22"/>
      <c r="B859" s="23"/>
      <c r="C859" s="23"/>
      <c r="D859" s="23"/>
      <c r="E859" s="24"/>
      <c r="F859" s="24"/>
      <c r="G859" s="23"/>
      <c r="H859" s="23"/>
      <c r="I859" s="25"/>
      <c r="J859" s="23"/>
      <c r="K859" s="23"/>
      <c r="L859" s="26" t="str">
        <f aca="false">IF(OR($E859="",$F859=""),"",MOD($F859-$E859,1)*24)</f>
        <v/>
      </c>
      <c r="M859" s="27" t="str">
        <f aca="false">IF($B859="","",IFERROR(INDEX(Properties!$D$5:$D$104,MATCH($B859,Properties!$A$5:$A$104,0)),"?"))</f>
        <v/>
      </c>
      <c r="N859" s="28" t="str">
        <f aca="false">IF($B859="","",IFERROR(IF($D859="Completed",INDEX(Properties!$I$5:$I$104,MATCH($B859,Properties!$A$5:$A$104,0))*(1+IF($G859="Y",Settings!$B$8,0))+IF($H859="Y",Settings!$B$7,0)+N($I859),IF($D859="Deep clean",INDEX(Settings!$E$22:$E$26,MATCH(MIN(INDEX(Properties!$E$5:$E$104,MATCH($B859,Properties!$A$5:$A$104,0)),4),Settings!$A$22:$A$26,0))+N($I859),IF($D859="Late cancel",INDEX(Properties!$I$5:$I$104,MATCH($B859,Properties!$A$5:$A$104,0))*Settings!$B$10,0))),0))</f>
        <v/>
      </c>
      <c r="O859" s="28" t="str">
        <f aca="false">IF($B859="","",IFERROR(IF($D859="Completed",INDEX(Properties!$L$5:$L$104,MATCH($B859,Properties!$A$5:$A$104,0))+IF($G859="Y",INDEX(Properties!$I$5:$I$104,MATCH($B859,Properties!$A$5:$A$104,0))*Settings!$B$8*Settings!$B$9,0)+IF($H859="Y",Settings!$B$7*Settings!$B$9,0)+N($I859)*Settings!$B$9,IF($D859="Deep clean",INDEX(Settings!$E$22:$E$26,MATCH(MIN(INDEX(Properties!$E$5:$E$104,MATCH($B859,Properties!$A$5:$A$104,0)),4),Settings!$A$22:$A$26,0))*Settings!$B$19+N($I859)*Settings!$B$9,IF($D859="Late cancel",INDEX(Properties!$L$5:$L$104,MATCH($B859,Properties!$A$5:$A$104,0))*Settings!$B$11,0))),0))</f>
        <v/>
      </c>
      <c r="P859" s="28" t="str">
        <f aca="false">IF($B859="","",$N859-$O859)</f>
        <v/>
      </c>
      <c r="Q859" s="29" t="str">
        <f aca="false">IF($A859="","",DATE(YEAR($A859),MONTH($A859),1))</f>
        <v/>
      </c>
      <c r="R859" s="30" t="str">
        <f aca="false">IF($A859="","",$A859+MOD(6-WEEKDAY($A859),7))</f>
        <v/>
      </c>
      <c r="S859" s="31" t="str">
        <f aca="false">IF($B859="","",IF(AND($M859='Invoice Builder'!$C$5,$Q859='Invoice Builder'!$C$6,N($N859)&gt;0),COUNTIFS($M$5:$M859,'Invoice Builder'!$C$5,$Q$5:$Q859,'Invoice Builder'!$C$6,$N$5:$N859,"&gt;0"),""))</f>
        <v/>
      </c>
      <c r="T859" s="27" t="str">
        <f aca="false">IF($A859="","",IF($A859&gt;=DATE(YEAR($A859),4,6),YEAR($A859)&amp;"/"&amp;RIGHT(YEAR($A859)+1,2),YEAR($A859)-1&amp;"/"&amp;RIGHT(YEAR($A859),2)))</f>
        <v/>
      </c>
    </row>
    <row r="860" customFormat="false" ht="15" hidden="false" customHeight="false" outlineLevel="0" collapsed="false">
      <c r="A860" s="22"/>
      <c r="B860" s="23"/>
      <c r="C860" s="23"/>
      <c r="D860" s="23"/>
      <c r="E860" s="24"/>
      <c r="F860" s="24"/>
      <c r="G860" s="23"/>
      <c r="H860" s="23"/>
      <c r="I860" s="25"/>
      <c r="J860" s="23"/>
      <c r="K860" s="23"/>
      <c r="L860" s="26" t="str">
        <f aca="false">IF(OR($E860="",$F860=""),"",MOD($F860-$E860,1)*24)</f>
        <v/>
      </c>
      <c r="M860" s="27" t="str">
        <f aca="false">IF($B860="","",IFERROR(INDEX(Properties!$D$5:$D$104,MATCH($B860,Properties!$A$5:$A$104,0)),"?"))</f>
        <v/>
      </c>
      <c r="N860" s="28" t="str">
        <f aca="false">IF($B860="","",IFERROR(IF($D860="Completed",INDEX(Properties!$I$5:$I$104,MATCH($B860,Properties!$A$5:$A$104,0))*(1+IF($G860="Y",Settings!$B$8,0))+IF($H860="Y",Settings!$B$7,0)+N($I860),IF($D860="Deep clean",INDEX(Settings!$E$22:$E$26,MATCH(MIN(INDEX(Properties!$E$5:$E$104,MATCH($B860,Properties!$A$5:$A$104,0)),4),Settings!$A$22:$A$26,0))+N($I860),IF($D860="Late cancel",INDEX(Properties!$I$5:$I$104,MATCH($B860,Properties!$A$5:$A$104,0))*Settings!$B$10,0))),0))</f>
        <v/>
      </c>
      <c r="O860" s="28" t="str">
        <f aca="false">IF($B860="","",IFERROR(IF($D860="Completed",INDEX(Properties!$L$5:$L$104,MATCH($B860,Properties!$A$5:$A$104,0))+IF($G860="Y",INDEX(Properties!$I$5:$I$104,MATCH($B860,Properties!$A$5:$A$104,0))*Settings!$B$8*Settings!$B$9,0)+IF($H860="Y",Settings!$B$7*Settings!$B$9,0)+N($I860)*Settings!$B$9,IF($D860="Deep clean",INDEX(Settings!$E$22:$E$26,MATCH(MIN(INDEX(Properties!$E$5:$E$104,MATCH($B860,Properties!$A$5:$A$104,0)),4),Settings!$A$22:$A$26,0))*Settings!$B$19+N($I860)*Settings!$B$9,IF($D860="Late cancel",INDEX(Properties!$L$5:$L$104,MATCH($B860,Properties!$A$5:$A$104,0))*Settings!$B$11,0))),0))</f>
        <v/>
      </c>
      <c r="P860" s="28" t="str">
        <f aca="false">IF($B860="","",$N860-$O860)</f>
        <v/>
      </c>
      <c r="Q860" s="29" t="str">
        <f aca="false">IF($A860="","",DATE(YEAR($A860),MONTH($A860),1))</f>
        <v/>
      </c>
      <c r="R860" s="30" t="str">
        <f aca="false">IF($A860="","",$A860+MOD(6-WEEKDAY($A860),7))</f>
        <v/>
      </c>
      <c r="S860" s="31" t="str">
        <f aca="false">IF($B860="","",IF(AND($M860='Invoice Builder'!$C$5,$Q860='Invoice Builder'!$C$6,N($N860)&gt;0),COUNTIFS($M$5:$M860,'Invoice Builder'!$C$5,$Q$5:$Q860,'Invoice Builder'!$C$6,$N$5:$N860,"&gt;0"),""))</f>
        <v/>
      </c>
      <c r="T860" s="27" t="str">
        <f aca="false">IF($A860="","",IF($A860&gt;=DATE(YEAR($A860),4,6),YEAR($A860)&amp;"/"&amp;RIGHT(YEAR($A860)+1,2),YEAR($A860)-1&amp;"/"&amp;RIGHT(YEAR($A860),2)))</f>
        <v/>
      </c>
    </row>
    <row r="861" customFormat="false" ht="15" hidden="false" customHeight="false" outlineLevel="0" collapsed="false">
      <c r="A861" s="22"/>
      <c r="B861" s="23"/>
      <c r="C861" s="23"/>
      <c r="D861" s="23"/>
      <c r="E861" s="24"/>
      <c r="F861" s="24"/>
      <c r="G861" s="23"/>
      <c r="H861" s="23"/>
      <c r="I861" s="25"/>
      <c r="J861" s="23"/>
      <c r="K861" s="23"/>
      <c r="L861" s="26" t="str">
        <f aca="false">IF(OR($E861="",$F861=""),"",MOD($F861-$E861,1)*24)</f>
        <v/>
      </c>
      <c r="M861" s="27" t="str">
        <f aca="false">IF($B861="","",IFERROR(INDEX(Properties!$D$5:$D$104,MATCH($B861,Properties!$A$5:$A$104,0)),"?"))</f>
        <v/>
      </c>
      <c r="N861" s="28" t="str">
        <f aca="false">IF($B861="","",IFERROR(IF($D861="Completed",INDEX(Properties!$I$5:$I$104,MATCH($B861,Properties!$A$5:$A$104,0))*(1+IF($G861="Y",Settings!$B$8,0))+IF($H861="Y",Settings!$B$7,0)+N($I861),IF($D861="Deep clean",INDEX(Settings!$E$22:$E$26,MATCH(MIN(INDEX(Properties!$E$5:$E$104,MATCH($B861,Properties!$A$5:$A$104,0)),4),Settings!$A$22:$A$26,0))+N($I861),IF($D861="Late cancel",INDEX(Properties!$I$5:$I$104,MATCH($B861,Properties!$A$5:$A$104,0))*Settings!$B$10,0))),0))</f>
        <v/>
      </c>
      <c r="O861" s="28" t="str">
        <f aca="false">IF($B861="","",IFERROR(IF($D861="Completed",INDEX(Properties!$L$5:$L$104,MATCH($B861,Properties!$A$5:$A$104,0))+IF($G861="Y",INDEX(Properties!$I$5:$I$104,MATCH($B861,Properties!$A$5:$A$104,0))*Settings!$B$8*Settings!$B$9,0)+IF($H861="Y",Settings!$B$7*Settings!$B$9,0)+N($I861)*Settings!$B$9,IF($D861="Deep clean",INDEX(Settings!$E$22:$E$26,MATCH(MIN(INDEX(Properties!$E$5:$E$104,MATCH($B861,Properties!$A$5:$A$104,0)),4),Settings!$A$22:$A$26,0))*Settings!$B$19+N($I861)*Settings!$B$9,IF($D861="Late cancel",INDEX(Properties!$L$5:$L$104,MATCH($B861,Properties!$A$5:$A$104,0))*Settings!$B$11,0))),0))</f>
        <v/>
      </c>
      <c r="P861" s="28" t="str">
        <f aca="false">IF($B861="","",$N861-$O861)</f>
        <v/>
      </c>
      <c r="Q861" s="29" t="str">
        <f aca="false">IF($A861="","",DATE(YEAR($A861),MONTH($A861),1))</f>
        <v/>
      </c>
      <c r="R861" s="30" t="str">
        <f aca="false">IF($A861="","",$A861+MOD(6-WEEKDAY($A861),7))</f>
        <v/>
      </c>
      <c r="S861" s="31" t="str">
        <f aca="false">IF($B861="","",IF(AND($M861='Invoice Builder'!$C$5,$Q861='Invoice Builder'!$C$6,N($N861)&gt;0),COUNTIFS($M$5:$M861,'Invoice Builder'!$C$5,$Q$5:$Q861,'Invoice Builder'!$C$6,$N$5:$N861,"&gt;0"),""))</f>
        <v/>
      </c>
      <c r="T861" s="27" t="str">
        <f aca="false">IF($A861="","",IF($A861&gt;=DATE(YEAR($A861),4,6),YEAR($A861)&amp;"/"&amp;RIGHT(YEAR($A861)+1,2),YEAR($A861)-1&amp;"/"&amp;RIGHT(YEAR($A861),2)))</f>
        <v/>
      </c>
    </row>
    <row r="862" customFormat="false" ht="15" hidden="false" customHeight="false" outlineLevel="0" collapsed="false">
      <c r="A862" s="22"/>
      <c r="B862" s="23"/>
      <c r="C862" s="23"/>
      <c r="D862" s="23"/>
      <c r="E862" s="24"/>
      <c r="F862" s="24"/>
      <c r="G862" s="23"/>
      <c r="H862" s="23"/>
      <c r="I862" s="25"/>
      <c r="J862" s="23"/>
      <c r="K862" s="23"/>
      <c r="L862" s="26" t="str">
        <f aca="false">IF(OR($E862="",$F862=""),"",MOD($F862-$E862,1)*24)</f>
        <v/>
      </c>
      <c r="M862" s="27" t="str">
        <f aca="false">IF($B862="","",IFERROR(INDEX(Properties!$D$5:$D$104,MATCH($B862,Properties!$A$5:$A$104,0)),"?"))</f>
        <v/>
      </c>
      <c r="N862" s="28" t="str">
        <f aca="false">IF($B862="","",IFERROR(IF($D862="Completed",INDEX(Properties!$I$5:$I$104,MATCH($B862,Properties!$A$5:$A$104,0))*(1+IF($G862="Y",Settings!$B$8,0))+IF($H862="Y",Settings!$B$7,0)+N($I862),IF($D862="Deep clean",INDEX(Settings!$E$22:$E$26,MATCH(MIN(INDEX(Properties!$E$5:$E$104,MATCH($B862,Properties!$A$5:$A$104,0)),4),Settings!$A$22:$A$26,0))+N($I862),IF($D862="Late cancel",INDEX(Properties!$I$5:$I$104,MATCH($B862,Properties!$A$5:$A$104,0))*Settings!$B$10,0))),0))</f>
        <v/>
      </c>
      <c r="O862" s="28" t="str">
        <f aca="false">IF($B862="","",IFERROR(IF($D862="Completed",INDEX(Properties!$L$5:$L$104,MATCH($B862,Properties!$A$5:$A$104,0))+IF($G862="Y",INDEX(Properties!$I$5:$I$104,MATCH($B862,Properties!$A$5:$A$104,0))*Settings!$B$8*Settings!$B$9,0)+IF($H862="Y",Settings!$B$7*Settings!$B$9,0)+N($I862)*Settings!$B$9,IF($D862="Deep clean",INDEX(Settings!$E$22:$E$26,MATCH(MIN(INDEX(Properties!$E$5:$E$104,MATCH($B862,Properties!$A$5:$A$104,0)),4),Settings!$A$22:$A$26,0))*Settings!$B$19+N($I862)*Settings!$B$9,IF($D862="Late cancel",INDEX(Properties!$L$5:$L$104,MATCH($B862,Properties!$A$5:$A$104,0))*Settings!$B$11,0))),0))</f>
        <v/>
      </c>
      <c r="P862" s="28" t="str">
        <f aca="false">IF($B862="","",$N862-$O862)</f>
        <v/>
      </c>
      <c r="Q862" s="29" t="str">
        <f aca="false">IF($A862="","",DATE(YEAR($A862),MONTH($A862),1))</f>
        <v/>
      </c>
      <c r="R862" s="30" t="str">
        <f aca="false">IF($A862="","",$A862+MOD(6-WEEKDAY($A862),7))</f>
        <v/>
      </c>
      <c r="S862" s="31" t="str">
        <f aca="false">IF($B862="","",IF(AND($M862='Invoice Builder'!$C$5,$Q862='Invoice Builder'!$C$6,N($N862)&gt;0),COUNTIFS($M$5:$M862,'Invoice Builder'!$C$5,$Q$5:$Q862,'Invoice Builder'!$C$6,$N$5:$N862,"&gt;0"),""))</f>
        <v/>
      </c>
      <c r="T862" s="27" t="str">
        <f aca="false">IF($A862="","",IF($A862&gt;=DATE(YEAR($A862),4,6),YEAR($A862)&amp;"/"&amp;RIGHT(YEAR($A862)+1,2),YEAR($A862)-1&amp;"/"&amp;RIGHT(YEAR($A862),2)))</f>
        <v/>
      </c>
    </row>
    <row r="863" customFormat="false" ht="15" hidden="false" customHeight="false" outlineLevel="0" collapsed="false">
      <c r="A863" s="22"/>
      <c r="B863" s="23"/>
      <c r="C863" s="23"/>
      <c r="D863" s="23"/>
      <c r="E863" s="24"/>
      <c r="F863" s="24"/>
      <c r="G863" s="23"/>
      <c r="H863" s="23"/>
      <c r="I863" s="25"/>
      <c r="J863" s="23"/>
      <c r="K863" s="23"/>
      <c r="L863" s="26" t="str">
        <f aca="false">IF(OR($E863="",$F863=""),"",MOD($F863-$E863,1)*24)</f>
        <v/>
      </c>
      <c r="M863" s="27" t="str">
        <f aca="false">IF($B863="","",IFERROR(INDEX(Properties!$D$5:$D$104,MATCH($B863,Properties!$A$5:$A$104,0)),"?"))</f>
        <v/>
      </c>
      <c r="N863" s="28" t="str">
        <f aca="false">IF($B863="","",IFERROR(IF($D863="Completed",INDEX(Properties!$I$5:$I$104,MATCH($B863,Properties!$A$5:$A$104,0))*(1+IF($G863="Y",Settings!$B$8,0))+IF($H863="Y",Settings!$B$7,0)+N($I863),IF($D863="Deep clean",INDEX(Settings!$E$22:$E$26,MATCH(MIN(INDEX(Properties!$E$5:$E$104,MATCH($B863,Properties!$A$5:$A$104,0)),4),Settings!$A$22:$A$26,0))+N($I863),IF($D863="Late cancel",INDEX(Properties!$I$5:$I$104,MATCH($B863,Properties!$A$5:$A$104,0))*Settings!$B$10,0))),0))</f>
        <v/>
      </c>
      <c r="O863" s="28" t="str">
        <f aca="false">IF($B863="","",IFERROR(IF($D863="Completed",INDEX(Properties!$L$5:$L$104,MATCH($B863,Properties!$A$5:$A$104,0))+IF($G863="Y",INDEX(Properties!$I$5:$I$104,MATCH($B863,Properties!$A$5:$A$104,0))*Settings!$B$8*Settings!$B$9,0)+IF($H863="Y",Settings!$B$7*Settings!$B$9,0)+N($I863)*Settings!$B$9,IF($D863="Deep clean",INDEX(Settings!$E$22:$E$26,MATCH(MIN(INDEX(Properties!$E$5:$E$104,MATCH($B863,Properties!$A$5:$A$104,0)),4),Settings!$A$22:$A$26,0))*Settings!$B$19+N($I863)*Settings!$B$9,IF($D863="Late cancel",INDEX(Properties!$L$5:$L$104,MATCH($B863,Properties!$A$5:$A$104,0))*Settings!$B$11,0))),0))</f>
        <v/>
      </c>
      <c r="P863" s="28" t="str">
        <f aca="false">IF($B863="","",$N863-$O863)</f>
        <v/>
      </c>
      <c r="Q863" s="29" t="str">
        <f aca="false">IF($A863="","",DATE(YEAR($A863),MONTH($A863),1))</f>
        <v/>
      </c>
      <c r="R863" s="30" t="str">
        <f aca="false">IF($A863="","",$A863+MOD(6-WEEKDAY($A863),7))</f>
        <v/>
      </c>
      <c r="S863" s="31" t="str">
        <f aca="false">IF($B863="","",IF(AND($M863='Invoice Builder'!$C$5,$Q863='Invoice Builder'!$C$6,N($N863)&gt;0),COUNTIFS($M$5:$M863,'Invoice Builder'!$C$5,$Q$5:$Q863,'Invoice Builder'!$C$6,$N$5:$N863,"&gt;0"),""))</f>
        <v/>
      </c>
      <c r="T863" s="27" t="str">
        <f aca="false">IF($A863="","",IF($A863&gt;=DATE(YEAR($A863),4,6),YEAR($A863)&amp;"/"&amp;RIGHT(YEAR($A863)+1,2),YEAR($A863)-1&amp;"/"&amp;RIGHT(YEAR($A863),2)))</f>
        <v/>
      </c>
    </row>
    <row r="864" customFormat="false" ht="15" hidden="false" customHeight="false" outlineLevel="0" collapsed="false">
      <c r="A864" s="22"/>
      <c r="B864" s="23"/>
      <c r="C864" s="23"/>
      <c r="D864" s="23"/>
      <c r="E864" s="24"/>
      <c r="F864" s="24"/>
      <c r="G864" s="23"/>
      <c r="H864" s="23"/>
      <c r="I864" s="25"/>
      <c r="J864" s="23"/>
      <c r="K864" s="23"/>
      <c r="L864" s="26" t="str">
        <f aca="false">IF(OR($E864="",$F864=""),"",MOD($F864-$E864,1)*24)</f>
        <v/>
      </c>
      <c r="M864" s="27" t="str">
        <f aca="false">IF($B864="","",IFERROR(INDEX(Properties!$D$5:$D$104,MATCH($B864,Properties!$A$5:$A$104,0)),"?"))</f>
        <v/>
      </c>
      <c r="N864" s="28" t="str">
        <f aca="false">IF($B864="","",IFERROR(IF($D864="Completed",INDEX(Properties!$I$5:$I$104,MATCH($B864,Properties!$A$5:$A$104,0))*(1+IF($G864="Y",Settings!$B$8,0))+IF($H864="Y",Settings!$B$7,0)+N($I864),IF($D864="Deep clean",INDEX(Settings!$E$22:$E$26,MATCH(MIN(INDEX(Properties!$E$5:$E$104,MATCH($B864,Properties!$A$5:$A$104,0)),4),Settings!$A$22:$A$26,0))+N($I864),IF($D864="Late cancel",INDEX(Properties!$I$5:$I$104,MATCH($B864,Properties!$A$5:$A$104,0))*Settings!$B$10,0))),0))</f>
        <v/>
      </c>
      <c r="O864" s="28" t="str">
        <f aca="false">IF($B864="","",IFERROR(IF($D864="Completed",INDEX(Properties!$L$5:$L$104,MATCH($B864,Properties!$A$5:$A$104,0))+IF($G864="Y",INDEX(Properties!$I$5:$I$104,MATCH($B864,Properties!$A$5:$A$104,0))*Settings!$B$8*Settings!$B$9,0)+IF($H864="Y",Settings!$B$7*Settings!$B$9,0)+N($I864)*Settings!$B$9,IF($D864="Deep clean",INDEX(Settings!$E$22:$E$26,MATCH(MIN(INDEX(Properties!$E$5:$E$104,MATCH($B864,Properties!$A$5:$A$104,0)),4),Settings!$A$22:$A$26,0))*Settings!$B$19+N($I864)*Settings!$B$9,IF($D864="Late cancel",INDEX(Properties!$L$5:$L$104,MATCH($B864,Properties!$A$5:$A$104,0))*Settings!$B$11,0))),0))</f>
        <v/>
      </c>
      <c r="P864" s="28" t="str">
        <f aca="false">IF($B864="","",$N864-$O864)</f>
        <v/>
      </c>
      <c r="Q864" s="29" t="str">
        <f aca="false">IF($A864="","",DATE(YEAR($A864),MONTH($A864),1))</f>
        <v/>
      </c>
      <c r="R864" s="30" t="str">
        <f aca="false">IF($A864="","",$A864+MOD(6-WEEKDAY($A864),7))</f>
        <v/>
      </c>
      <c r="S864" s="31" t="str">
        <f aca="false">IF($B864="","",IF(AND($M864='Invoice Builder'!$C$5,$Q864='Invoice Builder'!$C$6,N($N864)&gt;0),COUNTIFS($M$5:$M864,'Invoice Builder'!$C$5,$Q$5:$Q864,'Invoice Builder'!$C$6,$N$5:$N864,"&gt;0"),""))</f>
        <v/>
      </c>
      <c r="T864" s="27" t="str">
        <f aca="false">IF($A864="","",IF($A864&gt;=DATE(YEAR($A864),4,6),YEAR($A864)&amp;"/"&amp;RIGHT(YEAR($A864)+1,2),YEAR($A864)-1&amp;"/"&amp;RIGHT(YEAR($A864),2)))</f>
        <v/>
      </c>
    </row>
    <row r="865" customFormat="false" ht="15" hidden="false" customHeight="false" outlineLevel="0" collapsed="false">
      <c r="A865" s="22"/>
      <c r="B865" s="23"/>
      <c r="C865" s="23"/>
      <c r="D865" s="23"/>
      <c r="E865" s="24"/>
      <c r="F865" s="24"/>
      <c r="G865" s="23"/>
      <c r="H865" s="23"/>
      <c r="I865" s="25"/>
      <c r="J865" s="23"/>
      <c r="K865" s="23"/>
      <c r="L865" s="26" t="str">
        <f aca="false">IF(OR($E865="",$F865=""),"",MOD($F865-$E865,1)*24)</f>
        <v/>
      </c>
      <c r="M865" s="27" t="str">
        <f aca="false">IF($B865="","",IFERROR(INDEX(Properties!$D$5:$D$104,MATCH($B865,Properties!$A$5:$A$104,0)),"?"))</f>
        <v/>
      </c>
      <c r="N865" s="28" t="str">
        <f aca="false">IF($B865="","",IFERROR(IF($D865="Completed",INDEX(Properties!$I$5:$I$104,MATCH($B865,Properties!$A$5:$A$104,0))*(1+IF($G865="Y",Settings!$B$8,0))+IF($H865="Y",Settings!$B$7,0)+N($I865),IF($D865="Deep clean",INDEX(Settings!$E$22:$E$26,MATCH(MIN(INDEX(Properties!$E$5:$E$104,MATCH($B865,Properties!$A$5:$A$104,0)),4),Settings!$A$22:$A$26,0))+N($I865),IF($D865="Late cancel",INDEX(Properties!$I$5:$I$104,MATCH($B865,Properties!$A$5:$A$104,0))*Settings!$B$10,0))),0))</f>
        <v/>
      </c>
      <c r="O865" s="28" t="str">
        <f aca="false">IF($B865="","",IFERROR(IF($D865="Completed",INDEX(Properties!$L$5:$L$104,MATCH($B865,Properties!$A$5:$A$104,0))+IF($G865="Y",INDEX(Properties!$I$5:$I$104,MATCH($B865,Properties!$A$5:$A$104,0))*Settings!$B$8*Settings!$B$9,0)+IF($H865="Y",Settings!$B$7*Settings!$B$9,0)+N($I865)*Settings!$B$9,IF($D865="Deep clean",INDEX(Settings!$E$22:$E$26,MATCH(MIN(INDEX(Properties!$E$5:$E$104,MATCH($B865,Properties!$A$5:$A$104,0)),4),Settings!$A$22:$A$26,0))*Settings!$B$19+N($I865)*Settings!$B$9,IF($D865="Late cancel",INDEX(Properties!$L$5:$L$104,MATCH($B865,Properties!$A$5:$A$104,0))*Settings!$B$11,0))),0))</f>
        <v/>
      </c>
      <c r="P865" s="28" t="str">
        <f aca="false">IF($B865="","",$N865-$O865)</f>
        <v/>
      </c>
      <c r="Q865" s="29" t="str">
        <f aca="false">IF($A865="","",DATE(YEAR($A865),MONTH($A865),1))</f>
        <v/>
      </c>
      <c r="R865" s="30" t="str">
        <f aca="false">IF($A865="","",$A865+MOD(6-WEEKDAY($A865),7))</f>
        <v/>
      </c>
      <c r="S865" s="31" t="str">
        <f aca="false">IF($B865="","",IF(AND($M865='Invoice Builder'!$C$5,$Q865='Invoice Builder'!$C$6,N($N865)&gt;0),COUNTIFS($M$5:$M865,'Invoice Builder'!$C$5,$Q$5:$Q865,'Invoice Builder'!$C$6,$N$5:$N865,"&gt;0"),""))</f>
        <v/>
      </c>
      <c r="T865" s="27" t="str">
        <f aca="false">IF($A865="","",IF($A865&gt;=DATE(YEAR($A865),4,6),YEAR($A865)&amp;"/"&amp;RIGHT(YEAR($A865)+1,2),YEAR($A865)-1&amp;"/"&amp;RIGHT(YEAR($A865),2)))</f>
        <v/>
      </c>
    </row>
    <row r="866" customFormat="false" ht="15" hidden="false" customHeight="false" outlineLevel="0" collapsed="false">
      <c r="A866" s="22"/>
      <c r="B866" s="23"/>
      <c r="C866" s="23"/>
      <c r="D866" s="23"/>
      <c r="E866" s="24"/>
      <c r="F866" s="24"/>
      <c r="G866" s="23"/>
      <c r="H866" s="23"/>
      <c r="I866" s="25"/>
      <c r="J866" s="23"/>
      <c r="K866" s="23"/>
      <c r="L866" s="26" t="str">
        <f aca="false">IF(OR($E866="",$F866=""),"",MOD($F866-$E866,1)*24)</f>
        <v/>
      </c>
      <c r="M866" s="27" t="str">
        <f aca="false">IF($B866="","",IFERROR(INDEX(Properties!$D$5:$D$104,MATCH($B866,Properties!$A$5:$A$104,0)),"?"))</f>
        <v/>
      </c>
      <c r="N866" s="28" t="str">
        <f aca="false">IF($B866="","",IFERROR(IF($D866="Completed",INDEX(Properties!$I$5:$I$104,MATCH($B866,Properties!$A$5:$A$104,0))*(1+IF($G866="Y",Settings!$B$8,0))+IF($H866="Y",Settings!$B$7,0)+N($I866),IF($D866="Deep clean",INDEX(Settings!$E$22:$E$26,MATCH(MIN(INDEX(Properties!$E$5:$E$104,MATCH($B866,Properties!$A$5:$A$104,0)),4),Settings!$A$22:$A$26,0))+N($I866),IF($D866="Late cancel",INDEX(Properties!$I$5:$I$104,MATCH($B866,Properties!$A$5:$A$104,0))*Settings!$B$10,0))),0))</f>
        <v/>
      </c>
      <c r="O866" s="28" t="str">
        <f aca="false">IF($B866="","",IFERROR(IF($D866="Completed",INDEX(Properties!$L$5:$L$104,MATCH($B866,Properties!$A$5:$A$104,0))+IF($G866="Y",INDEX(Properties!$I$5:$I$104,MATCH($B866,Properties!$A$5:$A$104,0))*Settings!$B$8*Settings!$B$9,0)+IF($H866="Y",Settings!$B$7*Settings!$B$9,0)+N($I866)*Settings!$B$9,IF($D866="Deep clean",INDEX(Settings!$E$22:$E$26,MATCH(MIN(INDEX(Properties!$E$5:$E$104,MATCH($B866,Properties!$A$5:$A$104,0)),4),Settings!$A$22:$A$26,0))*Settings!$B$19+N($I866)*Settings!$B$9,IF($D866="Late cancel",INDEX(Properties!$L$5:$L$104,MATCH($B866,Properties!$A$5:$A$104,0))*Settings!$B$11,0))),0))</f>
        <v/>
      </c>
      <c r="P866" s="28" t="str">
        <f aca="false">IF($B866="","",$N866-$O866)</f>
        <v/>
      </c>
      <c r="Q866" s="29" t="str">
        <f aca="false">IF($A866="","",DATE(YEAR($A866),MONTH($A866),1))</f>
        <v/>
      </c>
      <c r="R866" s="30" t="str">
        <f aca="false">IF($A866="","",$A866+MOD(6-WEEKDAY($A866),7))</f>
        <v/>
      </c>
      <c r="S866" s="31" t="str">
        <f aca="false">IF($B866="","",IF(AND($M866='Invoice Builder'!$C$5,$Q866='Invoice Builder'!$C$6,N($N866)&gt;0),COUNTIFS($M$5:$M866,'Invoice Builder'!$C$5,$Q$5:$Q866,'Invoice Builder'!$C$6,$N$5:$N866,"&gt;0"),""))</f>
        <v/>
      </c>
      <c r="T866" s="27" t="str">
        <f aca="false">IF($A866="","",IF($A866&gt;=DATE(YEAR($A866),4,6),YEAR($A866)&amp;"/"&amp;RIGHT(YEAR($A866)+1,2),YEAR($A866)-1&amp;"/"&amp;RIGHT(YEAR($A866),2)))</f>
        <v/>
      </c>
    </row>
    <row r="867" customFormat="false" ht="15" hidden="false" customHeight="false" outlineLevel="0" collapsed="false">
      <c r="A867" s="22"/>
      <c r="B867" s="23"/>
      <c r="C867" s="23"/>
      <c r="D867" s="23"/>
      <c r="E867" s="24"/>
      <c r="F867" s="24"/>
      <c r="G867" s="23"/>
      <c r="H867" s="23"/>
      <c r="I867" s="25"/>
      <c r="J867" s="23"/>
      <c r="K867" s="23"/>
      <c r="L867" s="26" t="str">
        <f aca="false">IF(OR($E867="",$F867=""),"",MOD($F867-$E867,1)*24)</f>
        <v/>
      </c>
      <c r="M867" s="27" t="str">
        <f aca="false">IF($B867="","",IFERROR(INDEX(Properties!$D$5:$D$104,MATCH($B867,Properties!$A$5:$A$104,0)),"?"))</f>
        <v/>
      </c>
      <c r="N867" s="28" t="str">
        <f aca="false">IF($B867="","",IFERROR(IF($D867="Completed",INDEX(Properties!$I$5:$I$104,MATCH($B867,Properties!$A$5:$A$104,0))*(1+IF($G867="Y",Settings!$B$8,0))+IF($H867="Y",Settings!$B$7,0)+N($I867),IF($D867="Deep clean",INDEX(Settings!$E$22:$E$26,MATCH(MIN(INDEX(Properties!$E$5:$E$104,MATCH($B867,Properties!$A$5:$A$104,0)),4),Settings!$A$22:$A$26,0))+N($I867),IF($D867="Late cancel",INDEX(Properties!$I$5:$I$104,MATCH($B867,Properties!$A$5:$A$104,0))*Settings!$B$10,0))),0))</f>
        <v/>
      </c>
      <c r="O867" s="28" t="str">
        <f aca="false">IF($B867="","",IFERROR(IF($D867="Completed",INDEX(Properties!$L$5:$L$104,MATCH($B867,Properties!$A$5:$A$104,0))+IF($G867="Y",INDEX(Properties!$I$5:$I$104,MATCH($B867,Properties!$A$5:$A$104,0))*Settings!$B$8*Settings!$B$9,0)+IF($H867="Y",Settings!$B$7*Settings!$B$9,0)+N($I867)*Settings!$B$9,IF($D867="Deep clean",INDEX(Settings!$E$22:$E$26,MATCH(MIN(INDEX(Properties!$E$5:$E$104,MATCH($B867,Properties!$A$5:$A$104,0)),4),Settings!$A$22:$A$26,0))*Settings!$B$19+N($I867)*Settings!$B$9,IF($D867="Late cancel",INDEX(Properties!$L$5:$L$104,MATCH($B867,Properties!$A$5:$A$104,0))*Settings!$B$11,0))),0))</f>
        <v/>
      </c>
      <c r="P867" s="28" t="str">
        <f aca="false">IF($B867="","",$N867-$O867)</f>
        <v/>
      </c>
      <c r="Q867" s="29" t="str">
        <f aca="false">IF($A867="","",DATE(YEAR($A867),MONTH($A867),1))</f>
        <v/>
      </c>
      <c r="R867" s="30" t="str">
        <f aca="false">IF($A867="","",$A867+MOD(6-WEEKDAY($A867),7))</f>
        <v/>
      </c>
      <c r="S867" s="31" t="str">
        <f aca="false">IF($B867="","",IF(AND($M867='Invoice Builder'!$C$5,$Q867='Invoice Builder'!$C$6,N($N867)&gt;0),COUNTIFS($M$5:$M867,'Invoice Builder'!$C$5,$Q$5:$Q867,'Invoice Builder'!$C$6,$N$5:$N867,"&gt;0"),""))</f>
        <v/>
      </c>
      <c r="T867" s="27" t="str">
        <f aca="false">IF($A867="","",IF($A867&gt;=DATE(YEAR($A867),4,6),YEAR($A867)&amp;"/"&amp;RIGHT(YEAR($A867)+1,2),YEAR($A867)-1&amp;"/"&amp;RIGHT(YEAR($A867),2)))</f>
        <v/>
      </c>
    </row>
    <row r="868" customFormat="false" ht="15" hidden="false" customHeight="false" outlineLevel="0" collapsed="false">
      <c r="A868" s="22"/>
      <c r="B868" s="23"/>
      <c r="C868" s="23"/>
      <c r="D868" s="23"/>
      <c r="E868" s="24"/>
      <c r="F868" s="24"/>
      <c r="G868" s="23"/>
      <c r="H868" s="23"/>
      <c r="I868" s="25"/>
      <c r="J868" s="23"/>
      <c r="K868" s="23"/>
      <c r="L868" s="26" t="str">
        <f aca="false">IF(OR($E868="",$F868=""),"",MOD($F868-$E868,1)*24)</f>
        <v/>
      </c>
      <c r="M868" s="27" t="str">
        <f aca="false">IF($B868="","",IFERROR(INDEX(Properties!$D$5:$D$104,MATCH($B868,Properties!$A$5:$A$104,0)),"?"))</f>
        <v/>
      </c>
      <c r="N868" s="28" t="str">
        <f aca="false">IF($B868="","",IFERROR(IF($D868="Completed",INDEX(Properties!$I$5:$I$104,MATCH($B868,Properties!$A$5:$A$104,0))*(1+IF($G868="Y",Settings!$B$8,0))+IF($H868="Y",Settings!$B$7,0)+N($I868),IF($D868="Deep clean",INDEX(Settings!$E$22:$E$26,MATCH(MIN(INDEX(Properties!$E$5:$E$104,MATCH($B868,Properties!$A$5:$A$104,0)),4),Settings!$A$22:$A$26,0))+N($I868),IF($D868="Late cancel",INDEX(Properties!$I$5:$I$104,MATCH($B868,Properties!$A$5:$A$104,0))*Settings!$B$10,0))),0))</f>
        <v/>
      </c>
      <c r="O868" s="28" t="str">
        <f aca="false">IF($B868="","",IFERROR(IF($D868="Completed",INDEX(Properties!$L$5:$L$104,MATCH($B868,Properties!$A$5:$A$104,0))+IF($G868="Y",INDEX(Properties!$I$5:$I$104,MATCH($B868,Properties!$A$5:$A$104,0))*Settings!$B$8*Settings!$B$9,0)+IF($H868="Y",Settings!$B$7*Settings!$B$9,0)+N($I868)*Settings!$B$9,IF($D868="Deep clean",INDEX(Settings!$E$22:$E$26,MATCH(MIN(INDEX(Properties!$E$5:$E$104,MATCH($B868,Properties!$A$5:$A$104,0)),4),Settings!$A$22:$A$26,0))*Settings!$B$19+N($I868)*Settings!$B$9,IF($D868="Late cancel",INDEX(Properties!$L$5:$L$104,MATCH($B868,Properties!$A$5:$A$104,0))*Settings!$B$11,0))),0))</f>
        <v/>
      </c>
      <c r="P868" s="28" t="str">
        <f aca="false">IF($B868="","",$N868-$O868)</f>
        <v/>
      </c>
      <c r="Q868" s="29" t="str">
        <f aca="false">IF($A868="","",DATE(YEAR($A868),MONTH($A868),1))</f>
        <v/>
      </c>
      <c r="R868" s="30" t="str">
        <f aca="false">IF($A868="","",$A868+MOD(6-WEEKDAY($A868),7))</f>
        <v/>
      </c>
      <c r="S868" s="31" t="str">
        <f aca="false">IF($B868="","",IF(AND($M868='Invoice Builder'!$C$5,$Q868='Invoice Builder'!$C$6,N($N868)&gt;0),COUNTIFS($M$5:$M868,'Invoice Builder'!$C$5,$Q$5:$Q868,'Invoice Builder'!$C$6,$N$5:$N868,"&gt;0"),""))</f>
        <v/>
      </c>
      <c r="T868" s="27" t="str">
        <f aca="false">IF($A868="","",IF($A868&gt;=DATE(YEAR($A868),4,6),YEAR($A868)&amp;"/"&amp;RIGHT(YEAR($A868)+1,2),YEAR($A868)-1&amp;"/"&amp;RIGHT(YEAR($A868),2)))</f>
        <v/>
      </c>
    </row>
    <row r="869" customFormat="false" ht="15" hidden="false" customHeight="false" outlineLevel="0" collapsed="false">
      <c r="A869" s="22"/>
      <c r="B869" s="23"/>
      <c r="C869" s="23"/>
      <c r="D869" s="23"/>
      <c r="E869" s="24"/>
      <c r="F869" s="24"/>
      <c r="G869" s="23"/>
      <c r="H869" s="23"/>
      <c r="I869" s="25"/>
      <c r="J869" s="23"/>
      <c r="K869" s="23"/>
      <c r="L869" s="26" t="str">
        <f aca="false">IF(OR($E869="",$F869=""),"",MOD($F869-$E869,1)*24)</f>
        <v/>
      </c>
      <c r="M869" s="27" t="str">
        <f aca="false">IF($B869="","",IFERROR(INDEX(Properties!$D$5:$D$104,MATCH($B869,Properties!$A$5:$A$104,0)),"?"))</f>
        <v/>
      </c>
      <c r="N869" s="28" t="str">
        <f aca="false">IF($B869="","",IFERROR(IF($D869="Completed",INDEX(Properties!$I$5:$I$104,MATCH($B869,Properties!$A$5:$A$104,0))*(1+IF($G869="Y",Settings!$B$8,0))+IF($H869="Y",Settings!$B$7,0)+N($I869),IF($D869="Deep clean",INDEX(Settings!$E$22:$E$26,MATCH(MIN(INDEX(Properties!$E$5:$E$104,MATCH($B869,Properties!$A$5:$A$104,0)),4),Settings!$A$22:$A$26,0))+N($I869),IF($D869="Late cancel",INDEX(Properties!$I$5:$I$104,MATCH($B869,Properties!$A$5:$A$104,0))*Settings!$B$10,0))),0))</f>
        <v/>
      </c>
      <c r="O869" s="28" t="str">
        <f aca="false">IF($B869="","",IFERROR(IF($D869="Completed",INDEX(Properties!$L$5:$L$104,MATCH($B869,Properties!$A$5:$A$104,0))+IF($G869="Y",INDEX(Properties!$I$5:$I$104,MATCH($B869,Properties!$A$5:$A$104,0))*Settings!$B$8*Settings!$B$9,0)+IF($H869="Y",Settings!$B$7*Settings!$B$9,0)+N($I869)*Settings!$B$9,IF($D869="Deep clean",INDEX(Settings!$E$22:$E$26,MATCH(MIN(INDEX(Properties!$E$5:$E$104,MATCH($B869,Properties!$A$5:$A$104,0)),4),Settings!$A$22:$A$26,0))*Settings!$B$19+N($I869)*Settings!$B$9,IF($D869="Late cancel",INDEX(Properties!$L$5:$L$104,MATCH($B869,Properties!$A$5:$A$104,0))*Settings!$B$11,0))),0))</f>
        <v/>
      </c>
      <c r="P869" s="28" t="str">
        <f aca="false">IF($B869="","",$N869-$O869)</f>
        <v/>
      </c>
      <c r="Q869" s="29" t="str">
        <f aca="false">IF($A869="","",DATE(YEAR($A869),MONTH($A869),1))</f>
        <v/>
      </c>
      <c r="R869" s="30" t="str">
        <f aca="false">IF($A869="","",$A869+MOD(6-WEEKDAY($A869),7))</f>
        <v/>
      </c>
      <c r="S869" s="31" t="str">
        <f aca="false">IF($B869="","",IF(AND($M869='Invoice Builder'!$C$5,$Q869='Invoice Builder'!$C$6,N($N869)&gt;0),COUNTIFS($M$5:$M869,'Invoice Builder'!$C$5,$Q$5:$Q869,'Invoice Builder'!$C$6,$N$5:$N869,"&gt;0"),""))</f>
        <v/>
      </c>
      <c r="T869" s="27" t="str">
        <f aca="false">IF($A869="","",IF($A869&gt;=DATE(YEAR($A869),4,6),YEAR($A869)&amp;"/"&amp;RIGHT(YEAR($A869)+1,2),YEAR($A869)-1&amp;"/"&amp;RIGHT(YEAR($A869),2)))</f>
        <v/>
      </c>
    </row>
    <row r="870" customFormat="false" ht="15" hidden="false" customHeight="false" outlineLevel="0" collapsed="false">
      <c r="A870" s="22"/>
      <c r="B870" s="23"/>
      <c r="C870" s="23"/>
      <c r="D870" s="23"/>
      <c r="E870" s="24"/>
      <c r="F870" s="24"/>
      <c r="G870" s="23"/>
      <c r="H870" s="23"/>
      <c r="I870" s="25"/>
      <c r="J870" s="23"/>
      <c r="K870" s="23"/>
      <c r="L870" s="26" t="str">
        <f aca="false">IF(OR($E870="",$F870=""),"",MOD($F870-$E870,1)*24)</f>
        <v/>
      </c>
      <c r="M870" s="27" t="str">
        <f aca="false">IF($B870="","",IFERROR(INDEX(Properties!$D$5:$D$104,MATCH($B870,Properties!$A$5:$A$104,0)),"?"))</f>
        <v/>
      </c>
      <c r="N870" s="28" t="str">
        <f aca="false">IF($B870="","",IFERROR(IF($D870="Completed",INDEX(Properties!$I$5:$I$104,MATCH($B870,Properties!$A$5:$A$104,0))*(1+IF($G870="Y",Settings!$B$8,0))+IF($H870="Y",Settings!$B$7,0)+N($I870),IF($D870="Deep clean",INDEX(Settings!$E$22:$E$26,MATCH(MIN(INDEX(Properties!$E$5:$E$104,MATCH($B870,Properties!$A$5:$A$104,0)),4),Settings!$A$22:$A$26,0))+N($I870),IF($D870="Late cancel",INDEX(Properties!$I$5:$I$104,MATCH($B870,Properties!$A$5:$A$104,0))*Settings!$B$10,0))),0))</f>
        <v/>
      </c>
      <c r="O870" s="28" t="str">
        <f aca="false">IF($B870="","",IFERROR(IF($D870="Completed",INDEX(Properties!$L$5:$L$104,MATCH($B870,Properties!$A$5:$A$104,0))+IF($G870="Y",INDEX(Properties!$I$5:$I$104,MATCH($B870,Properties!$A$5:$A$104,0))*Settings!$B$8*Settings!$B$9,0)+IF($H870="Y",Settings!$B$7*Settings!$B$9,0)+N($I870)*Settings!$B$9,IF($D870="Deep clean",INDEX(Settings!$E$22:$E$26,MATCH(MIN(INDEX(Properties!$E$5:$E$104,MATCH($B870,Properties!$A$5:$A$104,0)),4),Settings!$A$22:$A$26,0))*Settings!$B$19+N($I870)*Settings!$B$9,IF($D870="Late cancel",INDEX(Properties!$L$5:$L$104,MATCH($B870,Properties!$A$5:$A$104,0))*Settings!$B$11,0))),0))</f>
        <v/>
      </c>
      <c r="P870" s="28" t="str">
        <f aca="false">IF($B870="","",$N870-$O870)</f>
        <v/>
      </c>
      <c r="Q870" s="29" t="str">
        <f aca="false">IF($A870="","",DATE(YEAR($A870),MONTH($A870),1))</f>
        <v/>
      </c>
      <c r="R870" s="30" t="str">
        <f aca="false">IF($A870="","",$A870+MOD(6-WEEKDAY($A870),7))</f>
        <v/>
      </c>
      <c r="S870" s="31" t="str">
        <f aca="false">IF($B870="","",IF(AND($M870='Invoice Builder'!$C$5,$Q870='Invoice Builder'!$C$6,N($N870)&gt;0),COUNTIFS($M$5:$M870,'Invoice Builder'!$C$5,$Q$5:$Q870,'Invoice Builder'!$C$6,$N$5:$N870,"&gt;0"),""))</f>
        <v/>
      </c>
      <c r="T870" s="27" t="str">
        <f aca="false">IF($A870="","",IF($A870&gt;=DATE(YEAR($A870),4,6),YEAR($A870)&amp;"/"&amp;RIGHT(YEAR($A870)+1,2),YEAR($A870)-1&amp;"/"&amp;RIGHT(YEAR($A870),2)))</f>
        <v/>
      </c>
    </row>
    <row r="871" customFormat="false" ht="15" hidden="false" customHeight="false" outlineLevel="0" collapsed="false">
      <c r="A871" s="22"/>
      <c r="B871" s="23"/>
      <c r="C871" s="23"/>
      <c r="D871" s="23"/>
      <c r="E871" s="24"/>
      <c r="F871" s="24"/>
      <c r="G871" s="23"/>
      <c r="H871" s="23"/>
      <c r="I871" s="25"/>
      <c r="J871" s="23"/>
      <c r="K871" s="23"/>
      <c r="L871" s="26" t="str">
        <f aca="false">IF(OR($E871="",$F871=""),"",MOD($F871-$E871,1)*24)</f>
        <v/>
      </c>
      <c r="M871" s="27" t="str">
        <f aca="false">IF($B871="","",IFERROR(INDEX(Properties!$D$5:$D$104,MATCH($B871,Properties!$A$5:$A$104,0)),"?"))</f>
        <v/>
      </c>
      <c r="N871" s="28" t="str">
        <f aca="false">IF($B871="","",IFERROR(IF($D871="Completed",INDEX(Properties!$I$5:$I$104,MATCH($B871,Properties!$A$5:$A$104,0))*(1+IF($G871="Y",Settings!$B$8,0))+IF($H871="Y",Settings!$B$7,0)+N($I871),IF($D871="Deep clean",INDEX(Settings!$E$22:$E$26,MATCH(MIN(INDEX(Properties!$E$5:$E$104,MATCH($B871,Properties!$A$5:$A$104,0)),4),Settings!$A$22:$A$26,0))+N($I871),IF($D871="Late cancel",INDEX(Properties!$I$5:$I$104,MATCH($B871,Properties!$A$5:$A$104,0))*Settings!$B$10,0))),0))</f>
        <v/>
      </c>
      <c r="O871" s="28" t="str">
        <f aca="false">IF($B871="","",IFERROR(IF($D871="Completed",INDEX(Properties!$L$5:$L$104,MATCH($B871,Properties!$A$5:$A$104,0))+IF($G871="Y",INDEX(Properties!$I$5:$I$104,MATCH($B871,Properties!$A$5:$A$104,0))*Settings!$B$8*Settings!$B$9,0)+IF($H871="Y",Settings!$B$7*Settings!$B$9,0)+N($I871)*Settings!$B$9,IF($D871="Deep clean",INDEX(Settings!$E$22:$E$26,MATCH(MIN(INDEX(Properties!$E$5:$E$104,MATCH($B871,Properties!$A$5:$A$104,0)),4),Settings!$A$22:$A$26,0))*Settings!$B$19+N($I871)*Settings!$B$9,IF($D871="Late cancel",INDEX(Properties!$L$5:$L$104,MATCH($B871,Properties!$A$5:$A$104,0))*Settings!$B$11,0))),0))</f>
        <v/>
      </c>
      <c r="P871" s="28" t="str">
        <f aca="false">IF($B871="","",$N871-$O871)</f>
        <v/>
      </c>
      <c r="Q871" s="29" t="str">
        <f aca="false">IF($A871="","",DATE(YEAR($A871),MONTH($A871),1))</f>
        <v/>
      </c>
      <c r="R871" s="30" t="str">
        <f aca="false">IF($A871="","",$A871+MOD(6-WEEKDAY($A871),7))</f>
        <v/>
      </c>
      <c r="S871" s="31" t="str">
        <f aca="false">IF($B871="","",IF(AND($M871='Invoice Builder'!$C$5,$Q871='Invoice Builder'!$C$6,N($N871)&gt;0),COUNTIFS($M$5:$M871,'Invoice Builder'!$C$5,$Q$5:$Q871,'Invoice Builder'!$C$6,$N$5:$N871,"&gt;0"),""))</f>
        <v/>
      </c>
      <c r="T871" s="27" t="str">
        <f aca="false">IF($A871="","",IF($A871&gt;=DATE(YEAR($A871),4,6),YEAR($A871)&amp;"/"&amp;RIGHT(YEAR($A871)+1,2),YEAR($A871)-1&amp;"/"&amp;RIGHT(YEAR($A871),2)))</f>
        <v/>
      </c>
    </row>
    <row r="872" customFormat="false" ht="15" hidden="false" customHeight="false" outlineLevel="0" collapsed="false">
      <c r="A872" s="22"/>
      <c r="B872" s="23"/>
      <c r="C872" s="23"/>
      <c r="D872" s="23"/>
      <c r="E872" s="24"/>
      <c r="F872" s="24"/>
      <c r="G872" s="23"/>
      <c r="H872" s="23"/>
      <c r="I872" s="25"/>
      <c r="J872" s="23"/>
      <c r="K872" s="23"/>
      <c r="L872" s="26" t="str">
        <f aca="false">IF(OR($E872="",$F872=""),"",MOD($F872-$E872,1)*24)</f>
        <v/>
      </c>
      <c r="M872" s="27" t="str">
        <f aca="false">IF($B872="","",IFERROR(INDEX(Properties!$D$5:$D$104,MATCH($B872,Properties!$A$5:$A$104,0)),"?"))</f>
        <v/>
      </c>
      <c r="N872" s="28" t="str">
        <f aca="false">IF($B872="","",IFERROR(IF($D872="Completed",INDEX(Properties!$I$5:$I$104,MATCH($B872,Properties!$A$5:$A$104,0))*(1+IF($G872="Y",Settings!$B$8,0))+IF($H872="Y",Settings!$B$7,0)+N($I872),IF($D872="Deep clean",INDEX(Settings!$E$22:$E$26,MATCH(MIN(INDEX(Properties!$E$5:$E$104,MATCH($B872,Properties!$A$5:$A$104,0)),4),Settings!$A$22:$A$26,0))+N($I872),IF($D872="Late cancel",INDEX(Properties!$I$5:$I$104,MATCH($B872,Properties!$A$5:$A$104,0))*Settings!$B$10,0))),0))</f>
        <v/>
      </c>
      <c r="O872" s="28" t="str">
        <f aca="false">IF($B872="","",IFERROR(IF($D872="Completed",INDEX(Properties!$L$5:$L$104,MATCH($B872,Properties!$A$5:$A$104,0))+IF($G872="Y",INDEX(Properties!$I$5:$I$104,MATCH($B872,Properties!$A$5:$A$104,0))*Settings!$B$8*Settings!$B$9,0)+IF($H872="Y",Settings!$B$7*Settings!$B$9,0)+N($I872)*Settings!$B$9,IF($D872="Deep clean",INDEX(Settings!$E$22:$E$26,MATCH(MIN(INDEX(Properties!$E$5:$E$104,MATCH($B872,Properties!$A$5:$A$104,0)),4),Settings!$A$22:$A$26,0))*Settings!$B$19+N($I872)*Settings!$B$9,IF($D872="Late cancel",INDEX(Properties!$L$5:$L$104,MATCH($B872,Properties!$A$5:$A$104,0))*Settings!$B$11,0))),0))</f>
        <v/>
      </c>
      <c r="P872" s="28" t="str">
        <f aca="false">IF($B872="","",$N872-$O872)</f>
        <v/>
      </c>
      <c r="Q872" s="29" t="str">
        <f aca="false">IF($A872="","",DATE(YEAR($A872),MONTH($A872),1))</f>
        <v/>
      </c>
      <c r="R872" s="30" t="str">
        <f aca="false">IF($A872="","",$A872+MOD(6-WEEKDAY($A872),7))</f>
        <v/>
      </c>
      <c r="S872" s="31" t="str">
        <f aca="false">IF($B872="","",IF(AND($M872='Invoice Builder'!$C$5,$Q872='Invoice Builder'!$C$6,N($N872)&gt;0),COUNTIFS($M$5:$M872,'Invoice Builder'!$C$5,$Q$5:$Q872,'Invoice Builder'!$C$6,$N$5:$N872,"&gt;0"),""))</f>
        <v/>
      </c>
      <c r="T872" s="27" t="str">
        <f aca="false">IF($A872="","",IF($A872&gt;=DATE(YEAR($A872),4,6),YEAR($A872)&amp;"/"&amp;RIGHT(YEAR($A872)+1,2),YEAR($A872)-1&amp;"/"&amp;RIGHT(YEAR($A872),2)))</f>
        <v/>
      </c>
    </row>
    <row r="873" customFormat="false" ht="15" hidden="false" customHeight="false" outlineLevel="0" collapsed="false">
      <c r="A873" s="22"/>
      <c r="B873" s="23"/>
      <c r="C873" s="23"/>
      <c r="D873" s="23"/>
      <c r="E873" s="24"/>
      <c r="F873" s="24"/>
      <c r="G873" s="23"/>
      <c r="H873" s="23"/>
      <c r="I873" s="25"/>
      <c r="J873" s="23"/>
      <c r="K873" s="23"/>
      <c r="L873" s="26" t="str">
        <f aca="false">IF(OR($E873="",$F873=""),"",MOD($F873-$E873,1)*24)</f>
        <v/>
      </c>
      <c r="M873" s="27" t="str">
        <f aca="false">IF($B873="","",IFERROR(INDEX(Properties!$D$5:$D$104,MATCH($B873,Properties!$A$5:$A$104,0)),"?"))</f>
        <v/>
      </c>
      <c r="N873" s="28" t="str">
        <f aca="false">IF($B873="","",IFERROR(IF($D873="Completed",INDEX(Properties!$I$5:$I$104,MATCH($B873,Properties!$A$5:$A$104,0))*(1+IF($G873="Y",Settings!$B$8,0))+IF($H873="Y",Settings!$B$7,0)+N($I873),IF($D873="Deep clean",INDEX(Settings!$E$22:$E$26,MATCH(MIN(INDEX(Properties!$E$5:$E$104,MATCH($B873,Properties!$A$5:$A$104,0)),4),Settings!$A$22:$A$26,0))+N($I873),IF($D873="Late cancel",INDEX(Properties!$I$5:$I$104,MATCH($B873,Properties!$A$5:$A$104,0))*Settings!$B$10,0))),0))</f>
        <v/>
      </c>
      <c r="O873" s="28" t="str">
        <f aca="false">IF($B873="","",IFERROR(IF($D873="Completed",INDEX(Properties!$L$5:$L$104,MATCH($B873,Properties!$A$5:$A$104,0))+IF($G873="Y",INDEX(Properties!$I$5:$I$104,MATCH($B873,Properties!$A$5:$A$104,0))*Settings!$B$8*Settings!$B$9,0)+IF($H873="Y",Settings!$B$7*Settings!$B$9,0)+N($I873)*Settings!$B$9,IF($D873="Deep clean",INDEX(Settings!$E$22:$E$26,MATCH(MIN(INDEX(Properties!$E$5:$E$104,MATCH($B873,Properties!$A$5:$A$104,0)),4),Settings!$A$22:$A$26,0))*Settings!$B$19+N($I873)*Settings!$B$9,IF($D873="Late cancel",INDEX(Properties!$L$5:$L$104,MATCH($B873,Properties!$A$5:$A$104,0))*Settings!$B$11,0))),0))</f>
        <v/>
      </c>
      <c r="P873" s="28" t="str">
        <f aca="false">IF($B873="","",$N873-$O873)</f>
        <v/>
      </c>
      <c r="Q873" s="29" t="str">
        <f aca="false">IF($A873="","",DATE(YEAR($A873),MONTH($A873),1))</f>
        <v/>
      </c>
      <c r="R873" s="30" t="str">
        <f aca="false">IF($A873="","",$A873+MOD(6-WEEKDAY($A873),7))</f>
        <v/>
      </c>
      <c r="S873" s="31" t="str">
        <f aca="false">IF($B873="","",IF(AND($M873='Invoice Builder'!$C$5,$Q873='Invoice Builder'!$C$6,N($N873)&gt;0),COUNTIFS($M$5:$M873,'Invoice Builder'!$C$5,$Q$5:$Q873,'Invoice Builder'!$C$6,$N$5:$N873,"&gt;0"),""))</f>
        <v/>
      </c>
      <c r="T873" s="27" t="str">
        <f aca="false">IF($A873="","",IF($A873&gt;=DATE(YEAR($A873),4,6),YEAR($A873)&amp;"/"&amp;RIGHT(YEAR($A873)+1,2),YEAR($A873)-1&amp;"/"&amp;RIGHT(YEAR($A873),2)))</f>
        <v/>
      </c>
    </row>
    <row r="874" customFormat="false" ht="15" hidden="false" customHeight="false" outlineLevel="0" collapsed="false">
      <c r="A874" s="22"/>
      <c r="B874" s="23"/>
      <c r="C874" s="23"/>
      <c r="D874" s="23"/>
      <c r="E874" s="24"/>
      <c r="F874" s="24"/>
      <c r="G874" s="23"/>
      <c r="H874" s="23"/>
      <c r="I874" s="25"/>
      <c r="J874" s="23"/>
      <c r="K874" s="23"/>
      <c r="L874" s="26" t="str">
        <f aca="false">IF(OR($E874="",$F874=""),"",MOD($F874-$E874,1)*24)</f>
        <v/>
      </c>
      <c r="M874" s="27" t="str">
        <f aca="false">IF($B874="","",IFERROR(INDEX(Properties!$D$5:$D$104,MATCH($B874,Properties!$A$5:$A$104,0)),"?"))</f>
        <v/>
      </c>
      <c r="N874" s="28" t="str">
        <f aca="false">IF($B874="","",IFERROR(IF($D874="Completed",INDEX(Properties!$I$5:$I$104,MATCH($B874,Properties!$A$5:$A$104,0))*(1+IF($G874="Y",Settings!$B$8,0))+IF($H874="Y",Settings!$B$7,0)+N($I874),IF($D874="Deep clean",INDEX(Settings!$E$22:$E$26,MATCH(MIN(INDEX(Properties!$E$5:$E$104,MATCH($B874,Properties!$A$5:$A$104,0)),4),Settings!$A$22:$A$26,0))+N($I874),IF($D874="Late cancel",INDEX(Properties!$I$5:$I$104,MATCH($B874,Properties!$A$5:$A$104,0))*Settings!$B$10,0))),0))</f>
        <v/>
      </c>
      <c r="O874" s="28" t="str">
        <f aca="false">IF($B874="","",IFERROR(IF($D874="Completed",INDEX(Properties!$L$5:$L$104,MATCH($B874,Properties!$A$5:$A$104,0))+IF($G874="Y",INDEX(Properties!$I$5:$I$104,MATCH($B874,Properties!$A$5:$A$104,0))*Settings!$B$8*Settings!$B$9,0)+IF($H874="Y",Settings!$B$7*Settings!$B$9,0)+N($I874)*Settings!$B$9,IF($D874="Deep clean",INDEX(Settings!$E$22:$E$26,MATCH(MIN(INDEX(Properties!$E$5:$E$104,MATCH($B874,Properties!$A$5:$A$104,0)),4),Settings!$A$22:$A$26,0))*Settings!$B$19+N($I874)*Settings!$B$9,IF($D874="Late cancel",INDEX(Properties!$L$5:$L$104,MATCH($B874,Properties!$A$5:$A$104,0))*Settings!$B$11,0))),0))</f>
        <v/>
      </c>
      <c r="P874" s="28" t="str">
        <f aca="false">IF($B874="","",$N874-$O874)</f>
        <v/>
      </c>
      <c r="Q874" s="29" t="str">
        <f aca="false">IF($A874="","",DATE(YEAR($A874),MONTH($A874),1))</f>
        <v/>
      </c>
      <c r="R874" s="30" t="str">
        <f aca="false">IF($A874="","",$A874+MOD(6-WEEKDAY($A874),7))</f>
        <v/>
      </c>
      <c r="S874" s="31" t="str">
        <f aca="false">IF($B874="","",IF(AND($M874='Invoice Builder'!$C$5,$Q874='Invoice Builder'!$C$6,N($N874)&gt;0),COUNTIFS($M$5:$M874,'Invoice Builder'!$C$5,$Q$5:$Q874,'Invoice Builder'!$C$6,$N$5:$N874,"&gt;0"),""))</f>
        <v/>
      </c>
      <c r="T874" s="27" t="str">
        <f aca="false">IF($A874="","",IF($A874&gt;=DATE(YEAR($A874),4,6),YEAR($A874)&amp;"/"&amp;RIGHT(YEAR($A874)+1,2),YEAR($A874)-1&amp;"/"&amp;RIGHT(YEAR($A874),2)))</f>
        <v/>
      </c>
    </row>
    <row r="875" customFormat="false" ht="15" hidden="false" customHeight="false" outlineLevel="0" collapsed="false">
      <c r="A875" s="22"/>
      <c r="B875" s="23"/>
      <c r="C875" s="23"/>
      <c r="D875" s="23"/>
      <c r="E875" s="24"/>
      <c r="F875" s="24"/>
      <c r="G875" s="23"/>
      <c r="H875" s="23"/>
      <c r="I875" s="25"/>
      <c r="J875" s="23"/>
      <c r="K875" s="23"/>
      <c r="L875" s="26" t="str">
        <f aca="false">IF(OR($E875="",$F875=""),"",MOD($F875-$E875,1)*24)</f>
        <v/>
      </c>
      <c r="M875" s="27" t="str">
        <f aca="false">IF($B875="","",IFERROR(INDEX(Properties!$D$5:$D$104,MATCH($B875,Properties!$A$5:$A$104,0)),"?"))</f>
        <v/>
      </c>
      <c r="N875" s="28" t="str">
        <f aca="false">IF($B875="","",IFERROR(IF($D875="Completed",INDEX(Properties!$I$5:$I$104,MATCH($B875,Properties!$A$5:$A$104,0))*(1+IF($G875="Y",Settings!$B$8,0))+IF($H875="Y",Settings!$B$7,0)+N($I875),IF($D875="Deep clean",INDEX(Settings!$E$22:$E$26,MATCH(MIN(INDEX(Properties!$E$5:$E$104,MATCH($B875,Properties!$A$5:$A$104,0)),4),Settings!$A$22:$A$26,0))+N($I875),IF($D875="Late cancel",INDEX(Properties!$I$5:$I$104,MATCH($B875,Properties!$A$5:$A$104,0))*Settings!$B$10,0))),0))</f>
        <v/>
      </c>
      <c r="O875" s="28" t="str">
        <f aca="false">IF($B875="","",IFERROR(IF($D875="Completed",INDEX(Properties!$L$5:$L$104,MATCH($B875,Properties!$A$5:$A$104,0))+IF($G875="Y",INDEX(Properties!$I$5:$I$104,MATCH($B875,Properties!$A$5:$A$104,0))*Settings!$B$8*Settings!$B$9,0)+IF($H875="Y",Settings!$B$7*Settings!$B$9,0)+N($I875)*Settings!$B$9,IF($D875="Deep clean",INDEX(Settings!$E$22:$E$26,MATCH(MIN(INDEX(Properties!$E$5:$E$104,MATCH($B875,Properties!$A$5:$A$104,0)),4),Settings!$A$22:$A$26,0))*Settings!$B$19+N($I875)*Settings!$B$9,IF($D875="Late cancel",INDEX(Properties!$L$5:$L$104,MATCH($B875,Properties!$A$5:$A$104,0))*Settings!$B$11,0))),0))</f>
        <v/>
      </c>
      <c r="P875" s="28" t="str">
        <f aca="false">IF($B875="","",$N875-$O875)</f>
        <v/>
      </c>
      <c r="Q875" s="29" t="str">
        <f aca="false">IF($A875="","",DATE(YEAR($A875),MONTH($A875),1))</f>
        <v/>
      </c>
      <c r="R875" s="30" t="str">
        <f aca="false">IF($A875="","",$A875+MOD(6-WEEKDAY($A875),7))</f>
        <v/>
      </c>
      <c r="S875" s="31" t="str">
        <f aca="false">IF($B875="","",IF(AND($M875='Invoice Builder'!$C$5,$Q875='Invoice Builder'!$C$6,N($N875)&gt;0),COUNTIFS($M$5:$M875,'Invoice Builder'!$C$5,$Q$5:$Q875,'Invoice Builder'!$C$6,$N$5:$N875,"&gt;0"),""))</f>
        <v/>
      </c>
      <c r="T875" s="27" t="str">
        <f aca="false">IF($A875="","",IF($A875&gt;=DATE(YEAR($A875),4,6),YEAR($A875)&amp;"/"&amp;RIGHT(YEAR($A875)+1,2),YEAR($A875)-1&amp;"/"&amp;RIGHT(YEAR($A875),2)))</f>
        <v/>
      </c>
    </row>
    <row r="876" customFormat="false" ht="15" hidden="false" customHeight="false" outlineLevel="0" collapsed="false">
      <c r="A876" s="22"/>
      <c r="B876" s="23"/>
      <c r="C876" s="23"/>
      <c r="D876" s="23"/>
      <c r="E876" s="24"/>
      <c r="F876" s="24"/>
      <c r="G876" s="23"/>
      <c r="H876" s="23"/>
      <c r="I876" s="25"/>
      <c r="J876" s="23"/>
      <c r="K876" s="23"/>
      <c r="L876" s="26" t="str">
        <f aca="false">IF(OR($E876="",$F876=""),"",MOD($F876-$E876,1)*24)</f>
        <v/>
      </c>
      <c r="M876" s="27" t="str">
        <f aca="false">IF($B876="","",IFERROR(INDEX(Properties!$D$5:$D$104,MATCH($B876,Properties!$A$5:$A$104,0)),"?"))</f>
        <v/>
      </c>
      <c r="N876" s="28" t="str">
        <f aca="false">IF($B876="","",IFERROR(IF($D876="Completed",INDEX(Properties!$I$5:$I$104,MATCH($B876,Properties!$A$5:$A$104,0))*(1+IF($G876="Y",Settings!$B$8,0))+IF($H876="Y",Settings!$B$7,0)+N($I876),IF($D876="Deep clean",INDEX(Settings!$E$22:$E$26,MATCH(MIN(INDEX(Properties!$E$5:$E$104,MATCH($B876,Properties!$A$5:$A$104,0)),4),Settings!$A$22:$A$26,0))+N($I876),IF($D876="Late cancel",INDEX(Properties!$I$5:$I$104,MATCH($B876,Properties!$A$5:$A$104,0))*Settings!$B$10,0))),0))</f>
        <v/>
      </c>
      <c r="O876" s="28" t="str">
        <f aca="false">IF($B876="","",IFERROR(IF($D876="Completed",INDEX(Properties!$L$5:$L$104,MATCH($B876,Properties!$A$5:$A$104,0))+IF($G876="Y",INDEX(Properties!$I$5:$I$104,MATCH($B876,Properties!$A$5:$A$104,0))*Settings!$B$8*Settings!$B$9,0)+IF($H876="Y",Settings!$B$7*Settings!$B$9,0)+N($I876)*Settings!$B$9,IF($D876="Deep clean",INDEX(Settings!$E$22:$E$26,MATCH(MIN(INDEX(Properties!$E$5:$E$104,MATCH($B876,Properties!$A$5:$A$104,0)),4),Settings!$A$22:$A$26,0))*Settings!$B$19+N($I876)*Settings!$B$9,IF($D876="Late cancel",INDEX(Properties!$L$5:$L$104,MATCH($B876,Properties!$A$5:$A$104,0))*Settings!$B$11,0))),0))</f>
        <v/>
      </c>
      <c r="P876" s="28" t="str">
        <f aca="false">IF($B876="","",$N876-$O876)</f>
        <v/>
      </c>
      <c r="Q876" s="29" t="str">
        <f aca="false">IF($A876="","",DATE(YEAR($A876),MONTH($A876),1))</f>
        <v/>
      </c>
      <c r="R876" s="30" t="str">
        <f aca="false">IF($A876="","",$A876+MOD(6-WEEKDAY($A876),7))</f>
        <v/>
      </c>
      <c r="S876" s="31" t="str">
        <f aca="false">IF($B876="","",IF(AND($M876='Invoice Builder'!$C$5,$Q876='Invoice Builder'!$C$6,N($N876)&gt;0),COUNTIFS($M$5:$M876,'Invoice Builder'!$C$5,$Q$5:$Q876,'Invoice Builder'!$C$6,$N$5:$N876,"&gt;0"),""))</f>
        <v/>
      </c>
      <c r="T876" s="27" t="str">
        <f aca="false">IF($A876="","",IF($A876&gt;=DATE(YEAR($A876),4,6),YEAR($A876)&amp;"/"&amp;RIGHT(YEAR($A876)+1,2),YEAR($A876)-1&amp;"/"&amp;RIGHT(YEAR($A876),2)))</f>
        <v/>
      </c>
    </row>
    <row r="877" customFormat="false" ht="15" hidden="false" customHeight="false" outlineLevel="0" collapsed="false">
      <c r="A877" s="22"/>
      <c r="B877" s="23"/>
      <c r="C877" s="23"/>
      <c r="D877" s="23"/>
      <c r="E877" s="24"/>
      <c r="F877" s="24"/>
      <c r="G877" s="23"/>
      <c r="H877" s="23"/>
      <c r="I877" s="25"/>
      <c r="J877" s="23"/>
      <c r="K877" s="23"/>
      <c r="L877" s="26" t="str">
        <f aca="false">IF(OR($E877="",$F877=""),"",MOD($F877-$E877,1)*24)</f>
        <v/>
      </c>
      <c r="M877" s="27" t="str">
        <f aca="false">IF($B877="","",IFERROR(INDEX(Properties!$D$5:$D$104,MATCH($B877,Properties!$A$5:$A$104,0)),"?"))</f>
        <v/>
      </c>
      <c r="N877" s="28" t="str">
        <f aca="false">IF($B877="","",IFERROR(IF($D877="Completed",INDEX(Properties!$I$5:$I$104,MATCH($B877,Properties!$A$5:$A$104,0))*(1+IF($G877="Y",Settings!$B$8,0))+IF($H877="Y",Settings!$B$7,0)+N($I877),IF($D877="Deep clean",INDEX(Settings!$E$22:$E$26,MATCH(MIN(INDEX(Properties!$E$5:$E$104,MATCH($B877,Properties!$A$5:$A$104,0)),4),Settings!$A$22:$A$26,0))+N($I877),IF($D877="Late cancel",INDEX(Properties!$I$5:$I$104,MATCH($B877,Properties!$A$5:$A$104,0))*Settings!$B$10,0))),0))</f>
        <v/>
      </c>
      <c r="O877" s="28" t="str">
        <f aca="false">IF($B877="","",IFERROR(IF($D877="Completed",INDEX(Properties!$L$5:$L$104,MATCH($B877,Properties!$A$5:$A$104,0))+IF($G877="Y",INDEX(Properties!$I$5:$I$104,MATCH($B877,Properties!$A$5:$A$104,0))*Settings!$B$8*Settings!$B$9,0)+IF($H877="Y",Settings!$B$7*Settings!$B$9,0)+N($I877)*Settings!$B$9,IF($D877="Deep clean",INDEX(Settings!$E$22:$E$26,MATCH(MIN(INDEX(Properties!$E$5:$E$104,MATCH($B877,Properties!$A$5:$A$104,0)),4),Settings!$A$22:$A$26,0))*Settings!$B$19+N($I877)*Settings!$B$9,IF($D877="Late cancel",INDEX(Properties!$L$5:$L$104,MATCH($B877,Properties!$A$5:$A$104,0))*Settings!$B$11,0))),0))</f>
        <v/>
      </c>
      <c r="P877" s="28" t="str">
        <f aca="false">IF($B877="","",$N877-$O877)</f>
        <v/>
      </c>
      <c r="Q877" s="29" t="str">
        <f aca="false">IF($A877="","",DATE(YEAR($A877),MONTH($A877),1))</f>
        <v/>
      </c>
      <c r="R877" s="30" t="str">
        <f aca="false">IF($A877="","",$A877+MOD(6-WEEKDAY($A877),7))</f>
        <v/>
      </c>
      <c r="S877" s="31" t="str">
        <f aca="false">IF($B877="","",IF(AND($M877='Invoice Builder'!$C$5,$Q877='Invoice Builder'!$C$6,N($N877)&gt;0),COUNTIFS($M$5:$M877,'Invoice Builder'!$C$5,$Q$5:$Q877,'Invoice Builder'!$C$6,$N$5:$N877,"&gt;0"),""))</f>
        <v/>
      </c>
      <c r="T877" s="27" t="str">
        <f aca="false">IF($A877="","",IF($A877&gt;=DATE(YEAR($A877),4,6),YEAR($A877)&amp;"/"&amp;RIGHT(YEAR($A877)+1,2),YEAR($A877)-1&amp;"/"&amp;RIGHT(YEAR($A877),2)))</f>
        <v/>
      </c>
    </row>
    <row r="878" customFormat="false" ht="15" hidden="false" customHeight="false" outlineLevel="0" collapsed="false">
      <c r="A878" s="22"/>
      <c r="B878" s="23"/>
      <c r="C878" s="23"/>
      <c r="D878" s="23"/>
      <c r="E878" s="24"/>
      <c r="F878" s="24"/>
      <c r="G878" s="23"/>
      <c r="H878" s="23"/>
      <c r="I878" s="25"/>
      <c r="J878" s="23"/>
      <c r="K878" s="23"/>
      <c r="L878" s="26" t="str">
        <f aca="false">IF(OR($E878="",$F878=""),"",MOD($F878-$E878,1)*24)</f>
        <v/>
      </c>
      <c r="M878" s="27" t="str">
        <f aca="false">IF($B878="","",IFERROR(INDEX(Properties!$D$5:$D$104,MATCH($B878,Properties!$A$5:$A$104,0)),"?"))</f>
        <v/>
      </c>
      <c r="N878" s="28" t="str">
        <f aca="false">IF($B878="","",IFERROR(IF($D878="Completed",INDEX(Properties!$I$5:$I$104,MATCH($B878,Properties!$A$5:$A$104,0))*(1+IF($G878="Y",Settings!$B$8,0))+IF($H878="Y",Settings!$B$7,0)+N($I878),IF($D878="Deep clean",INDEX(Settings!$E$22:$E$26,MATCH(MIN(INDEX(Properties!$E$5:$E$104,MATCH($B878,Properties!$A$5:$A$104,0)),4),Settings!$A$22:$A$26,0))+N($I878),IF($D878="Late cancel",INDEX(Properties!$I$5:$I$104,MATCH($B878,Properties!$A$5:$A$104,0))*Settings!$B$10,0))),0))</f>
        <v/>
      </c>
      <c r="O878" s="28" t="str">
        <f aca="false">IF($B878="","",IFERROR(IF($D878="Completed",INDEX(Properties!$L$5:$L$104,MATCH($B878,Properties!$A$5:$A$104,0))+IF($G878="Y",INDEX(Properties!$I$5:$I$104,MATCH($B878,Properties!$A$5:$A$104,0))*Settings!$B$8*Settings!$B$9,0)+IF($H878="Y",Settings!$B$7*Settings!$B$9,0)+N($I878)*Settings!$B$9,IF($D878="Deep clean",INDEX(Settings!$E$22:$E$26,MATCH(MIN(INDEX(Properties!$E$5:$E$104,MATCH($B878,Properties!$A$5:$A$104,0)),4),Settings!$A$22:$A$26,0))*Settings!$B$19+N($I878)*Settings!$B$9,IF($D878="Late cancel",INDEX(Properties!$L$5:$L$104,MATCH($B878,Properties!$A$5:$A$104,0))*Settings!$B$11,0))),0))</f>
        <v/>
      </c>
      <c r="P878" s="28" t="str">
        <f aca="false">IF($B878="","",$N878-$O878)</f>
        <v/>
      </c>
      <c r="Q878" s="29" t="str">
        <f aca="false">IF($A878="","",DATE(YEAR($A878),MONTH($A878),1))</f>
        <v/>
      </c>
      <c r="R878" s="30" t="str">
        <f aca="false">IF($A878="","",$A878+MOD(6-WEEKDAY($A878),7))</f>
        <v/>
      </c>
      <c r="S878" s="31" t="str">
        <f aca="false">IF($B878="","",IF(AND($M878='Invoice Builder'!$C$5,$Q878='Invoice Builder'!$C$6,N($N878)&gt;0),COUNTIFS($M$5:$M878,'Invoice Builder'!$C$5,$Q$5:$Q878,'Invoice Builder'!$C$6,$N$5:$N878,"&gt;0"),""))</f>
        <v/>
      </c>
      <c r="T878" s="27" t="str">
        <f aca="false">IF($A878="","",IF($A878&gt;=DATE(YEAR($A878),4,6),YEAR($A878)&amp;"/"&amp;RIGHT(YEAR($A878)+1,2),YEAR($A878)-1&amp;"/"&amp;RIGHT(YEAR($A878),2)))</f>
        <v/>
      </c>
    </row>
    <row r="879" customFormat="false" ht="15" hidden="false" customHeight="false" outlineLevel="0" collapsed="false">
      <c r="A879" s="22"/>
      <c r="B879" s="23"/>
      <c r="C879" s="23"/>
      <c r="D879" s="23"/>
      <c r="E879" s="24"/>
      <c r="F879" s="24"/>
      <c r="G879" s="23"/>
      <c r="H879" s="23"/>
      <c r="I879" s="25"/>
      <c r="J879" s="23"/>
      <c r="K879" s="23"/>
      <c r="L879" s="26" t="str">
        <f aca="false">IF(OR($E879="",$F879=""),"",MOD($F879-$E879,1)*24)</f>
        <v/>
      </c>
      <c r="M879" s="27" t="str">
        <f aca="false">IF($B879="","",IFERROR(INDEX(Properties!$D$5:$D$104,MATCH($B879,Properties!$A$5:$A$104,0)),"?"))</f>
        <v/>
      </c>
      <c r="N879" s="28" t="str">
        <f aca="false">IF($B879="","",IFERROR(IF($D879="Completed",INDEX(Properties!$I$5:$I$104,MATCH($B879,Properties!$A$5:$A$104,0))*(1+IF($G879="Y",Settings!$B$8,0))+IF($H879="Y",Settings!$B$7,0)+N($I879),IF($D879="Deep clean",INDEX(Settings!$E$22:$E$26,MATCH(MIN(INDEX(Properties!$E$5:$E$104,MATCH($B879,Properties!$A$5:$A$104,0)),4),Settings!$A$22:$A$26,0))+N($I879),IF($D879="Late cancel",INDEX(Properties!$I$5:$I$104,MATCH($B879,Properties!$A$5:$A$104,0))*Settings!$B$10,0))),0))</f>
        <v/>
      </c>
      <c r="O879" s="28" t="str">
        <f aca="false">IF($B879="","",IFERROR(IF($D879="Completed",INDEX(Properties!$L$5:$L$104,MATCH($B879,Properties!$A$5:$A$104,0))+IF($G879="Y",INDEX(Properties!$I$5:$I$104,MATCH($B879,Properties!$A$5:$A$104,0))*Settings!$B$8*Settings!$B$9,0)+IF($H879="Y",Settings!$B$7*Settings!$B$9,0)+N($I879)*Settings!$B$9,IF($D879="Deep clean",INDEX(Settings!$E$22:$E$26,MATCH(MIN(INDEX(Properties!$E$5:$E$104,MATCH($B879,Properties!$A$5:$A$104,0)),4),Settings!$A$22:$A$26,0))*Settings!$B$19+N($I879)*Settings!$B$9,IF($D879="Late cancel",INDEX(Properties!$L$5:$L$104,MATCH($B879,Properties!$A$5:$A$104,0))*Settings!$B$11,0))),0))</f>
        <v/>
      </c>
      <c r="P879" s="28" t="str">
        <f aca="false">IF($B879="","",$N879-$O879)</f>
        <v/>
      </c>
      <c r="Q879" s="29" t="str">
        <f aca="false">IF($A879="","",DATE(YEAR($A879),MONTH($A879),1))</f>
        <v/>
      </c>
      <c r="R879" s="30" t="str">
        <f aca="false">IF($A879="","",$A879+MOD(6-WEEKDAY($A879),7))</f>
        <v/>
      </c>
      <c r="S879" s="31" t="str">
        <f aca="false">IF($B879="","",IF(AND($M879='Invoice Builder'!$C$5,$Q879='Invoice Builder'!$C$6,N($N879)&gt;0),COUNTIFS($M$5:$M879,'Invoice Builder'!$C$5,$Q$5:$Q879,'Invoice Builder'!$C$6,$N$5:$N879,"&gt;0"),""))</f>
        <v/>
      </c>
      <c r="T879" s="27" t="str">
        <f aca="false">IF($A879="","",IF($A879&gt;=DATE(YEAR($A879),4,6),YEAR($A879)&amp;"/"&amp;RIGHT(YEAR($A879)+1,2),YEAR($A879)-1&amp;"/"&amp;RIGHT(YEAR($A879),2)))</f>
        <v/>
      </c>
    </row>
    <row r="880" customFormat="false" ht="15" hidden="false" customHeight="false" outlineLevel="0" collapsed="false">
      <c r="A880" s="22"/>
      <c r="B880" s="23"/>
      <c r="C880" s="23"/>
      <c r="D880" s="23"/>
      <c r="E880" s="24"/>
      <c r="F880" s="24"/>
      <c r="G880" s="23"/>
      <c r="H880" s="23"/>
      <c r="I880" s="25"/>
      <c r="J880" s="23"/>
      <c r="K880" s="23"/>
      <c r="L880" s="26" t="str">
        <f aca="false">IF(OR($E880="",$F880=""),"",MOD($F880-$E880,1)*24)</f>
        <v/>
      </c>
      <c r="M880" s="27" t="str">
        <f aca="false">IF($B880="","",IFERROR(INDEX(Properties!$D$5:$D$104,MATCH($B880,Properties!$A$5:$A$104,0)),"?"))</f>
        <v/>
      </c>
      <c r="N880" s="28" t="str">
        <f aca="false">IF($B880="","",IFERROR(IF($D880="Completed",INDEX(Properties!$I$5:$I$104,MATCH($B880,Properties!$A$5:$A$104,0))*(1+IF($G880="Y",Settings!$B$8,0))+IF($H880="Y",Settings!$B$7,0)+N($I880),IF($D880="Deep clean",INDEX(Settings!$E$22:$E$26,MATCH(MIN(INDEX(Properties!$E$5:$E$104,MATCH($B880,Properties!$A$5:$A$104,0)),4),Settings!$A$22:$A$26,0))+N($I880),IF($D880="Late cancel",INDEX(Properties!$I$5:$I$104,MATCH($B880,Properties!$A$5:$A$104,0))*Settings!$B$10,0))),0))</f>
        <v/>
      </c>
      <c r="O880" s="28" t="str">
        <f aca="false">IF($B880="","",IFERROR(IF($D880="Completed",INDEX(Properties!$L$5:$L$104,MATCH($B880,Properties!$A$5:$A$104,0))+IF($G880="Y",INDEX(Properties!$I$5:$I$104,MATCH($B880,Properties!$A$5:$A$104,0))*Settings!$B$8*Settings!$B$9,0)+IF($H880="Y",Settings!$B$7*Settings!$B$9,0)+N($I880)*Settings!$B$9,IF($D880="Deep clean",INDEX(Settings!$E$22:$E$26,MATCH(MIN(INDEX(Properties!$E$5:$E$104,MATCH($B880,Properties!$A$5:$A$104,0)),4),Settings!$A$22:$A$26,0))*Settings!$B$19+N($I880)*Settings!$B$9,IF($D880="Late cancel",INDEX(Properties!$L$5:$L$104,MATCH($B880,Properties!$A$5:$A$104,0))*Settings!$B$11,0))),0))</f>
        <v/>
      </c>
      <c r="P880" s="28" t="str">
        <f aca="false">IF($B880="","",$N880-$O880)</f>
        <v/>
      </c>
      <c r="Q880" s="29" t="str">
        <f aca="false">IF($A880="","",DATE(YEAR($A880),MONTH($A880),1))</f>
        <v/>
      </c>
      <c r="R880" s="30" t="str">
        <f aca="false">IF($A880="","",$A880+MOD(6-WEEKDAY($A880),7))</f>
        <v/>
      </c>
      <c r="S880" s="31" t="str">
        <f aca="false">IF($B880="","",IF(AND($M880='Invoice Builder'!$C$5,$Q880='Invoice Builder'!$C$6,N($N880)&gt;0),COUNTIFS($M$5:$M880,'Invoice Builder'!$C$5,$Q$5:$Q880,'Invoice Builder'!$C$6,$N$5:$N880,"&gt;0"),""))</f>
        <v/>
      </c>
      <c r="T880" s="27" t="str">
        <f aca="false">IF($A880="","",IF($A880&gt;=DATE(YEAR($A880),4,6),YEAR($A880)&amp;"/"&amp;RIGHT(YEAR($A880)+1,2),YEAR($A880)-1&amp;"/"&amp;RIGHT(YEAR($A880),2)))</f>
        <v/>
      </c>
    </row>
    <row r="881" customFormat="false" ht="15" hidden="false" customHeight="false" outlineLevel="0" collapsed="false">
      <c r="A881" s="22"/>
      <c r="B881" s="23"/>
      <c r="C881" s="23"/>
      <c r="D881" s="23"/>
      <c r="E881" s="24"/>
      <c r="F881" s="24"/>
      <c r="G881" s="23"/>
      <c r="H881" s="23"/>
      <c r="I881" s="25"/>
      <c r="J881" s="23"/>
      <c r="K881" s="23"/>
      <c r="L881" s="26" t="str">
        <f aca="false">IF(OR($E881="",$F881=""),"",MOD($F881-$E881,1)*24)</f>
        <v/>
      </c>
      <c r="M881" s="27" t="str">
        <f aca="false">IF($B881="","",IFERROR(INDEX(Properties!$D$5:$D$104,MATCH($B881,Properties!$A$5:$A$104,0)),"?"))</f>
        <v/>
      </c>
      <c r="N881" s="28" t="str">
        <f aca="false">IF($B881="","",IFERROR(IF($D881="Completed",INDEX(Properties!$I$5:$I$104,MATCH($B881,Properties!$A$5:$A$104,0))*(1+IF($G881="Y",Settings!$B$8,0))+IF($H881="Y",Settings!$B$7,0)+N($I881),IF($D881="Deep clean",INDEX(Settings!$E$22:$E$26,MATCH(MIN(INDEX(Properties!$E$5:$E$104,MATCH($B881,Properties!$A$5:$A$104,0)),4),Settings!$A$22:$A$26,0))+N($I881),IF($D881="Late cancel",INDEX(Properties!$I$5:$I$104,MATCH($B881,Properties!$A$5:$A$104,0))*Settings!$B$10,0))),0))</f>
        <v/>
      </c>
      <c r="O881" s="28" t="str">
        <f aca="false">IF($B881="","",IFERROR(IF($D881="Completed",INDEX(Properties!$L$5:$L$104,MATCH($B881,Properties!$A$5:$A$104,0))+IF($G881="Y",INDEX(Properties!$I$5:$I$104,MATCH($B881,Properties!$A$5:$A$104,0))*Settings!$B$8*Settings!$B$9,0)+IF($H881="Y",Settings!$B$7*Settings!$B$9,0)+N($I881)*Settings!$B$9,IF($D881="Deep clean",INDEX(Settings!$E$22:$E$26,MATCH(MIN(INDEX(Properties!$E$5:$E$104,MATCH($B881,Properties!$A$5:$A$104,0)),4),Settings!$A$22:$A$26,0))*Settings!$B$19+N($I881)*Settings!$B$9,IF($D881="Late cancel",INDEX(Properties!$L$5:$L$104,MATCH($B881,Properties!$A$5:$A$104,0))*Settings!$B$11,0))),0))</f>
        <v/>
      </c>
      <c r="P881" s="28" t="str">
        <f aca="false">IF($B881="","",$N881-$O881)</f>
        <v/>
      </c>
      <c r="Q881" s="29" t="str">
        <f aca="false">IF($A881="","",DATE(YEAR($A881),MONTH($A881),1))</f>
        <v/>
      </c>
      <c r="R881" s="30" t="str">
        <f aca="false">IF($A881="","",$A881+MOD(6-WEEKDAY($A881),7))</f>
        <v/>
      </c>
      <c r="S881" s="31" t="str">
        <f aca="false">IF($B881="","",IF(AND($M881='Invoice Builder'!$C$5,$Q881='Invoice Builder'!$C$6,N($N881)&gt;0),COUNTIFS($M$5:$M881,'Invoice Builder'!$C$5,$Q$5:$Q881,'Invoice Builder'!$C$6,$N$5:$N881,"&gt;0"),""))</f>
        <v/>
      </c>
      <c r="T881" s="27" t="str">
        <f aca="false">IF($A881="","",IF($A881&gt;=DATE(YEAR($A881),4,6),YEAR($A881)&amp;"/"&amp;RIGHT(YEAR($A881)+1,2),YEAR($A881)-1&amp;"/"&amp;RIGHT(YEAR($A881),2)))</f>
        <v/>
      </c>
    </row>
    <row r="882" customFormat="false" ht="15" hidden="false" customHeight="false" outlineLevel="0" collapsed="false">
      <c r="A882" s="22"/>
      <c r="B882" s="23"/>
      <c r="C882" s="23"/>
      <c r="D882" s="23"/>
      <c r="E882" s="24"/>
      <c r="F882" s="24"/>
      <c r="G882" s="23"/>
      <c r="H882" s="23"/>
      <c r="I882" s="25"/>
      <c r="J882" s="23"/>
      <c r="K882" s="23"/>
      <c r="L882" s="26" t="str">
        <f aca="false">IF(OR($E882="",$F882=""),"",MOD($F882-$E882,1)*24)</f>
        <v/>
      </c>
      <c r="M882" s="27" t="str">
        <f aca="false">IF($B882="","",IFERROR(INDEX(Properties!$D$5:$D$104,MATCH($B882,Properties!$A$5:$A$104,0)),"?"))</f>
        <v/>
      </c>
      <c r="N882" s="28" t="str">
        <f aca="false">IF($B882="","",IFERROR(IF($D882="Completed",INDEX(Properties!$I$5:$I$104,MATCH($B882,Properties!$A$5:$A$104,0))*(1+IF($G882="Y",Settings!$B$8,0))+IF($H882="Y",Settings!$B$7,0)+N($I882),IF($D882="Deep clean",INDEX(Settings!$E$22:$E$26,MATCH(MIN(INDEX(Properties!$E$5:$E$104,MATCH($B882,Properties!$A$5:$A$104,0)),4),Settings!$A$22:$A$26,0))+N($I882),IF($D882="Late cancel",INDEX(Properties!$I$5:$I$104,MATCH($B882,Properties!$A$5:$A$104,0))*Settings!$B$10,0))),0))</f>
        <v/>
      </c>
      <c r="O882" s="28" t="str">
        <f aca="false">IF($B882="","",IFERROR(IF($D882="Completed",INDEX(Properties!$L$5:$L$104,MATCH($B882,Properties!$A$5:$A$104,0))+IF($G882="Y",INDEX(Properties!$I$5:$I$104,MATCH($B882,Properties!$A$5:$A$104,0))*Settings!$B$8*Settings!$B$9,0)+IF($H882="Y",Settings!$B$7*Settings!$B$9,0)+N($I882)*Settings!$B$9,IF($D882="Deep clean",INDEX(Settings!$E$22:$E$26,MATCH(MIN(INDEX(Properties!$E$5:$E$104,MATCH($B882,Properties!$A$5:$A$104,0)),4),Settings!$A$22:$A$26,0))*Settings!$B$19+N($I882)*Settings!$B$9,IF($D882="Late cancel",INDEX(Properties!$L$5:$L$104,MATCH($B882,Properties!$A$5:$A$104,0))*Settings!$B$11,0))),0))</f>
        <v/>
      </c>
      <c r="P882" s="28" t="str">
        <f aca="false">IF($B882="","",$N882-$O882)</f>
        <v/>
      </c>
      <c r="Q882" s="29" t="str">
        <f aca="false">IF($A882="","",DATE(YEAR($A882),MONTH($A882),1))</f>
        <v/>
      </c>
      <c r="R882" s="30" t="str">
        <f aca="false">IF($A882="","",$A882+MOD(6-WEEKDAY($A882),7))</f>
        <v/>
      </c>
      <c r="S882" s="31" t="str">
        <f aca="false">IF($B882="","",IF(AND($M882='Invoice Builder'!$C$5,$Q882='Invoice Builder'!$C$6,N($N882)&gt;0),COUNTIFS($M$5:$M882,'Invoice Builder'!$C$5,$Q$5:$Q882,'Invoice Builder'!$C$6,$N$5:$N882,"&gt;0"),""))</f>
        <v/>
      </c>
      <c r="T882" s="27" t="str">
        <f aca="false">IF($A882="","",IF($A882&gt;=DATE(YEAR($A882),4,6),YEAR($A882)&amp;"/"&amp;RIGHT(YEAR($A882)+1,2),YEAR($A882)-1&amp;"/"&amp;RIGHT(YEAR($A882),2)))</f>
        <v/>
      </c>
    </row>
    <row r="883" customFormat="false" ht="15" hidden="false" customHeight="false" outlineLevel="0" collapsed="false">
      <c r="A883" s="22"/>
      <c r="B883" s="23"/>
      <c r="C883" s="23"/>
      <c r="D883" s="23"/>
      <c r="E883" s="24"/>
      <c r="F883" s="24"/>
      <c r="G883" s="23"/>
      <c r="H883" s="23"/>
      <c r="I883" s="25"/>
      <c r="J883" s="23"/>
      <c r="K883" s="23"/>
      <c r="L883" s="26" t="str">
        <f aca="false">IF(OR($E883="",$F883=""),"",MOD($F883-$E883,1)*24)</f>
        <v/>
      </c>
      <c r="M883" s="27" t="str">
        <f aca="false">IF($B883="","",IFERROR(INDEX(Properties!$D$5:$D$104,MATCH($B883,Properties!$A$5:$A$104,0)),"?"))</f>
        <v/>
      </c>
      <c r="N883" s="28" t="str">
        <f aca="false">IF($B883="","",IFERROR(IF($D883="Completed",INDEX(Properties!$I$5:$I$104,MATCH($B883,Properties!$A$5:$A$104,0))*(1+IF($G883="Y",Settings!$B$8,0))+IF($H883="Y",Settings!$B$7,0)+N($I883),IF($D883="Deep clean",INDEX(Settings!$E$22:$E$26,MATCH(MIN(INDEX(Properties!$E$5:$E$104,MATCH($B883,Properties!$A$5:$A$104,0)),4),Settings!$A$22:$A$26,0))+N($I883),IF($D883="Late cancel",INDEX(Properties!$I$5:$I$104,MATCH($B883,Properties!$A$5:$A$104,0))*Settings!$B$10,0))),0))</f>
        <v/>
      </c>
      <c r="O883" s="28" t="str">
        <f aca="false">IF($B883="","",IFERROR(IF($D883="Completed",INDEX(Properties!$L$5:$L$104,MATCH($B883,Properties!$A$5:$A$104,0))+IF($G883="Y",INDEX(Properties!$I$5:$I$104,MATCH($B883,Properties!$A$5:$A$104,0))*Settings!$B$8*Settings!$B$9,0)+IF($H883="Y",Settings!$B$7*Settings!$B$9,0)+N($I883)*Settings!$B$9,IF($D883="Deep clean",INDEX(Settings!$E$22:$E$26,MATCH(MIN(INDEX(Properties!$E$5:$E$104,MATCH($B883,Properties!$A$5:$A$104,0)),4),Settings!$A$22:$A$26,0))*Settings!$B$19+N($I883)*Settings!$B$9,IF($D883="Late cancel",INDEX(Properties!$L$5:$L$104,MATCH($B883,Properties!$A$5:$A$104,0))*Settings!$B$11,0))),0))</f>
        <v/>
      </c>
      <c r="P883" s="28" t="str">
        <f aca="false">IF($B883="","",$N883-$O883)</f>
        <v/>
      </c>
      <c r="Q883" s="29" t="str">
        <f aca="false">IF($A883="","",DATE(YEAR($A883),MONTH($A883),1))</f>
        <v/>
      </c>
      <c r="R883" s="30" t="str">
        <f aca="false">IF($A883="","",$A883+MOD(6-WEEKDAY($A883),7))</f>
        <v/>
      </c>
      <c r="S883" s="31" t="str">
        <f aca="false">IF($B883="","",IF(AND($M883='Invoice Builder'!$C$5,$Q883='Invoice Builder'!$C$6,N($N883)&gt;0),COUNTIFS($M$5:$M883,'Invoice Builder'!$C$5,$Q$5:$Q883,'Invoice Builder'!$C$6,$N$5:$N883,"&gt;0"),""))</f>
        <v/>
      </c>
      <c r="T883" s="27" t="str">
        <f aca="false">IF($A883="","",IF($A883&gt;=DATE(YEAR($A883),4,6),YEAR($A883)&amp;"/"&amp;RIGHT(YEAR($A883)+1,2),YEAR($A883)-1&amp;"/"&amp;RIGHT(YEAR($A883),2)))</f>
        <v/>
      </c>
    </row>
    <row r="884" customFormat="false" ht="15" hidden="false" customHeight="false" outlineLevel="0" collapsed="false">
      <c r="A884" s="22"/>
      <c r="B884" s="23"/>
      <c r="C884" s="23"/>
      <c r="D884" s="23"/>
      <c r="E884" s="24"/>
      <c r="F884" s="24"/>
      <c r="G884" s="23"/>
      <c r="H884" s="23"/>
      <c r="I884" s="25"/>
      <c r="J884" s="23"/>
      <c r="K884" s="23"/>
      <c r="L884" s="26" t="str">
        <f aca="false">IF(OR($E884="",$F884=""),"",MOD($F884-$E884,1)*24)</f>
        <v/>
      </c>
      <c r="M884" s="27" t="str">
        <f aca="false">IF($B884="","",IFERROR(INDEX(Properties!$D$5:$D$104,MATCH($B884,Properties!$A$5:$A$104,0)),"?"))</f>
        <v/>
      </c>
      <c r="N884" s="28" t="str">
        <f aca="false">IF($B884="","",IFERROR(IF($D884="Completed",INDEX(Properties!$I$5:$I$104,MATCH($B884,Properties!$A$5:$A$104,0))*(1+IF($G884="Y",Settings!$B$8,0))+IF($H884="Y",Settings!$B$7,0)+N($I884),IF($D884="Deep clean",INDEX(Settings!$E$22:$E$26,MATCH(MIN(INDEX(Properties!$E$5:$E$104,MATCH($B884,Properties!$A$5:$A$104,0)),4),Settings!$A$22:$A$26,0))+N($I884),IF($D884="Late cancel",INDEX(Properties!$I$5:$I$104,MATCH($B884,Properties!$A$5:$A$104,0))*Settings!$B$10,0))),0))</f>
        <v/>
      </c>
      <c r="O884" s="28" t="str">
        <f aca="false">IF($B884="","",IFERROR(IF($D884="Completed",INDEX(Properties!$L$5:$L$104,MATCH($B884,Properties!$A$5:$A$104,0))+IF($G884="Y",INDEX(Properties!$I$5:$I$104,MATCH($B884,Properties!$A$5:$A$104,0))*Settings!$B$8*Settings!$B$9,0)+IF($H884="Y",Settings!$B$7*Settings!$B$9,0)+N($I884)*Settings!$B$9,IF($D884="Deep clean",INDEX(Settings!$E$22:$E$26,MATCH(MIN(INDEX(Properties!$E$5:$E$104,MATCH($B884,Properties!$A$5:$A$104,0)),4),Settings!$A$22:$A$26,0))*Settings!$B$19+N($I884)*Settings!$B$9,IF($D884="Late cancel",INDEX(Properties!$L$5:$L$104,MATCH($B884,Properties!$A$5:$A$104,0))*Settings!$B$11,0))),0))</f>
        <v/>
      </c>
      <c r="P884" s="28" t="str">
        <f aca="false">IF($B884="","",$N884-$O884)</f>
        <v/>
      </c>
      <c r="Q884" s="29" t="str">
        <f aca="false">IF($A884="","",DATE(YEAR($A884),MONTH($A884),1))</f>
        <v/>
      </c>
      <c r="R884" s="30" t="str">
        <f aca="false">IF($A884="","",$A884+MOD(6-WEEKDAY($A884),7))</f>
        <v/>
      </c>
      <c r="S884" s="31" t="str">
        <f aca="false">IF($B884="","",IF(AND($M884='Invoice Builder'!$C$5,$Q884='Invoice Builder'!$C$6,N($N884)&gt;0),COUNTIFS($M$5:$M884,'Invoice Builder'!$C$5,$Q$5:$Q884,'Invoice Builder'!$C$6,$N$5:$N884,"&gt;0"),""))</f>
        <v/>
      </c>
      <c r="T884" s="27" t="str">
        <f aca="false">IF($A884="","",IF($A884&gt;=DATE(YEAR($A884),4,6),YEAR($A884)&amp;"/"&amp;RIGHT(YEAR($A884)+1,2),YEAR($A884)-1&amp;"/"&amp;RIGHT(YEAR($A884),2)))</f>
        <v/>
      </c>
    </row>
    <row r="885" customFormat="false" ht="15" hidden="false" customHeight="false" outlineLevel="0" collapsed="false">
      <c r="A885" s="22"/>
      <c r="B885" s="23"/>
      <c r="C885" s="23"/>
      <c r="D885" s="23"/>
      <c r="E885" s="24"/>
      <c r="F885" s="24"/>
      <c r="G885" s="23"/>
      <c r="H885" s="23"/>
      <c r="I885" s="25"/>
      <c r="J885" s="23"/>
      <c r="K885" s="23"/>
      <c r="L885" s="26" t="str">
        <f aca="false">IF(OR($E885="",$F885=""),"",MOD($F885-$E885,1)*24)</f>
        <v/>
      </c>
      <c r="M885" s="27" t="str">
        <f aca="false">IF($B885="","",IFERROR(INDEX(Properties!$D$5:$D$104,MATCH($B885,Properties!$A$5:$A$104,0)),"?"))</f>
        <v/>
      </c>
      <c r="N885" s="28" t="str">
        <f aca="false">IF($B885="","",IFERROR(IF($D885="Completed",INDEX(Properties!$I$5:$I$104,MATCH($B885,Properties!$A$5:$A$104,0))*(1+IF($G885="Y",Settings!$B$8,0))+IF($H885="Y",Settings!$B$7,0)+N($I885),IF($D885="Deep clean",INDEX(Settings!$E$22:$E$26,MATCH(MIN(INDEX(Properties!$E$5:$E$104,MATCH($B885,Properties!$A$5:$A$104,0)),4),Settings!$A$22:$A$26,0))+N($I885),IF($D885="Late cancel",INDEX(Properties!$I$5:$I$104,MATCH($B885,Properties!$A$5:$A$104,0))*Settings!$B$10,0))),0))</f>
        <v/>
      </c>
      <c r="O885" s="28" t="str">
        <f aca="false">IF($B885="","",IFERROR(IF($D885="Completed",INDEX(Properties!$L$5:$L$104,MATCH($B885,Properties!$A$5:$A$104,0))+IF($G885="Y",INDEX(Properties!$I$5:$I$104,MATCH($B885,Properties!$A$5:$A$104,0))*Settings!$B$8*Settings!$B$9,0)+IF($H885="Y",Settings!$B$7*Settings!$B$9,0)+N($I885)*Settings!$B$9,IF($D885="Deep clean",INDEX(Settings!$E$22:$E$26,MATCH(MIN(INDEX(Properties!$E$5:$E$104,MATCH($B885,Properties!$A$5:$A$104,0)),4),Settings!$A$22:$A$26,0))*Settings!$B$19+N($I885)*Settings!$B$9,IF($D885="Late cancel",INDEX(Properties!$L$5:$L$104,MATCH($B885,Properties!$A$5:$A$104,0))*Settings!$B$11,0))),0))</f>
        <v/>
      </c>
      <c r="P885" s="28" t="str">
        <f aca="false">IF($B885="","",$N885-$O885)</f>
        <v/>
      </c>
      <c r="Q885" s="29" t="str">
        <f aca="false">IF($A885="","",DATE(YEAR($A885),MONTH($A885),1))</f>
        <v/>
      </c>
      <c r="R885" s="30" t="str">
        <f aca="false">IF($A885="","",$A885+MOD(6-WEEKDAY($A885),7))</f>
        <v/>
      </c>
      <c r="S885" s="31" t="str">
        <f aca="false">IF($B885="","",IF(AND($M885='Invoice Builder'!$C$5,$Q885='Invoice Builder'!$C$6,N($N885)&gt;0),COUNTIFS($M$5:$M885,'Invoice Builder'!$C$5,$Q$5:$Q885,'Invoice Builder'!$C$6,$N$5:$N885,"&gt;0"),""))</f>
        <v/>
      </c>
      <c r="T885" s="27" t="str">
        <f aca="false">IF($A885="","",IF($A885&gt;=DATE(YEAR($A885),4,6),YEAR($A885)&amp;"/"&amp;RIGHT(YEAR($A885)+1,2),YEAR($A885)-1&amp;"/"&amp;RIGHT(YEAR($A885),2)))</f>
        <v/>
      </c>
    </row>
    <row r="886" customFormat="false" ht="15" hidden="false" customHeight="false" outlineLevel="0" collapsed="false">
      <c r="A886" s="22"/>
      <c r="B886" s="23"/>
      <c r="C886" s="23"/>
      <c r="D886" s="23"/>
      <c r="E886" s="24"/>
      <c r="F886" s="24"/>
      <c r="G886" s="23"/>
      <c r="H886" s="23"/>
      <c r="I886" s="25"/>
      <c r="J886" s="23"/>
      <c r="K886" s="23"/>
      <c r="L886" s="26" t="str">
        <f aca="false">IF(OR($E886="",$F886=""),"",MOD($F886-$E886,1)*24)</f>
        <v/>
      </c>
      <c r="M886" s="27" t="str">
        <f aca="false">IF($B886="","",IFERROR(INDEX(Properties!$D$5:$D$104,MATCH($B886,Properties!$A$5:$A$104,0)),"?"))</f>
        <v/>
      </c>
      <c r="N886" s="28" t="str">
        <f aca="false">IF($B886="","",IFERROR(IF($D886="Completed",INDEX(Properties!$I$5:$I$104,MATCH($B886,Properties!$A$5:$A$104,0))*(1+IF($G886="Y",Settings!$B$8,0))+IF($H886="Y",Settings!$B$7,0)+N($I886),IF($D886="Deep clean",INDEX(Settings!$E$22:$E$26,MATCH(MIN(INDEX(Properties!$E$5:$E$104,MATCH($B886,Properties!$A$5:$A$104,0)),4),Settings!$A$22:$A$26,0))+N($I886),IF($D886="Late cancel",INDEX(Properties!$I$5:$I$104,MATCH($B886,Properties!$A$5:$A$104,0))*Settings!$B$10,0))),0))</f>
        <v/>
      </c>
      <c r="O886" s="28" t="str">
        <f aca="false">IF($B886="","",IFERROR(IF($D886="Completed",INDEX(Properties!$L$5:$L$104,MATCH($B886,Properties!$A$5:$A$104,0))+IF($G886="Y",INDEX(Properties!$I$5:$I$104,MATCH($B886,Properties!$A$5:$A$104,0))*Settings!$B$8*Settings!$B$9,0)+IF($H886="Y",Settings!$B$7*Settings!$B$9,0)+N($I886)*Settings!$B$9,IF($D886="Deep clean",INDEX(Settings!$E$22:$E$26,MATCH(MIN(INDEX(Properties!$E$5:$E$104,MATCH($B886,Properties!$A$5:$A$104,0)),4),Settings!$A$22:$A$26,0))*Settings!$B$19+N($I886)*Settings!$B$9,IF($D886="Late cancel",INDEX(Properties!$L$5:$L$104,MATCH($B886,Properties!$A$5:$A$104,0))*Settings!$B$11,0))),0))</f>
        <v/>
      </c>
      <c r="P886" s="28" t="str">
        <f aca="false">IF($B886="","",$N886-$O886)</f>
        <v/>
      </c>
      <c r="Q886" s="29" t="str">
        <f aca="false">IF($A886="","",DATE(YEAR($A886),MONTH($A886),1))</f>
        <v/>
      </c>
      <c r="R886" s="30" t="str">
        <f aca="false">IF($A886="","",$A886+MOD(6-WEEKDAY($A886),7))</f>
        <v/>
      </c>
      <c r="S886" s="31" t="str">
        <f aca="false">IF($B886="","",IF(AND($M886='Invoice Builder'!$C$5,$Q886='Invoice Builder'!$C$6,N($N886)&gt;0),COUNTIFS($M$5:$M886,'Invoice Builder'!$C$5,$Q$5:$Q886,'Invoice Builder'!$C$6,$N$5:$N886,"&gt;0"),""))</f>
        <v/>
      </c>
      <c r="T886" s="27" t="str">
        <f aca="false">IF($A886="","",IF($A886&gt;=DATE(YEAR($A886),4,6),YEAR($A886)&amp;"/"&amp;RIGHT(YEAR($A886)+1,2),YEAR($A886)-1&amp;"/"&amp;RIGHT(YEAR($A886),2)))</f>
        <v/>
      </c>
    </row>
    <row r="887" customFormat="false" ht="15" hidden="false" customHeight="false" outlineLevel="0" collapsed="false">
      <c r="A887" s="22"/>
      <c r="B887" s="23"/>
      <c r="C887" s="23"/>
      <c r="D887" s="23"/>
      <c r="E887" s="24"/>
      <c r="F887" s="24"/>
      <c r="G887" s="23"/>
      <c r="H887" s="23"/>
      <c r="I887" s="25"/>
      <c r="J887" s="23"/>
      <c r="K887" s="23"/>
      <c r="L887" s="26" t="str">
        <f aca="false">IF(OR($E887="",$F887=""),"",MOD($F887-$E887,1)*24)</f>
        <v/>
      </c>
      <c r="M887" s="27" t="str">
        <f aca="false">IF($B887="","",IFERROR(INDEX(Properties!$D$5:$D$104,MATCH($B887,Properties!$A$5:$A$104,0)),"?"))</f>
        <v/>
      </c>
      <c r="N887" s="28" t="str">
        <f aca="false">IF($B887="","",IFERROR(IF($D887="Completed",INDEX(Properties!$I$5:$I$104,MATCH($B887,Properties!$A$5:$A$104,0))*(1+IF($G887="Y",Settings!$B$8,0))+IF($H887="Y",Settings!$B$7,0)+N($I887),IF($D887="Deep clean",INDEX(Settings!$E$22:$E$26,MATCH(MIN(INDEX(Properties!$E$5:$E$104,MATCH($B887,Properties!$A$5:$A$104,0)),4),Settings!$A$22:$A$26,0))+N($I887),IF($D887="Late cancel",INDEX(Properties!$I$5:$I$104,MATCH($B887,Properties!$A$5:$A$104,0))*Settings!$B$10,0))),0))</f>
        <v/>
      </c>
      <c r="O887" s="28" t="str">
        <f aca="false">IF($B887="","",IFERROR(IF($D887="Completed",INDEX(Properties!$L$5:$L$104,MATCH($B887,Properties!$A$5:$A$104,0))+IF($G887="Y",INDEX(Properties!$I$5:$I$104,MATCH($B887,Properties!$A$5:$A$104,0))*Settings!$B$8*Settings!$B$9,0)+IF($H887="Y",Settings!$B$7*Settings!$B$9,0)+N($I887)*Settings!$B$9,IF($D887="Deep clean",INDEX(Settings!$E$22:$E$26,MATCH(MIN(INDEX(Properties!$E$5:$E$104,MATCH($B887,Properties!$A$5:$A$104,0)),4),Settings!$A$22:$A$26,0))*Settings!$B$19+N($I887)*Settings!$B$9,IF($D887="Late cancel",INDEX(Properties!$L$5:$L$104,MATCH($B887,Properties!$A$5:$A$104,0))*Settings!$B$11,0))),0))</f>
        <v/>
      </c>
      <c r="P887" s="28" t="str">
        <f aca="false">IF($B887="","",$N887-$O887)</f>
        <v/>
      </c>
      <c r="Q887" s="29" t="str">
        <f aca="false">IF($A887="","",DATE(YEAR($A887),MONTH($A887),1))</f>
        <v/>
      </c>
      <c r="R887" s="30" t="str">
        <f aca="false">IF($A887="","",$A887+MOD(6-WEEKDAY($A887),7))</f>
        <v/>
      </c>
      <c r="S887" s="31" t="str">
        <f aca="false">IF($B887="","",IF(AND($M887='Invoice Builder'!$C$5,$Q887='Invoice Builder'!$C$6,N($N887)&gt;0),COUNTIFS($M$5:$M887,'Invoice Builder'!$C$5,$Q$5:$Q887,'Invoice Builder'!$C$6,$N$5:$N887,"&gt;0"),""))</f>
        <v/>
      </c>
      <c r="T887" s="27" t="str">
        <f aca="false">IF($A887="","",IF($A887&gt;=DATE(YEAR($A887),4,6),YEAR($A887)&amp;"/"&amp;RIGHT(YEAR($A887)+1,2),YEAR($A887)-1&amp;"/"&amp;RIGHT(YEAR($A887),2)))</f>
        <v/>
      </c>
    </row>
    <row r="888" customFormat="false" ht="15" hidden="false" customHeight="false" outlineLevel="0" collapsed="false">
      <c r="A888" s="22"/>
      <c r="B888" s="23"/>
      <c r="C888" s="23"/>
      <c r="D888" s="23"/>
      <c r="E888" s="24"/>
      <c r="F888" s="24"/>
      <c r="G888" s="23"/>
      <c r="H888" s="23"/>
      <c r="I888" s="25"/>
      <c r="J888" s="23"/>
      <c r="K888" s="23"/>
      <c r="L888" s="26" t="str">
        <f aca="false">IF(OR($E888="",$F888=""),"",MOD($F888-$E888,1)*24)</f>
        <v/>
      </c>
      <c r="M888" s="27" t="str">
        <f aca="false">IF($B888="","",IFERROR(INDEX(Properties!$D$5:$D$104,MATCH($B888,Properties!$A$5:$A$104,0)),"?"))</f>
        <v/>
      </c>
      <c r="N888" s="28" t="str">
        <f aca="false">IF($B888="","",IFERROR(IF($D888="Completed",INDEX(Properties!$I$5:$I$104,MATCH($B888,Properties!$A$5:$A$104,0))*(1+IF($G888="Y",Settings!$B$8,0))+IF($H888="Y",Settings!$B$7,0)+N($I888),IF($D888="Deep clean",INDEX(Settings!$E$22:$E$26,MATCH(MIN(INDEX(Properties!$E$5:$E$104,MATCH($B888,Properties!$A$5:$A$104,0)),4),Settings!$A$22:$A$26,0))+N($I888),IF($D888="Late cancel",INDEX(Properties!$I$5:$I$104,MATCH($B888,Properties!$A$5:$A$104,0))*Settings!$B$10,0))),0))</f>
        <v/>
      </c>
      <c r="O888" s="28" t="str">
        <f aca="false">IF($B888="","",IFERROR(IF($D888="Completed",INDEX(Properties!$L$5:$L$104,MATCH($B888,Properties!$A$5:$A$104,0))+IF($G888="Y",INDEX(Properties!$I$5:$I$104,MATCH($B888,Properties!$A$5:$A$104,0))*Settings!$B$8*Settings!$B$9,0)+IF($H888="Y",Settings!$B$7*Settings!$B$9,0)+N($I888)*Settings!$B$9,IF($D888="Deep clean",INDEX(Settings!$E$22:$E$26,MATCH(MIN(INDEX(Properties!$E$5:$E$104,MATCH($B888,Properties!$A$5:$A$104,0)),4),Settings!$A$22:$A$26,0))*Settings!$B$19+N($I888)*Settings!$B$9,IF($D888="Late cancel",INDEX(Properties!$L$5:$L$104,MATCH($B888,Properties!$A$5:$A$104,0))*Settings!$B$11,0))),0))</f>
        <v/>
      </c>
      <c r="P888" s="28" t="str">
        <f aca="false">IF($B888="","",$N888-$O888)</f>
        <v/>
      </c>
      <c r="Q888" s="29" t="str">
        <f aca="false">IF($A888="","",DATE(YEAR($A888),MONTH($A888),1))</f>
        <v/>
      </c>
      <c r="R888" s="30" t="str">
        <f aca="false">IF($A888="","",$A888+MOD(6-WEEKDAY($A888),7))</f>
        <v/>
      </c>
      <c r="S888" s="31" t="str">
        <f aca="false">IF($B888="","",IF(AND($M888='Invoice Builder'!$C$5,$Q888='Invoice Builder'!$C$6,N($N888)&gt;0),COUNTIFS($M$5:$M888,'Invoice Builder'!$C$5,$Q$5:$Q888,'Invoice Builder'!$C$6,$N$5:$N888,"&gt;0"),""))</f>
        <v/>
      </c>
      <c r="T888" s="27" t="str">
        <f aca="false">IF($A888="","",IF($A888&gt;=DATE(YEAR($A888),4,6),YEAR($A888)&amp;"/"&amp;RIGHT(YEAR($A888)+1,2),YEAR($A888)-1&amp;"/"&amp;RIGHT(YEAR($A888),2)))</f>
        <v/>
      </c>
    </row>
    <row r="889" customFormat="false" ht="15" hidden="false" customHeight="false" outlineLevel="0" collapsed="false">
      <c r="A889" s="22"/>
      <c r="B889" s="23"/>
      <c r="C889" s="23"/>
      <c r="D889" s="23"/>
      <c r="E889" s="24"/>
      <c r="F889" s="24"/>
      <c r="G889" s="23"/>
      <c r="H889" s="23"/>
      <c r="I889" s="25"/>
      <c r="J889" s="23"/>
      <c r="K889" s="23"/>
      <c r="L889" s="26" t="str">
        <f aca="false">IF(OR($E889="",$F889=""),"",MOD($F889-$E889,1)*24)</f>
        <v/>
      </c>
      <c r="M889" s="27" t="str">
        <f aca="false">IF($B889="","",IFERROR(INDEX(Properties!$D$5:$D$104,MATCH($B889,Properties!$A$5:$A$104,0)),"?"))</f>
        <v/>
      </c>
      <c r="N889" s="28" t="str">
        <f aca="false">IF($B889="","",IFERROR(IF($D889="Completed",INDEX(Properties!$I$5:$I$104,MATCH($B889,Properties!$A$5:$A$104,0))*(1+IF($G889="Y",Settings!$B$8,0))+IF($H889="Y",Settings!$B$7,0)+N($I889),IF($D889="Deep clean",INDEX(Settings!$E$22:$E$26,MATCH(MIN(INDEX(Properties!$E$5:$E$104,MATCH($B889,Properties!$A$5:$A$104,0)),4),Settings!$A$22:$A$26,0))+N($I889),IF($D889="Late cancel",INDEX(Properties!$I$5:$I$104,MATCH($B889,Properties!$A$5:$A$104,0))*Settings!$B$10,0))),0))</f>
        <v/>
      </c>
      <c r="O889" s="28" t="str">
        <f aca="false">IF($B889="","",IFERROR(IF($D889="Completed",INDEX(Properties!$L$5:$L$104,MATCH($B889,Properties!$A$5:$A$104,0))+IF($G889="Y",INDEX(Properties!$I$5:$I$104,MATCH($B889,Properties!$A$5:$A$104,0))*Settings!$B$8*Settings!$B$9,0)+IF($H889="Y",Settings!$B$7*Settings!$B$9,0)+N($I889)*Settings!$B$9,IF($D889="Deep clean",INDEX(Settings!$E$22:$E$26,MATCH(MIN(INDEX(Properties!$E$5:$E$104,MATCH($B889,Properties!$A$5:$A$104,0)),4),Settings!$A$22:$A$26,0))*Settings!$B$19+N($I889)*Settings!$B$9,IF($D889="Late cancel",INDEX(Properties!$L$5:$L$104,MATCH($B889,Properties!$A$5:$A$104,0))*Settings!$B$11,0))),0))</f>
        <v/>
      </c>
      <c r="P889" s="28" t="str">
        <f aca="false">IF($B889="","",$N889-$O889)</f>
        <v/>
      </c>
      <c r="Q889" s="29" t="str">
        <f aca="false">IF($A889="","",DATE(YEAR($A889),MONTH($A889),1))</f>
        <v/>
      </c>
      <c r="R889" s="30" t="str">
        <f aca="false">IF($A889="","",$A889+MOD(6-WEEKDAY($A889),7))</f>
        <v/>
      </c>
      <c r="S889" s="31" t="str">
        <f aca="false">IF($B889="","",IF(AND($M889='Invoice Builder'!$C$5,$Q889='Invoice Builder'!$C$6,N($N889)&gt;0),COUNTIFS($M$5:$M889,'Invoice Builder'!$C$5,$Q$5:$Q889,'Invoice Builder'!$C$6,$N$5:$N889,"&gt;0"),""))</f>
        <v/>
      </c>
      <c r="T889" s="27" t="str">
        <f aca="false">IF($A889="","",IF($A889&gt;=DATE(YEAR($A889),4,6),YEAR($A889)&amp;"/"&amp;RIGHT(YEAR($A889)+1,2),YEAR($A889)-1&amp;"/"&amp;RIGHT(YEAR($A889),2)))</f>
        <v/>
      </c>
    </row>
    <row r="890" customFormat="false" ht="15" hidden="false" customHeight="false" outlineLevel="0" collapsed="false">
      <c r="A890" s="22"/>
      <c r="B890" s="23"/>
      <c r="C890" s="23"/>
      <c r="D890" s="23"/>
      <c r="E890" s="24"/>
      <c r="F890" s="24"/>
      <c r="G890" s="23"/>
      <c r="H890" s="23"/>
      <c r="I890" s="25"/>
      <c r="J890" s="23"/>
      <c r="K890" s="23"/>
      <c r="L890" s="26" t="str">
        <f aca="false">IF(OR($E890="",$F890=""),"",MOD($F890-$E890,1)*24)</f>
        <v/>
      </c>
      <c r="M890" s="27" t="str">
        <f aca="false">IF($B890="","",IFERROR(INDEX(Properties!$D$5:$D$104,MATCH($B890,Properties!$A$5:$A$104,0)),"?"))</f>
        <v/>
      </c>
      <c r="N890" s="28" t="str">
        <f aca="false">IF($B890="","",IFERROR(IF($D890="Completed",INDEX(Properties!$I$5:$I$104,MATCH($B890,Properties!$A$5:$A$104,0))*(1+IF($G890="Y",Settings!$B$8,0))+IF($H890="Y",Settings!$B$7,0)+N($I890),IF($D890="Deep clean",INDEX(Settings!$E$22:$E$26,MATCH(MIN(INDEX(Properties!$E$5:$E$104,MATCH($B890,Properties!$A$5:$A$104,0)),4),Settings!$A$22:$A$26,0))+N($I890),IF($D890="Late cancel",INDEX(Properties!$I$5:$I$104,MATCH($B890,Properties!$A$5:$A$104,0))*Settings!$B$10,0))),0))</f>
        <v/>
      </c>
      <c r="O890" s="28" t="str">
        <f aca="false">IF($B890="","",IFERROR(IF($D890="Completed",INDEX(Properties!$L$5:$L$104,MATCH($B890,Properties!$A$5:$A$104,0))+IF($G890="Y",INDEX(Properties!$I$5:$I$104,MATCH($B890,Properties!$A$5:$A$104,0))*Settings!$B$8*Settings!$B$9,0)+IF($H890="Y",Settings!$B$7*Settings!$B$9,0)+N($I890)*Settings!$B$9,IF($D890="Deep clean",INDEX(Settings!$E$22:$E$26,MATCH(MIN(INDEX(Properties!$E$5:$E$104,MATCH($B890,Properties!$A$5:$A$104,0)),4),Settings!$A$22:$A$26,0))*Settings!$B$19+N($I890)*Settings!$B$9,IF($D890="Late cancel",INDEX(Properties!$L$5:$L$104,MATCH($B890,Properties!$A$5:$A$104,0))*Settings!$B$11,0))),0))</f>
        <v/>
      </c>
      <c r="P890" s="28" t="str">
        <f aca="false">IF($B890="","",$N890-$O890)</f>
        <v/>
      </c>
      <c r="Q890" s="29" t="str">
        <f aca="false">IF($A890="","",DATE(YEAR($A890),MONTH($A890),1))</f>
        <v/>
      </c>
      <c r="R890" s="30" t="str">
        <f aca="false">IF($A890="","",$A890+MOD(6-WEEKDAY($A890),7))</f>
        <v/>
      </c>
      <c r="S890" s="31" t="str">
        <f aca="false">IF($B890="","",IF(AND($M890='Invoice Builder'!$C$5,$Q890='Invoice Builder'!$C$6,N($N890)&gt;0),COUNTIFS($M$5:$M890,'Invoice Builder'!$C$5,$Q$5:$Q890,'Invoice Builder'!$C$6,$N$5:$N890,"&gt;0"),""))</f>
        <v/>
      </c>
      <c r="T890" s="27" t="str">
        <f aca="false">IF($A890="","",IF($A890&gt;=DATE(YEAR($A890),4,6),YEAR($A890)&amp;"/"&amp;RIGHT(YEAR($A890)+1,2),YEAR($A890)-1&amp;"/"&amp;RIGHT(YEAR($A890),2)))</f>
        <v/>
      </c>
    </row>
    <row r="891" customFormat="false" ht="15" hidden="false" customHeight="false" outlineLevel="0" collapsed="false">
      <c r="A891" s="22"/>
      <c r="B891" s="23"/>
      <c r="C891" s="23"/>
      <c r="D891" s="23"/>
      <c r="E891" s="24"/>
      <c r="F891" s="24"/>
      <c r="G891" s="23"/>
      <c r="H891" s="23"/>
      <c r="I891" s="25"/>
      <c r="J891" s="23"/>
      <c r="K891" s="23"/>
      <c r="L891" s="26" t="str">
        <f aca="false">IF(OR($E891="",$F891=""),"",MOD($F891-$E891,1)*24)</f>
        <v/>
      </c>
      <c r="M891" s="27" t="str">
        <f aca="false">IF($B891="","",IFERROR(INDEX(Properties!$D$5:$D$104,MATCH($B891,Properties!$A$5:$A$104,0)),"?"))</f>
        <v/>
      </c>
      <c r="N891" s="28" t="str">
        <f aca="false">IF($B891="","",IFERROR(IF($D891="Completed",INDEX(Properties!$I$5:$I$104,MATCH($B891,Properties!$A$5:$A$104,0))*(1+IF($G891="Y",Settings!$B$8,0))+IF($H891="Y",Settings!$B$7,0)+N($I891),IF($D891="Deep clean",INDEX(Settings!$E$22:$E$26,MATCH(MIN(INDEX(Properties!$E$5:$E$104,MATCH($B891,Properties!$A$5:$A$104,0)),4),Settings!$A$22:$A$26,0))+N($I891),IF($D891="Late cancel",INDEX(Properties!$I$5:$I$104,MATCH($B891,Properties!$A$5:$A$104,0))*Settings!$B$10,0))),0))</f>
        <v/>
      </c>
      <c r="O891" s="28" t="str">
        <f aca="false">IF($B891="","",IFERROR(IF($D891="Completed",INDEX(Properties!$L$5:$L$104,MATCH($B891,Properties!$A$5:$A$104,0))+IF($G891="Y",INDEX(Properties!$I$5:$I$104,MATCH($B891,Properties!$A$5:$A$104,0))*Settings!$B$8*Settings!$B$9,0)+IF($H891="Y",Settings!$B$7*Settings!$B$9,0)+N($I891)*Settings!$B$9,IF($D891="Deep clean",INDEX(Settings!$E$22:$E$26,MATCH(MIN(INDEX(Properties!$E$5:$E$104,MATCH($B891,Properties!$A$5:$A$104,0)),4),Settings!$A$22:$A$26,0))*Settings!$B$19+N($I891)*Settings!$B$9,IF($D891="Late cancel",INDEX(Properties!$L$5:$L$104,MATCH($B891,Properties!$A$5:$A$104,0))*Settings!$B$11,0))),0))</f>
        <v/>
      </c>
      <c r="P891" s="28" t="str">
        <f aca="false">IF($B891="","",$N891-$O891)</f>
        <v/>
      </c>
      <c r="Q891" s="29" t="str">
        <f aca="false">IF($A891="","",DATE(YEAR($A891),MONTH($A891),1))</f>
        <v/>
      </c>
      <c r="R891" s="30" t="str">
        <f aca="false">IF($A891="","",$A891+MOD(6-WEEKDAY($A891),7))</f>
        <v/>
      </c>
      <c r="S891" s="31" t="str">
        <f aca="false">IF($B891="","",IF(AND($M891='Invoice Builder'!$C$5,$Q891='Invoice Builder'!$C$6,N($N891)&gt;0),COUNTIFS($M$5:$M891,'Invoice Builder'!$C$5,$Q$5:$Q891,'Invoice Builder'!$C$6,$N$5:$N891,"&gt;0"),""))</f>
        <v/>
      </c>
      <c r="T891" s="27" t="str">
        <f aca="false">IF($A891="","",IF($A891&gt;=DATE(YEAR($A891),4,6),YEAR($A891)&amp;"/"&amp;RIGHT(YEAR($A891)+1,2),YEAR($A891)-1&amp;"/"&amp;RIGHT(YEAR($A891),2)))</f>
        <v/>
      </c>
    </row>
    <row r="892" customFormat="false" ht="15" hidden="false" customHeight="false" outlineLevel="0" collapsed="false">
      <c r="A892" s="22"/>
      <c r="B892" s="23"/>
      <c r="C892" s="23"/>
      <c r="D892" s="23"/>
      <c r="E892" s="24"/>
      <c r="F892" s="24"/>
      <c r="G892" s="23"/>
      <c r="H892" s="23"/>
      <c r="I892" s="25"/>
      <c r="J892" s="23"/>
      <c r="K892" s="23"/>
      <c r="L892" s="26" t="str">
        <f aca="false">IF(OR($E892="",$F892=""),"",MOD($F892-$E892,1)*24)</f>
        <v/>
      </c>
      <c r="M892" s="27" t="str">
        <f aca="false">IF($B892="","",IFERROR(INDEX(Properties!$D$5:$D$104,MATCH($B892,Properties!$A$5:$A$104,0)),"?"))</f>
        <v/>
      </c>
      <c r="N892" s="28" t="str">
        <f aca="false">IF($B892="","",IFERROR(IF($D892="Completed",INDEX(Properties!$I$5:$I$104,MATCH($B892,Properties!$A$5:$A$104,0))*(1+IF($G892="Y",Settings!$B$8,0))+IF($H892="Y",Settings!$B$7,0)+N($I892),IF($D892="Deep clean",INDEX(Settings!$E$22:$E$26,MATCH(MIN(INDEX(Properties!$E$5:$E$104,MATCH($B892,Properties!$A$5:$A$104,0)),4),Settings!$A$22:$A$26,0))+N($I892),IF($D892="Late cancel",INDEX(Properties!$I$5:$I$104,MATCH($B892,Properties!$A$5:$A$104,0))*Settings!$B$10,0))),0))</f>
        <v/>
      </c>
      <c r="O892" s="28" t="str">
        <f aca="false">IF($B892="","",IFERROR(IF($D892="Completed",INDEX(Properties!$L$5:$L$104,MATCH($B892,Properties!$A$5:$A$104,0))+IF($G892="Y",INDEX(Properties!$I$5:$I$104,MATCH($B892,Properties!$A$5:$A$104,0))*Settings!$B$8*Settings!$B$9,0)+IF($H892="Y",Settings!$B$7*Settings!$B$9,0)+N($I892)*Settings!$B$9,IF($D892="Deep clean",INDEX(Settings!$E$22:$E$26,MATCH(MIN(INDEX(Properties!$E$5:$E$104,MATCH($B892,Properties!$A$5:$A$104,0)),4),Settings!$A$22:$A$26,0))*Settings!$B$19+N($I892)*Settings!$B$9,IF($D892="Late cancel",INDEX(Properties!$L$5:$L$104,MATCH($B892,Properties!$A$5:$A$104,0))*Settings!$B$11,0))),0))</f>
        <v/>
      </c>
      <c r="P892" s="28" t="str">
        <f aca="false">IF($B892="","",$N892-$O892)</f>
        <v/>
      </c>
      <c r="Q892" s="29" t="str">
        <f aca="false">IF($A892="","",DATE(YEAR($A892),MONTH($A892),1))</f>
        <v/>
      </c>
      <c r="R892" s="30" t="str">
        <f aca="false">IF($A892="","",$A892+MOD(6-WEEKDAY($A892),7))</f>
        <v/>
      </c>
      <c r="S892" s="31" t="str">
        <f aca="false">IF($B892="","",IF(AND($M892='Invoice Builder'!$C$5,$Q892='Invoice Builder'!$C$6,N($N892)&gt;0),COUNTIFS($M$5:$M892,'Invoice Builder'!$C$5,$Q$5:$Q892,'Invoice Builder'!$C$6,$N$5:$N892,"&gt;0"),""))</f>
        <v/>
      </c>
      <c r="T892" s="27" t="str">
        <f aca="false">IF($A892="","",IF($A892&gt;=DATE(YEAR($A892),4,6),YEAR($A892)&amp;"/"&amp;RIGHT(YEAR($A892)+1,2),YEAR($A892)-1&amp;"/"&amp;RIGHT(YEAR($A892),2)))</f>
        <v/>
      </c>
    </row>
    <row r="893" customFormat="false" ht="15" hidden="false" customHeight="false" outlineLevel="0" collapsed="false">
      <c r="A893" s="22"/>
      <c r="B893" s="23"/>
      <c r="C893" s="23"/>
      <c r="D893" s="23"/>
      <c r="E893" s="24"/>
      <c r="F893" s="24"/>
      <c r="G893" s="23"/>
      <c r="H893" s="23"/>
      <c r="I893" s="25"/>
      <c r="J893" s="23"/>
      <c r="K893" s="23"/>
      <c r="L893" s="26" t="str">
        <f aca="false">IF(OR($E893="",$F893=""),"",MOD($F893-$E893,1)*24)</f>
        <v/>
      </c>
      <c r="M893" s="27" t="str">
        <f aca="false">IF($B893="","",IFERROR(INDEX(Properties!$D$5:$D$104,MATCH($B893,Properties!$A$5:$A$104,0)),"?"))</f>
        <v/>
      </c>
      <c r="N893" s="28" t="str">
        <f aca="false">IF($B893="","",IFERROR(IF($D893="Completed",INDEX(Properties!$I$5:$I$104,MATCH($B893,Properties!$A$5:$A$104,0))*(1+IF($G893="Y",Settings!$B$8,0))+IF($H893="Y",Settings!$B$7,0)+N($I893),IF($D893="Deep clean",INDEX(Settings!$E$22:$E$26,MATCH(MIN(INDEX(Properties!$E$5:$E$104,MATCH($B893,Properties!$A$5:$A$104,0)),4),Settings!$A$22:$A$26,0))+N($I893),IF($D893="Late cancel",INDEX(Properties!$I$5:$I$104,MATCH($B893,Properties!$A$5:$A$104,0))*Settings!$B$10,0))),0))</f>
        <v/>
      </c>
      <c r="O893" s="28" t="str">
        <f aca="false">IF($B893="","",IFERROR(IF($D893="Completed",INDEX(Properties!$L$5:$L$104,MATCH($B893,Properties!$A$5:$A$104,0))+IF($G893="Y",INDEX(Properties!$I$5:$I$104,MATCH($B893,Properties!$A$5:$A$104,0))*Settings!$B$8*Settings!$B$9,0)+IF($H893="Y",Settings!$B$7*Settings!$B$9,0)+N($I893)*Settings!$B$9,IF($D893="Deep clean",INDEX(Settings!$E$22:$E$26,MATCH(MIN(INDEX(Properties!$E$5:$E$104,MATCH($B893,Properties!$A$5:$A$104,0)),4),Settings!$A$22:$A$26,0))*Settings!$B$19+N($I893)*Settings!$B$9,IF($D893="Late cancel",INDEX(Properties!$L$5:$L$104,MATCH($B893,Properties!$A$5:$A$104,0))*Settings!$B$11,0))),0))</f>
        <v/>
      </c>
      <c r="P893" s="28" t="str">
        <f aca="false">IF($B893="","",$N893-$O893)</f>
        <v/>
      </c>
      <c r="Q893" s="29" t="str">
        <f aca="false">IF($A893="","",DATE(YEAR($A893),MONTH($A893),1))</f>
        <v/>
      </c>
      <c r="R893" s="30" t="str">
        <f aca="false">IF($A893="","",$A893+MOD(6-WEEKDAY($A893),7))</f>
        <v/>
      </c>
      <c r="S893" s="31" t="str">
        <f aca="false">IF($B893="","",IF(AND($M893='Invoice Builder'!$C$5,$Q893='Invoice Builder'!$C$6,N($N893)&gt;0),COUNTIFS($M$5:$M893,'Invoice Builder'!$C$5,$Q$5:$Q893,'Invoice Builder'!$C$6,$N$5:$N893,"&gt;0"),""))</f>
        <v/>
      </c>
      <c r="T893" s="27" t="str">
        <f aca="false">IF($A893="","",IF($A893&gt;=DATE(YEAR($A893),4,6),YEAR($A893)&amp;"/"&amp;RIGHT(YEAR($A893)+1,2),YEAR($A893)-1&amp;"/"&amp;RIGHT(YEAR($A893),2)))</f>
        <v/>
      </c>
    </row>
    <row r="894" customFormat="false" ht="15" hidden="false" customHeight="false" outlineLevel="0" collapsed="false">
      <c r="A894" s="22"/>
      <c r="B894" s="23"/>
      <c r="C894" s="23"/>
      <c r="D894" s="23"/>
      <c r="E894" s="24"/>
      <c r="F894" s="24"/>
      <c r="G894" s="23"/>
      <c r="H894" s="23"/>
      <c r="I894" s="25"/>
      <c r="J894" s="23"/>
      <c r="K894" s="23"/>
      <c r="L894" s="26" t="str">
        <f aca="false">IF(OR($E894="",$F894=""),"",MOD($F894-$E894,1)*24)</f>
        <v/>
      </c>
      <c r="M894" s="27" t="str">
        <f aca="false">IF($B894="","",IFERROR(INDEX(Properties!$D$5:$D$104,MATCH($B894,Properties!$A$5:$A$104,0)),"?"))</f>
        <v/>
      </c>
      <c r="N894" s="28" t="str">
        <f aca="false">IF($B894="","",IFERROR(IF($D894="Completed",INDEX(Properties!$I$5:$I$104,MATCH($B894,Properties!$A$5:$A$104,0))*(1+IF($G894="Y",Settings!$B$8,0))+IF($H894="Y",Settings!$B$7,0)+N($I894),IF($D894="Deep clean",INDEX(Settings!$E$22:$E$26,MATCH(MIN(INDEX(Properties!$E$5:$E$104,MATCH($B894,Properties!$A$5:$A$104,0)),4),Settings!$A$22:$A$26,0))+N($I894),IF($D894="Late cancel",INDEX(Properties!$I$5:$I$104,MATCH($B894,Properties!$A$5:$A$104,0))*Settings!$B$10,0))),0))</f>
        <v/>
      </c>
      <c r="O894" s="28" t="str">
        <f aca="false">IF($B894="","",IFERROR(IF($D894="Completed",INDEX(Properties!$L$5:$L$104,MATCH($B894,Properties!$A$5:$A$104,0))+IF($G894="Y",INDEX(Properties!$I$5:$I$104,MATCH($B894,Properties!$A$5:$A$104,0))*Settings!$B$8*Settings!$B$9,0)+IF($H894="Y",Settings!$B$7*Settings!$B$9,0)+N($I894)*Settings!$B$9,IF($D894="Deep clean",INDEX(Settings!$E$22:$E$26,MATCH(MIN(INDEX(Properties!$E$5:$E$104,MATCH($B894,Properties!$A$5:$A$104,0)),4),Settings!$A$22:$A$26,0))*Settings!$B$19+N($I894)*Settings!$B$9,IF($D894="Late cancel",INDEX(Properties!$L$5:$L$104,MATCH($B894,Properties!$A$5:$A$104,0))*Settings!$B$11,0))),0))</f>
        <v/>
      </c>
      <c r="P894" s="28" t="str">
        <f aca="false">IF($B894="","",$N894-$O894)</f>
        <v/>
      </c>
      <c r="Q894" s="29" t="str">
        <f aca="false">IF($A894="","",DATE(YEAR($A894),MONTH($A894),1))</f>
        <v/>
      </c>
      <c r="R894" s="30" t="str">
        <f aca="false">IF($A894="","",$A894+MOD(6-WEEKDAY($A894),7))</f>
        <v/>
      </c>
      <c r="S894" s="31" t="str">
        <f aca="false">IF($B894="","",IF(AND($M894='Invoice Builder'!$C$5,$Q894='Invoice Builder'!$C$6,N($N894)&gt;0),COUNTIFS($M$5:$M894,'Invoice Builder'!$C$5,$Q$5:$Q894,'Invoice Builder'!$C$6,$N$5:$N894,"&gt;0"),""))</f>
        <v/>
      </c>
      <c r="T894" s="27" t="str">
        <f aca="false">IF($A894="","",IF($A894&gt;=DATE(YEAR($A894),4,6),YEAR($A894)&amp;"/"&amp;RIGHT(YEAR($A894)+1,2),YEAR($A894)-1&amp;"/"&amp;RIGHT(YEAR($A894),2)))</f>
        <v/>
      </c>
    </row>
    <row r="895" customFormat="false" ht="15" hidden="false" customHeight="false" outlineLevel="0" collapsed="false">
      <c r="A895" s="22"/>
      <c r="B895" s="23"/>
      <c r="C895" s="23"/>
      <c r="D895" s="23"/>
      <c r="E895" s="24"/>
      <c r="F895" s="24"/>
      <c r="G895" s="23"/>
      <c r="H895" s="23"/>
      <c r="I895" s="25"/>
      <c r="J895" s="23"/>
      <c r="K895" s="23"/>
      <c r="L895" s="26" t="str">
        <f aca="false">IF(OR($E895="",$F895=""),"",MOD($F895-$E895,1)*24)</f>
        <v/>
      </c>
      <c r="M895" s="27" t="str">
        <f aca="false">IF($B895="","",IFERROR(INDEX(Properties!$D$5:$D$104,MATCH($B895,Properties!$A$5:$A$104,0)),"?"))</f>
        <v/>
      </c>
      <c r="N895" s="28" t="str">
        <f aca="false">IF($B895="","",IFERROR(IF($D895="Completed",INDEX(Properties!$I$5:$I$104,MATCH($B895,Properties!$A$5:$A$104,0))*(1+IF($G895="Y",Settings!$B$8,0))+IF($H895="Y",Settings!$B$7,0)+N($I895),IF($D895="Deep clean",INDEX(Settings!$E$22:$E$26,MATCH(MIN(INDEX(Properties!$E$5:$E$104,MATCH($B895,Properties!$A$5:$A$104,0)),4),Settings!$A$22:$A$26,0))+N($I895),IF($D895="Late cancel",INDEX(Properties!$I$5:$I$104,MATCH($B895,Properties!$A$5:$A$104,0))*Settings!$B$10,0))),0))</f>
        <v/>
      </c>
      <c r="O895" s="28" t="str">
        <f aca="false">IF($B895="","",IFERROR(IF($D895="Completed",INDEX(Properties!$L$5:$L$104,MATCH($B895,Properties!$A$5:$A$104,0))+IF($G895="Y",INDEX(Properties!$I$5:$I$104,MATCH($B895,Properties!$A$5:$A$104,0))*Settings!$B$8*Settings!$B$9,0)+IF($H895="Y",Settings!$B$7*Settings!$B$9,0)+N($I895)*Settings!$B$9,IF($D895="Deep clean",INDEX(Settings!$E$22:$E$26,MATCH(MIN(INDEX(Properties!$E$5:$E$104,MATCH($B895,Properties!$A$5:$A$104,0)),4),Settings!$A$22:$A$26,0))*Settings!$B$19+N($I895)*Settings!$B$9,IF($D895="Late cancel",INDEX(Properties!$L$5:$L$104,MATCH($B895,Properties!$A$5:$A$104,0))*Settings!$B$11,0))),0))</f>
        <v/>
      </c>
      <c r="P895" s="28" t="str">
        <f aca="false">IF($B895="","",$N895-$O895)</f>
        <v/>
      </c>
      <c r="Q895" s="29" t="str">
        <f aca="false">IF($A895="","",DATE(YEAR($A895),MONTH($A895),1))</f>
        <v/>
      </c>
      <c r="R895" s="30" t="str">
        <f aca="false">IF($A895="","",$A895+MOD(6-WEEKDAY($A895),7))</f>
        <v/>
      </c>
      <c r="S895" s="31" t="str">
        <f aca="false">IF($B895="","",IF(AND($M895='Invoice Builder'!$C$5,$Q895='Invoice Builder'!$C$6,N($N895)&gt;0),COUNTIFS($M$5:$M895,'Invoice Builder'!$C$5,$Q$5:$Q895,'Invoice Builder'!$C$6,$N$5:$N895,"&gt;0"),""))</f>
        <v/>
      </c>
      <c r="T895" s="27" t="str">
        <f aca="false">IF($A895="","",IF($A895&gt;=DATE(YEAR($A895),4,6),YEAR($A895)&amp;"/"&amp;RIGHT(YEAR($A895)+1,2),YEAR($A895)-1&amp;"/"&amp;RIGHT(YEAR($A895),2)))</f>
        <v/>
      </c>
    </row>
    <row r="896" customFormat="false" ht="15" hidden="false" customHeight="false" outlineLevel="0" collapsed="false">
      <c r="A896" s="22"/>
      <c r="B896" s="23"/>
      <c r="C896" s="23"/>
      <c r="D896" s="23"/>
      <c r="E896" s="24"/>
      <c r="F896" s="24"/>
      <c r="G896" s="23"/>
      <c r="H896" s="23"/>
      <c r="I896" s="25"/>
      <c r="J896" s="23"/>
      <c r="K896" s="23"/>
      <c r="L896" s="26" t="str">
        <f aca="false">IF(OR($E896="",$F896=""),"",MOD($F896-$E896,1)*24)</f>
        <v/>
      </c>
      <c r="M896" s="27" t="str">
        <f aca="false">IF($B896="","",IFERROR(INDEX(Properties!$D$5:$D$104,MATCH($B896,Properties!$A$5:$A$104,0)),"?"))</f>
        <v/>
      </c>
      <c r="N896" s="28" t="str">
        <f aca="false">IF($B896="","",IFERROR(IF($D896="Completed",INDEX(Properties!$I$5:$I$104,MATCH($B896,Properties!$A$5:$A$104,0))*(1+IF($G896="Y",Settings!$B$8,0))+IF($H896="Y",Settings!$B$7,0)+N($I896),IF($D896="Deep clean",INDEX(Settings!$E$22:$E$26,MATCH(MIN(INDEX(Properties!$E$5:$E$104,MATCH($B896,Properties!$A$5:$A$104,0)),4),Settings!$A$22:$A$26,0))+N($I896),IF($D896="Late cancel",INDEX(Properties!$I$5:$I$104,MATCH($B896,Properties!$A$5:$A$104,0))*Settings!$B$10,0))),0))</f>
        <v/>
      </c>
      <c r="O896" s="28" t="str">
        <f aca="false">IF($B896="","",IFERROR(IF($D896="Completed",INDEX(Properties!$L$5:$L$104,MATCH($B896,Properties!$A$5:$A$104,0))+IF($G896="Y",INDEX(Properties!$I$5:$I$104,MATCH($B896,Properties!$A$5:$A$104,0))*Settings!$B$8*Settings!$B$9,0)+IF($H896="Y",Settings!$B$7*Settings!$B$9,0)+N($I896)*Settings!$B$9,IF($D896="Deep clean",INDEX(Settings!$E$22:$E$26,MATCH(MIN(INDEX(Properties!$E$5:$E$104,MATCH($B896,Properties!$A$5:$A$104,0)),4),Settings!$A$22:$A$26,0))*Settings!$B$19+N($I896)*Settings!$B$9,IF($D896="Late cancel",INDEX(Properties!$L$5:$L$104,MATCH($B896,Properties!$A$5:$A$104,0))*Settings!$B$11,0))),0))</f>
        <v/>
      </c>
      <c r="P896" s="28" t="str">
        <f aca="false">IF($B896="","",$N896-$O896)</f>
        <v/>
      </c>
      <c r="Q896" s="29" t="str">
        <f aca="false">IF($A896="","",DATE(YEAR($A896),MONTH($A896),1))</f>
        <v/>
      </c>
      <c r="R896" s="30" t="str">
        <f aca="false">IF($A896="","",$A896+MOD(6-WEEKDAY($A896),7))</f>
        <v/>
      </c>
      <c r="S896" s="31" t="str">
        <f aca="false">IF($B896="","",IF(AND($M896='Invoice Builder'!$C$5,$Q896='Invoice Builder'!$C$6,N($N896)&gt;0),COUNTIFS($M$5:$M896,'Invoice Builder'!$C$5,$Q$5:$Q896,'Invoice Builder'!$C$6,$N$5:$N896,"&gt;0"),""))</f>
        <v/>
      </c>
      <c r="T896" s="27" t="str">
        <f aca="false">IF($A896="","",IF($A896&gt;=DATE(YEAR($A896),4,6),YEAR($A896)&amp;"/"&amp;RIGHT(YEAR($A896)+1,2),YEAR($A896)-1&amp;"/"&amp;RIGHT(YEAR($A896),2)))</f>
        <v/>
      </c>
    </row>
    <row r="897" customFormat="false" ht="15" hidden="false" customHeight="false" outlineLevel="0" collapsed="false">
      <c r="A897" s="22"/>
      <c r="B897" s="23"/>
      <c r="C897" s="23"/>
      <c r="D897" s="23"/>
      <c r="E897" s="24"/>
      <c r="F897" s="24"/>
      <c r="G897" s="23"/>
      <c r="H897" s="23"/>
      <c r="I897" s="25"/>
      <c r="J897" s="23"/>
      <c r="K897" s="23"/>
      <c r="L897" s="26" t="str">
        <f aca="false">IF(OR($E897="",$F897=""),"",MOD($F897-$E897,1)*24)</f>
        <v/>
      </c>
      <c r="M897" s="27" t="str">
        <f aca="false">IF($B897="","",IFERROR(INDEX(Properties!$D$5:$D$104,MATCH($B897,Properties!$A$5:$A$104,0)),"?"))</f>
        <v/>
      </c>
      <c r="N897" s="28" t="str">
        <f aca="false">IF($B897="","",IFERROR(IF($D897="Completed",INDEX(Properties!$I$5:$I$104,MATCH($B897,Properties!$A$5:$A$104,0))*(1+IF($G897="Y",Settings!$B$8,0))+IF($H897="Y",Settings!$B$7,0)+N($I897),IF($D897="Deep clean",INDEX(Settings!$E$22:$E$26,MATCH(MIN(INDEX(Properties!$E$5:$E$104,MATCH($B897,Properties!$A$5:$A$104,0)),4),Settings!$A$22:$A$26,0))+N($I897),IF($D897="Late cancel",INDEX(Properties!$I$5:$I$104,MATCH($B897,Properties!$A$5:$A$104,0))*Settings!$B$10,0))),0))</f>
        <v/>
      </c>
      <c r="O897" s="28" t="str">
        <f aca="false">IF($B897="","",IFERROR(IF($D897="Completed",INDEX(Properties!$L$5:$L$104,MATCH($B897,Properties!$A$5:$A$104,0))+IF($G897="Y",INDEX(Properties!$I$5:$I$104,MATCH($B897,Properties!$A$5:$A$104,0))*Settings!$B$8*Settings!$B$9,0)+IF($H897="Y",Settings!$B$7*Settings!$B$9,0)+N($I897)*Settings!$B$9,IF($D897="Deep clean",INDEX(Settings!$E$22:$E$26,MATCH(MIN(INDEX(Properties!$E$5:$E$104,MATCH($B897,Properties!$A$5:$A$104,0)),4),Settings!$A$22:$A$26,0))*Settings!$B$19+N($I897)*Settings!$B$9,IF($D897="Late cancel",INDEX(Properties!$L$5:$L$104,MATCH($B897,Properties!$A$5:$A$104,0))*Settings!$B$11,0))),0))</f>
        <v/>
      </c>
      <c r="P897" s="28" t="str">
        <f aca="false">IF($B897="","",$N897-$O897)</f>
        <v/>
      </c>
      <c r="Q897" s="29" t="str">
        <f aca="false">IF($A897="","",DATE(YEAR($A897),MONTH($A897),1))</f>
        <v/>
      </c>
      <c r="R897" s="30" t="str">
        <f aca="false">IF($A897="","",$A897+MOD(6-WEEKDAY($A897),7))</f>
        <v/>
      </c>
      <c r="S897" s="31" t="str">
        <f aca="false">IF($B897="","",IF(AND($M897='Invoice Builder'!$C$5,$Q897='Invoice Builder'!$C$6,N($N897)&gt;0),COUNTIFS($M$5:$M897,'Invoice Builder'!$C$5,$Q$5:$Q897,'Invoice Builder'!$C$6,$N$5:$N897,"&gt;0"),""))</f>
        <v/>
      </c>
      <c r="T897" s="27" t="str">
        <f aca="false">IF($A897="","",IF($A897&gt;=DATE(YEAR($A897),4,6),YEAR($A897)&amp;"/"&amp;RIGHT(YEAR($A897)+1,2),YEAR($A897)-1&amp;"/"&amp;RIGHT(YEAR($A897),2)))</f>
        <v/>
      </c>
    </row>
    <row r="898" customFormat="false" ht="15" hidden="false" customHeight="false" outlineLevel="0" collapsed="false">
      <c r="A898" s="22"/>
      <c r="B898" s="23"/>
      <c r="C898" s="23"/>
      <c r="D898" s="23"/>
      <c r="E898" s="24"/>
      <c r="F898" s="24"/>
      <c r="G898" s="23"/>
      <c r="H898" s="23"/>
      <c r="I898" s="25"/>
      <c r="J898" s="23"/>
      <c r="K898" s="23"/>
      <c r="L898" s="26" t="str">
        <f aca="false">IF(OR($E898="",$F898=""),"",MOD($F898-$E898,1)*24)</f>
        <v/>
      </c>
      <c r="M898" s="27" t="str">
        <f aca="false">IF($B898="","",IFERROR(INDEX(Properties!$D$5:$D$104,MATCH($B898,Properties!$A$5:$A$104,0)),"?"))</f>
        <v/>
      </c>
      <c r="N898" s="28" t="str">
        <f aca="false">IF($B898="","",IFERROR(IF($D898="Completed",INDEX(Properties!$I$5:$I$104,MATCH($B898,Properties!$A$5:$A$104,0))*(1+IF($G898="Y",Settings!$B$8,0))+IF($H898="Y",Settings!$B$7,0)+N($I898),IF($D898="Deep clean",INDEX(Settings!$E$22:$E$26,MATCH(MIN(INDEX(Properties!$E$5:$E$104,MATCH($B898,Properties!$A$5:$A$104,0)),4),Settings!$A$22:$A$26,0))+N($I898),IF($D898="Late cancel",INDEX(Properties!$I$5:$I$104,MATCH($B898,Properties!$A$5:$A$104,0))*Settings!$B$10,0))),0))</f>
        <v/>
      </c>
      <c r="O898" s="28" t="str">
        <f aca="false">IF($B898="","",IFERROR(IF($D898="Completed",INDEX(Properties!$L$5:$L$104,MATCH($B898,Properties!$A$5:$A$104,0))+IF($G898="Y",INDEX(Properties!$I$5:$I$104,MATCH($B898,Properties!$A$5:$A$104,0))*Settings!$B$8*Settings!$B$9,0)+IF($H898="Y",Settings!$B$7*Settings!$B$9,0)+N($I898)*Settings!$B$9,IF($D898="Deep clean",INDEX(Settings!$E$22:$E$26,MATCH(MIN(INDEX(Properties!$E$5:$E$104,MATCH($B898,Properties!$A$5:$A$104,0)),4),Settings!$A$22:$A$26,0))*Settings!$B$19+N($I898)*Settings!$B$9,IF($D898="Late cancel",INDEX(Properties!$L$5:$L$104,MATCH($B898,Properties!$A$5:$A$104,0))*Settings!$B$11,0))),0))</f>
        <v/>
      </c>
      <c r="P898" s="28" t="str">
        <f aca="false">IF($B898="","",$N898-$O898)</f>
        <v/>
      </c>
      <c r="Q898" s="29" t="str">
        <f aca="false">IF($A898="","",DATE(YEAR($A898),MONTH($A898),1))</f>
        <v/>
      </c>
      <c r="R898" s="30" t="str">
        <f aca="false">IF($A898="","",$A898+MOD(6-WEEKDAY($A898),7))</f>
        <v/>
      </c>
      <c r="S898" s="31" t="str">
        <f aca="false">IF($B898="","",IF(AND($M898='Invoice Builder'!$C$5,$Q898='Invoice Builder'!$C$6,N($N898)&gt;0),COUNTIFS($M$5:$M898,'Invoice Builder'!$C$5,$Q$5:$Q898,'Invoice Builder'!$C$6,$N$5:$N898,"&gt;0"),""))</f>
        <v/>
      </c>
      <c r="T898" s="27" t="str">
        <f aca="false">IF($A898="","",IF($A898&gt;=DATE(YEAR($A898),4,6),YEAR($A898)&amp;"/"&amp;RIGHT(YEAR($A898)+1,2),YEAR($A898)-1&amp;"/"&amp;RIGHT(YEAR($A898),2)))</f>
        <v/>
      </c>
    </row>
    <row r="899" customFormat="false" ht="15" hidden="false" customHeight="false" outlineLevel="0" collapsed="false">
      <c r="A899" s="22"/>
      <c r="B899" s="23"/>
      <c r="C899" s="23"/>
      <c r="D899" s="23"/>
      <c r="E899" s="24"/>
      <c r="F899" s="24"/>
      <c r="G899" s="23"/>
      <c r="H899" s="23"/>
      <c r="I899" s="25"/>
      <c r="J899" s="23"/>
      <c r="K899" s="23"/>
      <c r="L899" s="26" t="str">
        <f aca="false">IF(OR($E899="",$F899=""),"",MOD($F899-$E899,1)*24)</f>
        <v/>
      </c>
      <c r="M899" s="27" t="str">
        <f aca="false">IF($B899="","",IFERROR(INDEX(Properties!$D$5:$D$104,MATCH($B899,Properties!$A$5:$A$104,0)),"?"))</f>
        <v/>
      </c>
      <c r="N899" s="28" t="str">
        <f aca="false">IF($B899="","",IFERROR(IF($D899="Completed",INDEX(Properties!$I$5:$I$104,MATCH($B899,Properties!$A$5:$A$104,0))*(1+IF($G899="Y",Settings!$B$8,0))+IF($H899="Y",Settings!$B$7,0)+N($I899),IF($D899="Deep clean",INDEX(Settings!$E$22:$E$26,MATCH(MIN(INDEX(Properties!$E$5:$E$104,MATCH($B899,Properties!$A$5:$A$104,0)),4),Settings!$A$22:$A$26,0))+N($I899),IF($D899="Late cancel",INDEX(Properties!$I$5:$I$104,MATCH($B899,Properties!$A$5:$A$104,0))*Settings!$B$10,0))),0))</f>
        <v/>
      </c>
      <c r="O899" s="28" t="str">
        <f aca="false">IF($B899="","",IFERROR(IF($D899="Completed",INDEX(Properties!$L$5:$L$104,MATCH($B899,Properties!$A$5:$A$104,0))+IF($G899="Y",INDEX(Properties!$I$5:$I$104,MATCH($B899,Properties!$A$5:$A$104,0))*Settings!$B$8*Settings!$B$9,0)+IF($H899="Y",Settings!$B$7*Settings!$B$9,0)+N($I899)*Settings!$B$9,IF($D899="Deep clean",INDEX(Settings!$E$22:$E$26,MATCH(MIN(INDEX(Properties!$E$5:$E$104,MATCH($B899,Properties!$A$5:$A$104,0)),4),Settings!$A$22:$A$26,0))*Settings!$B$19+N($I899)*Settings!$B$9,IF($D899="Late cancel",INDEX(Properties!$L$5:$L$104,MATCH($B899,Properties!$A$5:$A$104,0))*Settings!$B$11,0))),0))</f>
        <v/>
      </c>
      <c r="P899" s="28" t="str">
        <f aca="false">IF($B899="","",$N899-$O899)</f>
        <v/>
      </c>
      <c r="Q899" s="29" t="str">
        <f aca="false">IF($A899="","",DATE(YEAR($A899),MONTH($A899),1))</f>
        <v/>
      </c>
      <c r="R899" s="30" t="str">
        <f aca="false">IF($A899="","",$A899+MOD(6-WEEKDAY($A899),7))</f>
        <v/>
      </c>
      <c r="S899" s="31" t="str">
        <f aca="false">IF($B899="","",IF(AND($M899='Invoice Builder'!$C$5,$Q899='Invoice Builder'!$C$6,N($N899)&gt;0),COUNTIFS($M$5:$M899,'Invoice Builder'!$C$5,$Q$5:$Q899,'Invoice Builder'!$C$6,$N$5:$N899,"&gt;0"),""))</f>
        <v/>
      </c>
      <c r="T899" s="27" t="str">
        <f aca="false">IF($A899="","",IF($A899&gt;=DATE(YEAR($A899),4,6),YEAR($A899)&amp;"/"&amp;RIGHT(YEAR($A899)+1,2),YEAR($A899)-1&amp;"/"&amp;RIGHT(YEAR($A899),2)))</f>
        <v/>
      </c>
    </row>
    <row r="900" customFormat="false" ht="15" hidden="false" customHeight="false" outlineLevel="0" collapsed="false">
      <c r="A900" s="22"/>
      <c r="B900" s="23"/>
      <c r="C900" s="23"/>
      <c r="D900" s="23"/>
      <c r="E900" s="24"/>
      <c r="F900" s="24"/>
      <c r="G900" s="23"/>
      <c r="H900" s="23"/>
      <c r="I900" s="25"/>
      <c r="J900" s="23"/>
      <c r="K900" s="23"/>
      <c r="L900" s="26" t="str">
        <f aca="false">IF(OR($E900="",$F900=""),"",MOD($F900-$E900,1)*24)</f>
        <v/>
      </c>
      <c r="M900" s="27" t="str">
        <f aca="false">IF($B900="","",IFERROR(INDEX(Properties!$D$5:$D$104,MATCH($B900,Properties!$A$5:$A$104,0)),"?"))</f>
        <v/>
      </c>
      <c r="N900" s="28" t="str">
        <f aca="false">IF($B900="","",IFERROR(IF($D900="Completed",INDEX(Properties!$I$5:$I$104,MATCH($B900,Properties!$A$5:$A$104,0))*(1+IF($G900="Y",Settings!$B$8,0))+IF($H900="Y",Settings!$B$7,0)+N($I900),IF($D900="Deep clean",INDEX(Settings!$E$22:$E$26,MATCH(MIN(INDEX(Properties!$E$5:$E$104,MATCH($B900,Properties!$A$5:$A$104,0)),4),Settings!$A$22:$A$26,0))+N($I900),IF($D900="Late cancel",INDEX(Properties!$I$5:$I$104,MATCH($B900,Properties!$A$5:$A$104,0))*Settings!$B$10,0))),0))</f>
        <v/>
      </c>
      <c r="O900" s="28" t="str">
        <f aca="false">IF($B900="","",IFERROR(IF($D900="Completed",INDEX(Properties!$L$5:$L$104,MATCH($B900,Properties!$A$5:$A$104,0))+IF($G900="Y",INDEX(Properties!$I$5:$I$104,MATCH($B900,Properties!$A$5:$A$104,0))*Settings!$B$8*Settings!$B$9,0)+IF($H900="Y",Settings!$B$7*Settings!$B$9,0)+N($I900)*Settings!$B$9,IF($D900="Deep clean",INDEX(Settings!$E$22:$E$26,MATCH(MIN(INDEX(Properties!$E$5:$E$104,MATCH($B900,Properties!$A$5:$A$104,0)),4),Settings!$A$22:$A$26,0))*Settings!$B$19+N($I900)*Settings!$B$9,IF($D900="Late cancel",INDEX(Properties!$L$5:$L$104,MATCH($B900,Properties!$A$5:$A$104,0))*Settings!$B$11,0))),0))</f>
        <v/>
      </c>
      <c r="P900" s="28" t="str">
        <f aca="false">IF($B900="","",$N900-$O900)</f>
        <v/>
      </c>
      <c r="Q900" s="29" t="str">
        <f aca="false">IF($A900="","",DATE(YEAR($A900),MONTH($A900),1))</f>
        <v/>
      </c>
      <c r="R900" s="30" t="str">
        <f aca="false">IF($A900="","",$A900+MOD(6-WEEKDAY($A900),7))</f>
        <v/>
      </c>
      <c r="S900" s="31" t="str">
        <f aca="false">IF($B900="","",IF(AND($M900='Invoice Builder'!$C$5,$Q900='Invoice Builder'!$C$6,N($N900)&gt;0),COUNTIFS($M$5:$M900,'Invoice Builder'!$C$5,$Q$5:$Q900,'Invoice Builder'!$C$6,$N$5:$N900,"&gt;0"),""))</f>
        <v/>
      </c>
      <c r="T900" s="27" t="str">
        <f aca="false">IF($A900="","",IF($A900&gt;=DATE(YEAR($A900),4,6),YEAR($A900)&amp;"/"&amp;RIGHT(YEAR($A900)+1,2),YEAR($A900)-1&amp;"/"&amp;RIGHT(YEAR($A900),2)))</f>
        <v/>
      </c>
    </row>
    <row r="901" customFormat="false" ht="15" hidden="false" customHeight="false" outlineLevel="0" collapsed="false">
      <c r="A901" s="22"/>
      <c r="B901" s="23"/>
      <c r="C901" s="23"/>
      <c r="D901" s="23"/>
      <c r="E901" s="24"/>
      <c r="F901" s="24"/>
      <c r="G901" s="23"/>
      <c r="H901" s="23"/>
      <c r="I901" s="25"/>
      <c r="J901" s="23"/>
      <c r="K901" s="23"/>
      <c r="L901" s="26" t="str">
        <f aca="false">IF(OR($E901="",$F901=""),"",MOD($F901-$E901,1)*24)</f>
        <v/>
      </c>
      <c r="M901" s="27" t="str">
        <f aca="false">IF($B901="","",IFERROR(INDEX(Properties!$D$5:$D$104,MATCH($B901,Properties!$A$5:$A$104,0)),"?"))</f>
        <v/>
      </c>
      <c r="N901" s="28" t="str">
        <f aca="false">IF($B901="","",IFERROR(IF($D901="Completed",INDEX(Properties!$I$5:$I$104,MATCH($B901,Properties!$A$5:$A$104,0))*(1+IF($G901="Y",Settings!$B$8,0))+IF($H901="Y",Settings!$B$7,0)+N($I901),IF($D901="Deep clean",INDEX(Settings!$E$22:$E$26,MATCH(MIN(INDEX(Properties!$E$5:$E$104,MATCH($B901,Properties!$A$5:$A$104,0)),4),Settings!$A$22:$A$26,0))+N($I901),IF($D901="Late cancel",INDEX(Properties!$I$5:$I$104,MATCH($B901,Properties!$A$5:$A$104,0))*Settings!$B$10,0))),0))</f>
        <v/>
      </c>
      <c r="O901" s="28" t="str">
        <f aca="false">IF($B901="","",IFERROR(IF($D901="Completed",INDEX(Properties!$L$5:$L$104,MATCH($B901,Properties!$A$5:$A$104,0))+IF($G901="Y",INDEX(Properties!$I$5:$I$104,MATCH($B901,Properties!$A$5:$A$104,0))*Settings!$B$8*Settings!$B$9,0)+IF($H901="Y",Settings!$B$7*Settings!$B$9,0)+N($I901)*Settings!$B$9,IF($D901="Deep clean",INDEX(Settings!$E$22:$E$26,MATCH(MIN(INDEX(Properties!$E$5:$E$104,MATCH($B901,Properties!$A$5:$A$104,0)),4),Settings!$A$22:$A$26,0))*Settings!$B$19+N($I901)*Settings!$B$9,IF($D901="Late cancel",INDEX(Properties!$L$5:$L$104,MATCH($B901,Properties!$A$5:$A$104,0))*Settings!$B$11,0))),0))</f>
        <v/>
      </c>
      <c r="P901" s="28" t="str">
        <f aca="false">IF($B901="","",$N901-$O901)</f>
        <v/>
      </c>
      <c r="Q901" s="29" t="str">
        <f aca="false">IF($A901="","",DATE(YEAR($A901),MONTH($A901),1))</f>
        <v/>
      </c>
      <c r="R901" s="30" t="str">
        <f aca="false">IF($A901="","",$A901+MOD(6-WEEKDAY($A901),7))</f>
        <v/>
      </c>
      <c r="S901" s="31" t="str">
        <f aca="false">IF($B901="","",IF(AND($M901='Invoice Builder'!$C$5,$Q901='Invoice Builder'!$C$6,N($N901)&gt;0),COUNTIFS($M$5:$M901,'Invoice Builder'!$C$5,$Q$5:$Q901,'Invoice Builder'!$C$6,$N$5:$N901,"&gt;0"),""))</f>
        <v/>
      </c>
      <c r="T901" s="27" t="str">
        <f aca="false">IF($A901="","",IF($A901&gt;=DATE(YEAR($A901),4,6),YEAR($A901)&amp;"/"&amp;RIGHT(YEAR($A901)+1,2),YEAR($A901)-1&amp;"/"&amp;RIGHT(YEAR($A901),2)))</f>
        <v/>
      </c>
    </row>
    <row r="902" customFormat="false" ht="15" hidden="false" customHeight="false" outlineLevel="0" collapsed="false">
      <c r="A902" s="22"/>
      <c r="B902" s="23"/>
      <c r="C902" s="23"/>
      <c r="D902" s="23"/>
      <c r="E902" s="24"/>
      <c r="F902" s="24"/>
      <c r="G902" s="23"/>
      <c r="H902" s="23"/>
      <c r="I902" s="25"/>
      <c r="J902" s="23"/>
      <c r="K902" s="23"/>
      <c r="L902" s="26" t="str">
        <f aca="false">IF(OR($E902="",$F902=""),"",MOD($F902-$E902,1)*24)</f>
        <v/>
      </c>
      <c r="M902" s="27" t="str">
        <f aca="false">IF($B902="","",IFERROR(INDEX(Properties!$D$5:$D$104,MATCH($B902,Properties!$A$5:$A$104,0)),"?"))</f>
        <v/>
      </c>
      <c r="N902" s="28" t="str">
        <f aca="false">IF($B902="","",IFERROR(IF($D902="Completed",INDEX(Properties!$I$5:$I$104,MATCH($B902,Properties!$A$5:$A$104,0))*(1+IF($G902="Y",Settings!$B$8,0))+IF($H902="Y",Settings!$B$7,0)+N($I902),IF($D902="Deep clean",INDEX(Settings!$E$22:$E$26,MATCH(MIN(INDEX(Properties!$E$5:$E$104,MATCH($B902,Properties!$A$5:$A$104,0)),4),Settings!$A$22:$A$26,0))+N($I902),IF($D902="Late cancel",INDEX(Properties!$I$5:$I$104,MATCH($B902,Properties!$A$5:$A$104,0))*Settings!$B$10,0))),0))</f>
        <v/>
      </c>
      <c r="O902" s="28" t="str">
        <f aca="false">IF($B902="","",IFERROR(IF($D902="Completed",INDEX(Properties!$L$5:$L$104,MATCH($B902,Properties!$A$5:$A$104,0))+IF($G902="Y",INDEX(Properties!$I$5:$I$104,MATCH($B902,Properties!$A$5:$A$104,0))*Settings!$B$8*Settings!$B$9,0)+IF($H902="Y",Settings!$B$7*Settings!$B$9,0)+N($I902)*Settings!$B$9,IF($D902="Deep clean",INDEX(Settings!$E$22:$E$26,MATCH(MIN(INDEX(Properties!$E$5:$E$104,MATCH($B902,Properties!$A$5:$A$104,0)),4),Settings!$A$22:$A$26,0))*Settings!$B$19+N($I902)*Settings!$B$9,IF($D902="Late cancel",INDEX(Properties!$L$5:$L$104,MATCH($B902,Properties!$A$5:$A$104,0))*Settings!$B$11,0))),0))</f>
        <v/>
      </c>
      <c r="P902" s="28" t="str">
        <f aca="false">IF($B902="","",$N902-$O902)</f>
        <v/>
      </c>
      <c r="Q902" s="29" t="str">
        <f aca="false">IF($A902="","",DATE(YEAR($A902),MONTH($A902),1))</f>
        <v/>
      </c>
      <c r="R902" s="30" t="str">
        <f aca="false">IF($A902="","",$A902+MOD(6-WEEKDAY($A902),7))</f>
        <v/>
      </c>
      <c r="S902" s="31" t="str">
        <f aca="false">IF($B902="","",IF(AND($M902='Invoice Builder'!$C$5,$Q902='Invoice Builder'!$C$6,N($N902)&gt;0),COUNTIFS($M$5:$M902,'Invoice Builder'!$C$5,$Q$5:$Q902,'Invoice Builder'!$C$6,$N$5:$N902,"&gt;0"),""))</f>
        <v/>
      </c>
      <c r="T902" s="27" t="str">
        <f aca="false">IF($A902="","",IF($A902&gt;=DATE(YEAR($A902),4,6),YEAR($A902)&amp;"/"&amp;RIGHT(YEAR($A902)+1,2),YEAR($A902)-1&amp;"/"&amp;RIGHT(YEAR($A902),2)))</f>
        <v/>
      </c>
    </row>
    <row r="903" customFormat="false" ht="15" hidden="false" customHeight="false" outlineLevel="0" collapsed="false">
      <c r="A903" s="22"/>
      <c r="B903" s="23"/>
      <c r="C903" s="23"/>
      <c r="D903" s="23"/>
      <c r="E903" s="24"/>
      <c r="F903" s="24"/>
      <c r="G903" s="23"/>
      <c r="H903" s="23"/>
      <c r="I903" s="25"/>
      <c r="J903" s="23"/>
      <c r="K903" s="23"/>
      <c r="L903" s="26" t="str">
        <f aca="false">IF(OR($E903="",$F903=""),"",MOD($F903-$E903,1)*24)</f>
        <v/>
      </c>
      <c r="M903" s="27" t="str">
        <f aca="false">IF($B903="","",IFERROR(INDEX(Properties!$D$5:$D$104,MATCH($B903,Properties!$A$5:$A$104,0)),"?"))</f>
        <v/>
      </c>
      <c r="N903" s="28" t="str">
        <f aca="false">IF($B903="","",IFERROR(IF($D903="Completed",INDEX(Properties!$I$5:$I$104,MATCH($B903,Properties!$A$5:$A$104,0))*(1+IF($G903="Y",Settings!$B$8,0))+IF($H903="Y",Settings!$B$7,0)+N($I903),IF($D903="Deep clean",INDEX(Settings!$E$22:$E$26,MATCH(MIN(INDEX(Properties!$E$5:$E$104,MATCH($B903,Properties!$A$5:$A$104,0)),4),Settings!$A$22:$A$26,0))+N($I903),IF($D903="Late cancel",INDEX(Properties!$I$5:$I$104,MATCH($B903,Properties!$A$5:$A$104,0))*Settings!$B$10,0))),0))</f>
        <v/>
      </c>
      <c r="O903" s="28" t="str">
        <f aca="false">IF($B903="","",IFERROR(IF($D903="Completed",INDEX(Properties!$L$5:$L$104,MATCH($B903,Properties!$A$5:$A$104,0))+IF($G903="Y",INDEX(Properties!$I$5:$I$104,MATCH($B903,Properties!$A$5:$A$104,0))*Settings!$B$8*Settings!$B$9,0)+IF($H903="Y",Settings!$B$7*Settings!$B$9,0)+N($I903)*Settings!$B$9,IF($D903="Deep clean",INDEX(Settings!$E$22:$E$26,MATCH(MIN(INDEX(Properties!$E$5:$E$104,MATCH($B903,Properties!$A$5:$A$104,0)),4),Settings!$A$22:$A$26,0))*Settings!$B$19+N($I903)*Settings!$B$9,IF($D903="Late cancel",INDEX(Properties!$L$5:$L$104,MATCH($B903,Properties!$A$5:$A$104,0))*Settings!$B$11,0))),0))</f>
        <v/>
      </c>
      <c r="P903" s="28" t="str">
        <f aca="false">IF($B903="","",$N903-$O903)</f>
        <v/>
      </c>
      <c r="Q903" s="29" t="str">
        <f aca="false">IF($A903="","",DATE(YEAR($A903),MONTH($A903),1))</f>
        <v/>
      </c>
      <c r="R903" s="30" t="str">
        <f aca="false">IF($A903="","",$A903+MOD(6-WEEKDAY($A903),7))</f>
        <v/>
      </c>
      <c r="S903" s="31" t="str">
        <f aca="false">IF($B903="","",IF(AND($M903='Invoice Builder'!$C$5,$Q903='Invoice Builder'!$C$6,N($N903)&gt;0),COUNTIFS($M$5:$M903,'Invoice Builder'!$C$5,$Q$5:$Q903,'Invoice Builder'!$C$6,$N$5:$N903,"&gt;0"),""))</f>
        <v/>
      </c>
      <c r="T903" s="27" t="str">
        <f aca="false">IF($A903="","",IF($A903&gt;=DATE(YEAR($A903),4,6),YEAR($A903)&amp;"/"&amp;RIGHT(YEAR($A903)+1,2),YEAR($A903)-1&amp;"/"&amp;RIGHT(YEAR($A903),2)))</f>
        <v/>
      </c>
    </row>
    <row r="904" customFormat="false" ht="15" hidden="false" customHeight="false" outlineLevel="0" collapsed="false">
      <c r="A904" s="22"/>
      <c r="B904" s="23"/>
      <c r="C904" s="23"/>
      <c r="D904" s="23"/>
      <c r="E904" s="24"/>
      <c r="F904" s="24"/>
      <c r="G904" s="23"/>
      <c r="H904" s="23"/>
      <c r="I904" s="25"/>
      <c r="J904" s="23"/>
      <c r="K904" s="23"/>
      <c r="L904" s="26" t="str">
        <f aca="false">IF(OR($E904="",$F904=""),"",MOD($F904-$E904,1)*24)</f>
        <v/>
      </c>
      <c r="M904" s="27" t="str">
        <f aca="false">IF($B904="","",IFERROR(INDEX(Properties!$D$5:$D$104,MATCH($B904,Properties!$A$5:$A$104,0)),"?"))</f>
        <v/>
      </c>
      <c r="N904" s="28" t="str">
        <f aca="false">IF($B904="","",IFERROR(IF($D904="Completed",INDEX(Properties!$I$5:$I$104,MATCH($B904,Properties!$A$5:$A$104,0))*(1+IF($G904="Y",Settings!$B$8,0))+IF($H904="Y",Settings!$B$7,0)+N($I904),IF($D904="Deep clean",INDEX(Settings!$E$22:$E$26,MATCH(MIN(INDEX(Properties!$E$5:$E$104,MATCH($B904,Properties!$A$5:$A$104,0)),4),Settings!$A$22:$A$26,0))+N($I904),IF($D904="Late cancel",INDEX(Properties!$I$5:$I$104,MATCH($B904,Properties!$A$5:$A$104,0))*Settings!$B$10,0))),0))</f>
        <v/>
      </c>
      <c r="O904" s="28" t="str">
        <f aca="false">IF($B904="","",IFERROR(IF($D904="Completed",INDEX(Properties!$L$5:$L$104,MATCH($B904,Properties!$A$5:$A$104,0))+IF($G904="Y",INDEX(Properties!$I$5:$I$104,MATCH($B904,Properties!$A$5:$A$104,0))*Settings!$B$8*Settings!$B$9,0)+IF($H904="Y",Settings!$B$7*Settings!$B$9,0)+N($I904)*Settings!$B$9,IF($D904="Deep clean",INDEX(Settings!$E$22:$E$26,MATCH(MIN(INDEX(Properties!$E$5:$E$104,MATCH($B904,Properties!$A$5:$A$104,0)),4),Settings!$A$22:$A$26,0))*Settings!$B$19+N($I904)*Settings!$B$9,IF($D904="Late cancel",INDEX(Properties!$L$5:$L$104,MATCH($B904,Properties!$A$5:$A$104,0))*Settings!$B$11,0))),0))</f>
        <v/>
      </c>
      <c r="P904" s="28" t="str">
        <f aca="false">IF($B904="","",$N904-$O904)</f>
        <v/>
      </c>
      <c r="Q904" s="29" t="str">
        <f aca="false">IF($A904="","",DATE(YEAR($A904),MONTH($A904),1))</f>
        <v/>
      </c>
      <c r="R904" s="30" t="str">
        <f aca="false">IF($A904="","",$A904+MOD(6-WEEKDAY($A904),7))</f>
        <v/>
      </c>
      <c r="S904" s="31" t="str">
        <f aca="false">IF($B904="","",IF(AND($M904='Invoice Builder'!$C$5,$Q904='Invoice Builder'!$C$6,N($N904)&gt;0),COUNTIFS($M$5:$M904,'Invoice Builder'!$C$5,$Q$5:$Q904,'Invoice Builder'!$C$6,$N$5:$N904,"&gt;0"),""))</f>
        <v/>
      </c>
      <c r="T904" s="27" t="str">
        <f aca="false">IF($A904="","",IF($A904&gt;=DATE(YEAR($A904),4,6),YEAR($A904)&amp;"/"&amp;RIGHT(YEAR($A904)+1,2),YEAR($A904)-1&amp;"/"&amp;RIGHT(YEAR($A904),2)))</f>
        <v/>
      </c>
    </row>
    <row r="905" customFormat="false" ht="15" hidden="false" customHeight="false" outlineLevel="0" collapsed="false">
      <c r="A905" s="22"/>
      <c r="B905" s="23"/>
      <c r="C905" s="23"/>
      <c r="D905" s="23"/>
      <c r="E905" s="24"/>
      <c r="F905" s="24"/>
      <c r="G905" s="23"/>
      <c r="H905" s="23"/>
      <c r="I905" s="25"/>
      <c r="J905" s="23"/>
      <c r="K905" s="23"/>
      <c r="L905" s="26" t="str">
        <f aca="false">IF(OR($E905="",$F905=""),"",MOD($F905-$E905,1)*24)</f>
        <v/>
      </c>
      <c r="M905" s="27" t="str">
        <f aca="false">IF($B905="","",IFERROR(INDEX(Properties!$D$5:$D$104,MATCH($B905,Properties!$A$5:$A$104,0)),"?"))</f>
        <v/>
      </c>
      <c r="N905" s="28" t="str">
        <f aca="false">IF($B905="","",IFERROR(IF($D905="Completed",INDEX(Properties!$I$5:$I$104,MATCH($B905,Properties!$A$5:$A$104,0))*(1+IF($G905="Y",Settings!$B$8,0))+IF($H905="Y",Settings!$B$7,0)+N($I905),IF($D905="Deep clean",INDEX(Settings!$E$22:$E$26,MATCH(MIN(INDEX(Properties!$E$5:$E$104,MATCH($B905,Properties!$A$5:$A$104,0)),4),Settings!$A$22:$A$26,0))+N($I905),IF($D905="Late cancel",INDEX(Properties!$I$5:$I$104,MATCH($B905,Properties!$A$5:$A$104,0))*Settings!$B$10,0))),0))</f>
        <v/>
      </c>
      <c r="O905" s="28" t="str">
        <f aca="false">IF($B905="","",IFERROR(IF($D905="Completed",INDEX(Properties!$L$5:$L$104,MATCH($B905,Properties!$A$5:$A$104,0))+IF($G905="Y",INDEX(Properties!$I$5:$I$104,MATCH($B905,Properties!$A$5:$A$104,0))*Settings!$B$8*Settings!$B$9,0)+IF($H905="Y",Settings!$B$7*Settings!$B$9,0)+N($I905)*Settings!$B$9,IF($D905="Deep clean",INDEX(Settings!$E$22:$E$26,MATCH(MIN(INDEX(Properties!$E$5:$E$104,MATCH($B905,Properties!$A$5:$A$104,0)),4),Settings!$A$22:$A$26,0))*Settings!$B$19+N($I905)*Settings!$B$9,IF($D905="Late cancel",INDEX(Properties!$L$5:$L$104,MATCH($B905,Properties!$A$5:$A$104,0))*Settings!$B$11,0))),0))</f>
        <v/>
      </c>
      <c r="P905" s="28" t="str">
        <f aca="false">IF($B905="","",$N905-$O905)</f>
        <v/>
      </c>
      <c r="Q905" s="29" t="str">
        <f aca="false">IF($A905="","",DATE(YEAR($A905),MONTH($A905),1))</f>
        <v/>
      </c>
      <c r="R905" s="30" t="str">
        <f aca="false">IF($A905="","",$A905+MOD(6-WEEKDAY($A905),7))</f>
        <v/>
      </c>
      <c r="S905" s="31" t="str">
        <f aca="false">IF($B905="","",IF(AND($M905='Invoice Builder'!$C$5,$Q905='Invoice Builder'!$C$6,N($N905)&gt;0),COUNTIFS($M$5:$M905,'Invoice Builder'!$C$5,$Q$5:$Q905,'Invoice Builder'!$C$6,$N$5:$N905,"&gt;0"),""))</f>
        <v/>
      </c>
      <c r="T905" s="27" t="str">
        <f aca="false">IF($A905="","",IF($A905&gt;=DATE(YEAR($A905),4,6),YEAR($A905)&amp;"/"&amp;RIGHT(YEAR($A905)+1,2),YEAR($A905)-1&amp;"/"&amp;RIGHT(YEAR($A905),2)))</f>
        <v/>
      </c>
    </row>
    <row r="906" customFormat="false" ht="15" hidden="false" customHeight="false" outlineLevel="0" collapsed="false">
      <c r="A906" s="22"/>
      <c r="B906" s="23"/>
      <c r="C906" s="23"/>
      <c r="D906" s="23"/>
      <c r="E906" s="24"/>
      <c r="F906" s="24"/>
      <c r="G906" s="23"/>
      <c r="H906" s="23"/>
      <c r="I906" s="25"/>
      <c r="J906" s="23"/>
      <c r="K906" s="23"/>
      <c r="L906" s="26" t="str">
        <f aca="false">IF(OR($E906="",$F906=""),"",MOD($F906-$E906,1)*24)</f>
        <v/>
      </c>
      <c r="M906" s="27" t="str">
        <f aca="false">IF($B906="","",IFERROR(INDEX(Properties!$D$5:$D$104,MATCH($B906,Properties!$A$5:$A$104,0)),"?"))</f>
        <v/>
      </c>
      <c r="N906" s="28" t="str">
        <f aca="false">IF($B906="","",IFERROR(IF($D906="Completed",INDEX(Properties!$I$5:$I$104,MATCH($B906,Properties!$A$5:$A$104,0))*(1+IF($G906="Y",Settings!$B$8,0))+IF($H906="Y",Settings!$B$7,0)+N($I906),IF($D906="Deep clean",INDEX(Settings!$E$22:$E$26,MATCH(MIN(INDEX(Properties!$E$5:$E$104,MATCH($B906,Properties!$A$5:$A$104,0)),4),Settings!$A$22:$A$26,0))+N($I906),IF($D906="Late cancel",INDEX(Properties!$I$5:$I$104,MATCH($B906,Properties!$A$5:$A$104,0))*Settings!$B$10,0))),0))</f>
        <v/>
      </c>
      <c r="O906" s="28" t="str">
        <f aca="false">IF($B906="","",IFERROR(IF($D906="Completed",INDEX(Properties!$L$5:$L$104,MATCH($B906,Properties!$A$5:$A$104,0))+IF($G906="Y",INDEX(Properties!$I$5:$I$104,MATCH($B906,Properties!$A$5:$A$104,0))*Settings!$B$8*Settings!$B$9,0)+IF($H906="Y",Settings!$B$7*Settings!$B$9,0)+N($I906)*Settings!$B$9,IF($D906="Deep clean",INDEX(Settings!$E$22:$E$26,MATCH(MIN(INDEX(Properties!$E$5:$E$104,MATCH($B906,Properties!$A$5:$A$104,0)),4),Settings!$A$22:$A$26,0))*Settings!$B$19+N($I906)*Settings!$B$9,IF($D906="Late cancel",INDEX(Properties!$L$5:$L$104,MATCH($B906,Properties!$A$5:$A$104,0))*Settings!$B$11,0))),0))</f>
        <v/>
      </c>
      <c r="P906" s="28" t="str">
        <f aca="false">IF($B906="","",$N906-$O906)</f>
        <v/>
      </c>
      <c r="Q906" s="29" t="str">
        <f aca="false">IF($A906="","",DATE(YEAR($A906),MONTH($A906),1))</f>
        <v/>
      </c>
      <c r="R906" s="30" t="str">
        <f aca="false">IF($A906="","",$A906+MOD(6-WEEKDAY($A906),7))</f>
        <v/>
      </c>
      <c r="S906" s="31" t="str">
        <f aca="false">IF($B906="","",IF(AND($M906='Invoice Builder'!$C$5,$Q906='Invoice Builder'!$C$6,N($N906)&gt;0),COUNTIFS($M$5:$M906,'Invoice Builder'!$C$5,$Q$5:$Q906,'Invoice Builder'!$C$6,$N$5:$N906,"&gt;0"),""))</f>
        <v/>
      </c>
      <c r="T906" s="27" t="str">
        <f aca="false">IF($A906="","",IF($A906&gt;=DATE(YEAR($A906),4,6),YEAR($A906)&amp;"/"&amp;RIGHT(YEAR($A906)+1,2),YEAR($A906)-1&amp;"/"&amp;RIGHT(YEAR($A906),2)))</f>
        <v/>
      </c>
    </row>
    <row r="907" customFormat="false" ht="15" hidden="false" customHeight="false" outlineLevel="0" collapsed="false">
      <c r="A907" s="22"/>
      <c r="B907" s="23"/>
      <c r="C907" s="23"/>
      <c r="D907" s="23"/>
      <c r="E907" s="24"/>
      <c r="F907" s="24"/>
      <c r="G907" s="23"/>
      <c r="H907" s="23"/>
      <c r="I907" s="25"/>
      <c r="J907" s="23"/>
      <c r="K907" s="23"/>
      <c r="L907" s="26" t="str">
        <f aca="false">IF(OR($E907="",$F907=""),"",MOD($F907-$E907,1)*24)</f>
        <v/>
      </c>
      <c r="M907" s="27" t="str">
        <f aca="false">IF($B907="","",IFERROR(INDEX(Properties!$D$5:$D$104,MATCH($B907,Properties!$A$5:$A$104,0)),"?"))</f>
        <v/>
      </c>
      <c r="N907" s="28" t="str">
        <f aca="false">IF($B907="","",IFERROR(IF($D907="Completed",INDEX(Properties!$I$5:$I$104,MATCH($B907,Properties!$A$5:$A$104,0))*(1+IF($G907="Y",Settings!$B$8,0))+IF($H907="Y",Settings!$B$7,0)+N($I907),IF($D907="Deep clean",INDEX(Settings!$E$22:$E$26,MATCH(MIN(INDEX(Properties!$E$5:$E$104,MATCH($B907,Properties!$A$5:$A$104,0)),4),Settings!$A$22:$A$26,0))+N($I907),IF($D907="Late cancel",INDEX(Properties!$I$5:$I$104,MATCH($B907,Properties!$A$5:$A$104,0))*Settings!$B$10,0))),0))</f>
        <v/>
      </c>
      <c r="O907" s="28" t="str">
        <f aca="false">IF($B907="","",IFERROR(IF($D907="Completed",INDEX(Properties!$L$5:$L$104,MATCH($B907,Properties!$A$5:$A$104,0))+IF($G907="Y",INDEX(Properties!$I$5:$I$104,MATCH($B907,Properties!$A$5:$A$104,0))*Settings!$B$8*Settings!$B$9,0)+IF($H907="Y",Settings!$B$7*Settings!$B$9,0)+N($I907)*Settings!$B$9,IF($D907="Deep clean",INDEX(Settings!$E$22:$E$26,MATCH(MIN(INDEX(Properties!$E$5:$E$104,MATCH($B907,Properties!$A$5:$A$104,0)),4),Settings!$A$22:$A$26,0))*Settings!$B$19+N($I907)*Settings!$B$9,IF($D907="Late cancel",INDEX(Properties!$L$5:$L$104,MATCH($B907,Properties!$A$5:$A$104,0))*Settings!$B$11,0))),0))</f>
        <v/>
      </c>
      <c r="P907" s="28" t="str">
        <f aca="false">IF($B907="","",$N907-$O907)</f>
        <v/>
      </c>
      <c r="Q907" s="29" t="str">
        <f aca="false">IF($A907="","",DATE(YEAR($A907),MONTH($A907),1))</f>
        <v/>
      </c>
      <c r="R907" s="30" t="str">
        <f aca="false">IF($A907="","",$A907+MOD(6-WEEKDAY($A907),7))</f>
        <v/>
      </c>
      <c r="S907" s="31" t="str">
        <f aca="false">IF($B907="","",IF(AND($M907='Invoice Builder'!$C$5,$Q907='Invoice Builder'!$C$6,N($N907)&gt;0),COUNTIFS($M$5:$M907,'Invoice Builder'!$C$5,$Q$5:$Q907,'Invoice Builder'!$C$6,$N$5:$N907,"&gt;0"),""))</f>
        <v/>
      </c>
      <c r="T907" s="27" t="str">
        <f aca="false">IF($A907="","",IF($A907&gt;=DATE(YEAR($A907),4,6),YEAR($A907)&amp;"/"&amp;RIGHT(YEAR($A907)+1,2),YEAR($A907)-1&amp;"/"&amp;RIGHT(YEAR($A907),2)))</f>
        <v/>
      </c>
    </row>
    <row r="908" customFormat="false" ht="15" hidden="false" customHeight="false" outlineLevel="0" collapsed="false">
      <c r="A908" s="22"/>
      <c r="B908" s="23"/>
      <c r="C908" s="23"/>
      <c r="D908" s="23"/>
      <c r="E908" s="24"/>
      <c r="F908" s="24"/>
      <c r="G908" s="23"/>
      <c r="H908" s="23"/>
      <c r="I908" s="25"/>
      <c r="J908" s="23"/>
      <c r="K908" s="23"/>
      <c r="L908" s="26" t="str">
        <f aca="false">IF(OR($E908="",$F908=""),"",MOD($F908-$E908,1)*24)</f>
        <v/>
      </c>
      <c r="M908" s="27" t="str">
        <f aca="false">IF($B908="","",IFERROR(INDEX(Properties!$D$5:$D$104,MATCH($B908,Properties!$A$5:$A$104,0)),"?"))</f>
        <v/>
      </c>
      <c r="N908" s="28" t="str">
        <f aca="false">IF($B908="","",IFERROR(IF($D908="Completed",INDEX(Properties!$I$5:$I$104,MATCH($B908,Properties!$A$5:$A$104,0))*(1+IF($G908="Y",Settings!$B$8,0))+IF($H908="Y",Settings!$B$7,0)+N($I908),IF($D908="Deep clean",INDEX(Settings!$E$22:$E$26,MATCH(MIN(INDEX(Properties!$E$5:$E$104,MATCH($B908,Properties!$A$5:$A$104,0)),4),Settings!$A$22:$A$26,0))+N($I908),IF($D908="Late cancel",INDEX(Properties!$I$5:$I$104,MATCH($B908,Properties!$A$5:$A$104,0))*Settings!$B$10,0))),0))</f>
        <v/>
      </c>
      <c r="O908" s="28" t="str">
        <f aca="false">IF($B908="","",IFERROR(IF($D908="Completed",INDEX(Properties!$L$5:$L$104,MATCH($B908,Properties!$A$5:$A$104,0))+IF($G908="Y",INDEX(Properties!$I$5:$I$104,MATCH($B908,Properties!$A$5:$A$104,0))*Settings!$B$8*Settings!$B$9,0)+IF($H908="Y",Settings!$B$7*Settings!$B$9,0)+N($I908)*Settings!$B$9,IF($D908="Deep clean",INDEX(Settings!$E$22:$E$26,MATCH(MIN(INDEX(Properties!$E$5:$E$104,MATCH($B908,Properties!$A$5:$A$104,0)),4),Settings!$A$22:$A$26,0))*Settings!$B$19+N($I908)*Settings!$B$9,IF($D908="Late cancel",INDEX(Properties!$L$5:$L$104,MATCH($B908,Properties!$A$5:$A$104,0))*Settings!$B$11,0))),0))</f>
        <v/>
      </c>
      <c r="P908" s="28" t="str">
        <f aca="false">IF($B908="","",$N908-$O908)</f>
        <v/>
      </c>
      <c r="Q908" s="29" t="str">
        <f aca="false">IF($A908="","",DATE(YEAR($A908),MONTH($A908),1))</f>
        <v/>
      </c>
      <c r="R908" s="30" t="str">
        <f aca="false">IF($A908="","",$A908+MOD(6-WEEKDAY($A908),7))</f>
        <v/>
      </c>
      <c r="S908" s="31" t="str">
        <f aca="false">IF($B908="","",IF(AND($M908='Invoice Builder'!$C$5,$Q908='Invoice Builder'!$C$6,N($N908)&gt;0),COUNTIFS($M$5:$M908,'Invoice Builder'!$C$5,$Q$5:$Q908,'Invoice Builder'!$C$6,$N$5:$N908,"&gt;0"),""))</f>
        <v/>
      </c>
      <c r="T908" s="27" t="str">
        <f aca="false">IF($A908="","",IF($A908&gt;=DATE(YEAR($A908),4,6),YEAR($A908)&amp;"/"&amp;RIGHT(YEAR($A908)+1,2),YEAR($A908)-1&amp;"/"&amp;RIGHT(YEAR($A908),2)))</f>
        <v/>
      </c>
    </row>
    <row r="909" customFormat="false" ht="15" hidden="false" customHeight="false" outlineLevel="0" collapsed="false">
      <c r="A909" s="22"/>
      <c r="B909" s="23"/>
      <c r="C909" s="23"/>
      <c r="D909" s="23"/>
      <c r="E909" s="24"/>
      <c r="F909" s="24"/>
      <c r="G909" s="23"/>
      <c r="H909" s="23"/>
      <c r="I909" s="25"/>
      <c r="J909" s="23"/>
      <c r="K909" s="23"/>
      <c r="L909" s="26" t="str">
        <f aca="false">IF(OR($E909="",$F909=""),"",MOD($F909-$E909,1)*24)</f>
        <v/>
      </c>
      <c r="M909" s="27" t="str">
        <f aca="false">IF($B909="","",IFERROR(INDEX(Properties!$D$5:$D$104,MATCH($B909,Properties!$A$5:$A$104,0)),"?"))</f>
        <v/>
      </c>
      <c r="N909" s="28" t="str">
        <f aca="false">IF($B909="","",IFERROR(IF($D909="Completed",INDEX(Properties!$I$5:$I$104,MATCH($B909,Properties!$A$5:$A$104,0))*(1+IF($G909="Y",Settings!$B$8,0))+IF($H909="Y",Settings!$B$7,0)+N($I909),IF($D909="Deep clean",INDEX(Settings!$E$22:$E$26,MATCH(MIN(INDEX(Properties!$E$5:$E$104,MATCH($B909,Properties!$A$5:$A$104,0)),4),Settings!$A$22:$A$26,0))+N($I909),IF($D909="Late cancel",INDEX(Properties!$I$5:$I$104,MATCH($B909,Properties!$A$5:$A$104,0))*Settings!$B$10,0))),0))</f>
        <v/>
      </c>
      <c r="O909" s="28" t="str">
        <f aca="false">IF($B909="","",IFERROR(IF($D909="Completed",INDEX(Properties!$L$5:$L$104,MATCH($B909,Properties!$A$5:$A$104,0))+IF($G909="Y",INDEX(Properties!$I$5:$I$104,MATCH($B909,Properties!$A$5:$A$104,0))*Settings!$B$8*Settings!$B$9,0)+IF($H909="Y",Settings!$B$7*Settings!$B$9,0)+N($I909)*Settings!$B$9,IF($D909="Deep clean",INDEX(Settings!$E$22:$E$26,MATCH(MIN(INDEX(Properties!$E$5:$E$104,MATCH($B909,Properties!$A$5:$A$104,0)),4),Settings!$A$22:$A$26,0))*Settings!$B$19+N($I909)*Settings!$B$9,IF($D909="Late cancel",INDEX(Properties!$L$5:$L$104,MATCH($B909,Properties!$A$5:$A$104,0))*Settings!$B$11,0))),0))</f>
        <v/>
      </c>
      <c r="P909" s="28" t="str">
        <f aca="false">IF($B909="","",$N909-$O909)</f>
        <v/>
      </c>
      <c r="Q909" s="29" t="str">
        <f aca="false">IF($A909="","",DATE(YEAR($A909),MONTH($A909),1))</f>
        <v/>
      </c>
      <c r="R909" s="30" t="str">
        <f aca="false">IF($A909="","",$A909+MOD(6-WEEKDAY($A909),7))</f>
        <v/>
      </c>
      <c r="S909" s="31" t="str">
        <f aca="false">IF($B909="","",IF(AND($M909='Invoice Builder'!$C$5,$Q909='Invoice Builder'!$C$6,N($N909)&gt;0),COUNTIFS($M$5:$M909,'Invoice Builder'!$C$5,$Q$5:$Q909,'Invoice Builder'!$C$6,$N$5:$N909,"&gt;0"),""))</f>
        <v/>
      </c>
      <c r="T909" s="27" t="str">
        <f aca="false">IF($A909="","",IF($A909&gt;=DATE(YEAR($A909),4,6),YEAR($A909)&amp;"/"&amp;RIGHT(YEAR($A909)+1,2),YEAR($A909)-1&amp;"/"&amp;RIGHT(YEAR($A909),2)))</f>
        <v/>
      </c>
    </row>
    <row r="910" customFormat="false" ht="15" hidden="false" customHeight="false" outlineLevel="0" collapsed="false">
      <c r="A910" s="22"/>
      <c r="B910" s="23"/>
      <c r="C910" s="23"/>
      <c r="D910" s="23"/>
      <c r="E910" s="24"/>
      <c r="F910" s="24"/>
      <c r="G910" s="23"/>
      <c r="H910" s="23"/>
      <c r="I910" s="25"/>
      <c r="J910" s="23"/>
      <c r="K910" s="23"/>
      <c r="L910" s="26" t="str">
        <f aca="false">IF(OR($E910="",$F910=""),"",MOD($F910-$E910,1)*24)</f>
        <v/>
      </c>
      <c r="M910" s="27" t="str">
        <f aca="false">IF($B910="","",IFERROR(INDEX(Properties!$D$5:$D$104,MATCH($B910,Properties!$A$5:$A$104,0)),"?"))</f>
        <v/>
      </c>
      <c r="N910" s="28" t="str">
        <f aca="false">IF($B910="","",IFERROR(IF($D910="Completed",INDEX(Properties!$I$5:$I$104,MATCH($B910,Properties!$A$5:$A$104,0))*(1+IF($G910="Y",Settings!$B$8,0))+IF($H910="Y",Settings!$B$7,0)+N($I910),IF($D910="Deep clean",INDEX(Settings!$E$22:$E$26,MATCH(MIN(INDEX(Properties!$E$5:$E$104,MATCH($B910,Properties!$A$5:$A$104,0)),4),Settings!$A$22:$A$26,0))+N($I910),IF($D910="Late cancel",INDEX(Properties!$I$5:$I$104,MATCH($B910,Properties!$A$5:$A$104,0))*Settings!$B$10,0))),0))</f>
        <v/>
      </c>
      <c r="O910" s="28" t="str">
        <f aca="false">IF($B910="","",IFERROR(IF($D910="Completed",INDEX(Properties!$L$5:$L$104,MATCH($B910,Properties!$A$5:$A$104,0))+IF($G910="Y",INDEX(Properties!$I$5:$I$104,MATCH($B910,Properties!$A$5:$A$104,0))*Settings!$B$8*Settings!$B$9,0)+IF($H910="Y",Settings!$B$7*Settings!$B$9,0)+N($I910)*Settings!$B$9,IF($D910="Deep clean",INDEX(Settings!$E$22:$E$26,MATCH(MIN(INDEX(Properties!$E$5:$E$104,MATCH($B910,Properties!$A$5:$A$104,0)),4),Settings!$A$22:$A$26,0))*Settings!$B$19+N($I910)*Settings!$B$9,IF($D910="Late cancel",INDEX(Properties!$L$5:$L$104,MATCH($B910,Properties!$A$5:$A$104,0))*Settings!$B$11,0))),0))</f>
        <v/>
      </c>
      <c r="P910" s="28" t="str">
        <f aca="false">IF($B910="","",$N910-$O910)</f>
        <v/>
      </c>
      <c r="Q910" s="29" t="str">
        <f aca="false">IF($A910="","",DATE(YEAR($A910),MONTH($A910),1))</f>
        <v/>
      </c>
      <c r="R910" s="30" t="str">
        <f aca="false">IF($A910="","",$A910+MOD(6-WEEKDAY($A910),7))</f>
        <v/>
      </c>
      <c r="S910" s="31" t="str">
        <f aca="false">IF($B910="","",IF(AND($M910='Invoice Builder'!$C$5,$Q910='Invoice Builder'!$C$6,N($N910)&gt;0),COUNTIFS($M$5:$M910,'Invoice Builder'!$C$5,$Q$5:$Q910,'Invoice Builder'!$C$6,$N$5:$N910,"&gt;0"),""))</f>
        <v/>
      </c>
      <c r="T910" s="27" t="str">
        <f aca="false">IF($A910="","",IF($A910&gt;=DATE(YEAR($A910),4,6),YEAR($A910)&amp;"/"&amp;RIGHT(YEAR($A910)+1,2),YEAR($A910)-1&amp;"/"&amp;RIGHT(YEAR($A910),2)))</f>
        <v/>
      </c>
    </row>
    <row r="911" customFormat="false" ht="15" hidden="false" customHeight="false" outlineLevel="0" collapsed="false">
      <c r="A911" s="22"/>
      <c r="B911" s="23"/>
      <c r="C911" s="23"/>
      <c r="D911" s="23"/>
      <c r="E911" s="24"/>
      <c r="F911" s="24"/>
      <c r="G911" s="23"/>
      <c r="H911" s="23"/>
      <c r="I911" s="25"/>
      <c r="J911" s="23"/>
      <c r="K911" s="23"/>
      <c r="L911" s="26" t="str">
        <f aca="false">IF(OR($E911="",$F911=""),"",MOD($F911-$E911,1)*24)</f>
        <v/>
      </c>
      <c r="M911" s="27" t="str">
        <f aca="false">IF($B911="","",IFERROR(INDEX(Properties!$D$5:$D$104,MATCH($B911,Properties!$A$5:$A$104,0)),"?"))</f>
        <v/>
      </c>
      <c r="N911" s="28" t="str">
        <f aca="false">IF($B911="","",IFERROR(IF($D911="Completed",INDEX(Properties!$I$5:$I$104,MATCH($B911,Properties!$A$5:$A$104,0))*(1+IF($G911="Y",Settings!$B$8,0))+IF($H911="Y",Settings!$B$7,0)+N($I911),IF($D911="Deep clean",INDEX(Settings!$E$22:$E$26,MATCH(MIN(INDEX(Properties!$E$5:$E$104,MATCH($B911,Properties!$A$5:$A$104,0)),4),Settings!$A$22:$A$26,0))+N($I911),IF($D911="Late cancel",INDEX(Properties!$I$5:$I$104,MATCH($B911,Properties!$A$5:$A$104,0))*Settings!$B$10,0))),0))</f>
        <v/>
      </c>
      <c r="O911" s="28" t="str">
        <f aca="false">IF($B911="","",IFERROR(IF($D911="Completed",INDEX(Properties!$L$5:$L$104,MATCH($B911,Properties!$A$5:$A$104,0))+IF($G911="Y",INDEX(Properties!$I$5:$I$104,MATCH($B911,Properties!$A$5:$A$104,0))*Settings!$B$8*Settings!$B$9,0)+IF($H911="Y",Settings!$B$7*Settings!$B$9,0)+N($I911)*Settings!$B$9,IF($D911="Deep clean",INDEX(Settings!$E$22:$E$26,MATCH(MIN(INDEX(Properties!$E$5:$E$104,MATCH($B911,Properties!$A$5:$A$104,0)),4),Settings!$A$22:$A$26,0))*Settings!$B$19+N($I911)*Settings!$B$9,IF($D911="Late cancel",INDEX(Properties!$L$5:$L$104,MATCH($B911,Properties!$A$5:$A$104,0))*Settings!$B$11,0))),0))</f>
        <v/>
      </c>
      <c r="P911" s="28" t="str">
        <f aca="false">IF($B911="","",$N911-$O911)</f>
        <v/>
      </c>
      <c r="Q911" s="29" t="str">
        <f aca="false">IF($A911="","",DATE(YEAR($A911),MONTH($A911),1))</f>
        <v/>
      </c>
      <c r="R911" s="30" t="str">
        <f aca="false">IF($A911="","",$A911+MOD(6-WEEKDAY($A911),7))</f>
        <v/>
      </c>
      <c r="S911" s="31" t="str">
        <f aca="false">IF($B911="","",IF(AND($M911='Invoice Builder'!$C$5,$Q911='Invoice Builder'!$C$6,N($N911)&gt;0),COUNTIFS($M$5:$M911,'Invoice Builder'!$C$5,$Q$5:$Q911,'Invoice Builder'!$C$6,$N$5:$N911,"&gt;0"),""))</f>
        <v/>
      </c>
      <c r="T911" s="27" t="str">
        <f aca="false">IF($A911="","",IF($A911&gt;=DATE(YEAR($A911),4,6),YEAR($A911)&amp;"/"&amp;RIGHT(YEAR($A911)+1,2),YEAR($A911)-1&amp;"/"&amp;RIGHT(YEAR($A911),2)))</f>
        <v/>
      </c>
    </row>
    <row r="912" customFormat="false" ht="15" hidden="false" customHeight="false" outlineLevel="0" collapsed="false">
      <c r="A912" s="22"/>
      <c r="B912" s="23"/>
      <c r="C912" s="23"/>
      <c r="D912" s="23"/>
      <c r="E912" s="24"/>
      <c r="F912" s="24"/>
      <c r="G912" s="23"/>
      <c r="H912" s="23"/>
      <c r="I912" s="25"/>
      <c r="J912" s="23"/>
      <c r="K912" s="23"/>
      <c r="L912" s="26" t="str">
        <f aca="false">IF(OR($E912="",$F912=""),"",MOD($F912-$E912,1)*24)</f>
        <v/>
      </c>
      <c r="M912" s="27" t="str">
        <f aca="false">IF($B912="","",IFERROR(INDEX(Properties!$D$5:$D$104,MATCH($B912,Properties!$A$5:$A$104,0)),"?"))</f>
        <v/>
      </c>
      <c r="N912" s="28" t="str">
        <f aca="false">IF($B912="","",IFERROR(IF($D912="Completed",INDEX(Properties!$I$5:$I$104,MATCH($B912,Properties!$A$5:$A$104,0))*(1+IF($G912="Y",Settings!$B$8,0))+IF($H912="Y",Settings!$B$7,0)+N($I912),IF($D912="Deep clean",INDEX(Settings!$E$22:$E$26,MATCH(MIN(INDEX(Properties!$E$5:$E$104,MATCH($B912,Properties!$A$5:$A$104,0)),4),Settings!$A$22:$A$26,0))+N($I912),IF($D912="Late cancel",INDEX(Properties!$I$5:$I$104,MATCH($B912,Properties!$A$5:$A$104,0))*Settings!$B$10,0))),0))</f>
        <v/>
      </c>
      <c r="O912" s="28" t="str">
        <f aca="false">IF($B912="","",IFERROR(IF($D912="Completed",INDEX(Properties!$L$5:$L$104,MATCH($B912,Properties!$A$5:$A$104,0))+IF($G912="Y",INDEX(Properties!$I$5:$I$104,MATCH($B912,Properties!$A$5:$A$104,0))*Settings!$B$8*Settings!$B$9,0)+IF($H912="Y",Settings!$B$7*Settings!$B$9,0)+N($I912)*Settings!$B$9,IF($D912="Deep clean",INDEX(Settings!$E$22:$E$26,MATCH(MIN(INDEX(Properties!$E$5:$E$104,MATCH($B912,Properties!$A$5:$A$104,0)),4),Settings!$A$22:$A$26,0))*Settings!$B$19+N($I912)*Settings!$B$9,IF($D912="Late cancel",INDEX(Properties!$L$5:$L$104,MATCH($B912,Properties!$A$5:$A$104,0))*Settings!$B$11,0))),0))</f>
        <v/>
      </c>
      <c r="P912" s="28" t="str">
        <f aca="false">IF($B912="","",$N912-$O912)</f>
        <v/>
      </c>
      <c r="Q912" s="29" t="str">
        <f aca="false">IF($A912="","",DATE(YEAR($A912),MONTH($A912),1))</f>
        <v/>
      </c>
      <c r="R912" s="30" t="str">
        <f aca="false">IF($A912="","",$A912+MOD(6-WEEKDAY($A912),7))</f>
        <v/>
      </c>
      <c r="S912" s="31" t="str">
        <f aca="false">IF($B912="","",IF(AND($M912='Invoice Builder'!$C$5,$Q912='Invoice Builder'!$C$6,N($N912)&gt;0),COUNTIFS($M$5:$M912,'Invoice Builder'!$C$5,$Q$5:$Q912,'Invoice Builder'!$C$6,$N$5:$N912,"&gt;0"),""))</f>
        <v/>
      </c>
      <c r="T912" s="27" t="str">
        <f aca="false">IF($A912="","",IF($A912&gt;=DATE(YEAR($A912),4,6),YEAR($A912)&amp;"/"&amp;RIGHT(YEAR($A912)+1,2),YEAR($A912)-1&amp;"/"&amp;RIGHT(YEAR($A912),2)))</f>
        <v/>
      </c>
    </row>
    <row r="913" customFormat="false" ht="15" hidden="false" customHeight="false" outlineLevel="0" collapsed="false">
      <c r="A913" s="22"/>
      <c r="B913" s="23"/>
      <c r="C913" s="23"/>
      <c r="D913" s="23"/>
      <c r="E913" s="24"/>
      <c r="F913" s="24"/>
      <c r="G913" s="23"/>
      <c r="H913" s="23"/>
      <c r="I913" s="25"/>
      <c r="J913" s="23"/>
      <c r="K913" s="23"/>
      <c r="L913" s="26" t="str">
        <f aca="false">IF(OR($E913="",$F913=""),"",MOD($F913-$E913,1)*24)</f>
        <v/>
      </c>
      <c r="M913" s="27" t="str">
        <f aca="false">IF($B913="","",IFERROR(INDEX(Properties!$D$5:$D$104,MATCH($B913,Properties!$A$5:$A$104,0)),"?"))</f>
        <v/>
      </c>
      <c r="N913" s="28" t="str">
        <f aca="false">IF($B913="","",IFERROR(IF($D913="Completed",INDEX(Properties!$I$5:$I$104,MATCH($B913,Properties!$A$5:$A$104,0))*(1+IF($G913="Y",Settings!$B$8,0))+IF($H913="Y",Settings!$B$7,0)+N($I913),IF($D913="Deep clean",INDEX(Settings!$E$22:$E$26,MATCH(MIN(INDEX(Properties!$E$5:$E$104,MATCH($B913,Properties!$A$5:$A$104,0)),4),Settings!$A$22:$A$26,0))+N($I913),IF($D913="Late cancel",INDEX(Properties!$I$5:$I$104,MATCH($B913,Properties!$A$5:$A$104,0))*Settings!$B$10,0))),0))</f>
        <v/>
      </c>
      <c r="O913" s="28" t="str">
        <f aca="false">IF($B913="","",IFERROR(IF($D913="Completed",INDEX(Properties!$L$5:$L$104,MATCH($B913,Properties!$A$5:$A$104,0))+IF($G913="Y",INDEX(Properties!$I$5:$I$104,MATCH($B913,Properties!$A$5:$A$104,0))*Settings!$B$8*Settings!$B$9,0)+IF($H913="Y",Settings!$B$7*Settings!$B$9,0)+N($I913)*Settings!$B$9,IF($D913="Deep clean",INDEX(Settings!$E$22:$E$26,MATCH(MIN(INDEX(Properties!$E$5:$E$104,MATCH($B913,Properties!$A$5:$A$104,0)),4),Settings!$A$22:$A$26,0))*Settings!$B$19+N($I913)*Settings!$B$9,IF($D913="Late cancel",INDEX(Properties!$L$5:$L$104,MATCH($B913,Properties!$A$5:$A$104,0))*Settings!$B$11,0))),0))</f>
        <v/>
      </c>
      <c r="P913" s="28" t="str">
        <f aca="false">IF($B913="","",$N913-$O913)</f>
        <v/>
      </c>
      <c r="Q913" s="29" t="str">
        <f aca="false">IF($A913="","",DATE(YEAR($A913),MONTH($A913),1))</f>
        <v/>
      </c>
      <c r="R913" s="30" t="str">
        <f aca="false">IF($A913="","",$A913+MOD(6-WEEKDAY($A913),7))</f>
        <v/>
      </c>
      <c r="S913" s="31" t="str">
        <f aca="false">IF($B913="","",IF(AND($M913='Invoice Builder'!$C$5,$Q913='Invoice Builder'!$C$6,N($N913)&gt;0),COUNTIFS($M$5:$M913,'Invoice Builder'!$C$5,$Q$5:$Q913,'Invoice Builder'!$C$6,$N$5:$N913,"&gt;0"),""))</f>
        <v/>
      </c>
      <c r="T913" s="27" t="str">
        <f aca="false">IF($A913="","",IF($A913&gt;=DATE(YEAR($A913),4,6),YEAR($A913)&amp;"/"&amp;RIGHT(YEAR($A913)+1,2),YEAR($A913)-1&amp;"/"&amp;RIGHT(YEAR($A913),2)))</f>
        <v/>
      </c>
    </row>
    <row r="914" customFormat="false" ht="15" hidden="false" customHeight="false" outlineLevel="0" collapsed="false">
      <c r="A914" s="22"/>
      <c r="B914" s="23"/>
      <c r="C914" s="23"/>
      <c r="D914" s="23"/>
      <c r="E914" s="24"/>
      <c r="F914" s="24"/>
      <c r="G914" s="23"/>
      <c r="H914" s="23"/>
      <c r="I914" s="25"/>
      <c r="J914" s="23"/>
      <c r="K914" s="23"/>
      <c r="L914" s="26" t="str">
        <f aca="false">IF(OR($E914="",$F914=""),"",MOD($F914-$E914,1)*24)</f>
        <v/>
      </c>
      <c r="M914" s="27" t="str">
        <f aca="false">IF($B914="","",IFERROR(INDEX(Properties!$D$5:$D$104,MATCH($B914,Properties!$A$5:$A$104,0)),"?"))</f>
        <v/>
      </c>
      <c r="N914" s="28" t="str">
        <f aca="false">IF($B914="","",IFERROR(IF($D914="Completed",INDEX(Properties!$I$5:$I$104,MATCH($B914,Properties!$A$5:$A$104,0))*(1+IF($G914="Y",Settings!$B$8,0))+IF($H914="Y",Settings!$B$7,0)+N($I914),IF($D914="Deep clean",INDEX(Settings!$E$22:$E$26,MATCH(MIN(INDEX(Properties!$E$5:$E$104,MATCH($B914,Properties!$A$5:$A$104,0)),4),Settings!$A$22:$A$26,0))+N($I914),IF($D914="Late cancel",INDEX(Properties!$I$5:$I$104,MATCH($B914,Properties!$A$5:$A$104,0))*Settings!$B$10,0))),0))</f>
        <v/>
      </c>
      <c r="O914" s="28" t="str">
        <f aca="false">IF($B914="","",IFERROR(IF($D914="Completed",INDEX(Properties!$L$5:$L$104,MATCH($B914,Properties!$A$5:$A$104,0))+IF($G914="Y",INDEX(Properties!$I$5:$I$104,MATCH($B914,Properties!$A$5:$A$104,0))*Settings!$B$8*Settings!$B$9,0)+IF($H914="Y",Settings!$B$7*Settings!$B$9,0)+N($I914)*Settings!$B$9,IF($D914="Deep clean",INDEX(Settings!$E$22:$E$26,MATCH(MIN(INDEX(Properties!$E$5:$E$104,MATCH($B914,Properties!$A$5:$A$104,0)),4),Settings!$A$22:$A$26,0))*Settings!$B$19+N($I914)*Settings!$B$9,IF($D914="Late cancel",INDEX(Properties!$L$5:$L$104,MATCH($B914,Properties!$A$5:$A$104,0))*Settings!$B$11,0))),0))</f>
        <v/>
      </c>
      <c r="P914" s="28" t="str">
        <f aca="false">IF($B914="","",$N914-$O914)</f>
        <v/>
      </c>
      <c r="Q914" s="29" t="str">
        <f aca="false">IF($A914="","",DATE(YEAR($A914),MONTH($A914),1))</f>
        <v/>
      </c>
      <c r="R914" s="30" t="str">
        <f aca="false">IF($A914="","",$A914+MOD(6-WEEKDAY($A914),7))</f>
        <v/>
      </c>
      <c r="S914" s="31" t="str">
        <f aca="false">IF($B914="","",IF(AND($M914='Invoice Builder'!$C$5,$Q914='Invoice Builder'!$C$6,N($N914)&gt;0),COUNTIFS($M$5:$M914,'Invoice Builder'!$C$5,$Q$5:$Q914,'Invoice Builder'!$C$6,$N$5:$N914,"&gt;0"),""))</f>
        <v/>
      </c>
      <c r="T914" s="27" t="str">
        <f aca="false">IF($A914="","",IF($A914&gt;=DATE(YEAR($A914),4,6),YEAR($A914)&amp;"/"&amp;RIGHT(YEAR($A914)+1,2),YEAR($A914)-1&amp;"/"&amp;RIGHT(YEAR($A914),2)))</f>
        <v/>
      </c>
    </row>
    <row r="915" customFormat="false" ht="15" hidden="false" customHeight="false" outlineLevel="0" collapsed="false">
      <c r="A915" s="22"/>
      <c r="B915" s="23"/>
      <c r="C915" s="23"/>
      <c r="D915" s="23"/>
      <c r="E915" s="24"/>
      <c r="F915" s="24"/>
      <c r="G915" s="23"/>
      <c r="H915" s="23"/>
      <c r="I915" s="25"/>
      <c r="J915" s="23"/>
      <c r="K915" s="23"/>
      <c r="L915" s="26" t="str">
        <f aca="false">IF(OR($E915="",$F915=""),"",MOD($F915-$E915,1)*24)</f>
        <v/>
      </c>
      <c r="M915" s="27" t="str">
        <f aca="false">IF($B915="","",IFERROR(INDEX(Properties!$D$5:$D$104,MATCH($B915,Properties!$A$5:$A$104,0)),"?"))</f>
        <v/>
      </c>
      <c r="N915" s="28" t="str">
        <f aca="false">IF($B915="","",IFERROR(IF($D915="Completed",INDEX(Properties!$I$5:$I$104,MATCH($B915,Properties!$A$5:$A$104,0))*(1+IF($G915="Y",Settings!$B$8,0))+IF($H915="Y",Settings!$B$7,0)+N($I915),IF($D915="Deep clean",INDEX(Settings!$E$22:$E$26,MATCH(MIN(INDEX(Properties!$E$5:$E$104,MATCH($B915,Properties!$A$5:$A$104,0)),4),Settings!$A$22:$A$26,0))+N($I915),IF($D915="Late cancel",INDEX(Properties!$I$5:$I$104,MATCH($B915,Properties!$A$5:$A$104,0))*Settings!$B$10,0))),0))</f>
        <v/>
      </c>
      <c r="O915" s="28" t="str">
        <f aca="false">IF($B915="","",IFERROR(IF($D915="Completed",INDEX(Properties!$L$5:$L$104,MATCH($B915,Properties!$A$5:$A$104,0))+IF($G915="Y",INDEX(Properties!$I$5:$I$104,MATCH($B915,Properties!$A$5:$A$104,0))*Settings!$B$8*Settings!$B$9,0)+IF($H915="Y",Settings!$B$7*Settings!$B$9,0)+N($I915)*Settings!$B$9,IF($D915="Deep clean",INDEX(Settings!$E$22:$E$26,MATCH(MIN(INDEX(Properties!$E$5:$E$104,MATCH($B915,Properties!$A$5:$A$104,0)),4),Settings!$A$22:$A$26,0))*Settings!$B$19+N($I915)*Settings!$B$9,IF($D915="Late cancel",INDEX(Properties!$L$5:$L$104,MATCH($B915,Properties!$A$5:$A$104,0))*Settings!$B$11,0))),0))</f>
        <v/>
      </c>
      <c r="P915" s="28" t="str">
        <f aca="false">IF($B915="","",$N915-$O915)</f>
        <v/>
      </c>
      <c r="Q915" s="29" t="str">
        <f aca="false">IF($A915="","",DATE(YEAR($A915),MONTH($A915),1))</f>
        <v/>
      </c>
      <c r="R915" s="30" t="str">
        <f aca="false">IF($A915="","",$A915+MOD(6-WEEKDAY($A915),7))</f>
        <v/>
      </c>
      <c r="S915" s="31" t="str">
        <f aca="false">IF($B915="","",IF(AND($M915='Invoice Builder'!$C$5,$Q915='Invoice Builder'!$C$6,N($N915)&gt;0),COUNTIFS($M$5:$M915,'Invoice Builder'!$C$5,$Q$5:$Q915,'Invoice Builder'!$C$6,$N$5:$N915,"&gt;0"),""))</f>
        <v/>
      </c>
      <c r="T915" s="27" t="str">
        <f aca="false">IF($A915="","",IF($A915&gt;=DATE(YEAR($A915),4,6),YEAR($A915)&amp;"/"&amp;RIGHT(YEAR($A915)+1,2),YEAR($A915)-1&amp;"/"&amp;RIGHT(YEAR($A915),2)))</f>
        <v/>
      </c>
    </row>
    <row r="916" customFormat="false" ht="15" hidden="false" customHeight="false" outlineLevel="0" collapsed="false">
      <c r="A916" s="22"/>
      <c r="B916" s="23"/>
      <c r="C916" s="23"/>
      <c r="D916" s="23"/>
      <c r="E916" s="24"/>
      <c r="F916" s="24"/>
      <c r="G916" s="23"/>
      <c r="H916" s="23"/>
      <c r="I916" s="25"/>
      <c r="J916" s="23"/>
      <c r="K916" s="23"/>
      <c r="L916" s="26" t="str">
        <f aca="false">IF(OR($E916="",$F916=""),"",MOD($F916-$E916,1)*24)</f>
        <v/>
      </c>
      <c r="M916" s="27" t="str">
        <f aca="false">IF($B916="","",IFERROR(INDEX(Properties!$D$5:$D$104,MATCH($B916,Properties!$A$5:$A$104,0)),"?"))</f>
        <v/>
      </c>
      <c r="N916" s="28" t="str">
        <f aca="false">IF($B916="","",IFERROR(IF($D916="Completed",INDEX(Properties!$I$5:$I$104,MATCH($B916,Properties!$A$5:$A$104,0))*(1+IF($G916="Y",Settings!$B$8,0))+IF($H916="Y",Settings!$B$7,0)+N($I916),IF($D916="Deep clean",INDEX(Settings!$E$22:$E$26,MATCH(MIN(INDEX(Properties!$E$5:$E$104,MATCH($B916,Properties!$A$5:$A$104,0)),4),Settings!$A$22:$A$26,0))+N($I916),IF($D916="Late cancel",INDEX(Properties!$I$5:$I$104,MATCH($B916,Properties!$A$5:$A$104,0))*Settings!$B$10,0))),0))</f>
        <v/>
      </c>
      <c r="O916" s="28" t="str">
        <f aca="false">IF($B916="","",IFERROR(IF($D916="Completed",INDEX(Properties!$L$5:$L$104,MATCH($B916,Properties!$A$5:$A$104,0))+IF($G916="Y",INDEX(Properties!$I$5:$I$104,MATCH($B916,Properties!$A$5:$A$104,0))*Settings!$B$8*Settings!$B$9,0)+IF($H916="Y",Settings!$B$7*Settings!$B$9,0)+N($I916)*Settings!$B$9,IF($D916="Deep clean",INDEX(Settings!$E$22:$E$26,MATCH(MIN(INDEX(Properties!$E$5:$E$104,MATCH($B916,Properties!$A$5:$A$104,0)),4),Settings!$A$22:$A$26,0))*Settings!$B$19+N($I916)*Settings!$B$9,IF($D916="Late cancel",INDEX(Properties!$L$5:$L$104,MATCH($B916,Properties!$A$5:$A$104,0))*Settings!$B$11,0))),0))</f>
        <v/>
      </c>
      <c r="P916" s="28" t="str">
        <f aca="false">IF($B916="","",$N916-$O916)</f>
        <v/>
      </c>
      <c r="Q916" s="29" t="str">
        <f aca="false">IF($A916="","",DATE(YEAR($A916),MONTH($A916),1))</f>
        <v/>
      </c>
      <c r="R916" s="30" t="str">
        <f aca="false">IF($A916="","",$A916+MOD(6-WEEKDAY($A916),7))</f>
        <v/>
      </c>
      <c r="S916" s="31" t="str">
        <f aca="false">IF($B916="","",IF(AND($M916='Invoice Builder'!$C$5,$Q916='Invoice Builder'!$C$6,N($N916)&gt;0),COUNTIFS($M$5:$M916,'Invoice Builder'!$C$5,$Q$5:$Q916,'Invoice Builder'!$C$6,$N$5:$N916,"&gt;0"),""))</f>
        <v/>
      </c>
      <c r="T916" s="27" t="str">
        <f aca="false">IF($A916="","",IF($A916&gt;=DATE(YEAR($A916),4,6),YEAR($A916)&amp;"/"&amp;RIGHT(YEAR($A916)+1,2),YEAR($A916)-1&amp;"/"&amp;RIGHT(YEAR($A916),2)))</f>
        <v/>
      </c>
    </row>
    <row r="917" customFormat="false" ht="15" hidden="false" customHeight="false" outlineLevel="0" collapsed="false">
      <c r="A917" s="22"/>
      <c r="B917" s="23"/>
      <c r="C917" s="23"/>
      <c r="D917" s="23"/>
      <c r="E917" s="24"/>
      <c r="F917" s="24"/>
      <c r="G917" s="23"/>
      <c r="H917" s="23"/>
      <c r="I917" s="25"/>
      <c r="J917" s="23"/>
      <c r="K917" s="23"/>
      <c r="L917" s="26" t="str">
        <f aca="false">IF(OR($E917="",$F917=""),"",MOD($F917-$E917,1)*24)</f>
        <v/>
      </c>
      <c r="M917" s="27" t="str">
        <f aca="false">IF($B917="","",IFERROR(INDEX(Properties!$D$5:$D$104,MATCH($B917,Properties!$A$5:$A$104,0)),"?"))</f>
        <v/>
      </c>
      <c r="N917" s="28" t="str">
        <f aca="false">IF($B917="","",IFERROR(IF($D917="Completed",INDEX(Properties!$I$5:$I$104,MATCH($B917,Properties!$A$5:$A$104,0))*(1+IF($G917="Y",Settings!$B$8,0))+IF($H917="Y",Settings!$B$7,0)+N($I917),IF($D917="Deep clean",INDEX(Settings!$E$22:$E$26,MATCH(MIN(INDEX(Properties!$E$5:$E$104,MATCH($B917,Properties!$A$5:$A$104,0)),4),Settings!$A$22:$A$26,0))+N($I917),IF($D917="Late cancel",INDEX(Properties!$I$5:$I$104,MATCH($B917,Properties!$A$5:$A$104,0))*Settings!$B$10,0))),0))</f>
        <v/>
      </c>
      <c r="O917" s="28" t="str">
        <f aca="false">IF($B917="","",IFERROR(IF($D917="Completed",INDEX(Properties!$L$5:$L$104,MATCH($B917,Properties!$A$5:$A$104,0))+IF($G917="Y",INDEX(Properties!$I$5:$I$104,MATCH($B917,Properties!$A$5:$A$104,0))*Settings!$B$8*Settings!$B$9,0)+IF($H917="Y",Settings!$B$7*Settings!$B$9,0)+N($I917)*Settings!$B$9,IF($D917="Deep clean",INDEX(Settings!$E$22:$E$26,MATCH(MIN(INDEX(Properties!$E$5:$E$104,MATCH($B917,Properties!$A$5:$A$104,0)),4),Settings!$A$22:$A$26,0))*Settings!$B$19+N($I917)*Settings!$B$9,IF($D917="Late cancel",INDEX(Properties!$L$5:$L$104,MATCH($B917,Properties!$A$5:$A$104,0))*Settings!$B$11,0))),0))</f>
        <v/>
      </c>
      <c r="P917" s="28" t="str">
        <f aca="false">IF($B917="","",$N917-$O917)</f>
        <v/>
      </c>
      <c r="Q917" s="29" t="str">
        <f aca="false">IF($A917="","",DATE(YEAR($A917),MONTH($A917),1))</f>
        <v/>
      </c>
      <c r="R917" s="30" t="str">
        <f aca="false">IF($A917="","",$A917+MOD(6-WEEKDAY($A917),7))</f>
        <v/>
      </c>
      <c r="S917" s="31" t="str">
        <f aca="false">IF($B917="","",IF(AND($M917='Invoice Builder'!$C$5,$Q917='Invoice Builder'!$C$6,N($N917)&gt;0),COUNTIFS($M$5:$M917,'Invoice Builder'!$C$5,$Q$5:$Q917,'Invoice Builder'!$C$6,$N$5:$N917,"&gt;0"),""))</f>
        <v/>
      </c>
      <c r="T917" s="27" t="str">
        <f aca="false">IF($A917="","",IF($A917&gt;=DATE(YEAR($A917),4,6),YEAR($A917)&amp;"/"&amp;RIGHT(YEAR($A917)+1,2),YEAR($A917)-1&amp;"/"&amp;RIGHT(YEAR($A917),2)))</f>
        <v/>
      </c>
    </row>
    <row r="918" customFormat="false" ht="15" hidden="false" customHeight="false" outlineLevel="0" collapsed="false">
      <c r="A918" s="22"/>
      <c r="B918" s="23"/>
      <c r="C918" s="23"/>
      <c r="D918" s="23"/>
      <c r="E918" s="24"/>
      <c r="F918" s="24"/>
      <c r="G918" s="23"/>
      <c r="H918" s="23"/>
      <c r="I918" s="25"/>
      <c r="J918" s="23"/>
      <c r="K918" s="23"/>
      <c r="L918" s="26" t="str">
        <f aca="false">IF(OR($E918="",$F918=""),"",MOD($F918-$E918,1)*24)</f>
        <v/>
      </c>
      <c r="M918" s="27" t="str">
        <f aca="false">IF($B918="","",IFERROR(INDEX(Properties!$D$5:$D$104,MATCH($B918,Properties!$A$5:$A$104,0)),"?"))</f>
        <v/>
      </c>
      <c r="N918" s="28" t="str">
        <f aca="false">IF($B918="","",IFERROR(IF($D918="Completed",INDEX(Properties!$I$5:$I$104,MATCH($B918,Properties!$A$5:$A$104,0))*(1+IF($G918="Y",Settings!$B$8,0))+IF($H918="Y",Settings!$B$7,0)+N($I918),IF($D918="Deep clean",INDEX(Settings!$E$22:$E$26,MATCH(MIN(INDEX(Properties!$E$5:$E$104,MATCH($B918,Properties!$A$5:$A$104,0)),4),Settings!$A$22:$A$26,0))+N($I918),IF($D918="Late cancel",INDEX(Properties!$I$5:$I$104,MATCH($B918,Properties!$A$5:$A$104,0))*Settings!$B$10,0))),0))</f>
        <v/>
      </c>
      <c r="O918" s="28" t="str">
        <f aca="false">IF($B918="","",IFERROR(IF($D918="Completed",INDEX(Properties!$L$5:$L$104,MATCH($B918,Properties!$A$5:$A$104,0))+IF($G918="Y",INDEX(Properties!$I$5:$I$104,MATCH($B918,Properties!$A$5:$A$104,0))*Settings!$B$8*Settings!$B$9,0)+IF($H918="Y",Settings!$B$7*Settings!$B$9,0)+N($I918)*Settings!$B$9,IF($D918="Deep clean",INDEX(Settings!$E$22:$E$26,MATCH(MIN(INDEX(Properties!$E$5:$E$104,MATCH($B918,Properties!$A$5:$A$104,0)),4),Settings!$A$22:$A$26,0))*Settings!$B$19+N($I918)*Settings!$B$9,IF($D918="Late cancel",INDEX(Properties!$L$5:$L$104,MATCH($B918,Properties!$A$5:$A$104,0))*Settings!$B$11,0))),0))</f>
        <v/>
      </c>
      <c r="P918" s="28" t="str">
        <f aca="false">IF($B918="","",$N918-$O918)</f>
        <v/>
      </c>
      <c r="Q918" s="29" t="str">
        <f aca="false">IF($A918="","",DATE(YEAR($A918),MONTH($A918),1))</f>
        <v/>
      </c>
      <c r="R918" s="30" t="str">
        <f aca="false">IF($A918="","",$A918+MOD(6-WEEKDAY($A918),7))</f>
        <v/>
      </c>
      <c r="S918" s="31" t="str">
        <f aca="false">IF($B918="","",IF(AND($M918='Invoice Builder'!$C$5,$Q918='Invoice Builder'!$C$6,N($N918)&gt;0),COUNTIFS($M$5:$M918,'Invoice Builder'!$C$5,$Q$5:$Q918,'Invoice Builder'!$C$6,$N$5:$N918,"&gt;0"),""))</f>
        <v/>
      </c>
      <c r="T918" s="27" t="str">
        <f aca="false">IF($A918="","",IF($A918&gt;=DATE(YEAR($A918),4,6),YEAR($A918)&amp;"/"&amp;RIGHT(YEAR($A918)+1,2),YEAR($A918)-1&amp;"/"&amp;RIGHT(YEAR($A918),2)))</f>
        <v/>
      </c>
    </row>
    <row r="919" customFormat="false" ht="15" hidden="false" customHeight="false" outlineLevel="0" collapsed="false">
      <c r="A919" s="22"/>
      <c r="B919" s="23"/>
      <c r="C919" s="23"/>
      <c r="D919" s="23"/>
      <c r="E919" s="24"/>
      <c r="F919" s="24"/>
      <c r="G919" s="23"/>
      <c r="H919" s="23"/>
      <c r="I919" s="25"/>
      <c r="J919" s="23"/>
      <c r="K919" s="23"/>
      <c r="L919" s="26" t="str">
        <f aca="false">IF(OR($E919="",$F919=""),"",MOD($F919-$E919,1)*24)</f>
        <v/>
      </c>
      <c r="M919" s="27" t="str">
        <f aca="false">IF($B919="","",IFERROR(INDEX(Properties!$D$5:$D$104,MATCH($B919,Properties!$A$5:$A$104,0)),"?"))</f>
        <v/>
      </c>
      <c r="N919" s="28" t="str">
        <f aca="false">IF($B919="","",IFERROR(IF($D919="Completed",INDEX(Properties!$I$5:$I$104,MATCH($B919,Properties!$A$5:$A$104,0))*(1+IF($G919="Y",Settings!$B$8,0))+IF($H919="Y",Settings!$B$7,0)+N($I919),IF($D919="Deep clean",INDEX(Settings!$E$22:$E$26,MATCH(MIN(INDEX(Properties!$E$5:$E$104,MATCH($B919,Properties!$A$5:$A$104,0)),4),Settings!$A$22:$A$26,0))+N($I919),IF($D919="Late cancel",INDEX(Properties!$I$5:$I$104,MATCH($B919,Properties!$A$5:$A$104,0))*Settings!$B$10,0))),0))</f>
        <v/>
      </c>
      <c r="O919" s="28" t="str">
        <f aca="false">IF($B919="","",IFERROR(IF($D919="Completed",INDEX(Properties!$L$5:$L$104,MATCH($B919,Properties!$A$5:$A$104,0))+IF($G919="Y",INDEX(Properties!$I$5:$I$104,MATCH($B919,Properties!$A$5:$A$104,0))*Settings!$B$8*Settings!$B$9,0)+IF($H919="Y",Settings!$B$7*Settings!$B$9,0)+N($I919)*Settings!$B$9,IF($D919="Deep clean",INDEX(Settings!$E$22:$E$26,MATCH(MIN(INDEX(Properties!$E$5:$E$104,MATCH($B919,Properties!$A$5:$A$104,0)),4),Settings!$A$22:$A$26,0))*Settings!$B$19+N($I919)*Settings!$B$9,IF($D919="Late cancel",INDEX(Properties!$L$5:$L$104,MATCH($B919,Properties!$A$5:$A$104,0))*Settings!$B$11,0))),0))</f>
        <v/>
      </c>
      <c r="P919" s="28" t="str">
        <f aca="false">IF($B919="","",$N919-$O919)</f>
        <v/>
      </c>
      <c r="Q919" s="29" t="str">
        <f aca="false">IF($A919="","",DATE(YEAR($A919),MONTH($A919),1))</f>
        <v/>
      </c>
      <c r="R919" s="30" t="str">
        <f aca="false">IF($A919="","",$A919+MOD(6-WEEKDAY($A919),7))</f>
        <v/>
      </c>
      <c r="S919" s="31" t="str">
        <f aca="false">IF($B919="","",IF(AND($M919='Invoice Builder'!$C$5,$Q919='Invoice Builder'!$C$6,N($N919)&gt;0),COUNTIFS($M$5:$M919,'Invoice Builder'!$C$5,$Q$5:$Q919,'Invoice Builder'!$C$6,$N$5:$N919,"&gt;0"),""))</f>
        <v/>
      </c>
      <c r="T919" s="27" t="str">
        <f aca="false">IF($A919="","",IF($A919&gt;=DATE(YEAR($A919),4,6),YEAR($A919)&amp;"/"&amp;RIGHT(YEAR($A919)+1,2),YEAR($A919)-1&amp;"/"&amp;RIGHT(YEAR($A919),2)))</f>
        <v/>
      </c>
    </row>
    <row r="920" customFormat="false" ht="15" hidden="false" customHeight="false" outlineLevel="0" collapsed="false">
      <c r="A920" s="22"/>
      <c r="B920" s="23"/>
      <c r="C920" s="23"/>
      <c r="D920" s="23"/>
      <c r="E920" s="24"/>
      <c r="F920" s="24"/>
      <c r="G920" s="23"/>
      <c r="H920" s="23"/>
      <c r="I920" s="25"/>
      <c r="J920" s="23"/>
      <c r="K920" s="23"/>
      <c r="L920" s="26" t="str">
        <f aca="false">IF(OR($E920="",$F920=""),"",MOD($F920-$E920,1)*24)</f>
        <v/>
      </c>
      <c r="M920" s="27" t="str">
        <f aca="false">IF($B920="","",IFERROR(INDEX(Properties!$D$5:$D$104,MATCH($B920,Properties!$A$5:$A$104,0)),"?"))</f>
        <v/>
      </c>
      <c r="N920" s="28" t="str">
        <f aca="false">IF($B920="","",IFERROR(IF($D920="Completed",INDEX(Properties!$I$5:$I$104,MATCH($B920,Properties!$A$5:$A$104,0))*(1+IF($G920="Y",Settings!$B$8,0))+IF($H920="Y",Settings!$B$7,0)+N($I920),IF($D920="Deep clean",INDEX(Settings!$E$22:$E$26,MATCH(MIN(INDEX(Properties!$E$5:$E$104,MATCH($B920,Properties!$A$5:$A$104,0)),4),Settings!$A$22:$A$26,0))+N($I920),IF($D920="Late cancel",INDEX(Properties!$I$5:$I$104,MATCH($B920,Properties!$A$5:$A$104,0))*Settings!$B$10,0))),0))</f>
        <v/>
      </c>
      <c r="O920" s="28" t="str">
        <f aca="false">IF($B920="","",IFERROR(IF($D920="Completed",INDEX(Properties!$L$5:$L$104,MATCH($B920,Properties!$A$5:$A$104,0))+IF($G920="Y",INDEX(Properties!$I$5:$I$104,MATCH($B920,Properties!$A$5:$A$104,0))*Settings!$B$8*Settings!$B$9,0)+IF($H920="Y",Settings!$B$7*Settings!$B$9,0)+N($I920)*Settings!$B$9,IF($D920="Deep clean",INDEX(Settings!$E$22:$E$26,MATCH(MIN(INDEX(Properties!$E$5:$E$104,MATCH($B920,Properties!$A$5:$A$104,0)),4),Settings!$A$22:$A$26,0))*Settings!$B$19+N($I920)*Settings!$B$9,IF($D920="Late cancel",INDEX(Properties!$L$5:$L$104,MATCH($B920,Properties!$A$5:$A$104,0))*Settings!$B$11,0))),0))</f>
        <v/>
      </c>
      <c r="P920" s="28" t="str">
        <f aca="false">IF($B920="","",$N920-$O920)</f>
        <v/>
      </c>
      <c r="Q920" s="29" t="str">
        <f aca="false">IF($A920="","",DATE(YEAR($A920),MONTH($A920),1))</f>
        <v/>
      </c>
      <c r="R920" s="30" t="str">
        <f aca="false">IF($A920="","",$A920+MOD(6-WEEKDAY($A920),7))</f>
        <v/>
      </c>
      <c r="S920" s="31" t="str">
        <f aca="false">IF($B920="","",IF(AND($M920='Invoice Builder'!$C$5,$Q920='Invoice Builder'!$C$6,N($N920)&gt;0),COUNTIFS($M$5:$M920,'Invoice Builder'!$C$5,$Q$5:$Q920,'Invoice Builder'!$C$6,$N$5:$N920,"&gt;0"),""))</f>
        <v/>
      </c>
      <c r="T920" s="27" t="str">
        <f aca="false">IF($A920="","",IF($A920&gt;=DATE(YEAR($A920),4,6),YEAR($A920)&amp;"/"&amp;RIGHT(YEAR($A920)+1,2),YEAR($A920)-1&amp;"/"&amp;RIGHT(YEAR($A920),2)))</f>
        <v/>
      </c>
    </row>
    <row r="921" customFormat="false" ht="15" hidden="false" customHeight="false" outlineLevel="0" collapsed="false">
      <c r="A921" s="22"/>
      <c r="B921" s="23"/>
      <c r="C921" s="23"/>
      <c r="D921" s="23"/>
      <c r="E921" s="24"/>
      <c r="F921" s="24"/>
      <c r="G921" s="23"/>
      <c r="H921" s="23"/>
      <c r="I921" s="25"/>
      <c r="J921" s="23"/>
      <c r="K921" s="23"/>
      <c r="L921" s="26" t="str">
        <f aca="false">IF(OR($E921="",$F921=""),"",MOD($F921-$E921,1)*24)</f>
        <v/>
      </c>
      <c r="M921" s="27" t="str">
        <f aca="false">IF($B921="","",IFERROR(INDEX(Properties!$D$5:$D$104,MATCH($B921,Properties!$A$5:$A$104,0)),"?"))</f>
        <v/>
      </c>
      <c r="N921" s="28" t="str">
        <f aca="false">IF($B921="","",IFERROR(IF($D921="Completed",INDEX(Properties!$I$5:$I$104,MATCH($B921,Properties!$A$5:$A$104,0))*(1+IF($G921="Y",Settings!$B$8,0))+IF($H921="Y",Settings!$B$7,0)+N($I921),IF($D921="Deep clean",INDEX(Settings!$E$22:$E$26,MATCH(MIN(INDEX(Properties!$E$5:$E$104,MATCH($B921,Properties!$A$5:$A$104,0)),4),Settings!$A$22:$A$26,0))+N($I921),IF($D921="Late cancel",INDEX(Properties!$I$5:$I$104,MATCH($B921,Properties!$A$5:$A$104,0))*Settings!$B$10,0))),0))</f>
        <v/>
      </c>
      <c r="O921" s="28" t="str">
        <f aca="false">IF($B921="","",IFERROR(IF($D921="Completed",INDEX(Properties!$L$5:$L$104,MATCH($B921,Properties!$A$5:$A$104,0))+IF($G921="Y",INDEX(Properties!$I$5:$I$104,MATCH($B921,Properties!$A$5:$A$104,0))*Settings!$B$8*Settings!$B$9,0)+IF($H921="Y",Settings!$B$7*Settings!$B$9,0)+N($I921)*Settings!$B$9,IF($D921="Deep clean",INDEX(Settings!$E$22:$E$26,MATCH(MIN(INDEX(Properties!$E$5:$E$104,MATCH($B921,Properties!$A$5:$A$104,0)),4),Settings!$A$22:$A$26,0))*Settings!$B$19+N($I921)*Settings!$B$9,IF($D921="Late cancel",INDEX(Properties!$L$5:$L$104,MATCH($B921,Properties!$A$5:$A$104,0))*Settings!$B$11,0))),0))</f>
        <v/>
      </c>
      <c r="P921" s="28" t="str">
        <f aca="false">IF($B921="","",$N921-$O921)</f>
        <v/>
      </c>
      <c r="Q921" s="29" t="str">
        <f aca="false">IF($A921="","",DATE(YEAR($A921),MONTH($A921),1))</f>
        <v/>
      </c>
      <c r="R921" s="30" t="str">
        <f aca="false">IF($A921="","",$A921+MOD(6-WEEKDAY($A921),7))</f>
        <v/>
      </c>
      <c r="S921" s="31" t="str">
        <f aca="false">IF($B921="","",IF(AND($M921='Invoice Builder'!$C$5,$Q921='Invoice Builder'!$C$6,N($N921)&gt;0),COUNTIFS($M$5:$M921,'Invoice Builder'!$C$5,$Q$5:$Q921,'Invoice Builder'!$C$6,$N$5:$N921,"&gt;0"),""))</f>
        <v/>
      </c>
      <c r="T921" s="27" t="str">
        <f aca="false">IF($A921="","",IF($A921&gt;=DATE(YEAR($A921),4,6),YEAR($A921)&amp;"/"&amp;RIGHT(YEAR($A921)+1,2),YEAR($A921)-1&amp;"/"&amp;RIGHT(YEAR($A921),2)))</f>
        <v/>
      </c>
    </row>
    <row r="922" customFormat="false" ht="15" hidden="false" customHeight="false" outlineLevel="0" collapsed="false">
      <c r="A922" s="22"/>
      <c r="B922" s="23"/>
      <c r="C922" s="23"/>
      <c r="D922" s="23"/>
      <c r="E922" s="24"/>
      <c r="F922" s="24"/>
      <c r="G922" s="23"/>
      <c r="H922" s="23"/>
      <c r="I922" s="25"/>
      <c r="J922" s="23"/>
      <c r="K922" s="23"/>
      <c r="L922" s="26" t="str">
        <f aca="false">IF(OR($E922="",$F922=""),"",MOD($F922-$E922,1)*24)</f>
        <v/>
      </c>
      <c r="M922" s="27" t="str">
        <f aca="false">IF($B922="","",IFERROR(INDEX(Properties!$D$5:$D$104,MATCH($B922,Properties!$A$5:$A$104,0)),"?"))</f>
        <v/>
      </c>
      <c r="N922" s="28" t="str">
        <f aca="false">IF($B922="","",IFERROR(IF($D922="Completed",INDEX(Properties!$I$5:$I$104,MATCH($B922,Properties!$A$5:$A$104,0))*(1+IF($G922="Y",Settings!$B$8,0))+IF($H922="Y",Settings!$B$7,0)+N($I922),IF($D922="Deep clean",INDEX(Settings!$E$22:$E$26,MATCH(MIN(INDEX(Properties!$E$5:$E$104,MATCH($B922,Properties!$A$5:$A$104,0)),4),Settings!$A$22:$A$26,0))+N($I922),IF($D922="Late cancel",INDEX(Properties!$I$5:$I$104,MATCH($B922,Properties!$A$5:$A$104,0))*Settings!$B$10,0))),0))</f>
        <v/>
      </c>
      <c r="O922" s="28" t="str">
        <f aca="false">IF($B922="","",IFERROR(IF($D922="Completed",INDEX(Properties!$L$5:$L$104,MATCH($B922,Properties!$A$5:$A$104,0))+IF($G922="Y",INDEX(Properties!$I$5:$I$104,MATCH($B922,Properties!$A$5:$A$104,0))*Settings!$B$8*Settings!$B$9,0)+IF($H922="Y",Settings!$B$7*Settings!$B$9,0)+N($I922)*Settings!$B$9,IF($D922="Deep clean",INDEX(Settings!$E$22:$E$26,MATCH(MIN(INDEX(Properties!$E$5:$E$104,MATCH($B922,Properties!$A$5:$A$104,0)),4),Settings!$A$22:$A$26,0))*Settings!$B$19+N($I922)*Settings!$B$9,IF($D922="Late cancel",INDEX(Properties!$L$5:$L$104,MATCH($B922,Properties!$A$5:$A$104,0))*Settings!$B$11,0))),0))</f>
        <v/>
      </c>
      <c r="P922" s="28" t="str">
        <f aca="false">IF($B922="","",$N922-$O922)</f>
        <v/>
      </c>
      <c r="Q922" s="29" t="str">
        <f aca="false">IF($A922="","",DATE(YEAR($A922),MONTH($A922),1))</f>
        <v/>
      </c>
      <c r="R922" s="30" t="str">
        <f aca="false">IF($A922="","",$A922+MOD(6-WEEKDAY($A922),7))</f>
        <v/>
      </c>
      <c r="S922" s="31" t="str">
        <f aca="false">IF($B922="","",IF(AND($M922='Invoice Builder'!$C$5,$Q922='Invoice Builder'!$C$6,N($N922)&gt;0),COUNTIFS($M$5:$M922,'Invoice Builder'!$C$5,$Q$5:$Q922,'Invoice Builder'!$C$6,$N$5:$N922,"&gt;0"),""))</f>
        <v/>
      </c>
      <c r="T922" s="27" t="str">
        <f aca="false">IF($A922="","",IF($A922&gt;=DATE(YEAR($A922),4,6),YEAR($A922)&amp;"/"&amp;RIGHT(YEAR($A922)+1,2),YEAR($A922)-1&amp;"/"&amp;RIGHT(YEAR($A922),2)))</f>
        <v/>
      </c>
    </row>
    <row r="923" customFormat="false" ht="15" hidden="false" customHeight="false" outlineLevel="0" collapsed="false">
      <c r="A923" s="22"/>
      <c r="B923" s="23"/>
      <c r="C923" s="23"/>
      <c r="D923" s="23"/>
      <c r="E923" s="24"/>
      <c r="F923" s="24"/>
      <c r="G923" s="23"/>
      <c r="H923" s="23"/>
      <c r="I923" s="25"/>
      <c r="J923" s="23"/>
      <c r="K923" s="23"/>
      <c r="L923" s="26" t="str">
        <f aca="false">IF(OR($E923="",$F923=""),"",MOD($F923-$E923,1)*24)</f>
        <v/>
      </c>
      <c r="M923" s="27" t="str">
        <f aca="false">IF($B923="","",IFERROR(INDEX(Properties!$D$5:$D$104,MATCH($B923,Properties!$A$5:$A$104,0)),"?"))</f>
        <v/>
      </c>
      <c r="N923" s="28" t="str">
        <f aca="false">IF($B923="","",IFERROR(IF($D923="Completed",INDEX(Properties!$I$5:$I$104,MATCH($B923,Properties!$A$5:$A$104,0))*(1+IF($G923="Y",Settings!$B$8,0))+IF($H923="Y",Settings!$B$7,0)+N($I923),IF($D923="Deep clean",INDEX(Settings!$E$22:$E$26,MATCH(MIN(INDEX(Properties!$E$5:$E$104,MATCH($B923,Properties!$A$5:$A$104,0)),4),Settings!$A$22:$A$26,0))+N($I923),IF($D923="Late cancel",INDEX(Properties!$I$5:$I$104,MATCH($B923,Properties!$A$5:$A$104,0))*Settings!$B$10,0))),0))</f>
        <v/>
      </c>
      <c r="O923" s="28" t="str">
        <f aca="false">IF($B923="","",IFERROR(IF($D923="Completed",INDEX(Properties!$L$5:$L$104,MATCH($B923,Properties!$A$5:$A$104,0))+IF($G923="Y",INDEX(Properties!$I$5:$I$104,MATCH($B923,Properties!$A$5:$A$104,0))*Settings!$B$8*Settings!$B$9,0)+IF($H923="Y",Settings!$B$7*Settings!$B$9,0)+N($I923)*Settings!$B$9,IF($D923="Deep clean",INDEX(Settings!$E$22:$E$26,MATCH(MIN(INDEX(Properties!$E$5:$E$104,MATCH($B923,Properties!$A$5:$A$104,0)),4),Settings!$A$22:$A$26,0))*Settings!$B$19+N($I923)*Settings!$B$9,IF($D923="Late cancel",INDEX(Properties!$L$5:$L$104,MATCH($B923,Properties!$A$5:$A$104,0))*Settings!$B$11,0))),0))</f>
        <v/>
      </c>
      <c r="P923" s="28" t="str">
        <f aca="false">IF($B923="","",$N923-$O923)</f>
        <v/>
      </c>
      <c r="Q923" s="29" t="str">
        <f aca="false">IF($A923="","",DATE(YEAR($A923),MONTH($A923),1))</f>
        <v/>
      </c>
      <c r="R923" s="30" t="str">
        <f aca="false">IF($A923="","",$A923+MOD(6-WEEKDAY($A923),7))</f>
        <v/>
      </c>
      <c r="S923" s="31" t="str">
        <f aca="false">IF($B923="","",IF(AND($M923='Invoice Builder'!$C$5,$Q923='Invoice Builder'!$C$6,N($N923)&gt;0),COUNTIFS($M$5:$M923,'Invoice Builder'!$C$5,$Q$5:$Q923,'Invoice Builder'!$C$6,$N$5:$N923,"&gt;0"),""))</f>
        <v/>
      </c>
      <c r="T923" s="27" t="str">
        <f aca="false">IF($A923="","",IF($A923&gt;=DATE(YEAR($A923),4,6),YEAR($A923)&amp;"/"&amp;RIGHT(YEAR($A923)+1,2),YEAR($A923)-1&amp;"/"&amp;RIGHT(YEAR($A923),2)))</f>
        <v/>
      </c>
    </row>
    <row r="924" customFormat="false" ht="15" hidden="false" customHeight="false" outlineLevel="0" collapsed="false">
      <c r="A924" s="22"/>
      <c r="B924" s="23"/>
      <c r="C924" s="23"/>
      <c r="D924" s="23"/>
      <c r="E924" s="24"/>
      <c r="F924" s="24"/>
      <c r="G924" s="23"/>
      <c r="H924" s="23"/>
      <c r="I924" s="25"/>
      <c r="J924" s="23"/>
      <c r="K924" s="23"/>
      <c r="L924" s="26" t="str">
        <f aca="false">IF(OR($E924="",$F924=""),"",MOD($F924-$E924,1)*24)</f>
        <v/>
      </c>
      <c r="M924" s="27" t="str">
        <f aca="false">IF($B924="","",IFERROR(INDEX(Properties!$D$5:$D$104,MATCH($B924,Properties!$A$5:$A$104,0)),"?"))</f>
        <v/>
      </c>
      <c r="N924" s="28" t="str">
        <f aca="false">IF($B924="","",IFERROR(IF($D924="Completed",INDEX(Properties!$I$5:$I$104,MATCH($B924,Properties!$A$5:$A$104,0))*(1+IF($G924="Y",Settings!$B$8,0))+IF($H924="Y",Settings!$B$7,0)+N($I924),IF($D924="Deep clean",INDEX(Settings!$E$22:$E$26,MATCH(MIN(INDEX(Properties!$E$5:$E$104,MATCH($B924,Properties!$A$5:$A$104,0)),4),Settings!$A$22:$A$26,0))+N($I924),IF($D924="Late cancel",INDEX(Properties!$I$5:$I$104,MATCH($B924,Properties!$A$5:$A$104,0))*Settings!$B$10,0))),0))</f>
        <v/>
      </c>
      <c r="O924" s="28" t="str">
        <f aca="false">IF($B924="","",IFERROR(IF($D924="Completed",INDEX(Properties!$L$5:$L$104,MATCH($B924,Properties!$A$5:$A$104,0))+IF($G924="Y",INDEX(Properties!$I$5:$I$104,MATCH($B924,Properties!$A$5:$A$104,0))*Settings!$B$8*Settings!$B$9,0)+IF($H924="Y",Settings!$B$7*Settings!$B$9,0)+N($I924)*Settings!$B$9,IF($D924="Deep clean",INDEX(Settings!$E$22:$E$26,MATCH(MIN(INDEX(Properties!$E$5:$E$104,MATCH($B924,Properties!$A$5:$A$104,0)),4),Settings!$A$22:$A$26,0))*Settings!$B$19+N($I924)*Settings!$B$9,IF($D924="Late cancel",INDEX(Properties!$L$5:$L$104,MATCH($B924,Properties!$A$5:$A$104,0))*Settings!$B$11,0))),0))</f>
        <v/>
      </c>
      <c r="P924" s="28" t="str">
        <f aca="false">IF($B924="","",$N924-$O924)</f>
        <v/>
      </c>
      <c r="Q924" s="29" t="str">
        <f aca="false">IF($A924="","",DATE(YEAR($A924),MONTH($A924),1))</f>
        <v/>
      </c>
      <c r="R924" s="30" t="str">
        <f aca="false">IF($A924="","",$A924+MOD(6-WEEKDAY($A924),7))</f>
        <v/>
      </c>
      <c r="S924" s="31" t="str">
        <f aca="false">IF($B924="","",IF(AND($M924='Invoice Builder'!$C$5,$Q924='Invoice Builder'!$C$6,N($N924)&gt;0),COUNTIFS($M$5:$M924,'Invoice Builder'!$C$5,$Q$5:$Q924,'Invoice Builder'!$C$6,$N$5:$N924,"&gt;0"),""))</f>
        <v/>
      </c>
      <c r="T924" s="27" t="str">
        <f aca="false">IF($A924="","",IF($A924&gt;=DATE(YEAR($A924),4,6),YEAR($A924)&amp;"/"&amp;RIGHT(YEAR($A924)+1,2),YEAR($A924)-1&amp;"/"&amp;RIGHT(YEAR($A924),2)))</f>
        <v/>
      </c>
    </row>
    <row r="925" customFormat="false" ht="15" hidden="false" customHeight="false" outlineLevel="0" collapsed="false">
      <c r="A925" s="22"/>
      <c r="B925" s="23"/>
      <c r="C925" s="23"/>
      <c r="D925" s="23"/>
      <c r="E925" s="24"/>
      <c r="F925" s="24"/>
      <c r="G925" s="23"/>
      <c r="H925" s="23"/>
      <c r="I925" s="25"/>
      <c r="J925" s="23"/>
      <c r="K925" s="23"/>
      <c r="L925" s="26" t="str">
        <f aca="false">IF(OR($E925="",$F925=""),"",MOD($F925-$E925,1)*24)</f>
        <v/>
      </c>
      <c r="M925" s="27" t="str">
        <f aca="false">IF($B925="","",IFERROR(INDEX(Properties!$D$5:$D$104,MATCH($B925,Properties!$A$5:$A$104,0)),"?"))</f>
        <v/>
      </c>
      <c r="N925" s="28" t="str">
        <f aca="false">IF($B925="","",IFERROR(IF($D925="Completed",INDEX(Properties!$I$5:$I$104,MATCH($B925,Properties!$A$5:$A$104,0))*(1+IF($G925="Y",Settings!$B$8,0))+IF($H925="Y",Settings!$B$7,0)+N($I925),IF($D925="Deep clean",INDEX(Settings!$E$22:$E$26,MATCH(MIN(INDEX(Properties!$E$5:$E$104,MATCH($B925,Properties!$A$5:$A$104,0)),4),Settings!$A$22:$A$26,0))+N($I925),IF($D925="Late cancel",INDEX(Properties!$I$5:$I$104,MATCH($B925,Properties!$A$5:$A$104,0))*Settings!$B$10,0))),0))</f>
        <v/>
      </c>
      <c r="O925" s="28" t="str">
        <f aca="false">IF($B925="","",IFERROR(IF($D925="Completed",INDEX(Properties!$L$5:$L$104,MATCH($B925,Properties!$A$5:$A$104,0))+IF($G925="Y",INDEX(Properties!$I$5:$I$104,MATCH($B925,Properties!$A$5:$A$104,0))*Settings!$B$8*Settings!$B$9,0)+IF($H925="Y",Settings!$B$7*Settings!$B$9,0)+N($I925)*Settings!$B$9,IF($D925="Deep clean",INDEX(Settings!$E$22:$E$26,MATCH(MIN(INDEX(Properties!$E$5:$E$104,MATCH($B925,Properties!$A$5:$A$104,0)),4),Settings!$A$22:$A$26,0))*Settings!$B$19+N($I925)*Settings!$B$9,IF($D925="Late cancel",INDEX(Properties!$L$5:$L$104,MATCH($B925,Properties!$A$5:$A$104,0))*Settings!$B$11,0))),0))</f>
        <v/>
      </c>
      <c r="P925" s="28" t="str">
        <f aca="false">IF($B925="","",$N925-$O925)</f>
        <v/>
      </c>
      <c r="Q925" s="29" t="str">
        <f aca="false">IF($A925="","",DATE(YEAR($A925),MONTH($A925),1))</f>
        <v/>
      </c>
      <c r="R925" s="30" t="str">
        <f aca="false">IF($A925="","",$A925+MOD(6-WEEKDAY($A925),7))</f>
        <v/>
      </c>
      <c r="S925" s="31" t="str">
        <f aca="false">IF($B925="","",IF(AND($M925='Invoice Builder'!$C$5,$Q925='Invoice Builder'!$C$6,N($N925)&gt;0),COUNTIFS($M$5:$M925,'Invoice Builder'!$C$5,$Q$5:$Q925,'Invoice Builder'!$C$6,$N$5:$N925,"&gt;0"),""))</f>
        <v/>
      </c>
      <c r="T925" s="27" t="str">
        <f aca="false">IF($A925="","",IF($A925&gt;=DATE(YEAR($A925),4,6),YEAR($A925)&amp;"/"&amp;RIGHT(YEAR($A925)+1,2),YEAR($A925)-1&amp;"/"&amp;RIGHT(YEAR($A925),2)))</f>
        <v/>
      </c>
    </row>
    <row r="926" customFormat="false" ht="15" hidden="false" customHeight="false" outlineLevel="0" collapsed="false">
      <c r="A926" s="22"/>
      <c r="B926" s="23"/>
      <c r="C926" s="23"/>
      <c r="D926" s="23"/>
      <c r="E926" s="24"/>
      <c r="F926" s="24"/>
      <c r="G926" s="23"/>
      <c r="H926" s="23"/>
      <c r="I926" s="25"/>
      <c r="J926" s="23"/>
      <c r="K926" s="23"/>
      <c r="L926" s="26" t="str">
        <f aca="false">IF(OR($E926="",$F926=""),"",MOD($F926-$E926,1)*24)</f>
        <v/>
      </c>
      <c r="M926" s="27" t="str">
        <f aca="false">IF($B926="","",IFERROR(INDEX(Properties!$D$5:$D$104,MATCH($B926,Properties!$A$5:$A$104,0)),"?"))</f>
        <v/>
      </c>
      <c r="N926" s="28" t="str">
        <f aca="false">IF($B926="","",IFERROR(IF($D926="Completed",INDEX(Properties!$I$5:$I$104,MATCH($B926,Properties!$A$5:$A$104,0))*(1+IF($G926="Y",Settings!$B$8,0))+IF($H926="Y",Settings!$B$7,0)+N($I926),IF($D926="Deep clean",INDEX(Settings!$E$22:$E$26,MATCH(MIN(INDEX(Properties!$E$5:$E$104,MATCH($B926,Properties!$A$5:$A$104,0)),4),Settings!$A$22:$A$26,0))+N($I926),IF($D926="Late cancel",INDEX(Properties!$I$5:$I$104,MATCH($B926,Properties!$A$5:$A$104,0))*Settings!$B$10,0))),0))</f>
        <v/>
      </c>
      <c r="O926" s="28" t="str">
        <f aca="false">IF($B926="","",IFERROR(IF($D926="Completed",INDEX(Properties!$L$5:$L$104,MATCH($B926,Properties!$A$5:$A$104,0))+IF($G926="Y",INDEX(Properties!$I$5:$I$104,MATCH($B926,Properties!$A$5:$A$104,0))*Settings!$B$8*Settings!$B$9,0)+IF($H926="Y",Settings!$B$7*Settings!$B$9,0)+N($I926)*Settings!$B$9,IF($D926="Deep clean",INDEX(Settings!$E$22:$E$26,MATCH(MIN(INDEX(Properties!$E$5:$E$104,MATCH($B926,Properties!$A$5:$A$104,0)),4),Settings!$A$22:$A$26,0))*Settings!$B$19+N($I926)*Settings!$B$9,IF($D926="Late cancel",INDEX(Properties!$L$5:$L$104,MATCH($B926,Properties!$A$5:$A$104,0))*Settings!$B$11,0))),0))</f>
        <v/>
      </c>
      <c r="P926" s="28" t="str">
        <f aca="false">IF($B926="","",$N926-$O926)</f>
        <v/>
      </c>
      <c r="Q926" s="29" t="str">
        <f aca="false">IF($A926="","",DATE(YEAR($A926),MONTH($A926),1))</f>
        <v/>
      </c>
      <c r="R926" s="30" t="str">
        <f aca="false">IF($A926="","",$A926+MOD(6-WEEKDAY($A926),7))</f>
        <v/>
      </c>
      <c r="S926" s="31" t="str">
        <f aca="false">IF($B926="","",IF(AND($M926='Invoice Builder'!$C$5,$Q926='Invoice Builder'!$C$6,N($N926)&gt;0),COUNTIFS($M$5:$M926,'Invoice Builder'!$C$5,$Q$5:$Q926,'Invoice Builder'!$C$6,$N$5:$N926,"&gt;0"),""))</f>
        <v/>
      </c>
      <c r="T926" s="27" t="str">
        <f aca="false">IF($A926="","",IF($A926&gt;=DATE(YEAR($A926),4,6),YEAR($A926)&amp;"/"&amp;RIGHT(YEAR($A926)+1,2),YEAR($A926)-1&amp;"/"&amp;RIGHT(YEAR($A926),2)))</f>
        <v/>
      </c>
    </row>
    <row r="927" customFormat="false" ht="15" hidden="false" customHeight="false" outlineLevel="0" collapsed="false">
      <c r="A927" s="22"/>
      <c r="B927" s="23"/>
      <c r="C927" s="23"/>
      <c r="D927" s="23"/>
      <c r="E927" s="24"/>
      <c r="F927" s="24"/>
      <c r="G927" s="23"/>
      <c r="H927" s="23"/>
      <c r="I927" s="25"/>
      <c r="J927" s="23"/>
      <c r="K927" s="23"/>
      <c r="L927" s="26" t="str">
        <f aca="false">IF(OR($E927="",$F927=""),"",MOD($F927-$E927,1)*24)</f>
        <v/>
      </c>
      <c r="M927" s="27" t="str">
        <f aca="false">IF($B927="","",IFERROR(INDEX(Properties!$D$5:$D$104,MATCH($B927,Properties!$A$5:$A$104,0)),"?"))</f>
        <v/>
      </c>
      <c r="N927" s="28" t="str">
        <f aca="false">IF($B927="","",IFERROR(IF($D927="Completed",INDEX(Properties!$I$5:$I$104,MATCH($B927,Properties!$A$5:$A$104,0))*(1+IF($G927="Y",Settings!$B$8,0))+IF($H927="Y",Settings!$B$7,0)+N($I927),IF($D927="Deep clean",INDEX(Settings!$E$22:$E$26,MATCH(MIN(INDEX(Properties!$E$5:$E$104,MATCH($B927,Properties!$A$5:$A$104,0)),4),Settings!$A$22:$A$26,0))+N($I927),IF($D927="Late cancel",INDEX(Properties!$I$5:$I$104,MATCH($B927,Properties!$A$5:$A$104,0))*Settings!$B$10,0))),0))</f>
        <v/>
      </c>
      <c r="O927" s="28" t="str">
        <f aca="false">IF($B927="","",IFERROR(IF($D927="Completed",INDEX(Properties!$L$5:$L$104,MATCH($B927,Properties!$A$5:$A$104,0))+IF($G927="Y",INDEX(Properties!$I$5:$I$104,MATCH($B927,Properties!$A$5:$A$104,0))*Settings!$B$8*Settings!$B$9,0)+IF($H927="Y",Settings!$B$7*Settings!$B$9,0)+N($I927)*Settings!$B$9,IF($D927="Deep clean",INDEX(Settings!$E$22:$E$26,MATCH(MIN(INDEX(Properties!$E$5:$E$104,MATCH($B927,Properties!$A$5:$A$104,0)),4),Settings!$A$22:$A$26,0))*Settings!$B$19+N($I927)*Settings!$B$9,IF($D927="Late cancel",INDEX(Properties!$L$5:$L$104,MATCH($B927,Properties!$A$5:$A$104,0))*Settings!$B$11,0))),0))</f>
        <v/>
      </c>
      <c r="P927" s="28" t="str">
        <f aca="false">IF($B927="","",$N927-$O927)</f>
        <v/>
      </c>
      <c r="Q927" s="29" t="str">
        <f aca="false">IF($A927="","",DATE(YEAR($A927),MONTH($A927),1))</f>
        <v/>
      </c>
      <c r="R927" s="30" t="str">
        <f aca="false">IF($A927="","",$A927+MOD(6-WEEKDAY($A927),7))</f>
        <v/>
      </c>
      <c r="S927" s="31" t="str">
        <f aca="false">IF($B927="","",IF(AND($M927='Invoice Builder'!$C$5,$Q927='Invoice Builder'!$C$6,N($N927)&gt;0),COUNTIFS($M$5:$M927,'Invoice Builder'!$C$5,$Q$5:$Q927,'Invoice Builder'!$C$6,$N$5:$N927,"&gt;0"),""))</f>
        <v/>
      </c>
      <c r="T927" s="27" t="str">
        <f aca="false">IF($A927="","",IF($A927&gt;=DATE(YEAR($A927),4,6),YEAR($A927)&amp;"/"&amp;RIGHT(YEAR($A927)+1,2),YEAR($A927)-1&amp;"/"&amp;RIGHT(YEAR($A927),2)))</f>
        <v/>
      </c>
    </row>
    <row r="928" customFormat="false" ht="15" hidden="false" customHeight="false" outlineLevel="0" collapsed="false">
      <c r="A928" s="22"/>
      <c r="B928" s="23"/>
      <c r="C928" s="23"/>
      <c r="D928" s="23"/>
      <c r="E928" s="24"/>
      <c r="F928" s="24"/>
      <c r="G928" s="23"/>
      <c r="H928" s="23"/>
      <c r="I928" s="25"/>
      <c r="J928" s="23"/>
      <c r="K928" s="23"/>
      <c r="L928" s="26" t="str">
        <f aca="false">IF(OR($E928="",$F928=""),"",MOD($F928-$E928,1)*24)</f>
        <v/>
      </c>
      <c r="M928" s="27" t="str">
        <f aca="false">IF($B928="","",IFERROR(INDEX(Properties!$D$5:$D$104,MATCH($B928,Properties!$A$5:$A$104,0)),"?"))</f>
        <v/>
      </c>
      <c r="N928" s="28" t="str">
        <f aca="false">IF($B928="","",IFERROR(IF($D928="Completed",INDEX(Properties!$I$5:$I$104,MATCH($B928,Properties!$A$5:$A$104,0))*(1+IF($G928="Y",Settings!$B$8,0))+IF($H928="Y",Settings!$B$7,0)+N($I928),IF($D928="Deep clean",INDEX(Settings!$E$22:$E$26,MATCH(MIN(INDEX(Properties!$E$5:$E$104,MATCH($B928,Properties!$A$5:$A$104,0)),4),Settings!$A$22:$A$26,0))+N($I928),IF($D928="Late cancel",INDEX(Properties!$I$5:$I$104,MATCH($B928,Properties!$A$5:$A$104,0))*Settings!$B$10,0))),0))</f>
        <v/>
      </c>
      <c r="O928" s="28" t="str">
        <f aca="false">IF($B928="","",IFERROR(IF($D928="Completed",INDEX(Properties!$L$5:$L$104,MATCH($B928,Properties!$A$5:$A$104,0))+IF($G928="Y",INDEX(Properties!$I$5:$I$104,MATCH($B928,Properties!$A$5:$A$104,0))*Settings!$B$8*Settings!$B$9,0)+IF($H928="Y",Settings!$B$7*Settings!$B$9,0)+N($I928)*Settings!$B$9,IF($D928="Deep clean",INDEX(Settings!$E$22:$E$26,MATCH(MIN(INDEX(Properties!$E$5:$E$104,MATCH($B928,Properties!$A$5:$A$104,0)),4),Settings!$A$22:$A$26,0))*Settings!$B$19+N($I928)*Settings!$B$9,IF($D928="Late cancel",INDEX(Properties!$L$5:$L$104,MATCH($B928,Properties!$A$5:$A$104,0))*Settings!$B$11,0))),0))</f>
        <v/>
      </c>
      <c r="P928" s="28" t="str">
        <f aca="false">IF($B928="","",$N928-$O928)</f>
        <v/>
      </c>
      <c r="Q928" s="29" t="str">
        <f aca="false">IF($A928="","",DATE(YEAR($A928),MONTH($A928),1))</f>
        <v/>
      </c>
      <c r="R928" s="30" t="str">
        <f aca="false">IF($A928="","",$A928+MOD(6-WEEKDAY($A928),7))</f>
        <v/>
      </c>
      <c r="S928" s="31" t="str">
        <f aca="false">IF($B928="","",IF(AND($M928='Invoice Builder'!$C$5,$Q928='Invoice Builder'!$C$6,N($N928)&gt;0),COUNTIFS($M$5:$M928,'Invoice Builder'!$C$5,$Q$5:$Q928,'Invoice Builder'!$C$6,$N$5:$N928,"&gt;0"),""))</f>
        <v/>
      </c>
      <c r="T928" s="27" t="str">
        <f aca="false">IF($A928="","",IF($A928&gt;=DATE(YEAR($A928),4,6),YEAR($A928)&amp;"/"&amp;RIGHT(YEAR($A928)+1,2),YEAR($A928)-1&amp;"/"&amp;RIGHT(YEAR($A928),2)))</f>
        <v/>
      </c>
    </row>
    <row r="929" customFormat="false" ht="15" hidden="false" customHeight="false" outlineLevel="0" collapsed="false">
      <c r="A929" s="22"/>
      <c r="B929" s="23"/>
      <c r="C929" s="23"/>
      <c r="D929" s="23"/>
      <c r="E929" s="24"/>
      <c r="F929" s="24"/>
      <c r="G929" s="23"/>
      <c r="H929" s="23"/>
      <c r="I929" s="25"/>
      <c r="J929" s="23"/>
      <c r="K929" s="23"/>
      <c r="L929" s="26" t="str">
        <f aca="false">IF(OR($E929="",$F929=""),"",MOD($F929-$E929,1)*24)</f>
        <v/>
      </c>
      <c r="M929" s="27" t="str">
        <f aca="false">IF($B929="","",IFERROR(INDEX(Properties!$D$5:$D$104,MATCH($B929,Properties!$A$5:$A$104,0)),"?"))</f>
        <v/>
      </c>
      <c r="N929" s="28" t="str">
        <f aca="false">IF($B929="","",IFERROR(IF($D929="Completed",INDEX(Properties!$I$5:$I$104,MATCH($B929,Properties!$A$5:$A$104,0))*(1+IF($G929="Y",Settings!$B$8,0))+IF($H929="Y",Settings!$B$7,0)+N($I929),IF($D929="Deep clean",INDEX(Settings!$E$22:$E$26,MATCH(MIN(INDEX(Properties!$E$5:$E$104,MATCH($B929,Properties!$A$5:$A$104,0)),4),Settings!$A$22:$A$26,0))+N($I929),IF($D929="Late cancel",INDEX(Properties!$I$5:$I$104,MATCH($B929,Properties!$A$5:$A$104,0))*Settings!$B$10,0))),0))</f>
        <v/>
      </c>
      <c r="O929" s="28" t="str">
        <f aca="false">IF($B929="","",IFERROR(IF($D929="Completed",INDEX(Properties!$L$5:$L$104,MATCH($B929,Properties!$A$5:$A$104,0))+IF($G929="Y",INDEX(Properties!$I$5:$I$104,MATCH($B929,Properties!$A$5:$A$104,0))*Settings!$B$8*Settings!$B$9,0)+IF($H929="Y",Settings!$B$7*Settings!$B$9,0)+N($I929)*Settings!$B$9,IF($D929="Deep clean",INDEX(Settings!$E$22:$E$26,MATCH(MIN(INDEX(Properties!$E$5:$E$104,MATCH($B929,Properties!$A$5:$A$104,0)),4),Settings!$A$22:$A$26,0))*Settings!$B$19+N($I929)*Settings!$B$9,IF($D929="Late cancel",INDEX(Properties!$L$5:$L$104,MATCH($B929,Properties!$A$5:$A$104,0))*Settings!$B$11,0))),0))</f>
        <v/>
      </c>
      <c r="P929" s="28" t="str">
        <f aca="false">IF($B929="","",$N929-$O929)</f>
        <v/>
      </c>
      <c r="Q929" s="29" t="str">
        <f aca="false">IF($A929="","",DATE(YEAR($A929),MONTH($A929),1))</f>
        <v/>
      </c>
      <c r="R929" s="30" t="str">
        <f aca="false">IF($A929="","",$A929+MOD(6-WEEKDAY($A929),7))</f>
        <v/>
      </c>
      <c r="S929" s="31" t="str">
        <f aca="false">IF($B929="","",IF(AND($M929='Invoice Builder'!$C$5,$Q929='Invoice Builder'!$C$6,N($N929)&gt;0),COUNTIFS($M$5:$M929,'Invoice Builder'!$C$5,$Q$5:$Q929,'Invoice Builder'!$C$6,$N$5:$N929,"&gt;0"),""))</f>
        <v/>
      </c>
      <c r="T929" s="27" t="str">
        <f aca="false">IF($A929="","",IF($A929&gt;=DATE(YEAR($A929),4,6),YEAR($A929)&amp;"/"&amp;RIGHT(YEAR($A929)+1,2),YEAR($A929)-1&amp;"/"&amp;RIGHT(YEAR($A929),2)))</f>
        <v/>
      </c>
    </row>
    <row r="930" customFormat="false" ht="15" hidden="false" customHeight="false" outlineLevel="0" collapsed="false">
      <c r="A930" s="22"/>
      <c r="B930" s="23"/>
      <c r="C930" s="23"/>
      <c r="D930" s="23"/>
      <c r="E930" s="24"/>
      <c r="F930" s="24"/>
      <c r="G930" s="23"/>
      <c r="H930" s="23"/>
      <c r="I930" s="25"/>
      <c r="J930" s="23"/>
      <c r="K930" s="23"/>
      <c r="L930" s="26" t="str">
        <f aca="false">IF(OR($E930="",$F930=""),"",MOD($F930-$E930,1)*24)</f>
        <v/>
      </c>
      <c r="M930" s="27" t="str">
        <f aca="false">IF($B930="","",IFERROR(INDEX(Properties!$D$5:$D$104,MATCH($B930,Properties!$A$5:$A$104,0)),"?"))</f>
        <v/>
      </c>
      <c r="N930" s="28" t="str">
        <f aca="false">IF($B930="","",IFERROR(IF($D930="Completed",INDEX(Properties!$I$5:$I$104,MATCH($B930,Properties!$A$5:$A$104,0))*(1+IF($G930="Y",Settings!$B$8,0))+IF($H930="Y",Settings!$B$7,0)+N($I930),IF($D930="Deep clean",INDEX(Settings!$E$22:$E$26,MATCH(MIN(INDEX(Properties!$E$5:$E$104,MATCH($B930,Properties!$A$5:$A$104,0)),4),Settings!$A$22:$A$26,0))+N($I930),IF($D930="Late cancel",INDEX(Properties!$I$5:$I$104,MATCH($B930,Properties!$A$5:$A$104,0))*Settings!$B$10,0))),0))</f>
        <v/>
      </c>
      <c r="O930" s="28" t="str">
        <f aca="false">IF($B930="","",IFERROR(IF($D930="Completed",INDEX(Properties!$L$5:$L$104,MATCH($B930,Properties!$A$5:$A$104,0))+IF($G930="Y",INDEX(Properties!$I$5:$I$104,MATCH($B930,Properties!$A$5:$A$104,0))*Settings!$B$8*Settings!$B$9,0)+IF($H930="Y",Settings!$B$7*Settings!$B$9,0)+N($I930)*Settings!$B$9,IF($D930="Deep clean",INDEX(Settings!$E$22:$E$26,MATCH(MIN(INDEX(Properties!$E$5:$E$104,MATCH($B930,Properties!$A$5:$A$104,0)),4),Settings!$A$22:$A$26,0))*Settings!$B$19+N($I930)*Settings!$B$9,IF($D930="Late cancel",INDEX(Properties!$L$5:$L$104,MATCH($B930,Properties!$A$5:$A$104,0))*Settings!$B$11,0))),0))</f>
        <v/>
      </c>
      <c r="P930" s="28" t="str">
        <f aca="false">IF($B930="","",$N930-$O930)</f>
        <v/>
      </c>
      <c r="Q930" s="29" t="str">
        <f aca="false">IF($A930="","",DATE(YEAR($A930),MONTH($A930),1))</f>
        <v/>
      </c>
      <c r="R930" s="30" t="str">
        <f aca="false">IF($A930="","",$A930+MOD(6-WEEKDAY($A930),7))</f>
        <v/>
      </c>
      <c r="S930" s="31" t="str">
        <f aca="false">IF($B930="","",IF(AND($M930='Invoice Builder'!$C$5,$Q930='Invoice Builder'!$C$6,N($N930)&gt;0),COUNTIFS($M$5:$M930,'Invoice Builder'!$C$5,$Q$5:$Q930,'Invoice Builder'!$C$6,$N$5:$N930,"&gt;0"),""))</f>
        <v/>
      </c>
      <c r="T930" s="27" t="str">
        <f aca="false">IF($A930="","",IF($A930&gt;=DATE(YEAR($A930),4,6),YEAR($A930)&amp;"/"&amp;RIGHT(YEAR($A930)+1,2),YEAR($A930)-1&amp;"/"&amp;RIGHT(YEAR($A930),2)))</f>
        <v/>
      </c>
    </row>
    <row r="931" customFormat="false" ht="15" hidden="false" customHeight="false" outlineLevel="0" collapsed="false">
      <c r="A931" s="22"/>
      <c r="B931" s="23"/>
      <c r="C931" s="23"/>
      <c r="D931" s="23"/>
      <c r="E931" s="24"/>
      <c r="F931" s="24"/>
      <c r="G931" s="23"/>
      <c r="H931" s="23"/>
      <c r="I931" s="25"/>
      <c r="J931" s="23"/>
      <c r="K931" s="23"/>
      <c r="L931" s="26" t="str">
        <f aca="false">IF(OR($E931="",$F931=""),"",MOD($F931-$E931,1)*24)</f>
        <v/>
      </c>
      <c r="M931" s="27" t="str">
        <f aca="false">IF($B931="","",IFERROR(INDEX(Properties!$D$5:$D$104,MATCH($B931,Properties!$A$5:$A$104,0)),"?"))</f>
        <v/>
      </c>
      <c r="N931" s="28" t="str">
        <f aca="false">IF($B931="","",IFERROR(IF($D931="Completed",INDEX(Properties!$I$5:$I$104,MATCH($B931,Properties!$A$5:$A$104,0))*(1+IF($G931="Y",Settings!$B$8,0))+IF($H931="Y",Settings!$B$7,0)+N($I931),IF($D931="Deep clean",INDEX(Settings!$E$22:$E$26,MATCH(MIN(INDEX(Properties!$E$5:$E$104,MATCH($B931,Properties!$A$5:$A$104,0)),4),Settings!$A$22:$A$26,0))+N($I931),IF($D931="Late cancel",INDEX(Properties!$I$5:$I$104,MATCH($B931,Properties!$A$5:$A$104,0))*Settings!$B$10,0))),0))</f>
        <v/>
      </c>
      <c r="O931" s="28" t="str">
        <f aca="false">IF($B931="","",IFERROR(IF($D931="Completed",INDEX(Properties!$L$5:$L$104,MATCH($B931,Properties!$A$5:$A$104,0))+IF($G931="Y",INDEX(Properties!$I$5:$I$104,MATCH($B931,Properties!$A$5:$A$104,0))*Settings!$B$8*Settings!$B$9,0)+IF($H931="Y",Settings!$B$7*Settings!$B$9,0)+N($I931)*Settings!$B$9,IF($D931="Deep clean",INDEX(Settings!$E$22:$E$26,MATCH(MIN(INDEX(Properties!$E$5:$E$104,MATCH($B931,Properties!$A$5:$A$104,0)),4),Settings!$A$22:$A$26,0))*Settings!$B$19+N($I931)*Settings!$B$9,IF($D931="Late cancel",INDEX(Properties!$L$5:$L$104,MATCH($B931,Properties!$A$5:$A$104,0))*Settings!$B$11,0))),0))</f>
        <v/>
      </c>
      <c r="P931" s="28" t="str">
        <f aca="false">IF($B931="","",$N931-$O931)</f>
        <v/>
      </c>
      <c r="Q931" s="29" t="str">
        <f aca="false">IF($A931="","",DATE(YEAR($A931),MONTH($A931),1))</f>
        <v/>
      </c>
      <c r="R931" s="30" t="str">
        <f aca="false">IF($A931="","",$A931+MOD(6-WEEKDAY($A931),7))</f>
        <v/>
      </c>
      <c r="S931" s="31" t="str">
        <f aca="false">IF($B931="","",IF(AND($M931='Invoice Builder'!$C$5,$Q931='Invoice Builder'!$C$6,N($N931)&gt;0),COUNTIFS($M$5:$M931,'Invoice Builder'!$C$5,$Q$5:$Q931,'Invoice Builder'!$C$6,$N$5:$N931,"&gt;0"),""))</f>
        <v/>
      </c>
      <c r="T931" s="27" t="str">
        <f aca="false">IF($A931="","",IF($A931&gt;=DATE(YEAR($A931),4,6),YEAR($A931)&amp;"/"&amp;RIGHT(YEAR($A931)+1,2),YEAR($A931)-1&amp;"/"&amp;RIGHT(YEAR($A931),2)))</f>
        <v/>
      </c>
    </row>
    <row r="932" customFormat="false" ht="15" hidden="false" customHeight="false" outlineLevel="0" collapsed="false">
      <c r="A932" s="22"/>
      <c r="B932" s="23"/>
      <c r="C932" s="23"/>
      <c r="D932" s="23"/>
      <c r="E932" s="24"/>
      <c r="F932" s="24"/>
      <c r="G932" s="23"/>
      <c r="H932" s="23"/>
      <c r="I932" s="25"/>
      <c r="J932" s="23"/>
      <c r="K932" s="23"/>
      <c r="L932" s="26" t="str">
        <f aca="false">IF(OR($E932="",$F932=""),"",MOD($F932-$E932,1)*24)</f>
        <v/>
      </c>
      <c r="M932" s="27" t="str">
        <f aca="false">IF($B932="","",IFERROR(INDEX(Properties!$D$5:$D$104,MATCH($B932,Properties!$A$5:$A$104,0)),"?"))</f>
        <v/>
      </c>
      <c r="N932" s="28" t="str">
        <f aca="false">IF($B932="","",IFERROR(IF($D932="Completed",INDEX(Properties!$I$5:$I$104,MATCH($B932,Properties!$A$5:$A$104,0))*(1+IF($G932="Y",Settings!$B$8,0))+IF($H932="Y",Settings!$B$7,0)+N($I932),IF($D932="Deep clean",INDEX(Settings!$E$22:$E$26,MATCH(MIN(INDEX(Properties!$E$5:$E$104,MATCH($B932,Properties!$A$5:$A$104,0)),4),Settings!$A$22:$A$26,0))+N($I932),IF($D932="Late cancel",INDEX(Properties!$I$5:$I$104,MATCH($B932,Properties!$A$5:$A$104,0))*Settings!$B$10,0))),0))</f>
        <v/>
      </c>
      <c r="O932" s="28" t="str">
        <f aca="false">IF($B932="","",IFERROR(IF($D932="Completed",INDEX(Properties!$L$5:$L$104,MATCH($B932,Properties!$A$5:$A$104,0))+IF($G932="Y",INDEX(Properties!$I$5:$I$104,MATCH($B932,Properties!$A$5:$A$104,0))*Settings!$B$8*Settings!$B$9,0)+IF($H932="Y",Settings!$B$7*Settings!$B$9,0)+N($I932)*Settings!$B$9,IF($D932="Deep clean",INDEX(Settings!$E$22:$E$26,MATCH(MIN(INDEX(Properties!$E$5:$E$104,MATCH($B932,Properties!$A$5:$A$104,0)),4),Settings!$A$22:$A$26,0))*Settings!$B$19+N($I932)*Settings!$B$9,IF($D932="Late cancel",INDEX(Properties!$L$5:$L$104,MATCH($B932,Properties!$A$5:$A$104,0))*Settings!$B$11,0))),0))</f>
        <v/>
      </c>
      <c r="P932" s="28" t="str">
        <f aca="false">IF($B932="","",$N932-$O932)</f>
        <v/>
      </c>
      <c r="Q932" s="29" t="str">
        <f aca="false">IF($A932="","",DATE(YEAR($A932),MONTH($A932),1))</f>
        <v/>
      </c>
      <c r="R932" s="30" t="str">
        <f aca="false">IF($A932="","",$A932+MOD(6-WEEKDAY($A932),7))</f>
        <v/>
      </c>
      <c r="S932" s="31" t="str">
        <f aca="false">IF($B932="","",IF(AND($M932='Invoice Builder'!$C$5,$Q932='Invoice Builder'!$C$6,N($N932)&gt;0),COUNTIFS($M$5:$M932,'Invoice Builder'!$C$5,$Q$5:$Q932,'Invoice Builder'!$C$6,$N$5:$N932,"&gt;0"),""))</f>
        <v/>
      </c>
      <c r="T932" s="27" t="str">
        <f aca="false">IF($A932="","",IF($A932&gt;=DATE(YEAR($A932),4,6),YEAR($A932)&amp;"/"&amp;RIGHT(YEAR($A932)+1,2),YEAR($A932)-1&amp;"/"&amp;RIGHT(YEAR($A932),2)))</f>
        <v/>
      </c>
    </row>
    <row r="933" customFormat="false" ht="15" hidden="false" customHeight="false" outlineLevel="0" collapsed="false">
      <c r="A933" s="22"/>
      <c r="B933" s="23"/>
      <c r="C933" s="23"/>
      <c r="D933" s="23"/>
      <c r="E933" s="24"/>
      <c r="F933" s="24"/>
      <c r="G933" s="23"/>
      <c r="H933" s="23"/>
      <c r="I933" s="25"/>
      <c r="J933" s="23"/>
      <c r="K933" s="23"/>
      <c r="L933" s="26" t="str">
        <f aca="false">IF(OR($E933="",$F933=""),"",MOD($F933-$E933,1)*24)</f>
        <v/>
      </c>
      <c r="M933" s="27" t="str">
        <f aca="false">IF($B933="","",IFERROR(INDEX(Properties!$D$5:$D$104,MATCH($B933,Properties!$A$5:$A$104,0)),"?"))</f>
        <v/>
      </c>
      <c r="N933" s="28" t="str">
        <f aca="false">IF($B933="","",IFERROR(IF($D933="Completed",INDEX(Properties!$I$5:$I$104,MATCH($B933,Properties!$A$5:$A$104,0))*(1+IF($G933="Y",Settings!$B$8,0))+IF($H933="Y",Settings!$B$7,0)+N($I933),IF($D933="Deep clean",INDEX(Settings!$E$22:$E$26,MATCH(MIN(INDEX(Properties!$E$5:$E$104,MATCH($B933,Properties!$A$5:$A$104,0)),4),Settings!$A$22:$A$26,0))+N($I933),IF($D933="Late cancel",INDEX(Properties!$I$5:$I$104,MATCH($B933,Properties!$A$5:$A$104,0))*Settings!$B$10,0))),0))</f>
        <v/>
      </c>
      <c r="O933" s="28" t="str">
        <f aca="false">IF($B933="","",IFERROR(IF($D933="Completed",INDEX(Properties!$L$5:$L$104,MATCH($B933,Properties!$A$5:$A$104,0))+IF($G933="Y",INDEX(Properties!$I$5:$I$104,MATCH($B933,Properties!$A$5:$A$104,0))*Settings!$B$8*Settings!$B$9,0)+IF($H933="Y",Settings!$B$7*Settings!$B$9,0)+N($I933)*Settings!$B$9,IF($D933="Deep clean",INDEX(Settings!$E$22:$E$26,MATCH(MIN(INDEX(Properties!$E$5:$E$104,MATCH($B933,Properties!$A$5:$A$104,0)),4),Settings!$A$22:$A$26,0))*Settings!$B$19+N($I933)*Settings!$B$9,IF($D933="Late cancel",INDEX(Properties!$L$5:$L$104,MATCH($B933,Properties!$A$5:$A$104,0))*Settings!$B$11,0))),0))</f>
        <v/>
      </c>
      <c r="P933" s="28" t="str">
        <f aca="false">IF($B933="","",$N933-$O933)</f>
        <v/>
      </c>
      <c r="Q933" s="29" t="str">
        <f aca="false">IF($A933="","",DATE(YEAR($A933),MONTH($A933),1))</f>
        <v/>
      </c>
      <c r="R933" s="30" t="str">
        <f aca="false">IF($A933="","",$A933+MOD(6-WEEKDAY($A933),7))</f>
        <v/>
      </c>
      <c r="S933" s="31" t="str">
        <f aca="false">IF($B933="","",IF(AND($M933='Invoice Builder'!$C$5,$Q933='Invoice Builder'!$C$6,N($N933)&gt;0),COUNTIFS($M$5:$M933,'Invoice Builder'!$C$5,$Q$5:$Q933,'Invoice Builder'!$C$6,$N$5:$N933,"&gt;0"),""))</f>
        <v/>
      </c>
      <c r="T933" s="27" t="str">
        <f aca="false">IF($A933="","",IF($A933&gt;=DATE(YEAR($A933),4,6),YEAR($A933)&amp;"/"&amp;RIGHT(YEAR($A933)+1,2),YEAR($A933)-1&amp;"/"&amp;RIGHT(YEAR($A933),2)))</f>
        <v/>
      </c>
    </row>
    <row r="934" customFormat="false" ht="15" hidden="false" customHeight="false" outlineLevel="0" collapsed="false">
      <c r="A934" s="22"/>
      <c r="B934" s="23"/>
      <c r="C934" s="23"/>
      <c r="D934" s="23"/>
      <c r="E934" s="24"/>
      <c r="F934" s="24"/>
      <c r="G934" s="23"/>
      <c r="H934" s="23"/>
      <c r="I934" s="25"/>
      <c r="J934" s="23"/>
      <c r="K934" s="23"/>
      <c r="L934" s="26" t="str">
        <f aca="false">IF(OR($E934="",$F934=""),"",MOD($F934-$E934,1)*24)</f>
        <v/>
      </c>
      <c r="M934" s="27" t="str">
        <f aca="false">IF($B934="","",IFERROR(INDEX(Properties!$D$5:$D$104,MATCH($B934,Properties!$A$5:$A$104,0)),"?"))</f>
        <v/>
      </c>
      <c r="N934" s="28" t="str">
        <f aca="false">IF($B934="","",IFERROR(IF($D934="Completed",INDEX(Properties!$I$5:$I$104,MATCH($B934,Properties!$A$5:$A$104,0))*(1+IF($G934="Y",Settings!$B$8,0))+IF($H934="Y",Settings!$B$7,0)+N($I934),IF($D934="Deep clean",INDEX(Settings!$E$22:$E$26,MATCH(MIN(INDEX(Properties!$E$5:$E$104,MATCH($B934,Properties!$A$5:$A$104,0)),4),Settings!$A$22:$A$26,0))+N($I934),IF($D934="Late cancel",INDEX(Properties!$I$5:$I$104,MATCH($B934,Properties!$A$5:$A$104,0))*Settings!$B$10,0))),0))</f>
        <v/>
      </c>
      <c r="O934" s="28" t="str">
        <f aca="false">IF($B934="","",IFERROR(IF($D934="Completed",INDEX(Properties!$L$5:$L$104,MATCH($B934,Properties!$A$5:$A$104,0))+IF($G934="Y",INDEX(Properties!$I$5:$I$104,MATCH($B934,Properties!$A$5:$A$104,0))*Settings!$B$8*Settings!$B$9,0)+IF($H934="Y",Settings!$B$7*Settings!$B$9,0)+N($I934)*Settings!$B$9,IF($D934="Deep clean",INDEX(Settings!$E$22:$E$26,MATCH(MIN(INDEX(Properties!$E$5:$E$104,MATCH($B934,Properties!$A$5:$A$104,0)),4),Settings!$A$22:$A$26,0))*Settings!$B$19+N($I934)*Settings!$B$9,IF($D934="Late cancel",INDEX(Properties!$L$5:$L$104,MATCH($B934,Properties!$A$5:$A$104,0))*Settings!$B$11,0))),0))</f>
        <v/>
      </c>
      <c r="P934" s="28" t="str">
        <f aca="false">IF($B934="","",$N934-$O934)</f>
        <v/>
      </c>
      <c r="Q934" s="29" t="str">
        <f aca="false">IF($A934="","",DATE(YEAR($A934),MONTH($A934),1))</f>
        <v/>
      </c>
      <c r="R934" s="30" t="str">
        <f aca="false">IF($A934="","",$A934+MOD(6-WEEKDAY($A934),7))</f>
        <v/>
      </c>
      <c r="S934" s="31" t="str">
        <f aca="false">IF($B934="","",IF(AND($M934='Invoice Builder'!$C$5,$Q934='Invoice Builder'!$C$6,N($N934)&gt;0),COUNTIFS($M$5:$M934,'Invoice Builder'!$C$5,$Q$5:$Q934,'Invoice Builder'!$C$6,$N$5:$N934,"&gt;0"),""))</f>
        <v/>
      </c>
      <c r="T934" s="27" t="str">
        <f aca="false">IF($A934="","",IF($A934&gt;=DATE(YEAR($A934),4,6),YEAR($A934)&amp;"/"&amp;RIGHT(YEAR($A934)+1,2),YEAR($A934)-1&amp;"/"&amp;RIGHT(YEAR($A934),2)))</f>
        <v/>
      </c>
    </row>
    <row r="935" customFormat="false" ht="15" hidden="false" customHeight="false" outlineLevel="0" collapsed="false">
      <c r="A935" s="22"/>
      <c r="B935" s="23"/>
      <c r="C935" s="23"/>
      <c r="D935" s="23"/>
      <c r="E935" s="24"/>
      <c r="F935" s="24"/>
      <c r="G935" s="23"/>
      <c r="H935" s="23"/>
      <c r="I935" s="25"/>
      <c r="J935" s="23"/>
      <c r="K935" s="23"/>
      <c r="L935" s="26" t="str">
        <f aca="false">IF(OR($E935="",$F935=""),"",MOD($F935-$E935,1)*24)</f>
        <v/>
      </c>
      <c r="M935" s="27" t="str">
        <f aca="false">IF($B935="","",IFERROR(INDEX(Properties!$D$5:$D$104,MATCH($B935,Properties!$A$5:$A$104,0)),"?"))</f>
        <v/>
      </c>
      <c r="N935" s="28" t="str">
        <f aca="false">IF($B935="","",IFERROR(IF($D935="Completed",INDEX(Properties!$I$5:$I$104,MATCH($B935,Properties!$A$5:$A$104,0))*(1+IF($G935="Y",Settings!$B$8,0))+IF($H935="Y",Settings!$B$7,0)+N($I935),IF($D935="Deep clean",INDEX(Settings!$E$22:$E$26,MATCH(MIN(INDEX(Properties!$E$5:$E$104,MATCH($B935,Properties!$A$5:$A$104,0)),4),Settings!$A$22:$A$26,0))+N($I935),IF($D935="Late cancel",INDEX(Properties!$I$5:$I$104,MATCH($B935,Properties!$A$5:$A$104,0))*Settings!$B$10,0))),0))</f>
        <v/>
      </c>
      <c r="O935" s="28" t="str">
        <f aca="false">IF($B935="","",IFERROR(IF($D935="Completed",INDEX(Properties!$L$5:$L$104,MATCH($B935,Properties!$A$5:$A$104,0))+IF($G935="Y",INDEX(Properties!$I$5:$I$104,MATCH($B935,Properties!$A$5:$A$104,0))*Settings!$B$8*Settings!$B$9,0)+IF($H935="Y",Settings!$B$7*Settings!$B$9,0)+N($I935)*Settings!$B$9,IF($D935="Deep clean",INDEX(Settings!$E$22:$E$26,MATCH(MIN(INDEX(Properties!$E$5:$E$104,MATCH($B935,Properties!$A$5:$A$104,0)),4),Settings!$A$22:$A$26,0))*Settings!$B$19+N($I935)*Settings!$B$9,IF($D935="Late cancel",INDEX(Properties!$L$5:$L$104,MATCH($B935,Properties!$A$5:$A$104,0))*Settings!$B$11,0))),0))</f>
        <v/>
      </c>
      <c r="P935" s="28" t="str">
        <f aca="false">IF($B935="","",$N935-$O935)</f>
        <v/>
      </c>
      <c r="Q935" s="29" t="str">
        <f aca="false">IF($A935="","",DATE(YEAR($A935),MONTH($A935),1))</f>
        <v/>
      </c>
      <c r="R935" s="30" t="str">
        <f aca="false">IF($A935="","",$A935+MOD(6-WEEKDAY($A935),7))</f>
        <v/>
      </c>
      <c r="S935" s="31" t="str">
        <f aca="false">IF($B935="","",IF(AND($M935='Invoice Builder'!$C$5,$Q935='Invoice Builder'!$C$6,N($N935)&gt;0),COUNTIFS($M$5:$M935,'Invoice Builder'!$C$5,$Q$5:$Q935,'Invoice Builder'!$C$6,$N$5:$N935,"&gt;0"),""))</f>
        <v/>
      </c>
      <c r="T935" s="27" t="str">
        <f aca="false">IF($A935="","",IF($A935&gt;=DATE(YEAR($A935),4,6),YEAR($A935)&amp;"/"&amp;RIGHT(YEAR($A935)+1,2),YEAR($A935)-1&amp;"/"&amp;RIGHT(YEAR($A935),2)))</f>
        <v/>
      </c>
    </row>
    <row r="936" customFormat="false" ht="15" hidden="false" customHeight="false" outlineLevel="0" collapsed="false">
      <c r="A936" s="22"/>
      <c r="B936" s="23"/>
      <c r="C936" s="23"/>
      <c r="D936" s="23"/>
      <c r="E936" s="24"/>
      <c r="F936" s="24"/>
      <c r="G936" s="23"/>
      <c r="H936" s="23"/>
      <c r="I936" s="25"/>
      <c r="J936" s="23"/>
      <c r="K936" s="23"/>
      <c r="L936" s="26" t="str">
        <f aca="false">IF(OR($E936="",$F936=""),"",MOD($F936-$E936,1)*24)</f>
        <v/>
      </c>
      <c r="M936" s="27" t="str">
        <f aca="false">IF($B936="","",IFERROR(INDEX(Properties!$D$5:$D$104,MATCH($B936,Properties!$A$5:$A$104,0)),"?"))</f>
        <v/>
      </c>
      <c r="N936" s="28" t="str">
        <f aca="false">IF($B936="","",IFERROR(IF($D936="Completed",INDEX(Properties!$I$5:$I$104,MATCH($B936,Properties!$A$5:$A$104,0))*(1+IF($G936="Y",Settings!$B$8,0))+IF($H936="Y",Settings!$B$7,0)+N($I936),IF($D936="Deep clean",INDEX(Settings!$E$22:$E$26,MATCH(MIN(INDEX(Properties!$E$5:$E$104,MATCH($B936,Properties!$A$5:$A$104,0)),4),Settings!$A$22:$A$26,0))+N($I936),IF($D936="Late cancel",INDEX(Properties!$I$5:$I$104,MATCH($B936,Properties!$A$5:$A$104,0))*Settings!$B$10,0))),0))</f>
        <v/>
      </c>
      <c r="O936" s="28" t="str">
        <f aca="false">IF($B936="","",IFERROR(IF($D936="Completed",INDEX(Properties!$L$5:$L$104,MATCH($B936,Properties!$A$5:$A$104,0))+IF($G936="Y",INDEX(Properties!$I$5:$I$104,MATCH($B936,Properties!$A$5:$A$104,0))*Settings!$B$8*Settings!$B$9,0)+IF($H936="Y",Settings!$B$7*Settings!$B$9,0)+N($I936)*Settings!$B$9,IF($D936="Deep clean",INDEX(Settings!$E$22:$E$26,MATCH(MIN(INDEX(Properties!$E$5:$E$104,MATCH($B936,Properties!$A$5:$A$104,0)),4),Settings!$A$22:$A$26,0))*Settings!$B$19+N($I936)*Settings!$B$9,IF($D936="Late cancel",INDEX(Properties!$L$5:$L$104,MATCH($B936,Properties!$A$5:$A$104,0))*Settings!$B$11,0))),0))</f>
        <v/>
      </c>
      <c r="P936" s="28" t="str">
        <f aca="false">IF($B936="","",$N936-$O936)</f>
        <v/>
      </c>
      <c r="Q936" s="29" t="str">
        <f aca="false">IF($A936="","",DATE(YEAR($A936),MONTH($A936),1))</f>
        <v/>
      </c>
      <c r="R936" s="30" t="str">
        <f aca="false">IF($A936="","",$A936+MOD(6-WEEKDAY($A936),7))</f>
        <v/>
      </c>
      <c r="S936" s="31" t="str">
        <f aca="false">IF($B936="","",IF(AND($M936='Invoice Builder'!$C$5,$Q936='Invoice Builder'!$C$6,N($N936)&gt;0),COUNTIFS($M$5:$M936,'Invoice Builder'!$C$5,$Q$5:$Q936,'Invoice Builder'!$C$6,$N$5:$N936,"&gt;0"),""))</f>
        <v/>
      </c>
      <c r="T936" s="27" t="str">
        <f aca="false">IF($A936="","",IF($A936&gt;=DATE(YEAR($A936),4,6),YEAR($A936)&amp;"/"&amp;RIGHT(YEAR($A936)+1,2),YEAR($A936)-1&amp;"/"&amp;RIGHT(YEAR($A936),2)))</f>
        <v/>
      </c>
    </row>
    <row r="937" customFormat="false" ht="15" hidden="false" customHeight="false" outlineLevel="0" collapsed="false">
      <c r="A937" s="22"/>
      <c r="B937" s="23"/>
      <c r="C937" s="23"/>
      <c r="D937" s="23"/>
      <c r="E937" s="24"/>
      <c r="F937" s="24"/>
      <c r="G937" s="23"/>
      <c r="H937" s="23"/>
      <c r="I937" s="25"/>
      <c r="J937" s="23"/>
      <c r="K937" s="23"/>
      <c r="L937" s="26" t="str">
        <f aca="false">IF(OR($E937="",$F937=""),"",MOD($F937-$E937,1)*24)</f>
        <v/>
      </c>
      <c r="M937" s="27" t="str">
        <f aca="false">IF($B937="","",IFERROR(INDEX(Properties!$D$5:$D$104,MATCH($B937,Properties!$A$5:$A$104,0)),"?"))</f>
        <v/>
      </c>
      <c r="N937" s="28" t="str">
        <f aca="false">IF($B937="","",IFERROR(IF($D937="Completed",INDEX(Properties!$I$5:$I$104,MATCH($B937,Properties!$A$5:$A$104,0))*(1+IF($G937="Y",Settings!$B$8,0))+IF($H937="Y",Settings!$B$7,0)+N($I937),IF($D937="Deep clean",INDEX(Settings!$E$22:$E$26,MATCH(MIN(INDEX(Properties!$E$5:$E$104,MATCH($B937,Properties!$A$5:$A$104,0)),4),Settings!$A$22:$A$26,0))+N($I937),IF($D937="Late cancel",INDEX(Properties!$I$5:$I$104,MATCH($B937,Properties!$A$5:$A$104,0))*Settings!$B$10,0))),0))</f>
        <v/>
      </c>
      <c r="O937" s="28" t="str">
        <f aca="false">IF($B937="","",IFERROR(IF($D937="Completed",INDEX(Properties!$L$5:$L$104,MATCH($B937,Properties!$A$5:$A$104,0))+IF($G937="Y",INDEX(Properties!$I$5:$I$104,MATCH($B937,Properties!$A$5:$A$104,0))*Settings!$B$8*Settings!$B$9,0)+IF($H937="Y",Settings!$B$7*Settings!$B$9,0)+N($I937)*Settings!$B$9,IF($D937="Deep clean",INDEX(Settings!$E$22:$E$26,MATCH(MIN(INDEX(Properties!$E$5:$E$104,MATCH($B937,Properties!$A$5:$A$104,0)),4),Settings!$A$22:$A$26,0))*Settings!$B$19+N($I937)*Settings!$B$9,IF($D937="Late cancel",INDEX(Properties!$L$5:$L$104,MATCH($B937,Properties!$A$5:$A$104,0))*Settings!$B$11,0))),0))</f>
        <v/>
      </c>
      <c r="P937" s="28" t="str">
        <f aca="false">IF($B937="","",$N937-$O937)</f>
        <v/>
      </c>
      <c r="Q937" s="29" t="str">
        <f aca="false">IF($A937="","",DATE(YEAR($A937),MONTH($A937),1))</f>
        <v/>
      </c>
      <c r="R937" s="30" t="str">
        <f aca="false">IF($A937="","",$A937+MOD(6-WEEKDAY($A937),7))</f>
        <v/>
      </c>
      <c r="S937" s="31" t="str">
        <f aca="false">IF($B937="","",IF(AND($M937='Invoice Builder'!$C$5,$Q937='Invoice Builder'!$C$6,N($N937)&gt;0),COUNTIFS($M$5:$M937,'Invoice Builder'!$C$5,$Q$5:$Q937,'Invoice Builder'!$C$6,$N$5:$N937,"&gt;0"),""))</f>
        <v/>
      </c>
      <c r="T937" s="27" t="str">
        <f aca="false">IF($A937="","",IF($A937&gt;=DATE(YEAR($A937),4,6),YEAR($A937)&amp;"/"&amp;RIGHT(YEAR($A937)+1,2),YEAR($A937)-1&amp;"/"&amp;RIGHT(YEAR($A937),2)))</f>
        <v/>
      </c>
    </row>
    <row r="938" customFormat="false" ht="15" hidden="false" customHeight="false" outlineLevel="0" collapsed="false">
      <c r="A938" s="22"/>
      <c r="B938" s="23"/>
      <c r="C938" s="23"/>
      <c r="D938" s="23"/>
      <c r="E938" s="24"/>
      <c r="F938" s="24"/>
      <c r="G938" s="23"/>
      <c r="H938" s="23"/>
      <c r="I938" s="25"/>
      <c r="J938" s="23"/>
      <c r="K938" s="23"/>
      <c r="L938" s="26" t="str">
        <f aca="false">IF(OR($E938="",$F938=""),"",MOD($F938-$E938,1)*24)</f>
        <v/>
      </c>
      <c r="M938" s="27" t="str">
        <f aca="false">IF($B938="","",IFERROR(INDEX(Properties!$D$5:$D$104,MATCH($B938,Properties!$A$5:$A$104,0)),"?"))</f>
        <v/>
      </c>
      <c r="N938" s="28" t="str">
        <f aca="false">IF($B938="","",IFERROR(IF($D938="Completed",INDEX(Properties!$I$5:$I$104,MATCH($B938,Properties!$A$5:$A$104,0))*(1+IF($G938="Y",Settings!$B$8,0))+IF($H938="Y",Settings!$B$7,0)+N($I938),IF($D938="Deep clean",INDEX(Settings!$E$22:$E$26,MATCH(MIN(INDEX(Properties!$E$5:$E$104,MATCH($B938,Properties!$A$5:$A$104,0)),4),Settings!$A$22:$A$26,0))+N($I938),IF($D938="Late cancel",INDEX(Properties!$I$5:$I$104,MATCH($B938,Properties!$A$5:$A$104,0))*Settings!$B$10,0))),0))</f>
        <v/>
      </c>
      <c r="O938" s="28" t="str">
        <f aca="false">IF($B938="","",IFERROR(IF($D938="Completed",INDEX(Properties!$L$5:$L$104,MATCH($B938,Properties!$A$5:$A$104,0))+IF($G938="Y",INDEX(Properties!$I$5:$I$104,MATCH($B938,Properties!$A$5:$A$104,0))*Settings!$B$8*Settings!$B$9,0)+IF($H938="Y",Settings!$B$7*Settings!$B$9,0)+N($I938)*Settings!$B$9,IF($D938="Deep clean",INDEX(Settings!$E$22:$E$26,MATCH(MIN(INDEX(Properties!$E$5:$E$104,MATCH($B938,Properties!$A$5:$A$104,0)),4),Settings!$A$22:$A$26,0))*Settings!$B$19+N($I938)*Settings!$B$9,IF($D938="Late cancel",INDEX(Properties!$L$5:$L$104,MATCH($B938,Properties!$A$5:$A$104,0))*Settings!$B$11,0))),0))</f>
        <v/>
      </c>
      <c r="P938" s="28" t="str">
        <f aca="false">IF($B938="","",$N938-$O938)</f>
        <v/>
      </c>
      <c r="Q938" s="29" t="str">
        <f aca="false">IF($A938="","",DATE(YEAR($A938),MONTH($A938),1))</f>
        <v/>
      </c>
      <c r="R938" s="30" t="str">
        <f aca="false">IF($A938="","",$A938+MOD(6-WEEKDAY($A938),7))</f>
        <v/>
      </c>
      <c r="S938" s="31" t="str">
        <f aca="false">IF($B938="","",IF(AND($M938='Invoice Builder'!$C$5,$Q938='Invoice Builder'!$C$6,N($N938)&gt;0),COUNTIFS($M$5:$M938,'Invoice Builder'!$C$5,$Q$5:$Q938,'Invoice Builder'!$C$6,$N$5:$N938,"&gt;0"),""))</f>
        <v/>
      </c>
      <c r="T938" s="27" t="str">
        <f aca="false">IF($A938="","",IF($A938&gt;=DATE(YEAR($A938),4,6),YEAR($A938)&amp;"/"&amp;RIGHT(YEAR($A938)+1,2),YEAR($A938)-1&amp;"/"&amp;RIGHT(YEAR($A938),2)))</f>
        <v/>
      </c>
    </row>
    <row r="939" customFormat="false" ht="15" hidden="false" customHeight="false" outlineLevel="0" collapsed="false">
      <c r="A939" s="22"/>
      <c r="B939" s="23"/>
      <c r="C939" s="23"/>
      <c r="D939" s="23"/>
      <c r="E939" s="24"/>
      <c r="F939" s="24"/>
      <c r="G939" s="23"/>
      <c r="H939" s="23"/>
      <c r="I939" s="25"/>
      <c r="J939" s="23"/>
      <c r="K939" s="23"/>
      <c r="L939" s="26" t="str">
        <f aca="false">IF(OR($E939="",$F939=""),"",MOD($F939-$E939,1)*24)</f>
        <v/>
      </c>
      <c r="M939" s="27" t="str">
        <f aca="false">IF($B939="","",IFERROR(INDEX(Properties!$D$5:$D$104,MATCH($B939,Properties!$A$5:$A$104,0)),"?"))</f>
        <v/>
      </c>
      <c r="N939" s="28" t="str">
        <f aca="false">IF($B939="","",IFERROR(IF($D939="Completed",INDEX(Properties!$I$5:$I$104,MATCH($B939,Properties!$A$5:$A$104,0))*(1+IF($G939="Y",Settings!$B$8,0))+IF($H939="Y",Settings!$B$7,0)+N($I939),IF($D939="Deep clean",INDEX(Settings!$E$22:$E$26,MATCH(MIN(INDEX(Properties!$E$5:$E$104,MATCH($B939,Properties!$A$5:$A$104,0)),4),Settings!$A$22:$A$26,0))+N($I939),IF($D939="Late cancel",INDEX(Properties!$I$5:$I$104,MATCH($B939,Properties!$A$5:$A$104,0))*Settings!$B$10,0))),0))</f>
        <v/>
      </c>
      <c r="O939" s="28" t="str">
        <f aca="false">IF($B939="","",IFERROR(IF($D939="Completed",INDEX(Properties!$L$5:$L$104,MATCH($B939,Properties!$A$5:$A$104,0))+IF($G939="Y",INDEX(Properties!$I$5:$I$104,MATCH($B939,Properties!$A$5:$A$104,0))*Settings!$B$8*Settings!$B$9,0)+IF($H939="Y",Settings!$B$7*Settings!$B$9,0)+N($I939)*Settings!$B$9,IF($D939="Deep clean",INDEX(Settings!$E$22:$E$26,MATCH(MIN(INDEX(Properties!$E$5:$E$104,MATCH($B939,Properties!$A$5:$A$104,0)),4),Settings!$A$22:$A$26,0))*Settings!$B$19+N($I939)*Settings!$B$9,IF($D939="Late cancel",INDEX(Properties!$L$5:$L$104,MATCH($B939,Properties!$A$5:$A$104,0))*Settings!$B$11,0))),0))</f>
        <v/>
      </c>
      <c r="P939" s="28" t="str">
        <f aca="false">IF($B939="","",$N939-$O939)</f>
        <v/>
      </c>
      <c r="Q939" s="29" t="str">
        <f aca="false">IF($A939="","",DATE(YEAR($A939),MONTH($A939),1))</f>
        <v/>
      </c>
      <c r="R939" s="30" t="str">
        <f aca="false">IF($A939="","",$A939+MOD(6-WEEKDAY($A939),7))</f>
        <v/>
      </c>
      <c r="S939" s="31" t="str">
        <f aca="false">IF($B939="","",IF(AND($M939='Invoice Builder'!$C$5,$Q939='Invoice Builder'!$C$6,N($N939)&gt;0),COUNTIFS($M$5:$M939,'Invoice Builder'!$C$5,$Q$5:$Q939,'Invoice Builder'!$C$6,$N$5:$N939,"&gt;0"),""))</f>
        <v/>
      </c>
      <c r="T939" s="27" t="str">
        <f aca="false">IF($A939="","",IF($A939&gt;=DATE(YEAR($A939),4,6),YEAR($A939)&amp;"/"&amp;RIGHT(YEAR($A939)+1,2),YEAR($A939)-1&amp;"/"&amp;RIGHT(YEAR($A939),2)))</f>
        <v/>
      </c>
    </row>
    <row r="940" customFormat="false" ht="15" hidden="false" customHeight="false" outlineLevel="0" collapsed="false">
      <c r="A940" s="22"/>
      <c r="B940" s="23"/>
      <c r="C940" s="23"/>
      <c r="D940" s="23"/>
      <c r="E940" s="24"/>
      <c r="F940" s="24"/>
      <c r="G940" s="23"/>
      <c r="H940" s="23"/>
      <c r="I940" s="25"/>
      <c r="J940" s="23"/>
      <c r="K940" s="23"/>
      <c r="L940" s="26" t="str">
        <f aca="false">IF(OR($E940="",$F940=""),"",MOD($F940-$E940,1)*24)</f>
        <v/>
      </c>
      <c r="M940" s="27" t="str">
        <f aca="false">IF($B940="","",IFERROR(INDEX(Properties!$D$5:$D$104,MATCH($B940,Properties!$A$5:$A$104,0)),"?"))</f>
        <v/>
      </c>
      <c r="N940" s="28" t="str">
        <f aca="false">IF($B940="","",IFERROR(IF($D940="Completed",INDEX(Properties!$I$5:$I$104,MATCH($B940,Properties!$A$5:$A$104,0))*(1+IF($G940="Y",Settings!$B$8,0))+IF($H940="Y",Settings!$B$7,0)+N($I940),IF($D940="Deep clean",INDEX(Settings!$E$22:$E$26,MATCH(MIN(INDEX(Properties!$E$5:$E$104,MATCH($B940,Properties!$A$5:$A$104,0)),4),Settings!$A$22:$A$26,0))+N($I940),IF($D940="Late cancel",INDEX(Properties!$I$5:$I$104,MATCH($B940,Properties!$A$5:$A$104,0))*Settings!$B$10,0))),0))</f>
        <v/>
      </c>
      <c r="O940" s="28" t="str">
        <f aca="false">IF($B940="","",IFERROR(IF($D940="Completed",INDEX(Properties!$L$5:$L$104,MATCH($B940,Properties!$A$5:$A$104,0))+IF($G940="Y",INDEX(Properties!$I$5:$I$104,MATCH($B940,Properties!$A$5:$A$104,0))*Settings!$B$8*Settings!$B$9,0)+IF($H940="Y",Settings!$B$7*Settings!$B$9,0)+N($I940)*Settings!$B$9,IF($D940="Deep clean",INDEX(Settings!$E$22:$E$26,MATCH(MIN(INDEX(Properties!$E$5:$E$104,MATCH($B940,Properties!$A$5:$A$104,0)),4),Settings!$A$22:$A$26,0))*Settings!$B$19+N($I940)*Settings!$B$9,IF($D940="Late cancel",INDEX(Properties!$L$5:$L$104,MATCH($B940,Properties!$A$5:$A$104,0))*Settings!$B$11,0))),0))</f>
        <v/>
      </c>
      <c r="P940" s="28" t="str">
        <f aca="false">IF($B940="","",$N940-$O940)</f>
        <v/>
      </c>
      <c r="Q940" s="29" t="str">
        <f aca="false">IF($A940="","",DATE(YEAR($A940),MONTH($A940),1))</f>
        <v/>
      </c>
      <c r="R940" s="30" t="str">
        <f aca="false">IF($A940="","",$A940+MOD(6-WEEKDAY($A940),7))</f>
        <v/>
      </c>
      <c r="S940" s="31" t="str">
        <f aca="false">IF($B940="","",IF(AND($M940='Invoice Builder'!$C$5,$Q940='Invoice Builder'!$C$6,N($N940)&gt;0),COUNTIFS($M$5:$M940,'Invoice Builder'!$C$5,$Q$5:$Q940,'Invoice Builder'!$C$6,$N$5:$N940,"&gt;0"),""))</f>
        <v/>
      </c>
      <c r="T940" s="27" t="str">
        <f aca="false">IF($A940="","",IF($A940&gt;=DATE(YEAR($A940),4,6),YEAR($A940)&amp;"/"&amp;RIGHT(YEAR($A940)+1,2),YEAR($A940)-1&amp;"/"&amp;RIGHT(YEAR($A940),2)))</f>
        <v/>
      </c>
    </row>
    <row r="941" customFormat="false" ht="15" hidden="false" customHeight="false" outlineLevel="0" collapsed="false">
      <c r="A941" s="22"/>
      <c r="B941" s="23"/>
      <c r="C941" s="23"/>
      <c r="D941" s="23"/>
      <c r="E941" s="24"/>
      <c r="F941" s="24"/>
      <c r="G941" s="23"/>
      <c r="H941" s="23"/>
      <c r="I941" s="25"/>
      <c r="J941" s="23"/>
      <c r="K941" s="23"/>
      <c r="L941" s="26" t="str">
        <f aca="false">IF(OR($E941="",$F941=""),"",MOD($F941-$E941,1)*24)</f>
        <v/>
      </c>
      <c r="M941" s="27" t="str">
        <f aca="false">IF($B941="","",IFERROR(INDEX(Properties!$D$5:$D$104,MATCH($B941,Properties!$A$5:$A$104,0)),"?"))</f>
        <v/>
      </c>
      <c r="N941" s="28" t="str">
        <f aca="false">IF($B941="","",IFERROR(IF($D941="Completed",INDEX(Properties!$I$5:$I$104,MATCH($B941,Properties!$A$5:$A$104,0))*(1+IF($G941="Y",Settings!$B$8,0))+IF($H941="Y",Settings!$B$7,0)+N($I941),IF($D941="Deep clean",INDEX(Settings!$E$22:$E$26,MATCH(MIN(INDEX(Properties!$E$5:$E$104,MATCH($B941,Properties!$A$5:$A$104,0)),4),Settings!$A$22:$A$26,0))+N($I941),IF($D941="Late cancel",INDEX(Properties!$I$5:$I$104,MATCH($B941,Properties!$A$5:$A$104,0))*Settings!$B$10,0))),0))</f>
        <v/>
      </c>
      <c r="O941" s="28" t="str">
        <f aca="false">IF($B941="","",IFERROR(IF($D941="Completed",INDEX(Properties!$L$5:$L$104,MATCH($B941,Properties!$A$5:$A$104,0))+IF($G941="Y",INDEX(Properties!$I$5:$I$104,MATCH($B941,Properties!$A$5:$A$104,0))*Settings!$B$8*Settings!$B$9,0)+IF($H941="Y",Settings!$B$7*Settings!$B$9,0)+N($I941)*Settings!$B$9,IF($D941="Deep clean",INDEX(Settings!$E$22:$E$26,MATCH(MIN(INDEX(Properties!$E$5:$E$104,MATCH($B941,Properties!$A$5:$A$104,0)),4),Settings!$A$22:$A$26,0))*Settings!$B$19+N($I941)*Settings!$B$9,IF($D941="Late cancel",INDEX(Properties!$L$5:$L$104,MATCH($B941,Properties!$A$5:$A$104,0))*Settings!$B$11,0))),0))</f>
        <v/>
      </c>
      <c r="P941" s="28" t="str">
        <f aca="false">IF($B941="","",$N941-$O941)</f>
        <v/>
      </c>
      <c r="Q941" s="29" t="str">
        <f aca="false">IF($A941="","",DATE(YEAR($A941),MONTH($A941),1))</f>
        <v/>
      </c>
      <c r="R941" s="30" t="str">
        <f aca="false">IF($A941="","",$A941+MOD(6-WEEKDAY($A941),7))</f>
        <v/>
      </c>
      <c r="S941" s="31" t="str">
        <f aca="false">IF($B941="","",IF(AND($M941='Invoice Builder'!$C$5,$Q941='Invoice Builder'!$C$6,N($N941)&gt;0),COUNTIFS($M$5:$M941,'Invoice Builder'!$C$5,$Q$5:$Q941,'Invoice Builder'!$C$6,$N$5:$N941,"&gt;0"),""))</f>
        <v/>
      </c>
      <c r="T941" s="27" t="str">
        <f aca="false">IF($A941="","",IF($A941&gt;=DATE(YEAR($A941),4,6),YEAR($A941)&amp;"/"&amp;RIGHT(YEAR($A941)+1,2),YEAR($A941)-1&amp;"/"&amp;RIGHT(YEAR($A941),2)))</f>
        <v/>
      </c>
    </row>
    <row r="942" customFormat="false" ht="15" hidden="false" customHeight="false" outlineLevel="0" collapsed="false">
      <c r="A942" s="22"/>
      <c r="B942" s="23"/>
      <c r="C942" s="23"/>
      <c r="D942" s="23"/>
      <c r="E942" s="24"/>
      <c r="F942" s="24"/>
      <c r="G942" s="23"/>
      <c r="H942" s="23"/>
      <c r="I942" s="25"/>
      <c r="J942" s="23"/>
      <c r="K942" s="23"/>
      <c r="L942" s="26" t="str">
        <f aca="false">IF(OR($E942="",$F942=""),"",MOD($F942-$E942,1)*24)</f>
        <v/>
      </c>
      <c r="M942" s="27" t="str">
        <f aca="false">IF($B942="","",IFERROR(INDEX(Properties!$D$5:$D$104,MATCH($B942,Properties!$A$5:$A$104,0)),"?"))</f>
        <v/>
      </c>
      <c r="N942" s="28" t="str">
        <f aca="false">IF($B942="","",IFERROR(IF($D942="Completed",INDEX(Properties!$I$5:$I$104,MATCH($B942,Properties!$A$5:$A$104,0))*(1+IF($G942="Y",Settings!$B$8,0))+IF($H942="Y",Settings!$B$7,0)+N($I942),IF($D942="Deep clean",INDEX(Settings!$E$22:$E$26,MATCH(MIN(INDEX(Properties!$E$5:$E$104,MATCH($B942,Properties!$A$5:$A$104,0)),4),Settings!$A$22:$A$26,0))+N($I942),IF($D942="Late cancel",INDEX(Properties!$I$5:$I$104,MATCH($B942,Properties!$A$5:$A$104,0))*Settings!$B$10,0))),0))</f>
        <v/>
      </c>
      <c r="O942" s="28" t="str">
        <f aca="false">IF($B942="","",IFERROR(IF($D942="Completed",INDEX(Properties!$L$5:$L$104,MATCH($B942,Properties!$A$5:$A$104,0))+IF($G942="Y",INDEX(Properties!$I$5:$I$104,MATCH($B942,Properties!$A$5:$A$104,0))*Settings!$B$8*Settings!$B$9,0)+IF($H942="Y",Settings!$B$7*Settings!$B$9,0)+N($I942)*Settings!$B$9,IF($D942="Deep clean",INDEX(Settings!$E$22:$E$26,MATCH(MIN(INDEX(Properties!$E$5:$E$104,MATCH($B942,Properties!$A$5:$A$104,0)),4),Settings!$A$22:$A$26,0))*Settings!$B$19+N($I942)*Settings!$B$9,IF($D942="Late cancel",INDEX(Properties!$L$5:$L$104,MATCH($B942,Properties!$A$5:$A$104,0))*Settings!$B$11,0))),0))</f>
        <v/>
      </c>
      <c r="P942" s="28" t="str">
        <f aca="false">IF($B942="","",$N942-$O942)</f>
        <v/>
      </c>
      <c r="Q942" s="29" t="str">
        <f aca="false">IF($A942="","",DATE(YEAR($A942),MONTH($A942),1))</f>
        <v/>
      </c>
      <c r="R942" s="30" t="str">
        <f aca="false">IF($A942="","",$A942+MOD(6-WEEKDAY($A942),7))</f>
        <v/>
      </c>
      <c r="S942" s="31" t="str">
        <f aca="false">IF($B942="","",IF(AND($M942='Invoice Builder'!$C$5,$Q942='Invoice Builder'!$C$6,N($N942)&gt;0),COUNTIFS($M$5:$M942,'Invoice Builder'!$C$5,$Q$5:$Q942,'Invoice Builder'!$C$6,$N$5:$N942,"&gt;0"),""))</f>
        <v/>
      </c>
      <c r="T942" s="27" t="str">
        <f aca="false">IF($A942="","",IF($A942&gt;=DATE(YEAR($A942),4,6),YEAR($A942)&amp;"/"&amp;RIGHT(YEAR($A942)+1,2),YEAR($A942)-1&amp;"/"&amp;RIGHT(YEAR($A942),2)))</f>
        <v/>
      </c>
    </row>
    <row r="943" customFormat="false" ht="15" hidden="false" customHeight="false" outlineLevel="0" collapsed="false">
      <c r="A943" s="22"/>
      <c r="B943" s="23"/>
      <c r="C943" s="23"/>
      <c r="D943" s="23"/>
      <c r="E943" s="24"/>
      <c r="F943" s="24"/>
      <c r="G943" s="23"/>
      <c r="H943" s="23"/>
      <c r="I943" s="25"/>
      <c r="J943" s="23"/>
      <c r="K943" s="23"/>
      <c r="L943" s="26" t="str">
        <f aca="false">IF(OR($E943="",$F943=""),"",MOD($F943-$E943,1)*24)</f>
        <v/>
      </c>
      <c r="M943" s="27" t="str">
        <f aca="false">IF($B943="","",IFERROR(INDEX(Properties!$D$5:$D$104,MATCH($B943,Properties!$A$5:$A$104,0)),"?"))</f>
        <v/>
      </c>
      <c r="N943" s="28" t="str">
        <f aca="false">IF($B943="","",IFERROR(IF($D943="Completed",INDEX(Properties!$I$5:$I$104,MATCH($B943,Properties!$A$5:$A$104,0))*(1+IF($G943="Y",Settings!$B$8,0))+IF($H943="Y",Settings!$B$7,0)+N($I943),IF($D943="Deep clean",INDEX(Settings!$E$22:$E$26,MATCH(MIN(INDEX(Properties!$E$5:$E$104,MATCH($B943,Properties!$A$5:$A$104,0)),4),Settings!$A$22:$A$26,0))+N($I943),IF($D943="Late cancel",INDEX(Properties!$I$5:$I$104,MATCH($B943,Properties!$A$5:$A$104,0))*Settings!$B$10,0))),0))</f>
        <v/>
      </c>
      <c r="O943" s="28" t="str">
        <f aca="false">IF($B943="","",IFERROR(IF($D943="Completed",INDEX(Properties!$L$5:$L$104,MATCH($B943,Properties!$A$5:$A$104,0))+IF($G943="Y",INDEX(Properties!$I$5:$I$104,MATCH($B943,Properties!$A$5:$A$104,0))*Settings!$B$8*Settings!$B$9,0)+IF($H943="Y",Settings!$B$7*Settings!$B$9,0)+N($I943)*Settings!$B$9,IF($D943="Deep clean",INDEX(Settings!$E$22:$E$26,MATCH(MIN(INDEX(Properties!$E$5:$E$104,MATCH($B943,Properties!$A$5:$A$104,0)),4),Settings!$A$22:$A$26,0))*Settings!$B$19+N($I943)*Settings!$B$9,IF($D943="Late cancel",INDEX(Properties!$L$5:$L$104,MATCH($B943,Properties!$A$5:$A$104,0))*Settings!$B$11,0))),0))</f>
        <v/>
      </c>
      <c r="P943" s="28" t="str">
        <f aca="false">IF($B943="","",$N943-$O943)</f>
        <v/>
      </c>
      <c r="Q943" s="29" t="str">
        <f aca="false">IF($A943="","",DATE(YEAR($A943),MONTH($A943),1))</f>
        <v/>
      </c>
      <c r="R943" s="30" t="str">
        <f aca="false">IF($A943="","",$A943+MOD(6-WEEKDAY($A943),7))</f>
        <v/>
      </c>
      <c r="S943" s="31" t="str">
        <f aca="false">IF($B943="","",IF(AND($M943='Invoice Builder'!$C$5,$Q943='Invoice Builder'!$C$6,N($N943)&gt;0),COUNTIFS($M$5:$M943,'Invoice Builder'!$C$5,$Q$5:$Q943,'Invoice Builder'!$C$6,$N$5:$N943,"&gt;0"),""))</f>
        <v/>
      </c>
      <c r="T943" s="27" t="str">
        <f aca="false">IF($A943="","",IF($A943&gt;=DATE(YEAR($A943),4,6),YEAR($A943)&amp;"/"&amp;RIGHT(YEAR($A943)+1,2),YEAR($A943)-1&amp;"/"&amp;RIGHT(YEAR($A943),2)))</f>
        <v/>
      </c>
    </row>
    <row r="944" customFormat="false" ht="15" hidden="false" customHeight="false" outlineLevel="0" collapsed="false">
      <c r="A944" s="22"/>
      <c r="B944" s="23"/>
      <c r="C944" s="23"/>
      <c r="D944" s="23"/>
      <c r="E944" s="24"/>
      <c r="F944" s="24"/>
      <c r="G944" s="23"/>
      <c r="H944" s="23"/>
      <c r="I944" s="25"/>
      <c r="J944" s="23"/>
      <c r="K944" s="23"/>
      <c r="L944" s="26" t="str">
        <f aca="false">IF(OR($E944="",$F944=""),"",MOD($F944-$E944,1)*24)</f>
        <v/>
      </c>
      <c r="M944" s="27" t="str">
        <f aca="false">IF($B944="","",IFERROR(INDEX(Properties!$D$5:$D$104,MATCH($B944,Properties!$A$5:$A$104,0)),"?"))</f>
        <v/>
      </c>
      <c r="N944" s="28" t="str">
        <f aca="false">IF($B944="","",IFERROR(IF($D944="Completed",INDEX(Properties!$I$5:$I$104,MATCH($B944,Properties!$A$5:$A$104,0))*(1+IF($G944="Y",Settings!$B$8,0))+IF($H944="Y",Settings!$B$7,0)+N($I944),IF($D944="Deep clean",INDEX(Settings!$E$22:$E$26,MATCH(MIN(INDEX(Properties!$E$5:$E$104,MATCH($B944,Properties!$A$5:$A$104,0)),4),Settings!$A$22:$A$26,0))+N($I944),IF($D944="Late cancel",INDEX(Properties!$I$5:$I$104,MATCH($B944,Properties!$A$5:$A$104,0))*Settings!$B$10,0))),0))</f>
        <v/>
      </c>
      <c r="O944" s="28" t="str">
        <f aca="false">IF($B944="","",IFERROR(IF($D944="Completed",INDEX(Properties!$L$5:$L$104,MATCH($B944,Properties!$A$5:$A$104,0))+IF($G944="Y",INDEX(Properties!$I$5:$I$104,MATCH($B944,Properties!$A$5:$A$104,0))*Settings!$B$8*Settings!$B$9,0)+IF($H944="Y",Settings!$B$7*Settings!$B$9,0)+N($I944)*Settings!$B$9,IF($D944="Deep clean",INDEX(Settings!$E$22:$E$26,MATCH(MIN(INDEX(Properties!$E$5:$E$104,MATCH($B944,Properties!$A$5:$A$104,0)),4),Settings!$A$22:$A$26,0))*Settings!$B$19+N($I944)*Settings!$B$9,IF($D944="Late cancel",INDEX(Properties!$L$5:$L$104,MATCH($B944,Properties!$A$5:$A$104,0))*Settings!$B$11,0))),0))</f>
        <v/>
      </c>
      <c r="P944" s="28" t="str">
        <f aca="false">IF($B944="","",$N944-$O944)</f>
        <v/>
      </c>
      <c r="Q944" s="29" t="str">
        <f aca="false">IF($A944="","",DATE(YEAR($A944),MONTH($A944),1))</f>
        <v/>
      </c>
      <c r="R944" s="30" t="str">
        <f aca="false">IF($A944="","",$A944+MOD(6-WEEKDAY($A944),7))</f>
        <v/>
      </c>
      <c r="S944" s="31" t="str">
        <f aca="false">IF($B944="","",IF(AND($M944='Invoice Builder'!$C$5,$Q944='Invoice Builder'!$C$6,N($N944)&gt;0),COUNTIFS($M$5:$M944,'Invoice Builder'!$C$5,$Q$5:$Q944,'Invoice Builder'!$C$6,$N$5:$N944,"&gt;0"),""))</f>
        <v/>
      </c>
      <c r="T944" s="27" t="str">
        <f aca="false">IF($A944="","",IF($A944&gt;=DATE(YEAR($A944),4,6),YEAR($A944)&amp;"/"&amp;RIGHT(YEAR($A944)+1,2),YEAR($A944)-1&amp;"/"&amp;RIGHT(YEAR($A944),2)))</f>
        <v/>
      </c>
    </row>
    <row r="945" customFormat="false" ht="15" hidden="false" customHeight="false" outlineLevel="0" collapsed="false">
      <c r="A945" s="22"/>
      <c r="B945" s="23"/>
      <c r="C945" s="23"/>
      <c r="D945" s="23"/>
      <c r="E945" s="24"/>
      <c r="F945" s="24"/>
      <c r="G945" s="23"/>
      <c r="H945" s="23"/>
      <c r="I945" s="25"/>
      <c r="J945" s="23"/>
      <c r="K945" s="23"/>
      <c r="L945" s="26" t="str">
        <f aca="false">IF(OR($E945="",$F945=""),"",MOD($F945-$E945,1)*24)</f>
        <v/>
      </c>
      <c r="M945" s="27" t="str">
        <f aca="false">IF($B945="","",IFERROR(INDEX(Properties!$D$5:$D$104,MATCH($B945,Properties!$A$5:$A$104,0)),"?"))</f>
        <v/>
      </c>
      <c r="N945" s="28" t="str">
        <f aca="false">IF($B945="","",IFERROR(IF($D945="Completed",INDEX(Properties!$I$5:$I$104,MATCH($B945,Properties!$A$5:$A$104,0))*(1+IF($G945="Y",Settings!$B$8,0))+IF($H945="Y",Settings!$B$7,0)+N($I945),IF($D945="Deep clean",INDEX(Settings!$E$22:$E$26,MATCH(MIN(INDEX(Properties!$E$5:$E$104,MATCH($B945,Properties!$A$5:$A$104,0)),4),Settings!$A$22:$A$26,0))+N($I945),IF($D945="Late cancel",INDEX(Properties!$I$5:$I$104,MATCH($B945,Properties!$A$5:$A$104,0))*Settings!$B$10,0))),0))</f>
        <v/>
      </c>
      <c r="O945" s="28" t="str">
        <f aca="false">IF($B945="","",IFERROR(IF($D945="Completed",INDEX(Properties!$L$5:$L$104,MATCH($B945,Properties!$A$5:$A$104,0))+IF($G945="Y",INDEX(Properties!$I$5:$I$104,MATCH($B945,Properties!$A$5:$A$104,0))*Settings!$B$8*Settings!$B$9,0)+IF($H945="Y",Settings!$B$7*Settings!$B$9,0)+N($I945)*Settings!$B$9,IF($D945="Deep clean",INDEX(Settings!$E$22:$E$26,MATCH(MIN(INDEX(Properties!$E$5:$E$104,MATCH($B945,Properties!$A$5:$A$104,0)),4),Settings!$A$22:$A$26,0))*Settings!$B$19+N($I945)*Settings!$B$9,IF($D945="Late cancel",INDEX(Properties!$L$5:$L$104,MATCH($B945,Properties!$A$5:$A$104,0))*Settings!$B$11,0))),0))</f>
        <v/>
      </c>
      <c r="P945" s="28" t="str">
        <f aca="false">IF($B945="","",$N945-$O945)</f>
        <v/>
      </c>
      <c r="Q945" s="29" t="str">
        <f aca="false">IF($A945="","",DATE(YEAR($A945),MONTH($A945),1))</f>
        <v/>
      </c>
      <c r="R945" s="30" t="str">
        <f aca="false">IF($A945="","",$A945+MOD(6-WEEKDAY($A945),7))</f>
        <v/>
      </c>
      <c r="S945" s="31" t="str">
        <f aca="false">IF($B945="","",IF(AND($M945='Invoice Builder'!$C$5,$Q945='Invoice Builder'!$C$6,N($N945)&gt;0),COUNTIFS($M$5:$M945,'Invoice Builder'!$C$5,$Q$5:$Q945,'Invoice Builder'!$C$6,$N$5:$N945,"&gt;0"),""))</f>
        <v/>
      </c>
      <c r="T945" s="27" t="str">
        <f aca="false">IF($A945="","",IF($A945&gt;=DATE(YEAR($A945),4,6),YEAR($A945)&amp;"/"&amp;RIGHT(YEAR($A945)+1,2),YEAR($A945)-1&amp;"/"&amp;RIGHT(YEAR($A945),2)))</f>
        <v/>
      </c>
    </row>
    <row r="946" customFormat="false" ht="15" hidden="false" customHeight="false" outlineLevel="0" collapsed="false">
      <c r="A946" s="22"/>
      <c r="B946" s="23"/>
      <c r="C946" s="23"/>
      <c r="D946" s="23"/>
      <c r="E946" s="24"/>
      <c r="F946" s="24"/>
      <c r="G946" s="23"/>
      <c r="H946" s="23"/>
      <c r="I946" s="25"/>
      <c r="J946" s="23"/>
      <c r="K946" s="23"/>
      <c r="L946" s="26" t="str">
        <f aca="false">IF(OR($E946="",$F946=""),"",MOD($F946-$E946,1)*24)</f>
        <v/>
      </c>
      <c r="M946" s="27" t="str">
        <f aca="false">IF($B946="","",IFERROR(INDEX(Properties!$D$5:$D$104,MATCH($B946,Properties!$A$5:$A$104,0)),"?"))</f>
        <v/>
      </c>
      <c r="N946" s="28" t="str">
        <f aca="false">IF($B946="","",IFERROR(IF($D946="Completed",INDEX(Properties!$I$5:$I$104,MATCH($B946,Properties!$A$5:$A$104,0))*(1+IF($G946="Y",Settings!$B$8,0))+IF($H946="Y",Settings!$B$7,0)+N($I946),IF($D946="Deep clean",INDEX(Settings!$E$22:$E$26,MATCH(MIN(INDEX(Properties!$E$5:$E$104,MATCH($B946,Properties!$A$5:$A$104,0)),4),Settings!$A$22:$A$26,0))+N($I946),IF($D946="Late cancel",INDEX(Properties!$I$5:$I$104,MATCH($B946,Properties!$A$5:$A$104,0))*Settings!$B$10,0))),0))</f>
        <v/>
      </c>
      <c r="O946" s="28" t="str">
        <f aca="false">IF($B946="","",IFERROR(IF($D946="Completed",INDEX(Properties!$L$5:$L$104,MATCH($B946,Properties!$A$5:$A$104,0))+IF($G946="Y",INDEX(Properties!$I$5:$I$104,MATCH($B946,Properties!$A$5:$A$104,0))*Settings!$B$8*Settings!$B$9,0)+IF($H946="Y",Settings!$B$7*Settings!$B$9,0)+N($I946)*Settings!$B$9,IF($D946="Deep clean",INDEX(Settings!$E$22:$E$26,MATCH(MIN(INDEX(Properties!$E$5:$E$104,MATCH($B946,Properties!$A$5:$A$104,0)),4),Settings!$A$22:$A$26,0))*Settings!$B$19+N($I946)*Settings!$B$9,IF($D946="Late cancel",INDEX(Properties!$L$5:$L$104,MATCH($B946,Properties!$A$5:$A$104,0))*Settings!$B$11,0))),0))</f>
        <v/>
      </c>
      <c r="P946" s="28" t="str">
        <f aca="false">IF($B946="","",$N946-$O946)</f>
        <v/>
      </c>
      <c r="Q946" s="29" t="str">
        <f aca="false">IF($A946="","",DATE(YEAR($A946),MONTH($A946),1))</f>
        <v/>
      </c>
      <c r="R946" s="30" t="str">
        <f aca="false">IF($A946="","",$A946+MOD(6-WEEKDAY($A946),7))</f>
        <v/>
      </c>
      <c r="S946" s="31" t="str">
        <f aca="false">IF($B946="","",IF(AND($M946='Invoice Builder'!$C$5,$Q946='Invoice Builder'!$C$6,N($N946)&gt;0),COUNTIFS($M$5:$M946,'Invoice Builder'!$C$5,$Q$5:$Q946,'Invoice Builder'!$C$6,$N$5:$N946,"&gt;0"),""))</f>
        <v/>
      </c>
      <c r="T946" s="27" t="str">
        <f aca="false">IF($A946="","",IF($A946&gt;=DATE(YEAR($A946),4,6),YEAR($A946)&amp;"/"&amp;RIGHT(YEAR($A946)+1,2),YEAR($A946)-1&amp;"/"&amp;RIGHT(YEAR($A946),2)))</f>
        <v/>
      </c>
    </row>
    <row r="947" customFormat="false" ht="15" hidden="false" customHeight="false" outlineLevel="0" collapsed="false">
      <c r="A947" s="22"/>
      <c r="B947" s="23"/>
      <c r="C947" s="23"/>
      <c r="D947" s="23"/>
      <c r="E947" s="24"/>
      <c r="F947" s="24"/>
      <c r="G947" s="23"/>
      <c r="H947" s="23"/>
      <c r="I947" s="25"/>
      <c r="J947" s="23"/>
      <c r="K947" s="23"/>
      <c r="L947" s="26" t="str">
        <f aca="false">IF(OR($E947="",$F947=""),"",MOD($F947-$E947,1)*24)</f>
        <v/>
      </c>
      <c r="M947" s="27" t="str">
        <f aca="false">IF($B947="","",IFERROR(INDEX(Properties!$D$5:$D$104,MATCH($B947,Properties!$A$5:$A$104,0)),"?"))</f>
        <v/>
      </c>
      <c r="N947" s="28" t="str">
        <f aca="false">IF($B947="","",IFERROR(IF($D947="Completed",INDEX(Properties!$I$5:$I$104,MATCH($B947,Properties!$A$5:$A$104,0))*(1+IF($G947="Y",Settings!$B$8,0))+IF($H947="Y",Settings!$B$7,0)+N($I947),IF($D947="Deep clean",INDEX(Settings!$E$22:$E$26,MATCH(MIN(INDEX(Properties!$E$5:$E$104,MATCH($B947,Properties!$A$5:$A$104,0)),4),Settings!$A$22:$A$26,0))+N($I947),IF($D947="Late cancel",INDEX(Properties!$I$5:$I$104,MATCH($B947,Properties!$A$5:$A$104,0))*Settings!$B$10,0))),0))</f>
        <v/>
      </c>
      <c r="O947" s="28" t="str">
        <f aca="false">IF($B947="","",IFERROR(IF($D947="Completed",INDEX(Properties!$L$5:$L$104,MATCH($B947,Properties!$A$5:$A$104,0))+IF($G947="Y",INDEX(Properties!$I$5:$I$104,MATCH($B947,Properties!$A$5:$A$104,0))*Settings!$B$8*Settings!$B$9,0)+IF($H947="Y",Settings!$B$7*Settings!$B$9,0)+N($I947)*Settings!$B$9,IF($D947="Deep clean",INDEX(Settings!$E$22:$E$26,MATCH(MIN(INDEX(Properties!$E$5:$E$104,MATCH($B947,Properties!$A$5:$A$104,0)),4),Settings!$A$22:$A$26,0))*Settings!$B$19+N($I947)*Settings!$B$9,IF($D947="Late cancel",INDEX(Properties!$L$5:$L$104,MATCH($B947,Properties!$A$5:$A$104,0))*Settings!$B$11,0))),0))</f>
        <v/>
      </c>
      <c r="P947" s="28" t="str">
        <f aca="false">IF($B947="","",$N947-$O947)</f>
        <v/>
      </c>
      <c r="Q947" s="29" t="str">
        <f aca="false">IF($A947="","",DATE(YEAR($A947),MONTH($A947),1))</f>
        <v/>
      </c>
      <c r="R947" s="30" t="str">
        <f aca="false">IF($A947="","",$A947+MOD(6-WEEKDAY($A947),7))</f>
        <v/>
      </c>
      <c r="S947" s="31" t="str">
        <f aca="false">IF($B947="","",IF(AND($M947='Invoice Builder'!$C$5,$Q947='Invoice Builder'!$C$6,N($N947)&gt;0),COUNTIFS($M$5:$M947,'Invoice Builder'!$C$5,$Q$5:$Q947,'Invoice Builder'!$C$6,$N$5:$N947,"&gt;0"),""))</f>
        <v/>
      </c>
      <c r="T947" s="27" t="str">
        <f aca="false">IF($A947="","",IF($A947&gt;=DATE(YEAR($A947),4,6),YEAR($A947)&amp;"/"&amp;RIGHT(YEAR($A947)+1,2),YEAR($A947)-1&amp;"/"&amp;RIGHT(YEAR($A947),2)))</f>
        <v/>
      </c>
    </row>
    <row r="948" customFormat="false" ht="15" hidden="false" customHeight="false" outlineLevel="0" collapsed="false">
      <c r="A948" s="22"/>
      <c r="B948" s="23"/>
      <c r="C948" s="23"/>
      <c r="D948" s="23"/>
      <c r="E948" s="24"/>
      <c r="F948" s="24"/>
      <c r="G948" s="23"/>
      <c r="H948" s="23"/>
      <c r="I948" s="25"/>
      <c r="J948" s="23"/>
      <c r="K948" s="23"/>
      <c r="L948" s="26" t="str">
        <f aca="false">IF(OR($E948="",$F948=""),"",MOD($F948-$E948,1)*24)</f>
        <v/>
      </c>
      <c r="M948" s="27" t="str">
        <f aca="false">IF($B948="","",IFERROR(INDEX(Properties!$D$5:$D$104,MATCH($B948,Properties!$A$5:$A$104,0)),"?"))</f>
        <v/>
      </c>
      <c r="N948" s="28" t="str">
        <f aca="false">IF($B948="","",IFERROR(IF($D948="Completed",INDEX(Properties!$I$5:$I$104,MATCH($B948,Properties!$A$5:$A$104,0))*(1+IF($G948="Y",Settings!$B$8,0))+IF($H948="Y",Settings!$B$7,0)+N($I948),IF($D948="Deep clean",INDEX(Settings!$E$22:$E$26,MATCH(MIN(INDEX(Properties!$E$5:$E$104,MATCH($B948,Properties!$A$5:$A$104,0)),4),Settings!$A$22:$A$26,0))+N($I948),IF($D948="Late cancel",INDEX(Properties!$I$5:$I$104,MATCH($B948,Properties!$A$5:$A$104,0))*Settings!$B$10,0))),0))</f>
        <v/>
      </c>
      <c r="O948" s="28" t="str">
        <f aca="false">IF($B948="","",IFERROR(IF($D948="Completed",INDEX(Properties!$L$5:$L$104,MATCH($B948,Properties!$A$5:$A$104,0))+IF($G948="Y",INDEX(Properties!$I$5:$I$104,MATCH($B948,Properties!$A$5:$A$104,0))*Settings!$B$8*Settings!$B$9,0)+IF($H948="Y",Settings!$B$7*Settings!$B$9,0)+N($I948)*Settings!$B$9,IF($D948="Deep clean",INDEX(Settings!$E$22:$E$26,MATCH(MIN(INDEX(Properties!$E$5:$E$104,MATCH($B948,Properties!$A$5:$A$104,0)),4),Settings!$A$22:$A$26,0))*Settings!$B$19+N($I948)*Settings!$B$9,IF($D948="Late cancel",INDEX(Properties!$L$5:$L$104,MATCH($B948,Properties!$A$5:$A$104,0))*Settings!$B$11,0))),0))</f>
        <v/>
      </c>
      <c r="P948" s="28" t="str">
        <f aca="false">IF($B948="","",$N948-$O948)</f>
        <v/>
      </c>
      <c r="Q948" s="29" t="str">
        <f aca="false">IF($A948="","",DATE(YEAR($A948),MONTH($A948),1))</f>
        <v/>
      </c>
      <c r="R948" s="30" t="str">
        <f aca="false">IF($A948="","",$A948+MOD(6-WEEKDAY($A948),7))</f>
        <v/>
      </c>
      <c r="S948" s="31" t="str">
        <f aca="false">IF($B948="","",IF(AND($M948='Invoice Builder'!$C$5,$Q948='Invoice Builder'!$C$6,N($N948)&gt;0),COUNTIFS($M$5:$M948,'Invoice Builder'!$C$5,$Q$5:$Q948,'Invoice Builder'!$C$6,$N$5:$N948,"&gt;0"),""))</f>
        <v/>
      </c>
      <c r="T948" s="27" t="str">
        <f aca="false">IF($A948="","",IF($A948&gt;=DATE(YEAR($A948),4,6),YEAR($A948)&amp;"/"&amp;RIGHT(YEAR($A948)+1,2),YEAR($A948)-1&amp;"/"&amp;RIGHT(YEAR($A948),2)))</f>
        <v/>
      </c>
    </row>
    <row r="949" customFormat="false" ht="15" hidden="false" customHeight="false" outlineLevel="0" collapsed="false">
      <c r="A949" s="22"/>
      <c r="B949" s="23"/>
      <c r="C949" s="23"/>
      <c r="D949" s="23"/>
      <c r="E949" s="24"/>
      <c r="F949" s="24"/>
      <c r="G949" s="23"/>
      <c r="H949" s="23"/>
      <c r="I949" s="25"/>
      <c r="J949" s="23"/>
      <c r="K949" s="23"/>
      <c r="L949" s="26" t="str">
        <f aca="false">IF(OR($E949="",$F949=""),"",MOD($F949-$E949,1)*24)</f>
        <v/>
      </c>
      <c r="M949" s="27" t="str">
        <f aca="false">IF($B949="","",IFERROR(INDEX(Properties!$D$5:$D$104,MATCH($B949,Properties!$A$5:$A$104,0)),"?"))</f>
        <v/>
      </c>
      <c r="N949" s="28" t="str">
        <f aca="false">IF($B949="","",IFERROR(IF($D949="Completed",INDEX(Properties!$I$5:$I$104,MATCH($B949,Properties!$A$5:$A$104,0))*(1+IF($G949="Y",Settings!$B$8,0))+IF($H949="Y",Settings!$B$7,0)+N($I949),IF($D949="Deep clean",INDEX(Settings!$E$22:$E$26,MATCH(MIN(INDEX(Properties!$E$5:$E$104,MATCH($B949,Properties!$A$5:$A$104,0)),4),Settings!$A$22:$A$26,0))+N($I949),IF($D949="Late cancel",INDEX(Properties!$I$5:$I$104,MATCH($B949,Properties!$A$5:$A$104,0))*Settings!$B$10,0))),0))</f>
        <v/>
      </c>
      <c r="O949" s="28" t="str">
        <f aca="false">IF($B949="","",IFERROR(IF($D949="Completed",INDEX(Properties!$L$5:$L$104,MATCH($B949,Properties!$A$5:$A$104,0))+IF($G949="Y",INDEX(Properties!$I$5:$I$104,MATCH($B949,Properties!$A$5:$A$104,0))*Settings!$B$8*Settings!$B$9,0)+IF($H949="Y",Settings!$B$7*Settings!$B$9,0)+N($I949)*Settings!$B$9,IF($D949="Deep clean",INDEX(Settings!$E$22:$E$26,MATCH(MIN(INDEX(Properties!$E$5:$E$104,MATCH($B949,Properties!$A$5:$A$104,0)),4),Settings!$A$22:$A$26,0))*Settings!$B$19+N($I949)*Settings!$B$9,IF($D949="Late cancel",INDEX(Properties!$L$5:$L$104,MATCH($B949,Properties!$A$5:$A$104,0))*Settings!$B$11,0))),0))</f>
        <v/>
      </c>
      <c r="P949" s="28" t="str">
        <f aca="false">IF($B949="","",$N949-$O949)</f>
        <v/>
      </c>
      <c r="Q949" s="29" t="str">
        <f aca="false">IF($A949="","",DATE(YEAR($A949),MONTH($A949),1))</f>
        <v/>
      </c>
      <c r="R949" s="30" t="str">
        <f aca="false">IF($A949="","",$A949+MOD(6-WEEKDAY($A949),7))</f>
        <v/>
      </c>
      <c r="S949" s="31" t="str">
        <f aca="false">IF($B949="","",IF(AND($M949='Invoice Builder'!$C$5,$Q949='Invoice Builder'!$C$6,N($N949)&gt;0),COUNTIFS($M$5:$M949,'Invoice Builder'!$C$5,$Q$5:$Q949,'Invoice Builder'!$C$6,$N$5:$N949,"&gt;0"),""))</f>
        <v/>
      </c>
      <c r="T949" s="27" t="str">
        <f aca="false">IF($A949="","",IF($A949&gt;=DATE(YEAR($A949),4,6),YEAR($A949)&amp;"/"&amp;RIGHT(YEAR($A949)+1,2),YEAR($A949)-1&amp;"/"&amp;RIGHT(YEAR($A949),2)))</f>
        <v/>
      </c>
    </row>
    <row r="950" customFormat="false" ht="15" hidden="false" customHeight="false" outlineLevel="0" collapsed="false">
      <c r="A950" s="22"/>
      <c r="B950" s="23"/>
      <c r="C950" s="23"/>
      <c r="D950" s="23"/>
      <c r="E950" s="24"/>
      <c r="F950" s="24"/>
      <c r="G950" s="23"/>
      <c r="H950" s="23"/>
      <c r="I950" s="25"/>
      <c r="J950" s="23"/>
      <c r="K950" s="23"/>
      <c r="L950" s="26" t="str">
        <f aca="false">IF(OR($E950="",$F950=""),"",MOD($F950-$E950,1)*24)</f>
        <v/>
      </c>
      <c r="M950" s="27" t="str">
        <f aca="false">IF($B950="","",IFERROR(INDEX(Properties!$D$5:$D$104,MATCH($B950,Properties!$A$5:$A$104,0)),"?"))</f>
        <v/>
      </c>
      <c r="N950" s="28" t="str">
        <f aca="false">IF($B950="","",IFERROR(IF($D950="Completed",INDEX(Properties!$I$5:$I$104,MATCH($B950,Properties!$A$5:$A$104,0))*(1+IF($G950="Y",Settings!$B$8,0))+IF($H950="Y",Settings!$B$7,0)+N($I950),IF($D950="Deep clean",INDEX(Settings!$E$22:$E$26,MATCH(MIN(INDEX(Properties!$E$5:$E$104,MATCH($B950,Properties!$A$5:$A$104,0)),4),Settings!$A$22:$A$26,0))+N($I950),IF($D950="Late cancel",INDEX(Properties!$I$5:$I$104,MATCH($B950,Properties!$A$5:$A$104,0))*Settings!$B$10,0))),0))</f>
        <v/>
      </c>
      <c r="O950" s="28" t="str">
        <f aca="false">IF($B950="","",IFERROR(IF($D950="Completed",INDEX(Properties!$L$5:$L$104,MATCH($B950,Properties!$A$5:$A$104,0))+IF($G950="Y",INDEX(Properties!$I$5:$I$104,MATCH($B950,Properties!$A$5:$A$104,0))*Settings!$B$8*Settings!$B$9,0)+IF($H950="Y",Settings!$B$7*Settings!$B$9,0)+N($I950)*Settings!$B$9,IF($D950="Deep clean",INDEX(Settings!$E$22:$E$26,MATCH(MIN(INDEX(Properties!$E$5:$E$104,MATCH($B950,Properties!$A$5:$A$104,0)),4),Settings!$A$22:$A$26,0))*Settings!$B$19+N($I950)*Settings!$B$9,IF($D950="Late cancel",INDEX(Properties!$L$5:$L$104,MATCH($B950,Properties!$A$5:$A$104,0))*Settings!$B$11,0))),0))</f>
        <v/>
      </c>
      <c r="P950" s="28" t="str">
        <f aca="false">IF($B950="","",$N950-$O950)</f>
        <v/>
      </c>
      <c r="Q950" s="29" t="str">
        <f aca="false">IF($A950="","",DATE(YEAR($A950),MONTH($A950),1))</f>
        <v/>
      </c>
      <c r="R950" s="30" t="str">
        <f aca="false">IF($A950="","",$A950+MOD(6-WEEKDAY($A950),7))</f>
        <v/>
      </c>
      <c r="S950" s="31" t="str">
        <f aca="false">IF($B950="","",IF(AND($M950='Invoice Builder'!$C$5,$Q950='Invoice Builder'!$C$6,N($N950)&gt;0),COUNTIFS($M$5:$M950,'Invoice Builder'!$C$5,$Q$5:$Q950,'Invoice Builder'!$C$6,$N$5:$N950,"&gt;0"),""))</f>
        <v/>
      </c>
      <c r="T950" s="27" t="str">
        <f aca="false">IF($A950="","",IF($A950&gt;=DATE(YEAR($A950),4,6),YEAR($A950)&amp;"/"&amp;RIGHT(YEAR($A950)+1,2),YEAR($A950)-1&amp;"/"&amp;RIGHT(YEAR($A950),2)))</f>
        <v/>
      </c>
    </row>
    <row r="951" customFormat="false" ht="15" hidden="false" customHeight="false" outlineLevel="0" collapsed="false">
      <c r="A951" s="22"/>
      <c r="B951" s="23"/>
      <c r="C951" s="23"/>
      <c r="D951" s="23"/>
      <c r="E951" s="24"/>
      <c r="F951" s="24"/>
      <c r="G951" s="23"/>
      <c r="H951" s="23"/>
      <c r="I951" s="25"/>
      <c r="J951" s="23"/>
      <c r="K951" s="23"/>
      <c r="L951" s="26" t="str">
        <f aca="false">IF(OR($E951="",$F951=""),"",MOD($F951-$E951,1)*24)</f>
        <v/>
      </c>
      <c r="M951" s="27" t="str">
        <f aca="false">IF($B951="","",IFERROR(INDEX(Properties!$D$5:$D$104,MATCH($B951,Properties!$A$5:$A$104,0)),"?"))</f>
        <v/>
      </c>
      <c r="N951" s="28" t="str">
        <f aca="false">IF($B951="","",IFERROR(IF($D951="Completed",INDEX(Properties!$I$5:$I$104,MATCH($B951,Properties!$A$5:$A$104,0))*(1+IF($G951="Y",Settings!$B$8,0))+IF($H951="Y",Settings!$B$7,0)+N($I951),IF($D951="Deep clean",INDEX(Settings!$E$22:$E$26,MATCH(MIN(INDEX(Properties!$E$5:$E$104,MATCH($B951,Properties!$A$5:$A$104,0)),4),Settings!$A$22:$A$26,0))+N($I951),IF($D951="Late cancel",INDEX(Properties!$I$5:$I$104,MATCH($B951,Properties!$A$5:$A$104,0))*Settings!$B$10,0))),0))</f>
        <v/>
      </c>
      <c r="O951" s="28" t="str">
        <f aca="false">IF($B951="","",IFERROR(IF($D951="Completed",INDEX(Properties!$L$5:$L$104,MATCH($B951,Properties!$A$5:$A$104,0))+IF($G951="Y",INDEX(Properties!$I$5:$I$104,MATCH($B951,Properties!$A$5:$A$104,0))*Settings!$B$8*Settings!$B$9,0)+IF($H951="Y",Settings!$B$7*Settings!$B$9,0)+N($I951)*Settings!$B$9,IF($D951="Deep clean",INDEX(Settings!$E$22:$E$26,MATCH(MIN(INDEX(Properties!$E$5:$E$104,MATCH($B951,Properties!$A$5:$A$104,0)),4),Settings!$A$22:$A$26,0))*Settings!$B$19+N($I951)*Settings!$B$9,IF($D951="Late cancel",INDEX(Properties!$L$5:$L$104,MATCH($B951,Properties!$A$5:$A$104,0))*Settings!$B$11,0))),0))</f>
        <v/>
      </c>
      <c r="P951" s="28" t="str">
        <f aca="false">IF($B951="","",$N951-$O951)</f>
        <v/>
      </c>
      <c r="Q951" s="29" t="str">
        <f aca="false">IF($A951="","",DATE(YEAR($A951),MONTH($A951),1))</f>
        <v/>
      </c>
      <c r="R951" s="30" t="str">
        <f aca="false">IF($A951="","",$A951+MOD(6-WEEKDAY($A951),7))</f>
        <v/>
      </c>
      <c r="S951" s="31" t="str">
        <f aca="false">IF($B951="","",IF(AND($M951='Invoice Builder'!$C$5,$Q951='Invoice Builder'!$C$6,N($N951)&gt;0),COUNTIFS($M$5:$M951,'Invoice Builder'!$C$5,$Q$5:$Q951,'Invoice Builder'!$C$6,$N$5:$N951,"&gt;0"),""))</f>
        <v/>
      </c>
      <c r="T951" s="27" t="str">
        <f aca="false">IF($A951="","",IF($A951&gt;=DATE(YEAR($A951),4,6),YEAR($A951)&amp;"/"&amp;RIGHT(YEAR($A951)+1,2),YEAR($A951)-1&amp;"/"&amp;RIGHT(YEAR($A951),2)))</f>
        <v/>
      </c>
    </row>
    <row r="952" customFormat="false" ht="15" hidden="false" customHeight="false" outlineLevel="0" collapsed="false">
      <c r="A952" s="22"/>
      <c r="B952" s="23"/>
      <c r="C952" s="23"/>
      <c r="D952" s="23"/>
      <c r="E952" s="24"/>
      <c r="F952" s="24"/>
      <c r="G952" s="23"/>
      <c r="H952" s="23"/>
      <c r="I952" s="25"/>
      <c r="J952" s="23"/>
      <c r="K952" s="23"/>
      <c r="L952" s="26" t="str">
        <f aca="false">IF(OR($E952="",$F952=""),"",MOD($F952-$E952,1)*24)</f>
        <v/>
      </c>
      <c r="M952" s="27" t="str">
        <f aca="false">IF($B952="","",IFERROR(INDEX(Properties!$D$5:$D$104,MATCH($B952,Properties!$A$5:$A$104,0)),"?"))</f>
        <v/>
      </c>
      <c r="N952" s="28" t="str">
        <f aca="false">IF($B952="","",IFERROR(IF($D952="Completed",INDEX(Properties!$I$5:$I$104,MATCH($B952,Properties!$A$5:$A$104,0))*(1+IF($G952="Y",Settings!$B$8,0))+IF($H952="Y",Settings!$B$7,0)+N($I952),IF($D952="Deep clean",INDEX(Settings!$E$22:$E$26,MATCH(MIN(INDEX(Properties!$E$5:$E$104,MATCH($B952,Properties!$A$5:$A$104,0)),4),Settings!$A$22:$A$26,0))+N($I952),IF($D952="Late cancel",INDEX(Properties!$I$5:$I$104,MATCH($B952,Properties!$A$5:$A$104,0))*Settings!$B$10,0))),0))</f>
        <v/>
      </c>
      <c r="O952" s="28" t="str">
        <f aca="false">IF($B952="","",IFERROR(IF($D952="Completed",INDEX(Properties!$L$5:$L$104,MATCH($B952,Properties!$A$5:$A$104,0))+IF($G952="Y",INDEX(Properties!$I$5:$I$104,MATCH($B952,Properties!$A$5:$A$104,0))*Settings!$B$8*Settings!$B$9,0)+IF($H952="Y",Settings!$B$7*Settings!$B$9,0)+N($I952)*Settings!$B$9,IF($D952="Deep clean",INDEX(Settings!$E$22:$E$26,MATCH(MIN(INDEX(Properties!$E$5:$E$104,MATCH($B952,Properties!$A$5:$A$104,0)),4),Settings!$A$22:$A$26,0))*Settings!$B$19+N($I952)*Settings!$B$9,IF($D952="Late cancel",INDEX(Properties!$L$5:$L$104,MATCH($B952,Properties!$A$5:$A$104,0))*Settings!$B$11,0))),0))</f>
        <v/>
      </c>
      <c r="P952" s="28" t="str">
        <f aca="false">IF($B952="","",$N952-$O952)</f>
        <v/>
      </c>
      <c r="Q952" s="29" t="str">
        <f aca="false">IF($A952="","",DATE(YEAR($A952),MONTH($A952),1))</f>
        <v/>
      </c>
      <c r="R952" s="30" t="str">
        <f aca="false">IF($A952="","",$A952+MOD(6-WEEKDAY($A952),7))</f>
        <v/>
      </c>
      <c r="S952" s="31" t="str">
        <f aca="false">IF($B952="","",IF(AND($M952='Invoice Builder'!$C$5,$Q952='Invoice Builder'!$C$6,N($N952)&gt;0),COUNTIFS($M$5:$M952,'Invoice Builder'!$C$5,$Q$5:$Q952,'Invoice Builder'!$C$6,$N$5:$N952,"&gt;0"),""))</f>
        <v/>
      </c>
      <c r="T952" s="27" t="str">
        <f aca="false">IF($A952="","",IF($A952&gt;=DATE(YEAR($A952),4,6),YEAR($A952)&amp;"/"&amp;RIGHT(YEAR($A952)+1,2),YEAR($A952)-1&amp;"/"&amp;RIGHT(YEAR($A952),2)))</f>
        <v/>
      </c>
    </row>
    <row r="953" customFormat="false" ht="15" hidden="false" customHeight="false" outlineLevel="0" collapsed="false">
      <c r="A953" s="22"/>
      <c r="B953" s="23"/>
      <c r="C953" s="23"/>
      <c r="D953" s="23"/>
      <c r="E953" s="24"/>
      <c r="F953" s="24"/>
      <c r="G953" s="23"/>
      <c r="H953" s="23"/>
      <c r="I953" s="25"/>
      <c r="J953" s="23"/>
      <c r="K953" s="23"/>
      <c r="L953" s="26" t="str">
        <f aca="false">IF(OR($E953="",$F953=""),"",MOD($F953-$E953,1)*24)</f>
        <v/>
      </c>
      <c r="M953" s="27" t="str">
        <f aca="false">IF($B953="","",IFERROR(INDEX(Properties!$D$5:$D$104,MATCH($B953,Properties!$A$5:$A$104,0)),"?"))</f>
        <v/>
      </c>
      <c r="N953" s="28" t="str">
        <f aca="false">IF($B953="","",IFERROR(IF($D953="Completed",INDEX(Properties!$I$5:$I$104,MATCH($B953,Properties!$A$5:$A$104,0))*(1+IF($G953="Y",Settings!$B$8,0))+IF($H953="Y",Settings!$B$7,0)+N($I953),IF($D953="Deep clean",INDEX(Settings!$E$22:$E$26,MATCH(MIN(INDEX(Properties!$E$5:$E$104,MATCH($B953,Properties!$A$5:$A$104,0)),4),Settings!$A$22:$A$26,0))+N($I953),IF($D953="Late cancel",INDEX(Properties!$I$5:$I$104,MATCH($B953,Properties!$A$5:$A$104,0))*Settings!$B$10,0))),0))</f>
        <v/>
      </c>
      <c r="O953" s="28" t="str">
        <f aca="false">IF($B953="","",IFERROR(IF($D953="Completed",INDEX(Properties!$L$5:$L$104,MATCH($B953,Properties!$A$5:$A$104,0))+IF($G953="Y",INDEX(Properties!$I$5:$I$104,MATCH($B953,Properties!$A$5:$A$104,0))*Settings!$B$8*Settings!$B$9,0)+IF($H953="Y",Settings!$B$7*Settings!$B$9,0)+N($I953)*Settings!$B$9,IF($D953="Deep clean",INDEX(Settings!$E$22:$E$26,MATCH(MIN(INDEX(Properties!$E$5:$E$104,MATCH($B953,Properties!$A$5:$A$104,0)),4),Settings!$A$22:$A$26,0))*Settings!$B$19+N($I953)*Settings!$B$9,IF($D953="Late cancel",INDEX(Properties!$L$5:$L$104,MATCH($B953,Properties!$A$5:$A$104,0))*Settings!$B$11,0))),0))</f>
        <v/>
      </c>
      <c r="P953" s="28" t="str">
        <f aca="false">IF($B953="","",$N953-$O953)</f>
        <v/>
      </c>
      <c r="Q953" s="29" t="str">
        <f aca="false">IF($A953="","",DATE(YEAR($A953),MONTH($A953),1))</f>
        <v/>
      </c>
      <c r="R953" s="30" t="str">
        <f aca="false">IF($A953="","",$A953+MOD(6-WEEKDAY($A953),7))</f>
        <v/>
      </c>
      <c r="S953" s="31" t="str">
        <f aca="false">IF($B953="","",IF(AND($M953='Invoice Builder'!$C$5,$Q953='Invoice Builder'!$C$6,N($N953)&gt;0),COUNTIFS($M$5:$M953,'Invoice Builder'!$C$5,$Q$5:$Q953,'Invoice Builder'!$C$6,$N$5:$N953,"&gt;0"),""))</f>
        <v/>
      </c>
      <c r="T953" s="27" t="str">
        <f aca="false">IF($A953="","",IF($A953&gt;=DATE(YEAR($A953),4,6),YEAR($A953)&amp;"/"&amp;RIGHT(YEAR($A953)+1,2),YEAR($A953)-1&amp;"/"&amp;RIGHT(YEAR($A953),2)))</f>
        <v/>
      </c>
    </row>
    <row r="954" customFormat="false" ht="15" hidden="false" customHeight="false" outlineLevel="0" collapsed="false">
      <c r="A954" s="22"/>
      <c r="B954" s="23"/>
      <c r="C954" s="23"/>
      <c r="D954" s="23"/>
      <c r="E954" s="24"/>
      <c r="F954" s="24"/>
      <c r="G954" s="23"/>
      <c r="H954" s="23"/>
      <c r="I954" s="25"/>
      <c r="J954" s="23"/>
      <c r="K954" s="23"/>
      <c r="L954" s="26" t="str">
        <f aca="false">IF(OR($E954="",$F954=""),"",MOD($F954-$E954,1)*24)</f>
        <v/>
      </c>
      <c r="M954" s="27" t="str">
        <f aca="false">IF($B954="","",IFERROR(INDEX(Properties!$D$5:$D$104,MATCH($B954,Properties!$A$5:$A$104,0)),"?"))</f>
        <v/>
      </c>
      <c r="N954" s="28" t="str">
        <f aca="false">IF($B954="","",IFERROR(IF($D954="Completed",INDEX(Properties!$I$5:$I$104,MATCH($B954,Properties!$A$5:$A$104,0))*(1+IF($G954="Y",Settings!$B$8,0))+IF($H954="Y",Settings!$B$7,0)+N($I954),IF($D954="Deep clean",INDEX(Settings!$E$22:$E$26,MATCH(MIN(INDEX(Properties!$E$5:$E$104,MATCH($B954,Properties!$A$5:$A$104,0)),4),Settings!$A$22:$A$26,0))+N($I954),IF($D954="Late cancel",INDEX(Properties!$I$5:$I$104,MATCH($B954,Properties!$A$5:$A$104,0))*Settings!$B$10,0))),0))</f>
        <v/>
      </c>
      <c r="O954" s="28" t="str">
        <f aca="false">IF($B954="","",IFERROR(IF($D954="Completed",INDEX(Properties!$L$5:$L$104,MATCH($B954,Properties!$A$5:$A$104,0))+IF($G954="Y",INDEX(Properties!$I$5:$I$104,MATCH($B954,Properties!$A$5:$A$104,0))*Settings!$B$8*Settings!$B$9,0)+IF($H954="Y",Settings!$B$7*Settings!$B$9,0)+N($I954)*Settings!$B$9,IF($D954="Deep clean",INDEX(Settings!$E$22:$E$26,MATCH(MIN(INDEX(Properties!$E$5:$E$104,MATCH($B954,Properties!$A$5:$A$104,0)),4),Settings!$A$22:$A$26,0))*Settings!$B$19+N($I954)*Settings!$B$9,IF($D954="Late cancel",INDEX(Properties!$L$5:$L$104,MATCH($B954,Properties!$A$5:$A$104,0))*Settings!$B$11,0))),0))</f>
        <v/>
      </c>
      <c r="P954" s="28" t="str">
        <f aca="false">IF($B954="","",$N954-$O954)</f>
        <v/>
      </c>
      <c r="Q954" s="29" t="str">
        <f aca="false">IF($A954="","",DATE(YEAR($A954),MONTH($A954),1))</f>
        <v/>
      </c>
      <c r="R954" s="30" t="str">
        <f aca="false">IF($A954="","",$A954+MOD(6-WEEKDAY($A954),7))</f>
        <v/>
      </c>
      <c r="S954" s="31" t="str">
        <f aca="false">IF($B954="","",IF(AND($M954='Invoice Builder'!$C$5,$Q954='Invoice Builder'!$C$6,N($N954)&gt;0),COUNTIFS($M$5:$M954,'Invoice Builder'!$C$5,$Q$5:$Q954,'Invoice Builder'!$C$6,$N$5:$N954,"&gt;0"),""))</f>
        <v/>
      </c>
      <c r="T954" s="27" t="str">
        <f aca="false">IF($A954="","",IF($A954&gt;=DATE(YEAR($A954),4,6),YEAR($A954)&amp;"/"&amp;RIGHT(YEAR($A954)+1,2),YEAR($A954)-1&amp;"/"&amp;RIGHT(YEAR($A954),2)))</f>
        <v/>
      </c>
    </row>
    <row r="955" customFormat="false" ht="15" hidden="false" customHeight="false" outlineLevel="0" collapsed="false">
      <c r="A955" s="22"/>
      <c r="B955" s="23"/>
      <c r="C955" s="23"/>
      <c r="D955" s="23"/>
      <c r="E955" s="24"/>
      <c r="F955" s="24"/>
      <c r="G955" s="23"/>
      <c r="H955" s="23"/>
      <c r="I955" s="25"/>
      <c r="J955" s="23"/>
      <c r="K955" s="23"/>
      <c r="L955" s="26" t="str">
        <f aca="false">IF(OR($E955="",$F955=""),"",MOD($F955-$E955,1)*24)</f>
        <v/>
      </c>
      <c r="M955" s="27" t="str">
        <f aca="false">IF($B955="","",IFERROR(INDEX(Properties!$D$5:$D$104,MATCH($B955,Properties!$A$5:$A$104,0)),"?"))</f>
        <v/>
      </c>
      <c r="N955" s="28" t="str">
        <f aca="false">IF($B955="","",IFERROR(IF($D955="Completed",INDEX(Properties!$I$5:$I$104,MATCH($B955,Properties!$A$5:$A$104,0))*(1+IF($G955="Y",Settings!$B$8,0))+IF($H955="Y",Settings!$B$7,0)+N($I955),IF($D955="Deep clean",INDEX(Settings!$E$22:$E$26,MATCH(MIN(INDEX(Properties!$E$5:$E$104,MATCH($B955,Properties!$A$5:$A$104,0)),4),Settings!$A$22:$A$26,0))+N($I955),IF($D955="Late cancel",INDEX(Properties!$I$5:$I$104,MATCH($B955,Properties!$A$5:$A$104,0))*Settings!$B$10,0))),0))</f>
        <v/>
      </c>
      <c r="O955" s="28" t="str">
        <f aca="false">IF($B955="","",IFERROR(IF($D955="Completed",INDEX(Properties!$L$5:$L$104,MATCH($B955,Properties!$A$5:$A$104,0))+IF($G955="Y",INDEX(Properties!$I$5:$I$104,MATCH($B955,Properties!$A$5:$A$104,0))*Settings!$B$8*Settings!$B$9,0)+IF($H955="Y",Settings!$B$7*Settings!$B$9,0)+N($I955)*Settings!$B$9,IF($D955="Deep clean",INDEX(Settings!$E$22:$E$26,MATCH(MIN(INDEX(Properties!$E$5:$E$104,MATCH($B955,Properties!$A$5:$A$104,0)),4),Settings!$A$22:$A$26,0))*Settings!$B$19+N($I955)*Settings!$B$9,IF($D955="Late cancel",INDEX(Properties!$L$5:$L$104,MATCH($B955,Properties!$A$5:$A$104,0))*Settings!$B$11,0))),0))</f>
        <v/>
      </c>
      <c r="P955" s="28" t="str">
        <f aca="false">IF($B955="","",$N955-$O955)</f>
        <v/>
      </c>
      <c r="Q955" s="29" t="str">
        <f aca="false">IF($A955="","",DATE(YEAR($A955),MONTH($A955),1))</f>
        <v/>
      </c>
      <c r="R955" s="30" t="str">
        <f aca="false">IF($A955="","",$A955+MOD(6-WEEKDAY($A955),7))</f>
        <v/>
      </c>
      <c r="S955" s="31" t="str">
        <f aca="false">IF($B955="","",IF(AND($M955='Invoice Builder'!$C$5,$Q955='Invoice Builder'!$C$6,N($N955)&gt;0),COUNTIFS($M$5:$M955,'Invoice Builder'!$C$5,$Q$5:$Q955,'Invoice Builder'!$C$6,$N$5:$N955,"&gt;0"),""))</f>
        <v/>
      </c>
      <c r="T955" s="27" t="str">
        <f aca="false">IF($A955="","",IF($A955&gt;=DATE(YEAR($A955),4,6),YEAR($A955)&amp;"/"&amp;RIGHT(YEAR($A955)+1,2),YEAR($A955)-1&amp;"/"&amp;RIGHT(YEAR($A955),2)))</f>
        <v/>
      </c>
    </row>
    <row r="956" customFormat="false" ht="15" hidden="false" customHeight="false" outlineLevel="0" collapsed="false">
      <c r="A956" s="22"/>
      <c r="B956" s="23"/>
      <c r="C956" s="23"/>
      <c r="D956" s="23"/>
      <c r="E956" s="24"/>
      <c r="F956" s="24"/>
      <c r="G956" s="23"/>
      <c r="H956" s="23"/>
      <c r="I956" s="25"/>
      <c r="J956" s="23"/>
      <c r="K956" s="23"/>
      <c r="L956" s="26" t="str">
        <f aca="false">IF(OR($E956="",$F956=""),"",MOD($F956-$E956,1)*24)</f>
        <v/>
      </c>
      <c r="M956" s="27" t="str">
        <f aca="false">IF($B956="","",IFERROR(INDEX(Properties!$D$5:$D$104,MATCH($B956,Properties!$A$5:$A$104,0)),"?"))</f>
        <v/>
      </c>
      <c r="N956" s="28" t="str">
        <f aca="false">IF($B956="","",IFERROR(IF($D956="Completed",INDEX(Properties!$I$5:$I$104,MATCH($B956,Properties!$A$5:$A$104,0))*(1+IF($G956="Y",Settings!$B$8,0))+IF($H956="Y",Settings!$B$7,0)+N($I956),IF($D956="Deep clean",INDEX(Settings!$E$22:$E$26,MATCH(MIN(INDEX(Properties!$E$5:$E$104,MATCH($B956,Properties!$A$5:$A$104,0)),4),Settings!$A$22:$A$26,0))+N($I956),IF($D956="Late cancel",INDEX(Properties!$I$5:$I$104,MATCH($B956,Properties!$A$5:$A$104,0))*Settings!$B$10,0))),0))</f>
        <v/>
      </c>
      <c r="O956" s="28" t="str">
        <f aca="false">IF($B956="","",IFERROR(IF($D956="Completed",INDEX(Properties!$L$5:$L$104,MATCH($B956,Properties!$A$5:$A$104,0))+IF($G956="Y",INDEX(Properties!$I$5:$I$104,MATCH($B956,Properties!$A$5:$A$104,0))*Settings!$B$8*Settings!$B$9,0)+IF($H956="Y",Settings!$B$7*Settings!$B$9,0)+N($I956)*Settings!$B$9,IF($D956="Deep clean",INDEX(Settings!$E$22:$E$26,MATCH(MIN(INDEX(Properties!$E$5:$E$104,MATCH($B956,Properties!$A$5:$A$104,0)),4),Settings!$A$22:$A$26,0))*Settings!$B$19+N($I956)*Settings!$B$9,IF($D956="Late cancel",INDEX(Properties!$L$5:$L$104,MATCH($B956,Properties!$A$5:$A$104,0))*Settings!$B$11,0))),0))</f>
        <v/>
      </c>
      <c r="P956" s="28" t="str">
        <f aca="false">IF($B956="","",$N956-$O956)</f>
        <v/>
      </c>
      <c r="Q956" s="29" t="str">
        <f aca="false">IF($A956="","",DATE(YEAR($A956),MONTH($A956),1))</f>
        <v/>
      </c>
      <c r="R956" s="30" t="str">
        <f aca="false">IF($A956="","",$A956+MOD(6-WEEKDAY($A956),7))</f>
        <v/>
      </c>
      <c r="S956" s="31" t="str">
        <f aca="false">IF($B956="","",IF(AND($M956='Invoice Builder'!$C$5,$Q956='Invoice Builder'!$C$6,N($N956)&gt;0),COUNTIFS($M$5:$M956,'Invoice Builder'!$C$5,$Q$5:$Q956,'Invoice Builder'!$C$6,$N$5:$N956,"&gt;0"),""))</f>
        <v/>
      </c>
      <c r="T956" s="27" t="str">
        <f aca="false">IF($A956="","",IF($A956&gt;=DATE(YEAR($A956),4,6),YEAR($A956)&amp;"/"&amp;RIGHT(YEAR($A956)+1,2),YEAR($A956)-1&amp;"/"&amp;RIGHT(YEAR($A956),2)))</f>
        <v/>
      </c>
    </row>
    <row r="957" customFormat="false" ht="15" hidden="false" customHeight="false" outlineLevel="0" collapsed="false">
      <c r="A957" s="22"/>
      <c r="B957" s="23"/>
      <c r="C957" s="23"/>
      <c r="D957" s="23"/>
      <c r="E957" s="24"/>
      <c r="F957" s="24"/>
      <c r="G957" s="23"/>
      <c r="H957" s="23"/>
      <c r="I957" s="25"/>
      <c r="J957" s="23"/>
      <c r="K957" s="23"/>
      <c r="L957" s="26" t="str">
        <f aca="false">IF(OR($E957="",$F957=""),"",MOD($F957-$E957,1)*24)</f>
        <v/>
      </c>
      <c r="M957" s="27" t="str">
        <f aca="false">IF($B957="","",IFERROR(INDEX(Properties!$D$5:$D$104,MATCH($B957,Properties!$A$5:$A$104,0)),"?"))</f>
        <v/>
      </c>
      <c r="N957" s="28" t="str">
        <f aca="false">IF($B957="","",IFERROR(IF($D957="Completed",INDEX(Properties!$I$5:$I$104,MATCH($B957,Properties!$A$5:$A$104,0))*(1+IF($G957="Y",Settings!$B$8,0))+IF($H957="Y",Settings!$B$7,0)+N($I957),IF($D957="Deep clean",INDEX(Settings!$E$22:$E$26,MATCH(MIN(INDEX(Properties!$E$5:$E$104,MATCH($B957,Properties!$A$5:$A$104,0)),4),Settings!$A$22:$A$26,0))+N($I957),IF($D957="Late cancel",INDEX(Properties!$I$5:$I$104,MATCH($B957,Properties!$A$5:$A$104,0))*Settings!$B$10,0))),0))</f>
        <v/>
      </c>
      <c r="O957" s="28" t="str">
        <f aca="false">IF($B957="","",IFERROR(IF($D957="Completed",INDEX(Properties!$L$5:$L$104,MATCH($B957,Properties!$A$5:$A$104,0))+IF($G957="Y",INDEX(Properties!$I$5:$I$104,MATCH($B957,Properties!$A$5:$A$104,0))*Settings!$B$8*Settings!$B$9,0)+IF($H957="Y",Settings!$B$7*Settings!$B$9,0)+N($I957)*Settings!$B$9,IF($D957="Deep clean",INDEX(Settings!$E$22:$E$26,MATCH(MIN(INDEX(Properties!$E$5:$E$104,MATCH($B957,Properties!$A$5:$A$104,0)),4),Settings!$A$22:$A$26,0))*Settings!$B$19+N($I957)*Settings!$B$9,IF($D957="Late cancel",INDEX(Properties!$L$5:$L$104,MATCH($B957,Properties!$A$5:$A$104,0))*Settings!$B$11,0))),0))</f>
        <v/>
      </c>
      <c r="P957" s="28" t="str">
        <f aca="false">IF($B957="","",$N957-$O957)</f>
        <v/>
      </c>
      <c r="Q957" s="29" t="str">
        <f aca="false">IF($A957="","",DATE(YEAR($A957),MONTH($A957),1))</f>
        <v/>
      </c>
      <c r="R957" s="30" t="str">
        <f aca="false">IF($A957="","",$A957+MOD(6-WEEKDAY($A957),7))</f>
        <v/>
      </c>
      <c r="S957" s="31" t="str">
        <f aca="false">IF($B957="","",IF(AND($M957='Invoice Builder'!$C$5,$Q957='Invoice Builder'!$C$6,N($N957)&gt;0),COUNTIFS($M$5:$M957,'Invoice Builder'!$C$5,$Q$5:$Q957,'Invoice Builder'!$C$6,$N$5:$N957,"&gt;0"),""))</f>
        <v/>
      </c>
      <c r="T957" s="27" t="str">
        <f aca="false">IF($A957="","",IF($A957&gt;=DATE(YEAR($A957),4,6),YEAR($A957)&amp;"/"&amp;RIGHT(YEAR($A957)+1,2),YEAR($A957)-1&amp;"/"&amp;RIGHT(YEAR($A957),2)))</f>
        <v/>
      </c>
    </row>
    <row r="958" customFormat="false" ht="15" hidden="false" customHeight="false" outlineLevel="0" collapsed="false">
      <c r="A958" s="22"/>
      <c r="B958" s="23"/>
      <c r="C958" s="23"/>
      <c r="D958" s="23"/>
      <c r="E958" s="24"/>
      <c r="F958" s="24"/>
      <c r="G958" s="23"/>
      <c r="H958" s="23"/>
      <c r="I958" s="25"/>
      <c r="J958" s="23"/>
      <c r="K958" s="23"/>
      <c r="L958" s="26" t="str">
        <f aca="false">IF(OR($E958="",$F958=""),"",MOD($F958-$E958,1)*24)</f>
        <v/>
      </c>
      <c r="M958" s="27" t="str">
        <f aca="false">IF($B958="","",IFERROR(INDEX(Properties!$D$5:$D$104,MATCH($B958,Properties!$A$5:$A$104,0)),"?"))</f>
        <v/>
      </c>
      <c r="N958" s="28" t="str">
        <f aca="false">IF($B958="","",IFERROR(IF($D958="Completed",INDEX(Properties!$I$5:$I$104,MATCH($B958,Properties!$A$5:$A$104,0))*(1+IF($G958="Y",Settings!$B$8,0))+IF($H958="Y",Settings!$B$7,0)+N($I958),IF($D958="Deep clean",INDEX(Settings!$E$22:$E$26,MATCH(MIN(INDEX(Properties!$E$5:$E$104,MATCH($B958,Properties!$A$5:$A$104,0)),4),Settings!$A$22:$A$26,0))+N($I958),IF($D958="Late cancel",INDEX(Properties!$I$5:$I$104,MATCH($B958,Properties!$A$5:$A$104,0))*Settings!$B$10,0))),0))</f>
        <v/>
      </c>
      <c r="O958" s="28" t="str">
        <f aca="false">IF($B958="","",IFERROR(IF($D958="Completed",INDEX(Properties!$L$5:$L$104,MATCH($B958,Properties!$A$5:$A$104,0))+IF($G958="Y",INDEX(Properties!$I$5:$I$104,MATCH($B958,Properties!$A$5:$A$104,0))*Settings!$B$8*Settings!$B$9,0)+IF($H958="Y",Settings!$B$7*Settings!$B$9,0)+N($I958)*Settings!$B$9,IF($D958="Deep clean",INDEX(Settings!$E$22:$E$26,MATCH(MIN(INDEX(Properties!$E$5:$E$104,MATCH($B958,Properties!$A$5:$A$104,0)),4),Settings!$A$22:$A$26,0))*Settings!$B$19+N($I958)*Settings!$B$9,IF($D958="Late cancel",INDEX(Properties!$L$5:$L$104,MATCH($B958,Properties!$A$5:$A$104,0))*Settings!$B$11,0))),0))</f>
        <v/>
      </c>
      <c r="P958" s="28" t="str">
        <f aca="false">IF($B958="","",$N958-$O958)</f>
        <v/>
      </c>
      <c r="Q958" s="29" t="str">
        <f aca="false">IF($A958="","",DATE(YEAR($A958),MONTH($A958),1))</f>
        <v/>
      </c>
      <c r="R958" s="30" t="str">
        <f aca="false">IF($A958="","",$A958+MOD(6-WEEKDAY($A958),7))</f>
        <v/>
      </c>
      <c r="S958" s="31" t="str">
        <f aca="false">IF($B958="","",IF(AND($M958='Invoice Builder'!$C$5,$Q958='Invoice Builder'!$C$6,N($N958)&gt;0),COUNTIFS($M$5:$M958,'Invoice Builder'!$C$5,$Q$5:$Q958,'Invoice Builder'!$C$6,$N$5:$N958,"&gt;0"),""))</f>
        <v/>
      </c>
      <c r="T958" s="27" t="str">
        <f aca="false">IF($A958="","",IF($A958&gt;=DATE(YEAR($A958),4,6),YEAR($A958)&amp;"/"&amp;RIGHT(YEAR($A958)+1,2),YEAR($A958)-1&amp;"/"&amp;RIGHT(YEAR($A958),2)))</f>
        <v/>
      </c>
    </row>
    <row r="959" customFormat="false" ht="15" hidden="false" customHeight="false" outlineLevel="0" collapsed="false">
      <c r="A959" s="22"/>
      <c r="B959" s="23"/>
      <c r="C959" s="23"/>
      <c r="D959" s="23"/>
      <c r="E959" s="24"/>
      <c r="F959" s="24"/>
      <c r="G959" s="23"/>
      <c r="H959" s="23"/>
      <c r="I959" s="25"/>
      <c r="J959" s="23"/>
      <c r="K959" s="23"/>
      <c r="L959" s="26" t="str">
        <f aca="false">IF(OR($E959="",$F959=""),"",MOD($F959-$E959,1)*24)</f>
        <v/>
      </c>
      <c r="M959" s="27" t="str">
        <f aca="false">IF($B959="","",IFERROR(INDEX(Properties!$D$5:$D$104,MATCH($B959,Properties!$A$5:$A$104,0)),"?"))</f>
        <v/>
      </c>
      <c r="N959" s="28" t="str">
        <f aca="false">IF($B959="","",IFERROR(IF($D959="Completed",INDEX(Properties!$I$5:$I$104,MATCH($B959,Properties!$A$5:$A$104,0))*(1+IF($G959="Y",Settings!$B$8,0))+IF($H959="Y",Settings!$B$7,0)+N($I959),IF($D959="Deep clean",INDEX(Settings!$E$22:$E$26,MATCH(MIN(INDEX(Properties!$E$5:$E$104,MATCH($B959,Properties!$A$5:$A$104,0)),4),Settings!$A$22:$A$26,0))+N($I959),IF($D959="Late cancel",INDEX(Properties!$I$5:$I$104,MATCH($B959,Properties!$A$5:$A$104,0))*Settings!$B$10,0))),0))</f>
        <v/>
      </c>
      <c r="O959" s="28" t="str">
        <f aca="false">IF($B959="","",IFERROR(IF($D959="Completed",INDEX(Properties!$L$5:$L$104,MATCH($B959,Properties!$A$5:$A$104,0))+IF($G959="Y",INDEX(Properties!$I$5:$I$104,MATCH($B959,Properties!$A$5:$A$104,0))*Settings!$B$8*Settings!$B$9,0)+IF($H959="Y",Settings!$B$7*Settings!$B$9,0)+N($I959)*Settings!$B$9,IF($D959="Deep clean",INDEX(Settings!$E$22:$E$26,MATCH(MIN(INDEX(Properties!$E$5:$E$104,MATCH($B959,Properties!$A$5:$A$104,0)),4),Settings!$A$22:$A$26,0))*Settings!$B$19+N($I959)*Settings!$B$9,IF($D959="Late cancel",INDEX(Properties!$L$5:$L$104,MATCH($B959,Properties!$A$5:$A$104,0))*Settings!$B$11,0))),0))</f>
        <v/>
      </c>
      <c r="P959" s="28" t="str">
        <f aca="false">IF($B959="","",$N959-$O959)</f>
        <v/>
      </c>
      <c r="Q959" s="29" t="str">
        <f aca="false">IF($A959="","",DATE(YEAR($A959),MONTH($A959),1))</f>
        <v/>
      </c>
      <c r="R959" s="30" t="str">
        <f aca="false">IF($A959="","",$A959+MOD(6-WEEKDAY($A959),7))</f>
        <v/>
      </c>
      <c r="S959" s="31" t="str">
        <f aca="false">IF($B959="","",IF(AND($M959='Invoice Builder'!$C$5,$Q959='Invoice Builder'!$C$6,N($N959)&gt;0),COUNTIFS($M$5:$M959,'Invoice Builder'!$C$5,$Q$5:$Q959,'Invoice Builder'!$C$6,$N$5:$N959,"&gt;0"),""))</f>
        <v/>
      </c>
      <c r="T959" s="27" t="str">
        <f aca="false">IF($A959="","",IF($A959&gt;=DATE(YEAR($A959),4,6),YEAR($A959)&amp;"/"&amp;RIGHT(YEAR($A959)+1,2),YEAR($A959)-1&amp;"/"&amp;RIGHT(YEAR($A959),2)))</f>
        <v/>
      </c>
    </row>
    <row r="960" customFormat="false" ht="15" hidden="false" customHeight="false" outlineLevel="0" collapsed="false">
      <c r="A960" s="22"/>
      <c r="B960" s="23"/>
      <c r="C960" s="23"/>
      <c r="D960" s="23"/>
      <c r="E960" s="24"/>
      <c r="F960" s="24"/>
      <c r="G960" s="23"/>
      <c r="H960" s="23"/>
      <c r="I960" s="25"/>
      <c r="J960" s="23"/>
      <c r="K960" s="23"/>
      <c r="L960" s="26" t="str">
        <f aca="false">IF(OR($E960="",$F960=""),"",MOD($F960-$E960,1)*24)</f>
        <v/>
      </c>
      <c r="M960" s="27" t="str">
        <f aca="false">IF($B960="","",IFERROR(INDEX(Properties!$D$5:$D$104,MATCH($B960,Properties!$A$5:$A$104,0)),"?"))</f>
        <v/>
      </c>
      <c r="N960" s="28" t="str">
        <f aca="false">IF($B960="","",IFERROR(IF($D960="Completed",INDEX(Properties!$I$5:$I$104,MATCH($B960,Properties!$A$5:$A$104,0))*(1+IF($G960="Y",Settings!$B$8,0))+IF($H960="Y",Settings!$B$7,0)+N($I960),IF($D960="Deep clean",INDEX(Settings!$E$22:$E$26,MATCH(MIN(INDEX(Properties!$E$5:$E$104,MATCH($B960,Properties!$A$5:$A$104,0)),4),Settings!$A$22:$A$26,0))+N($I960),IF($D960="Late cancel",INDEX(Properties!$I$5:$I$104,MATCH($B960,Properties!$A$5:$A$104,0))*Settings!$B$10,0))),0))</f>
        <v/>
      </c>
      <c r="O960" s="28" t="str">
        <f aca="false">IF($B960="","",IFERROR(IF($D960="Completed",INDEX(Properties!$L$5:$L$104,MATCH($B960,Properties!$A$5:$A$104,0))+IF($G960="Y",INDEX(Properties!$I$5:$I$104,MATCH($B960,Properties!$A$5:$A$104,0))*Settings!$B$8*Settings!$B$9,0)+IF($H960="Y",Settings!$B$7*Settings!$B$9,0)+N($I960)*Settings!$B$9,IF($D960="Deep clean",INDEX(Settings!$E$22:$E$26,MATCH(MIN(INDEX(Properties!$E$5:$E$104,MATCH($B960,Properties!$A$5:$A$104,0)),4),Settings!$A$22:$A$26,0))*Settings!$B$19+N($I960)*Settings!$B$9,IF($D960="Late cancel",INDEX(Properties!$L$5:$L$104,MATCH($B960,Properties!$A$5:$A$104,0))*Settings!$B$11,0))),0))</f>
        <v/>
      </c>
      <c r="P960" s="28" t="str">
        <f aca="false">IF($B960="","",$N960-$O960)</f>
        <v/>
      </c>
      <c r="Q960" s="29" t="str">
        <f aca="false">IF($A960="","",DATE(YEAR($A960),MONTH($A960),1))</f>
        <v/>
      </c>
      <c r="R960" s="30" t="str">
        <f aca="false">IF($A960="","",$A960+MOD(6-WEEKDAY($A960),7))</f>
        <v/>
      </c>
      <c r="S960" s="31" t="str">
        <f aca="false">IF($B960="","",IF(AND($M960='Invoice Builder'!$C$5,$Q960='Invoice Builder'!$C$6,N($N960)&gt;0),COUNTIFS($M$5:$M960,'Invoice Builder'!$C$5,$Q$5:$Q960,'Invoice Builder'!$C$6,$N$5:$N960,"&gt;0"),""))</f>
        <v/>
      </c>
      <c r="T960" s="27" t="str">
        <f aca="false">IF($A960="","",IF($A960&gt;=DATE(YEAR($A960),4,6),YEAR($A960)&amp;"/"&amp;RIGHT(YEAR($A960)+1,2),YEAR($A960)-1&amp;"/"&amp;RIGHT(YEAR($A960),2)))</f>
        <v/>
      </c>
    </row>
    <row r="961" customFormat="false" ht="15" hidden="false" customHeight="false" outlineLevel="0" collapsed="false">
      <c r="A961" s="22"/>
      <c r="B961" s="23"/>
      <c r="C961" s="23"/>
      <c r="D961" s="23"/>
      <c r="E961" s="24"/>
      <c r="F961" s="24"/>
      <c r="G961" s="23"/>
      <c r="H961" s="23"/>
      <c r="I961" s="25"/>
      <c r="J961" s="23"/>
      <c r="K961" s="23"/>
      <c r="L961" s="26" t="str">
        <f aca="false">IF(OR($E961="",$F961=""),"",MOD($F961-$E961,1)*24)</f>
        <v/>
      </c>
      <c r="M961" s="27" t="str">
        <f aca="false">IF($B961="","",IFERROR(INDEX(Properties!$D$5:$D$104,MATCH($B961,Properties!$A$5:$A$104,0)),"?"))</f>
        <v/>
      </c>
      <c r="N961" s="28" t="str">
        <f aca="false">IF($B961="","",IFERROR(IF($D961="Completed",INDEX(Properties!$I$5:$I$104,MATCH($B961,Properties!$A$5:$A$104,0))*(1+IF($G961="Y",Settings!$B$8,0))+IF($H961="Y",Settings!$B$7,0)+N($I961),IF($D961="Deep clean",INDEX(Settings!$E$22:$E$26,MATCH(MIN(INDEX(Properties!$E$5:$E$104,MATCH($B961,Properties!$A$5:$A$104,0)),4),Settings!$A$22:$A$26,0))+N($I961),IF($D961="Late cancel",INDEX(Properties!$I$5:$I$104,MATCH($B961,Properties!$A$5:$A$104,0))*Settings!$B$10,0))),0))</f>
        <v/>
      </c>
      <c r="O961" s="28" t="str">
        <f aca="false">IF($B961="","",IFERROR(IF($D961="Completed",INDEX(Properties!$L$5:$L$104,MATCH($B961,Properties!$A$5:$A$104,0))+IF($G961="Y",INDEX(Properties!$I$5:$I$104,MATCH($B961,Properties!$A$5:$A$104,0))*Settings!$B$8*Settings!$B$9,0)+IF($H961="Y",Settings!$B$7*Settings!$B$9,0)+N($I961)*Settings!$B$9,IF($D961="Deep clean",INDEX(Settings!$E$22:$E$26,MATCH(MIN(INDEX(Properties!$E$5:$E$104,MATCH($B961,Properties!$A$5:$A$104,0)),4),Settings!$A$22:$A$26,0))*Settings!$B$19+N($I961)*Settings!$B$9,IF($D961="Late cancel",INDEX(Properties!$L$5:$L$104,MATCH($B961,Properties!$A$5:$A$104,0))*Settings!$B$11,0))),0))</f>
        <v/>
      </c>
      <c r="P961" s="28" t="str">
        <f aca="false">IF($B961="","",$N961-$O961)</f>
        <v/>
      </c>
      <c r="Q961" s="29" t="str">
        <f aca="false">IF($A961="","",DATE(YEAR($A961),MONTH($A961),1))</f>
        <v/>
      </c>
      <c r="R961" s="30" t="str">
        <f aca="false">IF($A961="","",$A961+MOD(6-WEEKDAY($A961),7))</f>
        <v/>
      </c>
      <c r="S961" s="31" t="str">
        <f aca="false">IF($B961="","",IF(AND($M961='Invoice Builder'!$C$5,$Q961='Invoice Builder'!$C$6,N($N961)&gt;0),COUNTIFS($M$5:$M961,'Invoice Builder'!$C$5,$Q$5:$Q961,'Invoice Builder'!$C$6,$N$5:$N961,"&gt;0"),""))</f>
        <v/>
      </c>
      <c r="T961" s="27" t="str">
        <f aca="false">IF($A961="","",IF($A961&gt;=DATE(YEAR($A961),4,6),YEAR($A961)&amp;"/"&amp;RIGHT(YEAR($A961)+1,2),YEAR($A961)-1&amp;"/"&amp;RIGHT(YEAR($A961),2)))</f>
        <v/>
      </c>
    </row>
    <row r="962" customFormat="false" ht="15" hidden="false" customHeight="false" outlineLevel="0" collapsed="false">
      <c r="A962" s="22"/>
      <c r="B962" s="23"/>
      <c r="C962" s="23"/>
      <c r="D962" s="23"/>
      <c r="E962" s="24"/>
      <c r="F962" s="24"/>
      <c r="G962" s="23"/>
      <c r="H962" s="23"/>
      <c r="I962" s="25"/>
      <c r="J962" s="23"/>
      <c r="K962" s="23"/>
      <c r="L962" s="26" t="str">
        <f aca="false">IF(OR($E962="",$F962=""),"",MOD($F962-$E962,1)*24)</f>
        <v/>
      </c>
      <c r="M962" s="27" t="str">
        <f aca="false">IF($B962="","",IFERROR(INDEX(Properties!$D$5:$D$104,MATCH($B962,Properties!$A$5:$A$104,0)),"?"))</f>
        <v/>
      </c>
      <c r="N962" s="28" t="str">
        <f aca="false">IF($B962="","",IFERROR(IF($D962="Completed",INDEX(Properties!$I$5:$I$104,MATCH($B962,Properties!$A$5:$A$104,0))*(1+IF($G962="Y",Settings!$B$8,0))+IF($H962="Y",Settings!$B$7,0)+N($I962),IF($D962="Deep clean",INDEX(Settings!$E$22:$E$26,MATCH(MIN(INDEX(Properties!$E$5:$E$104,MATCH($B962,Properties!$A$5:$A$104,0)),4),Settings!$A$22:$A$26,0))+N($I962),IF($D962="Late cancel",INDEX(Properties!$I$5:$I$104,MATCH($B962,Properties!$A$5:$A$104,0))*Settings!$B$10,0))),0))</f>
        <v/>
      </c>
      <c r="O962" s="28" t="str">
        <f aca="false">IF($B962="","",IFERROR(IF($D962="Completed",INDEX(Properties!$L$5:$L$104,MATCH($B962,Properties!$A$5:$A$104,0))+IF($G962="Y",INDEX(Properties!$I$5:$I$104,MATCH($B962,Properties!$A$5:$A$104,0))*Settings!$B$8*Settings!$B$9,0)+IF($H962="Y",Settings!$B$7*Settings!$B$9,0)+N($I962)*Settings!$B$9,IF($D962="Deep clean",INDEX(Settings!$E$22:$E$26,MATCH(MIN(INDEX(Properties!$E$5:$E$104,MATCH($B962,Properties!$A$5:$A$104,0)),4),Settings!$A$22:$A$26,0))*Settings!$B$19+N($I962)*Settings!$B$9,IF($D962="Late cancel",INDEX(Properties!$L$5:$L$104,MATCH($B962,Properties!$A$5:$A$104,0))*Settings!$B$11,0))),0))</f>
        <v/>
      </c>
      <c r="P962" s="28" t="str">
        <f aca="false">IF($B962="","",$N962-$O962)</f>
        <v/>
      </c>
      <c r="Q962" s="29" t="str">
        <f aca="false">IF($A962="","",DATE(YEAR($A962),MONTH($A962),1))</f>
        <v/>
      </c>
      <c r="R962" s="30" t="str">
        <f aca="false">IF($A962="","",$A962+MOD(6-WEEKDAY($A962),7))</f>
        <v/>
      </c>
      <c r="S962" s="31" t="str">
        <f aca="false">IF($B962="","",IF(AND($M962='Invoice Builder'!$C$5,$Q962='Invoice Builder'!$C$6,N($N962)&gt;0),COUNTIFS($M$5:$M962,'Invoice Builder'!$C$5,$Q$5:$Q962,'Invoice Builder'!$C$6,$N$5:$N962,"&gt;0"),""))</f>
        <v/>
      </c>
      <c r="T962" s="27" t="str">
        <f aca="false">IF($A962="","",IF($A962&gt;=DATE(YEAR($A962),4,6),YEAR($A962)&amp;"/"&amp;RIGHT(YEAR($A962)+1,2),YEAR($A962)-1&amp;"/"&amp;RIGHT(YEAR($A962),2)))</f>
        <v/>
      </c>
    </row>
    <row r="963" customFormat="false" ht="15" hidden="false" customHeight="false" outlineLevel="0" collapsed="false">
      <c r="A963" s="22"/>
      <c r="B963" s="23"/>
      <c r="C963" s="23"/>
      <c r="D963" s="23"/>
      <c r="E963" s="24"/>
      <c r="F963" s="24"/>
      <c r="G963" s="23"/>
      <c r="H963" s="23"/>
      <c r="I963" s="25"/>
      <c r="J963" s="23"/>
      <c r="K963" s="23"/>
      <c r="L963" s="26" t="str">
        <f aca="false">IF(OR($E963="",$F963=""),"",MOD($F963-$E963,1)*24)</f>
        <v/>
      </c>
      <c r="M963" s="27" t="str">
        <f aca="false">IF($B963="","",IFERROR(INDEX(Properties!$D$5:$D$104,MATCH($B963,Properties!$A$5:$A$104,0)),"?"))</f>
        <v/>
      </c>
      <c r="N963" s="28" t="str">
        <f aca="false">IF($B963="","",IFERROR(IF($D963="Completed",INDEX(Properties!$I$5:$I$104,MATCH($B963,Properties!$A$5:$A$104,0))*(1+IF($G963="Y",Settings!$B$8,0))+IF($H963="Y",Settings!$B$7,0)+N($I963),IF($D963="Deep clean",INDEX(Settings!$E$22:$E$26,MATCH(MIN(INDEX(Properties!$E$5:$E$104,MATCH($B963,Properties!$A$5:$A$104,0)),4),Settings!$A$22:$A$26,0))+N($I963),IF($D963="Late cancel",INDEX(Properties!$I$5:$I$104,MATCH($B963,Properties!$A$5:$A$104,0))*Settings!$B$10,0))),0))</f>
        <v/>
      </c>
      <c r="O963" s="28" t="str">
        <f aca="false">IF($B963="","",IFERROR(IF($D963="Completed",INDEX(Properties!$L$5:$L$104,MATCH($B963,Properties!$A$5:$A$104,0))+IF($G963="Y",INDEX(Properties!$I$5:$I$104,MATCH($B963,Properties!$A$5:$A$104,0))*Settings!$B$8*Settings!$B$9,0)+IF($H963="Y",Settings!$B$7*Settings!$B$9,0)+N($I963)*Settings!$B$9,IF($D963="Deep clean",INDEX(Settings!$E$22:$E$26,MATCH(MIN(INDEX(Properties!$E$5:$E$104,MATCH($B963,Properties!$A$5:$A$104,0)),4),Settings!$A$22:$A$26,0))*Settings!$B$19+N($I963)*Settings!$B$9,IF($D963="Late cancel",INDEX(Properties!$L$5:$L$104,MATCH($B963,Properties!$A$5:$A$104,0))*Settings!$B$11,0))),0))</f>
        <v/>
      </c>
      <c r="P963" s="28" t="str">
        <f aca="false">IF($B963="","",$N963-$O963)</f>
        <v/>
      </c>
      <c r="Q963" s="29" t="str">
        <f aca="false">IF($A963="","",DATE(YEAR($A963),MONTH($A963),1))</f>
        <v/>
      </c>
      <c r="R963" s="30" t="str">
        <f aca="false">IF($A963="","",$A963+MOD(6-WEEKDAY($A963),7))</f>
        <v/>
      </c>
      <c r="S963" s="31" t="str">
        <f aca="false">IF($B963="","",IF(AND($M963='Invoice Builder'!$C$5,$Q963='Invoice Builder'!$C$6,N($N963)&gt;0),COUNTIFS($M$5:$M963,'Invoice Builder'!$C$5,$Q$5:$Q963,'Invoice Builder'!$C$6,$N$5:$N963,"&gt;0"),""))</f>
        <v/>
      </c>
      <c r="T963" s="27" t="str">
        <f aca="false">IF($A963="","",IF($A963&gt;=DATE(YEAR($A963),4,6),YEAR($A963)&amp;"/"&amp;RIGHT(YEAR($A963)+1,2),YEAR($A963)-1&amp;"/"&amp;RIGHT(YEAR($A963),2)))</f>
        <v/>
      </c>
    </row>
    <row r="964" customFormat="false" ht="15" hidden="false" customHeight="false" outlineLevel="0" collapsed="false">
      <c r="A964" s="22"/>
      <c r="B964" s="23"/>
      <c r="C964" s="23"/>
      <c r="D964" s="23"/>
      <c r="E964" s="24"/>
      <c r="F964" s="24"/>
      <c r="G964" s="23"/>
      <c r="H964" s="23"/>
      <c r="I964" s="25"/>
      <c r="J964" s="23"/>
      <c r="K964" s="23"/>
      <c r="L964" s="26" t="str">
        <f aca="false">IF(OR($E964="",$F964=""),"",MOD($F964-$E964,1)*24)</f>
        <v/>
      </c>
      <c r="M964" s="27" t="str">
        <f aca="false">IF($B964="","",IFERROR(INDEX(Properties!$D$5:$D$104,MATCH($B964,Properties!$A$5:$A$104,0)),"?"))</f>
        <v/>
      </c>
      <c r="N964" s="28" t="str">
        <f aca="false">IF($B964="","",IFERROR(IF($D964="Completed",INDEX(Properties!$I$5:$I$104,MATCH($B964,Properties!$A$5:$A$104,0))*(1+IF($G964="Y",Settings!$B$8,0))+IF($H964="Y",Settings!$B$7,0)+N($I964),IF($D964="Deep clean",INDEX(Settings!$E$22:$E$26,MATCH(MIN(INDEX(Properties!$E$5:$E$104,MATCH($B964,Properties!$A$5:$A$104,0)),4),Settings!$A$22:$A$26,0))+N($I964),IF($D964="Late cancel",INDEX(Properties!$I$5:$I$104,MATCH($B964,Properties!$A$5:$A$104,0))*Settings!$B$10,0))),0))</f>
        <v/>
      </c>
      <c r="O964" s="28" t="str">
        <f aca="false">IF($B964="","",IFERROR(IF($D964="Completed",INDEX(Properties!$L$5:$L$104,MATCH($B964,Properties!$A$5:$A$104,0))+IF($G964="Y",INDEX(Properties!$I$5:$I$104,MATCH($B964,Properties!$A$5:$A$104,0))*Settings!$B$8*Settings!$B$9,0)+IF($H964="Y",Settings!$B$7*Settings!$B$9,0)+N($I964)*Settings!$B$9,IF($D964="Deep clean",INDEX(Settings!$E$22:$E$26,MATCH(MIN(INDEX(Properties!$E$5:$E$104,MATCH($B964,Properties!$A$5:$A$104,0)),4),Settings!$A$22:$A$26,0))*Settings!$B$19+N($I964)*Settings!$B$9,IF($D964="Late cancel",INDEX(Properties!$L$5:$L$104,MATCH($B964,Properties!$A$5:$A$104,0))*Settings!$B$11,0))),0))</f>
        <v/>
      </c>
      <c r="P964" s="28" t="str">
        <f aca="false">IF($B964="","",$N964-$O964)</f>
        <v/>
      </c>
      <c r="Q964" s="29" t="str">
        <f aca="false">IF($A964="","",DATE(YEAR($A964),MONTH($A964),1))</f>
        <v/>
      </c>
      <c r="R964" s="30" t="str">
        <f aca="false">IF($A964="","",$A964+MOD(6-WEEKDAY($A964),7))</f>
        <v/>
      </c>
      <c r="S964" s="31" t="str">
        <f aca="false">IF($B964="","",IF(AND($M964='Invoice Builder'!$C$5,$Q964='Invoice Builder'!$C$6,N($N964)&gt;0),COUNTIFS($M$5:$M964,'Invoice Builder'!$C$5,$Q$5:$Q964,'Invoice Builder'!$C$6,$N$5:$N964,"&gt;0"),""))</f>
        <v/>
      </c>
      <c r="T964" s="27" t="str">
        <f aca="false">IF($A964="","",IF($A964&gt;=DATE(YEAR($A964),4,6),YEAR($A964)&amp;"/"&amp;RIGHT(YEAR($A964)+1,2),YEAR($A964)-1&amp;"/"&amp;RIGHT(YEAR($A964),2)))</f>
        <v/>
      </c>
    </row>
    <row r="965" customFormat="false" ht="15" hidden="false" customHeight="false" outlineLevel="0" collapsed="false">
      <c r="A965" s="22"/>
      <c r="B965" s="23"/>
      <c r="C965" s="23"/>
      <c r="D965" s="23"/>
      <c r="E965" s="24"/>
      <c r="F965" s="24"/>
      <c r="G965" s="23"/>
      <c r="H965" s="23"/>
      <c r="I965" s="25"/>
      <c r="J965" s="23"/>
      <c r="K965" s="23"/>
      <c r="L965" s="26" t="str">
        <f aca="false">IF(OR($E965="",$F965=""),"",MOD($F965-$E965,1)*24)</f>
        <v/>
      </c>
      <c r="M965" s="27" t="str">
        <f aca="false">IF($B965="","",IFERROR(INDEX(Properties!$D$5:$D$104,MATCH($B965,Properties!$A$5:$A$104,0)),"?"))</f>
        <v/>
      </c>
      <c r="N965" s="28" t="str">
        <f aca="false">IF($B965="","",IFERROR(IF($D965="Completed",INDEX(Properties!$I$5:$I$104,MATCH($B965,Properties!$A$5:$A$104,0))*(1+IF($G965="Y",Settings!$B$8,0))+IF($H965="Y",Settings!$B$7,0)+N($I965),IF($D965="Deep clean",INDEX(Settings!$E$22:$E$26,MATCH(MIN(INDEX(Properties!$E$5:$E$104,MATCH($B965,Properties!$A$5:$A$104,0)),4),Settings!$A$22:$A$26,0))+N($I965),IF($D965="Late cancel",INDEX(Properties!$I$5:$I$104,MATCH($B965,Properties!$A$5:$A$104,0))*Settings!$B$10,0))),0))</f>
        <v/>
      </c>
      <c r="O965" s="28" t="str">
        <f aca="false">IF($B965="","",IFERROR(IF($D965="Completed",INDEX(Properties!$L$5:$L$104,MATCH($B965,Properties!$A$5:$A$104,0))+IF($G965="Y",INDEX(Properties!$I$5:$I$104,MATCH($B965,Properties!$A$5:$A$104,0))*Settings!$B$8*Settings!$B$9,0)+IF($H965="Y",Settings!$B$7*Settings!$B$9,0)+N($I965)*Settings!$B$9,IF($D965="Deep clean",INDEX(Settings!$E$22:$E$26,MATCH(MIN(INDEX(Properties!$E$5:$E$104,MATCH($B965,Properties!$A$5:$A$104,0)),4),Settings!$A$22:$A$26,0))*Settings!$B$19+N($I965)*Settings!$B$9,IF($D965="Late cancel",INDEX(Properties!$L$5:$L$104,MATCH($B965,Properties!$A$5:$A$104,0))*Settings!$B$11,0))),0))</f>
        <v/>
      </c>
      <c r="P965" s="28" t="str">
        <f aca="false">IF($B965="","",$N965-$O965)</f>
        <v/>
      </c>
      <c r="Q965" s="29" t="str">
        <f aca="false">IF($A965="","",DATE(YEAR($A965),MONTH($A965),1))</f>
        <v/>
      </c>
      <c r="R965" s="30" t="str">
        <f aca="false">IF($A965="","",$A965+MOD(6-WEEKDAY($A965),7))</f>
        <v/>
      </c>
      <c r="S965" s="31" t="str">
        <f aca="false">IF($B965="","",IF(AND($M965='Invoice Builder'!$C$5,$Q965='Invoice Builder'!$C$6,N($N965)&gt;0),COUNTIFS($M$5:$M965,'Invoice Builder'!$C$5,$Q$5:$Q965,'Invoice Builder'!$C$6,$N$5:$N965,"&gt;0"),""))</f>
        <v/>
      </c>
      <c r="T965" s="27" t="str">
        <f aca="false">IF($A965="","",IF($A965&gt;=DATE(YEAR($A965),4,6),YEAR($A965)&amp;"/"&amp;RIGHT(YEAR($A965)+1,2),YEAR($A965)-1&amp;"/"&amp;RIGHT(YEAR($A965),2)))</f>
        <v/>
      </c>
    </row>
    <row r="966" customFormat="false" ht="15" hidden="false" customHeight="false" outlineLevel="0" collapsed="false">
      <c r="A966" s="22"/>
      <c r="B966" s="23"/>
      <c r="C966" s="23"/>
      <c r="D966" s="23"/>
      <c r="E966" s="24"/>
      <c r="F966" s="24"/>
      <c r="G966" s="23"/>
      <c r="H966" s="23"/>
      <c r="I966" s="25"/>
      <c r="J966" s="23"/>
      <c r="K966" s="23"/>
      <c r="L966" s="26" t="str">
        <f aca="false">IF(OR($E966="",$F966=""),"",MOD($F966-$E966,1)*24)</f>
        <v/>
      </c>
      <c r="M966" s="27" t="str">
        <f aca="false">IF($B966="","",IFERROR(INDEX(Properties!$D$5:$D$104,MATCH($B966,Properties!$A$5:$A$104,0)),"?"))</f>
        <v/>
      </c>
      <c r="N966" s="28" t="str">
        <f aca="false">IF($B966="","",IFERROR(IF($D966="Completed",INDEX(Properties!$I$5:$I$104,MATCH($B966,Properties!$A$5:$A$104,0))*(1+IF($G966="Y",Settings!$B$8,0))+IF($H966="Y",Settings!$B$7,0)+N($I966),IF($D966="Deep clean",INDEX(Settings!$E$22:$E$26,MATCH(MIN(INDEX(Properties!$E$5:$E$104,MATCH($B966,Properties!$A$5:$A$104,0)),4),Settings!$A$22:$A$26,0))+N($I966),IF($D966="Late cancel",INDEX(Properties!$I$5:$I$104,MATCH($B966,Properties!$A$5:$A$104,0))*Settings!$B$10,0))),0))</f>
        <v/>
      </c>
      <c r="O966" s="28" t="str">
        <f aca="false">IF($B966="","",IFERROR(IF($D966="Completed",INDEX(Properties!$L$5:$L$104,MATCH($B966,Properties!$A$5:$A$104,0))+IF($G966="Y",INDEX(Properties!$I$5:$I$104,MATCH($B966,Properties!$A$5:$A$104,0))*Settings!$B$8*Settings!$B$9,0)+IF($H966="Y",Settings!$B$7*Settings!$B$9,0)+N($I966)*Settings!$B$9,IF($D966="Deep clean",INDEX(Settings!$E$22:$E$26,MATCH(MIN(INDEX(Properties!$E$5:$E$104,MATCH($B966,Properties!$A$5:$A$104,0)),4),Settings!$A$22:$A$26,0))*Settings!$B$19+N($I966)*Settings!$B$9,IF($D966="Late cancel",INDEX(Properties!$L$5:$L$104,MATCH($B966,Properties!$A$5:$A$104,0))*Settings!$B$11,0))),0))</f>
        <v/>
      </c>
      <c r="P966" s="28" t="str">
        <f aca="false">IF($B966="","",$N966-$O966)</f>
        <v/>
      </c>
      <c r="Q966" s="29" t="str">
        <f aca="false">IF($A966="","",DATE(YEAR($A966),MONTH($A966),1))</f>
        <v/>
      </c>
      <c r="R966" s="30" t="str">
        <f aca="false">IF($A966="","",$A966+MOD(6-WEEKDAY($A966),7))</f>
        <v/>
      </c>
      <c r="S966" s="31" t="str">
        <f aca="false">IF($B966="","",IF(AND($M966='Invoice Builder'!$C$5,$Q966='Invoice Builder'!$C$6,N($N966)&gt;0),COUNTIFS($M$5:$M966,'Invoice Builder'!$C$5,$Q$5:$Q966,'Invoice Builder'!$C$6,$N$5:$N966,"&gt;0"),""))</f>
        <v/>
      </c>
      <c r="T966" s="27" t="str">
        <f aca="false">IF($A966="","",IF($A966&gt;=DATE(YEAR($A966),4,6),YEAR($A966)&amp;"/"&amp;RIGHT(YEAR($A966)+1,2),YEAR($A966)-1&amp;"/"&amp;RIGHT(YEAR($A966),2)))</f>
        <v/>
      </c>
    </row>
    <row r="967" customFormat="false" ht="15" hidden="false" customHeight="false" outlineLevel="0" collapsed="false">
      <c r="A967" s="22"/>
      <c r="B967" s="23"/>
      <c r="C967" s="23"/>
      <c r="D967" s="23"/>
      <c r="E967" s="24"/>
      <c r="F967" s="24"/>
      <c r="G967" s="23"/>
      <c r="H967" s="23"/>
      <c r="I967" s="25"/>
      <c r="J967" s="23"/>
      <c r="K967" s="23"/>
      <c r="L967" s="26" t="str">
        <f aca="false">IF(OR($E967="",$F967=""),"",MOD($F967-$E967,1)*24)</f>
        <v/>
      </c>
      <c r="M967" s="27" t="str">
        <f aca="false">IF($B967="","",IFERROR(INDEX(Properties!$D$5:$D$104,MATCH($B967,Properties!$A$5:$A$104,0)),"?"))</f>
        <v/>
      </c>
      <c r="N967" s="28" t="str">
        <f aca="false">IF($B967="","",IFERROR(IF($D967="Completed",INDEX(Properties!$I$5:$I$104,MATCH($B967,Properties!$A$5:$A$104,0))*(1+IF($G967="Y",Settings!$B$8,0))+IF($H967="Y",Settings!$B$7,0)+N($I967),IF($D967="Deep clean",INDEX(Settings!$E$22:$E$26,MATCH(MIN(INDEX(Properties!$E$5:$E$104,MATCH($B967,Properties!$A$5:$A$104,0)),4),Settings!$A$22:$A$26,0))+N($I967),IF($D967="Late cancel",INDEX(Properties!$I$5:$I$104,MATCH($B967,Properties!$A$5:$A$104,0))*Settings!$B$10,0))),0))</f>
        <v/>
      </c>
      <c r="O967" s="28" t="str">
        <f aca="false">IF($B967="","",IFERROR(IF($D967="Completed",INDEX(Properties!$L$5:$L$104,MATCH($B967,Properties!$A$5:$A$104,0))+IF($G967="Y",INDEX(Properties!$I$5:$I$104,MATCH($B967,Properties!$A$5:$A$104,0))*Settings!$B$8*Settings!$B$9,0)+IF($H967="Y",Settings!$B$7*Settings!$B$9,0)+N($I967)*Settings!$B$9,IF($D967="Deep clean",INDEX(Settings!$E$22:$E$26,MATCH(MIN(INDEX(Properties!$E$5:$E$104,MATCH($B967,Properties!$A$5:$A$104,0)),4),Settings!$A$22:$A$26,0))*Settings!$B$19+N($I967)*Settings!$B$9,IF($D967="Late cancel",INDEX(Properties!$L$5:$L$104,MATCH($B967,Properties!$A$5:$A$104,0))*Settings!$B$11,0))),0))</f>
        <v/>
      </c>
      <c r="P967" s="28" t="str">
        <f aca="false">IF($B967="","",$N967-$O967)</f>
        <v/>
      </c>
      <c r="Q967" s="29" t="str">
        <f aca="false">IF($A967="","",DATE(YEAR($A967),MONTH($A967),1))</f>
        <v/>
      </c>
      <c r="R967" s="30" t="str">
        <f aca="false">IF($A967="","",$A967+MOD(6-WEEKDAY($A967),7))</f>
        <v/>
      </c>
      <c r="S967" s="31" t="str">
        <f aca="false">IF($B967="","",IF(AND($M967='Invoice Builder'!$C$5,$Q967='Invoice Builder'!$C$6,N($N967)&gt;0),COUNTIFS($M$5:$M967,'Invoice Builder'!$C$5,$Q$5:$Q967,'Invoice Builder'!$C$6,$N$5:$N967,"&gt;0"),""))</f>
        <v/>
      </c>
      <c r="T967" s="27" t="str">
        <f aca="false">IF($A967="","",IF($A967&gt;=DATE(YEAR($A967),4,6),YEAR($A967)&amp;"/"&amp;RIGHT(YEAR($A967)+1,2),YEAR($A967)-1&amp;"/"&amp;RIGHT(YEAR($A967),2)))</f>
        <v/>
      </c>
    </row>
    <row r="968" customFormat="false" ht="15" hidden="false" customHeight="false" outlineLevel="0" collapsed="false">
      <c r="A968" s="22"/>
      <c r="B968" s="23"/>
      <c r="C968" s="23"/>
      <c r="D968" s="23"/>
      <c r="E968" s="24"/>
      <c r="F968" s="24"/>
      <c r="G968" s="23"/>
      <c r="H968" s="23"/>
      <c r="I968" s="25"/>
      <c r="J968" s="23"/>
      <c r="K968" s="23"/>
      <c r="L968" s="26" t="str">
        <f aca="false">IF(OR($E968="",$F968=""),"",MOD($F968-$E968,1)*24)</f>
        <v/>
      </c>
      <c r="M968" s="27" t="str">
        <f aca="false">IF($B968="","",IFERROR(INDEX(Properties!$D$5:$D$104,MATCH($B968,Properties!$A$5:$A$104,0)),"?"))</f>
        <v/>
      </c>
      <c r="N968" s="28" t="str">
        <f aca="false">IF($B968="","",IFERROR(IF($D968="Completed",INDEX(Properties!$I$5:$I$104,MATCH($B968,Properties!$A$5:$A$104,0))*(1+IF($G968="Y",Settings!$B$8,0))+IF($H968="Y",Settings!$B$7,0)+N($I968),IF($D968="Deep clean",INDEX(Settings!$E$22:$E$26,MATCH(MIN(INDEX(Properties!$E$5:$E$104,MATCH($B968,Properties!$A$5:$A$104,0)),4),Settings!$A$22:$A$26,0))+N($I968),IF($D968="Late cancel",INDEX(Properties!$I$5:$I$104,MATCH($B968,Properties!$A$5:$A$104,0))*Settings!$B$10,0))),0))</f>
        <v/>
      </c>
      <c r="O968" s="28" t="str">
        <f aca="false">IF($B968="","",IFERROR(IF($D968="Completed",INDEX(Properties!$L$5:$L$104,MATCH($B968,Properties!$A$5:$A$104,0))+IF($G968="Y",INDEX(Properties!$I$5:$I$104,MATCH($B968,Properties!$A$5:$A$104,0))*Settings!$B$8*Settings!$B$9,0)+IF($H968="Y",Settings!$B$7*Settings!$B$9,0)+N($I968)*Settings!$B$9,IF($D968="Deep clean",INDEX(Settings!$E$22:$E$26,MATCH(MIN(INDEX(Properties!$E$5:$E$104,MATCH($B968,Properties!$A$5:$A$104,0)),4),Settings!$A$22:$A$26,0))*Settings!$B$19+N($I968)*Settings!$B$9,IF($D968="Late cancel",INDEX(Properties!$L$5:$L$104,MATCH($B968,Properties!$A$5:$A$104,0))*Settings!$B$11,0))),0))</f>
        <v/>
      </c>
      <c r="P968" s="28" t="str">
        <f aca="false">IF($B968="","",$N968-$O968)</f>
        <v/>
      </c>
      <c r="Q968" s="29" t="str">
        <f aca="false">IF($A968="","",DATE(YEAR($A968),MONTH($A968),1))</f>
        <v/>
      </c>
      <c r="R968" s="30" t="str">
        <f aca="false">IF($A968="","",$A968+MOD(6-WEEKDAY($A968),7))</f>
        <v/>
      </c>
      <c r="S968" s="31" t="str">
        <f aca="false">IF($B968="","",IF(AND($M968='Invoice Builder'!$C$5,$Q968='Invoice Builder'!$C$6,N($N968)&gt;0),COUNTIFS($M$5:$M968,'Invoice Builder'!$C$5,$Q$5:$Q968,'Invoice Builder'!$C$6,$N$5:$N968,"&gt;0"),""))</f>
        <v/>
      </c>
      <c r="T968" s="27" t="str">
        <f aca="false">IF($A968="","",IF($A968&gt;=DATE(YEAR($A968),4,6),YEAR($A968)&amp;"/"&amp;RIGHT(YEAR($A968)+1,2),YEAR($A968)-1&amp;"/"&amp;RIGHT(YEAR($A968),2)))</f>
        <v/>
      </c>
    </row>
    <row r="969" customFormat="false" ht="15" hidden="false" customHeight="false" outlineLevel="0" collapsed="false">
      <c r="A969" s="22"/>
      <c r="B969" s="23"/>
      <c r="C969" s="23"/>
      <c r="D969" s="23"/>
      <c r="E969" s="24"/>
      <c r="F969" s="24"/>
      <c r="G969" s="23"/>
      <c r="H969" s="23"/>
      <c r="I969" s="25"/>
      <c r="J969" s="23"/>
      <c r="K969" s="23"/>
      <c r="L969" s="26" t="str">
        <f aca="false">IF(OR($E969="",$F969=""),"",MOD($F969-$E969,1)*24)</f>
        <v/>
      </c>
      <c r="M969" s="27" t="str">
        <f aca="false">IF($B969="","",IFERROR(INDEX(Properties!$D$5:$D$104,MATCH($B969,Properties!$A$5:$A$104,0)),"?"))</f>
        <v/>
      </c>
      <c r="N969" s="28" t="str">
        <f aca="false">IF($B969="","",IFERROR(IF($D969="Completed",INDEX(Properties!$I$5:$I$104,MATCH($B969,Properties!$A$5:$A$104,0))*(1+IF($G969="Y",Settings!$B$8,0))+IF($H969="Y",Settings!$B$7,0)+N($I969),IF($D969="Deep clean",INDEX(Settings!$E$22:$E$26,MATCH(MIN(INDEX(Properties!$E$5:$E$104,MATCH($B969,Properties!$A$5:$A$104,0)),4),Settings!$A$22:$A$26,0))+N($I969),IF($D969="Late cancel",INDEX(Properties!$I$5:$I$104,MATCH($B969,Properties!$A$5:$A$104,0))*Settings!$B$10,0))),0))</f>
        <v/>
      </c>
      <c r="O969" s="28" t="str">
        <f aca="false">IF($B969="","",IFERROR(IF($D969="Completed",INDEX(Properties!$L$5:$L$104,MATCH($B969,Properties!$A$5:$A$104,0))+IF($G969="Y",INDEX(Properties!$I$5:$I$104,MATCH($B969,Properties!$A$5:$A$104,0))*Settings!$B$8*Settings!$B$9,0)+IF($H969="Y",Settings!$B$7*Settings!$B$9,0)+N($I969)*Settings!$B$9,IF($D969="Deep clean",INDEX(Settings!$E$22:$E$26,MATCH(MIN(INDEX(Properties!$E$5:$E$104,MATCH($B969,Properties!$A$5:$A$104,0)),4),Settings!$A$22:$A$26,0))*Settings!$B$19+N($I969)*Settings!$B$9,IF($D969="Late cancel",INDEX(Properties!$L$5:$L$104,MATCH($B969,Properties!$A$5:$A$104,0))*Settings!$B$11,0))),0))</f>
        <v/>
      </c>
      <c r="P969" s="28" t="str">
        <f aca="false">IF($B969="","",$N969-$O969)</f>
        <v/>
      </c>
      <c r="Q969" s="29" t="str">
        <f aca="false">IF($A969="","",DATE(YEAR($A969),MONTH($A969),1))</f>
        <v/>
      </c>
      <c r="R969" s="30" t="str">
        <f aca="false">IF($A969="","",$A969+MOD(6-WEEKDAY($A969),7))</f>
        <v/>
      </c>
      <c r="S969" s="31" t="str">
        <f aca="false">IF($B969="","",IF(AND($M969='Invoice Builder'!$C$5,$Q969='Invoice Builder'!$C$6,N($N969)&gt;0),COUNTIFS($M$5:$M969,'Invoice Builder'!$C$5,$Q$5:$Q969,'Invoice Builder'!$C$6,$N$5:$N969,"&gt;0"),""))</f>
        <v/>
      </c>
      <c r="T969" s="27" t="str">
        <f aca="false">IF($A969="","",IF($A969&gt;=DATE(YEAR($A969),4,6),YEAR($A969)&amp;"/"&amp;RIGHT(YEAR($A969)+1,2),YEAR($A969)-1&amp;"/"&amp;RIGHT(YEAR($A969),2)))</f>
        <v/>
      </c>
    </row>
    <row r="970" customFormat="false" ht="15" hidden="false" customHeight="false" outlineLevel="0" collapsed="false">
      <c r="A970" s="22"/>
      <c r="B970" s="23"/>
      <c r="C970" s="23"/>
      <c r="D970" s="23"/>
      <c r="E970" s="24"/>
      <c r="F970" s="24"/>
      <c r="G970" s="23"/>
      <c r="H970" s="23"/>
      <c r="I970" s="25"/>
      <c r="J970" s="23"/>
      <c r="K970" s="23"/>
      <c r="L970" s="26" t="str">
        <f aca="false">IF(OR($E970="",$F970=""),"",MOD($F970-$E970,1)*24)</f>
        <v/>
      </c>
      <c r="M970" s="27" t="str">
        <f aca="false">IF($B970="","",IFERROR(INDEX(Properties!$D$5:$D$104,MATCH($B970,Properties!$A$5:$A$104,0)),"?"))</f>
        <v/>
      </c>
      <c r="N970" s="28" t="str">
        <f aca="false">IF($B970="","",IFERROR(IF($D970="Completed",INDEX(Properties!$I$5:$I$104,MATCH($B970,Properties!$A$5:$A$104,0))*(1+IF($G970="Y",Settings!$B$8,0))+IF($H970="Y",Settings!$B$7,0)+N($I970),IF($D970="Deep clean",INDEX(Settings!$E$22:$E$26,MATCH(MIN(INDEX(Properties!$E$5:$E$104,MATCH($B970,Properties!$A$5:$A$104,0)),4),Settings!$A$22:$A$26,0))+N($I970),IF($D970="Late cancel",INDEX(Properties!$I$5:$I$104,MATCH($B970,Properties!$A$5:$A$104,0))*Settings!$B$10,0))),0))</f>
        <v/>
      </c>
      <c r="O970" s="28" t="str">
        <f aca="false">IF($B970="","",IFERROR(IF($D970="Completed",INDEX(Properties!$L$5:$L$104,MATCH($B970,Properties!$A$5:$A$104,0))+IF($G970="Y",INDEX(Properties!$I$5:$I$104,MATCH($B970,Properties!$A$5:$A$104,0))*Settings!$B$8*Settings!$B$9,0)+IF($H970="Y",Settings!$B$7*Settings!$B$9,0)+N($I970)*Settings!$B$9,IF($D970="Deep clean",INDEX(Settings!$E$22:$E$26,MATCH(MIN(INDEX(Properties!$E$5:$E$104,MATCH($B970,Properties!$A$5:$A$104,0)),4),Settings!$A$22:$A$26,0))*Settings!$B$19+N($I970)*Settings!$B$9,IF($D970="Late cancel",INDEX(Properties!$L$5:$L$104,MATCH($B970,Properties!$A$5:$A$104,0))*Settings!$B$11,0))),0))</f>
        <v/>
      </c>
      <c r="P970" s="28" t="str">
        <f aca="false">IF($B970="","",$N970-$O970)</f>
        <v/>
      </c>
      <c r="Q970" s="29" t="str">
        <f aca="false">IF($A970="","",DATE(YEAR($A970),MONTH($A970),1))</f>
        <v/>
      </c>
      <c r="R970" s="30" t="str">
        <f aca="false">IF($A970="","",$A970+MOD(6-WEEKDAY($A970),7))</f>
        <v/>
      </c>
      <c r="S970" s="31" t="str">
        <f aca="false">IF($B970="","",IF(AND($M970='Invoice Builder'!$C$5,$Q970='Invoice Builder'!$C$6,N($N970)&gt;0),COUNTIFS($M$5:$M970,'Invoice Builder'!$C$5,$Q$5:$Q970,'Invoice Builder'!$C$6,$N$5:$N970,"&gt;0"),""))</f>
        <v/>
      </c>
      <c r="T970" s="27" t="str">
        <f aca="false">IF($A970="","",IF($A970&gt;=DATE(YEAR($A970),4,6),YEAR($A970)&amp;"/"&amp;RIGHT(YEAR($A970)+1,2),YEAR($A970)-1&amp;"/"&amp;RIGHT(YEAR($A970),2)))</f>
        <v/>
      </c>
    </row>
    <row r="971" customFormat="false" ht="15" hidden="false" customHeight="false" outlineLevel="0" collapsed="false">
      <c r="A971" s="22"/>
      <c r="B971" s="23"/>
      <c r="C971" s="23"/>
      <c r="D971" s="23"/>
      <c r="E971" s="24"/>
      <c r="F971" s="24"/>
      <c r="G971" s="23"/>
      <c r="H971" s="23"/>
      <c r="I971" s="25"/>
      <c r="J971" s="23"/>
      <c r="K971" s="23"/>
      <c r="L971" s="26" t="str">
        <f aca="false">IF(OR($E971="",$F971=""),"",MOD($F971-$E971,1)*24)</f>
        <v/>
      </c>
      <c r="M971" s="27" t="str">
        <f aca="false">IF($B971="","",IFERROR(INDEX(Properties!$D$5:$D$104,MATCH($B971,Properties!$A$5:$A$104,0)),"?"))</f>
        <v/>
      </c>
      <c r="N971" s="28" t="str">
        <f aca="false">IF($B971="","",IFERROR(IF($D971="Completed",INDEX(Properties!$I$5:$I$104,MATCH($B971,Properties!$A$5:$A$104,0))*(1+IF($G971="Y",Settings!$B$8,0))+IF($H971="Y",Settings!$B$7,0)+N($I971),IF($D971="Deep clean",INDEX(Settings!$E$22:$E$26,MATCH(MIN(INDEX(Properties!$E$5:$E$104,MATCH($B971,Properties!$A$5:$A$104,0)),4),Settings!$A$22:$A$26,0))+N($I971),IF($D971="Late cancel",INDEX(Properties!$I$5:$I$104,MATCH($B971,Properties!$A$5:$A$104,0))*Settings!$B$10,0))),0))</f>
        <v/>
      </c>
      <c r="O971" s="28" t="str">
        <f aca="false">IF($B971="","",IFERROR(IF($D971="Completed",INDEX(Properties!$L$5:$L$104,MATCH($B971,Properties!$A$5:$A$104,0))+IF($G971="Y",INDEX(Properties!$I$5:$I$104,MATCH($B971,Properties!$A$5:$A$104,0))*Settings!$B$8*Settings!$B$9,0)+IF($H971="Y",Settings!$B$7*Settings!$B$9,0)+N($I971)*Settings!$B$9,IF($D971="Deep clean",INDEX(Settings!$E$22:$E$26,MATCH(MIN(INDEX(Properties!$E$5:$E$104,MATCH($B971,Properties!$A$5:$A$104,0)),4),Settings!$A$22:$A$26,0))*Settings!$B$19+N($I971)*Settings!$B$9,IF($D971="Late cancel",INDEX(Properties!$L$5:$L$104,MATCH($B971,Properties!$A$5:$A$104,0))*Settings!$B$11,0))),0))</f>
        <v/>
      </c>
      <c r="P971" s="28" t="str">
        <f aca="false">IF($B971="","",$N971-$O971)</f>
        <v/>
      </c>
      <c r="Q971" s="29" t="str">
        <f aca="false">IF($A971="","",DATE(YEAR($A971),MONTH($A971),1))</f>
        <v/>
      </c>
      <c r="R971" s="30" t="str">
        <f aca="false">IF($A971="","",$A971+MOD(6-WEEKDAY($A971),7))</f>
        <v/>
      </c>
      <c r="S971" s="31" t="str">
        <f aca="false">IF($B971="","",IF(AND($M971='Invoice Builder'!$C$5,$Q971='Invoice Builder'!$C$6,N($N971)&gt;0),COUNTIFS($M$5:$M971,'Invoice Builder'!$C$5,$Q$5:$Q971,'Invoice Builder'!$C$6,$N$5:$N971,"&gt;0"),""))</f>
        <v/>
      </c>
      <c r="T971" s="27" t="str">
        <f aca="false">IF($A971="","",IF($A971&gt;=DATE(YEAR($A971),4,6),YEAR($A971)&amp;"/"&amp;RIGHT(YEAR($A971)+1,2),YEAR($A971)-1&amp;"/"&amp;RIGHT(YEAR($A971),2)))</f>
        <v/>
      </c>
    </row>
    <row r="972" customFormat="false" ht="15" hidden="false" customHeight="false" outlineLevel="0" collapsed="false">
      <c r="A972" s="22"/>
      <c r="B972" s="23"/>
      <c r="C972" s="23"/>
      <c r="D972" s="23"/>
      <c r="E972" s="24"/>
      <c r="F972" s="24"/>
      <c r="G972" s="23"/>
      <c r="H972" s="23"/>
      <c r="I972" s="25"/>
      <c r="J972" s="23"/>
      <c r="K972" s="23"/>
      <c r="L972" s="26" t="str">
        <f aca="false">IF(OR($E972="",$F972=""),"",MOD($F972-$E972,1)*24)</f>
        <v/>
      </c>
      <c r="M972" s="27" t="str">
        <f aca="false">IF($B972="","",IFERROR(INDEX(Properties!$D$5:$D$104,MATCH($B972,Properties!$A$5:$A$104,0)),"?"))</f>
        <v/>
      </c>
      <c r="N972" s="28" t="str">
        <f aca="false">IF($B972="","",IFERROR(IF($D972="Completed",INDEX(Properties!$I$5:$I$104,MATCH($B972,Properties!$A$5:$A$104,0))*(1+IF($G972="Y",Settings!$B$8,0))+IF($H972="Y",Settings!$B$7,0)+N($I972),IF($D972="Deep clean",INDEX(Settings!$E$22:$E$26,MATCH(MIN(INDEX(Properties!$E$5:$E$104,MATCH($B972,Properties!$A$5:$A$104,0)),4),Settings!$A$22:$A$26,0))+N($I972),IF($D972="Late cancel",INDEX(Properties!$I$5:$I$104,MATCH($B972,Properties!$A$5:$A$104,0))*Settings!$B$10,0))),0))</f>
        <v/>
      </c>
      <c r="O972" s="28" t="str">
        <f aca="false">IF($B972="","",IFERROR(IF($D972="Completed",INDEX(Properties!$L$5:$L$104,MATCH($B972,Properties!$A$5:$A$104,0))+IF($G972="Y",INDEX(Properties!$I$5:$I$104,MATCH($B972,Properties!$A$5:$A$104,0))*Settings!$B$8*Settings!$B$9,0)+IF($H972="Y",Settings!$B$7*Settings!$B$9,0)+N($I972)*Settings!$B$9,IF($D972="Deep clean",INDEX(Settings!$E$22:$E$26,MATCH(MIN(INDEX(Properties!$E$5:$E$104,MATCH($B972,Properties!$A$5:$A$104,0)),4),Settings!$A$22:$A$26,0))*Settings!$B$19+N($I972)*Settings!$B$9,IF($D972="Late cancel",INDEX(Properties!$L$5:$L$104,MATCH($B972,Properties!$A$5:$A$104,0))*Settings!$B$11,0))),0))</f>
        <v/>
      </c>
      <c r="P972" s="28" t="str">
        <f aca="false">IF($B972="","",$N972-$O972)</f>
        <v/>
      </c>
      <c r="Q972" s="29" t="str">
        <f aca="false">IF($A972="","",DATE(YEAR($A972),MONTH($A972),1))</f>
        <v/>
      </c>
      <c r="R972" s="30" t="str">
        <f aca="false">IF($A972="","",$A972+MOD(6-WEEKDAY($A972),7))</f>
        <v/>
      </c>
      <c r="S972" s="31" t="str">
        <f aca="false">IF($B972="","",IF(AND($M972='Invoice Builder'!$C$5,$Q972='Invoice Builder'!$C$6,N($N972)&gt;0),COUNTIFS($M$5:$M972,'Invoice Builder'!$C$5,$Q$5:$Q972,'Invoice Builder'!$C$6,$N$5:$N972,"&gt;0"),""))</f>
        <v/>
      </c>
      <c r="T972" s="27" t="str">
        <f aca="false">IF($A972="","",IF($A972&gt;=DATE(YEAR($A972),4,6),YEAR($A972)&amp;"/"&amp;RIGHT(YEAR($A972)+1,2),YEAR($A972)-1&amp;"/"&amp;RIGHT(YEAR($A972),2)))</f>
        <v/>
      </c>
    </row>
    <row r="973" customFormat="false" ht="15" hidden="false" customHeight="false" outlineLevel="0" collapsed="false">
      <c r="A973" s="22"/>
      <c r="B973" s="23"/>
      <c r="C973" s="23"/>
      <c r="D973" s="23"/>
      <c r="E973" s="24"/>
      <c r="F973" s="24"/>
      <c r="G973" s="23"/>
      <c r="H973" s="23"/>
      <c r="I973" s="25"/>
      <c r="J973" s="23"/>
      <c r="K973" s="23"/>
      <c r="L973" s="26" t="str">
        <f aca="false">IF(OR($E973="",$F973=""),"",MOD($F973-$E973,1)*24)</f>
        <v/>
      </c>
      <c r="M973" s="27" t="str">
        <f aca="false">IF($B973="","",IFERROR(INDEX(Properties!$D$5:$D$104,MATCH($B973,Properties!$A$5:$A$104,0)),"?"))</f>
        <v/>
      </c>
      <c r="N973" s="28" t="str">
        <f aca="false">IF($B973="","",IFERROR(IF($D973="Completed",INDEX(Properties!$I$5:$I$104,MATCH($B973,Properties!$A$5:$A$104,0))*(1+IF($G973="Y",Settings!$B$8,0))+IF($H973="Y",Settings!$B$7,0)+N($I973),IF($D973="Deep clean",INDEX(Settings!$E$22:$E$26,MATCH(MIN(INDEX(Properties!$E$5:$E$104,MATCH($B973,Properties!$A$5:$A$104,0)),4),Settings!$A$22:$A$26,0))+N($I973),IF($D973="Late cancel",INDEX(Properties!$I$5:$I$104,MATCH($B973,Properties!$A$5:$A$104,0))*Settings!$B$10,0))),0))</f>
        <v/>
      </c>
      <c r="O973" s="28" t="str">
        <f aca="false">IF($B973="","",IFERROR(IF($D973="Completed",INDEX(Properties!$L$5:$L$104,MATCH($B973,Properties!$A$5:$A$104,0))+IF($G973="Y",INDEX(Properties!$I$5:$I$104,MATCH($B973,Properties!$A$5:$A$104,0))*Settings!$B$8*Settings!$B$9,0)+IF($H973="Y",Settings!$B$7*Settings!$B$9,0)+N($I973)*Settings!$B$9,IF($D973="Deep clean",INDEX(Settings!$E$22:$E$26,MATCH(MIN(INDEX(Properties!$E$5:$E$104,MATCH($B973,Properties!$A$5:$A$104,0)),4),Settings!$A$22:$A$26,0))*Settings!$B$19+N($I973)*Settings!$B$9,IF($D973="Late cancel",INDEX(Properties!$L$5:$L$104,MATCH($B973,Properties!$A$5:$A$104,0))*Settings!$B$11,0))),0))</f>
        <v/>
      </c>
      <c r="P973" s="28" t="str">
        <f aca="false">IF($B973="","",$N973-$O973)</f>
        <v/>
      </c>
      <c r="Q973" s="29" t="str">
        <f aca="false">IF($A973="","",DATE(YEAR($A973),MONTH($A973),1))</f>
        <v/>
      </c>
      <c r="R973" s="30" t="str">
        <f aca="false">IF($A973="","",$A973+MOD(6-WEEKDAY($A973),7))</f>
        <v/>
      </c>
      <c r="S973" s="31" t="str">
        <f aca="false">IF($B973="","",IF(AND($M973='Invoice Builder'!$C$5,$Q973='Invoice Builder'!$C$6,N($N973)&gt;0),COUNTIFS($M$5:$M973,'Invoice Builder'!$C$5,$Q$5:$Q973,'Invoice Builder'!$C$6,$N$5:$N973,"&gt;0"),""))</f>
        <v/>
      </c>
      <c r="T973" s="27" t="str">
        <f aca="false">IF($A973="","",IF($A973&gt;=DATE(YEAR($A973),4,6),YEAR($A973)&amp;"/"&amp;RIGHT(YEAR($A973)+1,2),YEAR($A973)-1&amp;"/"&amp;RIGHT(YEAR($A973),2)))</f>
        <v/>
      </c>
    </row>
    <row r="974" customFormat="false" ht="15" hidden="false" customHeight="false" outlineLevel="0" collapsed="false">
      <c r="A974" s="22"/>
      <c r="B974" s="23"/>
      <c r="C974" s="23"/>
      <c r="D974" s="23"/>
      <c r="E974" s="24"/>
      <c r="F974" s="24"/>
      <c r="G974" s="23"/>
      <c r="H974" s="23"/>
      <c r="I974" s="25"/>
      <c r="J974" s="23"/>
      <c r="K974" s="23"/>
      <c r="L974" s="26" t="str">
        <f aca="false">IF(OR($E974="",$F974=""),"",MOD($F974-$E974,1)*24)</f>
        <v/>
      </c>
      <c r="M974" s="27" t="str">
        <f aca="false">IF($B974="","",IFERROR(INDEX(Properties!$D$5:$D$104,MATCH($B974,Properties!$A$5:$A$104,0)),"?"))</f>
        <v/>
      </c>
      <c r="N974" s="28" t="str">
        <f aca="false">IF($B974="","",IFERROR(IF($D974="Completed",INDEX(Properties!$I$5:$I$104,MATCH($B974,Properties!$A$5:$A$104,0))*(1+IF($G974="Y",Settings!$B$8,0))+IF($H974="Y",Settings!$B$7,0)+N($I974),IF($D974="Deep clean",INDEX(Settings!$E$22:$E$26,MATCH(MIN(INDEX(Properties!$E$5:$E$104,MATCH($B974,Properties!$A$5:$A$104,0)),4),Settings!$A$22:$A$26,0))+N($I974),IF($D974="Late cancel",INDEX(Properties!$I$5:$I$104,MATCH($B974,Properties!$A$5:$A$104,0))*Settings!$B$10,0))),0))</f>
        <v/>
      </c>
      <c r="O974" s="28" t="str">
        <f aca="false">IF($B974="","",IFERROR(IF($D974="Completed",INDEX(Properties!$L$5:$L$104,MATCH($B974,Properties!$A$5:$A$104,0))+IF($G974="Y",INDEX(Properties!$I$5:$I$104,MATCH($B974,Properties!$A$5:$A$104,0))*Settings!$B$8*Settings!$B$9,0)+IF($H974="Y",Settings!$B$7*Settings!$B$9,0)+N($I974)*Settings!$B$9,IF($D974="Deep clean",INDEX(Settings!$E$22:$E$26,MATCH(MIN(INDEX(Properties!$E$5:$E$104,MATCH($B974,Properties!$A$5:$A$104,0)),4),Settings!$A$22:$A$26,0))*Settings!$B$19+N($I974)*Settings!$B$9,IF($D974="Late cancel",INDEX(Properties!$L$5:$L$104,MATCH($B974,Properties!$A$5:$A$104,0))*Settings!$B$11,0))),0))</f>
        <v/>
      </c>
      <c r="P974" s="28" t="str">
        <f aca="false">IF($B974="","",$N974-$O974)</f>
        <v/>
      </c>
      <c r="Q974" s="29" t="str">
        <f aca="false">IF($A974="","",DATE(YEAR($A974),MONTH($A974),1))</f>
        <v/>
      </c>
      <c r="R974" s="30" t="str">
        <f aca="false">IF($A974="","",$A974+MOD(6-WEEKDAY($A974),7))</f>
        <v/>
      </c>
      <c r="S974" s="31" t="str">
        <f aca="false">IF($B974="","",IF(AND($M974='Invoice Builder'!$C$5,$Q974='Invoice Builder'!$C$6,N($N974)&gt;0),COUNTIFS($M$5:$M974,'Invoice Builder'!$C$5,$Q$5:$Q974,'Invoice Builder'!$C$6,$N$5:$N974,"&gt;0"),""))</f>
        <v/>
      </c>
      <c r="T974" s="27" t="str">
        <f aca="false">IF($A974="","",IF($A974&gt;=DATE(YEAR($A974),4,6),YEAR($A974)&amp;"/"&amp;RIGHT(YEAR($A974)+1,2),YEAR($A974)-1&amp;"/"&amp;RIGHT(YEAR($A974),2)))</f>
        <v/>
      </c>
    </row>
    <row r="975" customFormat="false" ht="15" hidden="false" customHeight="false" outlineLevel="0" collapsed="false">
      <c r="A975" s="22"/>
      <c r="B975" s="23"/>
      <c r="C975" s="23"/>
      <c r="D975" s="23"/>
      <c r="E975" s="24"/>
      <c r="F975" s="24"/>
      <c r="G975" s="23"/>
      <c r="H975" s="23"/>
      <c r="I975" s="25"/>
      <c r="J975" s="23"/>
      <c r="K975" s="23"/>
      <c r="L975" s="26" t="str">
        <f aca="false">IF(OR($E975="",$F975=""),"",MOD($F975-$E975,1)*24)</f>
        <v/>
      </c>
      <c r="M975" s="27" t="str">
        <f aca="false">IF($B975="","",IFERROR(INDEX(Properties!$D$5:$D$104,MATCH($B975,Properties!$A$5:$A$104,0)),"?"))</f>
        <v/>
      </c>
      <c r="N975" s="28" t="str">
        <f aca="false">IF($B975="","",IFERROR(IF($D975="Completed",INDEX(Properties!$I$5:$I$104,MATCH($B975,Properties!$A$5:$A$104,0))*(1+IF($G975="Y",Settings!$B$8,0))+IF($H975="Y",Settings!$B$7,0)+N($I975),IF($D975="Deep clean",INDEX(Settings!$E$22:$E$26,MATCH(MIN(INDEX(Properties!$E$5:$E$104,MATCH($B975,Properties!$A$5:$A$104,0)),4),Settings!$A$22:$A$26,0))+N($I975),IF($D975="Late cancel",INDEX(Properties!$I$5:$I$104,MATCH($B975,Properties!$A$5:$A$104,0))*Settings!$B$10,0))),0))</f>
        <v/>
      </c>
      <c r="O975" s="28" t="str">
        <f aca="false">IF($B975="","",IFERROR(IF($D975="Completed",INDEX(Properties!$L$5:$L$104,MATCH($B975,Properties!$A$5:$A$104,0))+IF($G975="Y",INDEX(Properties!$I$5:$I$104,MATCH($B975,Properties!$A$5:$A$104,0))*Settings!$B$8*Settings!$B$9,0)+IF($H975="Y",Settings!$B$7*Settings!$B$9,0)+N($I975)*Settings!$B$9,IF($D975="Deep clean",INDEX(Settings!$E$22:$E$26,MATCH(MIN(INDEX(Properties!$E$5:$E$104,MATCH($B975,Properties!$A$5:$A$104,0)),4),Settings!$A$22:$A$26,0))*Settings!$B$19+N($I975)*Settings!$B$9,IF($D975="Late cancel",INDEX(Properties!$L$5:$L$104,MATCH($B975,Properties!$A$5:$A$104,0))*Settings!$B$11,0))),0))</f>
        <v/>
      </c>
      <c r="P975" s="28" t="str">
        <f aca="false">IF($B975="","",$N975-$O975)</f>
        <v/>
      </c>
      <c r="Q975" s="29" t="str">
        <f aca="false">IF($A975="","",DATE(YEAR($A975),MONTH($A975),1))</f>
        <v/>
      </c>
      <c r="R975" s="30" t="str">
        <f aca="false">IF($A975="","",$A975+MOD(6-WEEKDAY($A975),7))</f>
        <v/>
      </c>
      <c r="S975" s="31" t="str">
        <f aca="false">IF($B975="","",IF(AND($M975='Invoice Builder'!$C$5,$Q975='Invoice Builder'!$C$6,N($N975)&gt;0),COUNTIFS($M$5:$M975,'Invoice Builder'!$C$5,$Q$5:$Q975,'Invoice Builder'!$C$6,$N$5:$N975,"&gt;0"),""))</f>
        <v/>
      </c>
      <c r="T975" s="27" t="str">
        <f aca="false">IF($A975="","",IF($A975&gt;=DATE(YEAR($A975),4,6),YEAR($A975)&amp;"/"&amp;RIGHT(YEAR($A975)+1,2),YEAR($A975)-1&amp;"/"&amp;RIGHT(YEAR($A975),2)))</f>
        <v/>
      </c>
    </row>
    <row r="976" customFormat="false" ht="15" hidden="false" customHeight="false" outlineLevel="0" collapsed="false">
      <c r="A976" s="22"/>
      <c r="B976" s="23"/>
      <c r="C976" s="23"/>
      <c r="D976" s="23"/>
      <c r="E976" s="24"/>
      <c r="F976" s="24"/>
      <c r="G976" s="23"/>
      <c r="H976" s="23"/>
      <c r="I976" s="25"/>
      <c r="J976" s="23"/>
      <c r="K976" s="23"/>
      <c r="L976" s="26" t="str">
        <f aca="false">IF(OR($E976="",$F976=""),"",MOD($F976-$E976,1)*24)</f>
        <v/>
      </c>
      <c r="M976" s="27" t="str">
        <f aca="false">IF($B976="","",IFERROR(INDEX(Properties!$D$5:$D$104,MATCH($B976,Properties!$A$5:$A$104,0)),"?"))</f>
        <v/>
      </c>
      <c r="N976" s="28" t="str">
        <f aca="false">IF($B976="","",IFERROR(IF($D976="Completed",INDEX(Properties!$I$5:$I$104,MATCH($B976,Properties!$A$5:$A$104,0))*(1+IF($G976="Y",Settings!$B$8,0))+IF($H976="Y",Settings!$B$7,0)+N($I976),IF($D976="Deep clean",INDEX(Settings!$E$22:$E$26,MATCH(MIN(INDEX(Properties!$E$5:$E$104,MATCH($B976,Properties!$A$5:$A$104,0)),4),Settings!$A$22:$A$26,0))+N($I976),IF($D976="Late cancel",INDEX(Properties!$I$5:$I$104,MATCH($B976,Properties!$A$5:$A$104,0))*Settings!$B$10,0))),0))</f>
        <v/>
      </c>
      <c r="O976" s="28" t="str">
        <f aca="false">IF($B976="","",IFERROR(IF($D976="Completed",INDEX(Properties!$L$5:$L$104,MATCH($B976,Properties!$A$5:$A$104,0))+IF($G976="Y",INDEX(Properties!$I$5:$I$104,MATCH($B976,Properties!$A$5:$A$104,0))*Settings!$B$8*Settings!$B$9,0)+IF($H976="Y",Settings!$B$7*Settings!$B$9,0)+N($I976)*Settings!$B$9,IF($D976="Deep clean",INDEX(Settings!$E$22:$E$26,MATCH(MIN(INDEX(Properties!$E$5:$E$104,MATCH($B976,Properties!$A$5:$A$104,0)),4),Settings!$A$22:$A$26,0))*Settings!$B$19+N($I976)*Settings!$B$9,IF($D976="Late cancel",INDEX(Properties!$L$5:$L$104,MATCH($B976,Properties!$A$5:$A$104,0))*Settings!$B$11,0))),0))</f>
        <v/>
      </c>
      <c r="P976" s="28" t="str">
        <f aca="false">IF($B976="","",$N976-$O976)</f>
        <v/>
      </c>
      <c r="Q976" s="29" t="str">
        <f aca="false">IF($A976="","",DATE(YEAR($A976),MONTH($A976),1))</f>
        <v/>
      </c>
      <c r="R976" s="30" t="str">
        <f aca="false">IF($A976="","",$A976+MOD(6-WEEKDAY($A976),7))</f>
        <v/>
      </c>
      <c r="S976" s="31" t="str">
        <f aca="false">IF($B976="","",IF(AND($M976='Invoice Builder'!$C$5,$Q976='Invoice Builder'!$C$6,N($N976)&gt;0),COUNTIFS($M$5:$M976,'Invoice Builder'!$C$5,$Q$5:$Q976,'Invoice Builder'!$C$6,$N$5:$N976,"&gt;0"),""))</f>
        <v/>
      </c>
      <c r="T976" s="27" t="str">
        <f aca="false">IF($A976="","",IF($A976&gt;=DATE(YEAR($A976),4,6),YEAR($A976)&amp;"/"&amp;RIGHT(YEAR($A976)+1,2),YEAR($A976)-1&amp;"/"&amp;RIGHT(YEAR($A976),2)))</f>
        <v/>
      </c>
    </row>
    <row r="977" customFormat="false" ht="15" hidden="false" customHeight="false" outlineLevel="0" collapsed="false">
      <c r="A977" s="22"/>
      <c r="B977" s="23"/>
      <c r="C977" s="23"/>
      <c r="D977" s="23"/>
      <c r="E977" s="24"/>
      <c r="F977" s="24"/>
      <c r="G977" s="23"/>
      <c r="H977" s="23"/>
      <c r="I977" s="25"/>
      <c r="J977" s="23"/>
      <c r="K977" s="23"/>
      <c r="L977" s="26" t="str">
        <f aca="false">IF(OR($E977="",$F977=""),"",MOD($F977-$E977,1)*24)</f>
        <v/>
      </c>
      <c r="M977" s="27" t="str">
        <f aca="false">IF($B977="","",IFERROR(INDEX(Properties!$D$5:$D$104,MATCH($B977,Properties!$A$5:$A$104,0)),"?"))</f>
        <v/>
      </c>
      <c r="N977" s="28" t="str">
        <f aca="false">IF($B977="","",IFERROR(IF($D977="Completed",INDEX(Properties!$I$5:$I$104,MATCH($B977,Properties!$A$5:$A$104,0))*(1+IF($G977="Y",Settings!$B$8,0))+IF($H977="Y",Settings!$B$7,0)+N($I977),IF($D977="Deep clean",INDEX(Settings!$E$22:$E$26,MATCH(MIN(INDEX(Properties!$E$5:$E$104,MATCH($B977,Properties!$A$5:$A$104,0)),4),Settings!$A$22:$A$26,0))+N($I977),IF($D977="Late cancel",INDEX(Properties!$I$5:$I$104,MATCH($B977,Properties!$A$5:$A$104,0))*Settings!$B$10,0))),0))</f>
        <v/>
      </c>
      <c r="O977" s="28" t="str">
        <f aca="false">IF($B977="","",IFERROR(IF($D977="Completed",INDEX(Properties!$L$5:$L$104,MATCH($B977,Properties!$A$5:$A$104,0))+IF($G977="Y",INDEX(Properties!$I$5:$I$104,MATCH($B977,Properties!$A$5:$A$104,0))*Settings!$B$8*Settings!$B$9,0)+IF($H977="Y",Settings!$B$7*Settings!$B$9,0)+N($I977)*Settings!$B$9,IF($D977="Deep clean",INDEX(Settings!$E$22:$E$26,MATCH(MIN(INDEX(Properties!$E$5:$E$104,MATCH($B977,Properties!$A$5:$A$104,0)),4),Settings!$A$22:$A$26,0))*Settings!$B$19+N($I977)*Settings!$B$9,IF($D977="Late cancel",INDEX(Properties!$L$5:$L$104,MATCH($B977,Properties!$A$5:$A$104,0))*Settings!$B$11,0))),0))</f>
        <v/>
      </c>
      <c r="P977" s="28" t="str">
        <f aca="false">IF($B977="","",$N977-$O977)</f>
        <v/>
      </c>
      <c r="Q977" s="29" t="str">
        <f aca="false">IF($A977="","",DATE(YEAR($A977),MONTH($A977),1))</f>
        <v/>
      </c>
      <c r="R977" s="30" t="str">
        <f aca="false">IF($A977="","",$A977+MOD(6-WEEKDAY($A977),7))</f>
        <v/>
      </c>
      <c r="S977" s="31" t="str">
        <f aca="false">IF($B977="","",IF(AND($M977='Invoice Builder'!$C$5,$Q977='Invoice Builder'!$C$6,N($N977)&gt;0),COUNTIFS($M$5:$M977,'Invoice Builder'!$C$5,$Q$5:$Q977,'Invoice Builder'!$C$6,$N$5:$N977,"&gt;0"),""))</f>
        <v/>
      </c>
      <c r="T977" s="27" t="str">
        <f aca="false">IF($A977="","",IF($A977&gt;=DATE(YEAR($A977),4,6),YEAR($A977)&amp;"/"&amp;RIGHT(YEAR($A977)+1,2),YEAR($A977)-1&amp;"/"&amp;RIGHT(YEAR($A977),2)))</f>
        <v/>
      </c>
    </row>
    <row r="978" customFormat="false" ht="15" hidden="false" customHeight="false" outlineLevel="0" collapsed="false">
      <c r="A978" s="22"/>
      <c r="B978" s="23"/>
      <c r="C978" s="23"/>
      <c r="D978" s="23"/>
      <c r="E978" s="24"/>
      <c r="F978" s="24"/>
      <c r="G978" s="23"/>
      <c r="H978" s="23"/>
      <c r="I978" s="25"/>
      <c r="J978" s="23"/>
      <c r="K978" s="23"/>
      <c r="L978" s="26" t="str">
        <f aca="false">IF(OR($E978="",$F978=""),"",MOD($F978-$E978,1)*24)</f>
        <v/>
      </c>
      <c r="M978" s="27" t="str">
        <f aca="false">IF($B978="","",IFERROR(INDEX(Properties!$D$5:$D$104,MATCH($B978,Properties!$A$5:$A$104,0)),"?"))</f>
        <v/>
      </c>
      <c r="N978" s="28" t="str">
        <f aca="false">IF($B978="","",IFERROR(IF($D978="Completed",INDEX(Properties!$I$5:$I$104,MATCH($B978,Properties!$A$5:$A$104,0))*(1+IF($G978="Y",Settings!$B$8,0))+IF($H978="Y",Settings!$B$7,0)+N($I978),IF($D978="Deep clean",INDEX(Settings!$E$22:$E$26,MATCH(MIN(INDEX(Properties!$E$5:$E$104,MATCH($B978,Properties!$A$5:$A$104,0)),4),Settings!$A$22:$A$26,0))+N($I978),IF($D978="Late cancel",INDEX(Properties!$I$5:$I$104,MATCH($B978,Properties!$A$5:$A$104,0))*Settings!$B$10,0))),0))</f>
        <v/>
      </c>
      <c r="O978" s="28" t="str">
        <f aca="false">IF($B978="","",IFERROR(IF($D978="Completed",INDEX(Properties!$L$5:$L$104,MATCH($B978,Properties!$A$5:$A$104,0))+IF($G978="Y",INDEX(Properties!$I$5:$I$104,MATCH($B978,Properties!$A$5:$A$104,0))*Settings!$B$8*Settings!$B$9,0)+IF($H978="Y",Settings!$B$7*Settings!$B$9,0)+N($I978)*Settings!$B$9,IF($D978="Deep clean",INDEX(Settings!$E$22:$E$26,MATCH(MIN(INDEX(Properties!$E$5:$E$104,MATCH($B978,Properties!$A$5:$A$104,0)),4),Settings!$A$22:$A$26,0))*Settings!$B$19+N($I978)*Settings!$B$9,IF($D978="Late cancel",INDEX(Properties!$L$5:$L$104,MATCH($B978,Properties!$A$5:$A$104,0))*Settings!$B$11,0))),0))</f>
        <v/>
      </c>
      <c r="P978" s="28" t="str">
        <f aca="false">IF($B978="","",$N978-$O978)</f>
        <v/>
      </c>
      <c r="Q978" s="29" t="str">
        <f aca="false">IF($A978="","",DATE(YEAR($A978),MONTH($A978),1))</f>
        <v/>
      </c>
      <c r="R978" s="30" t="str">
        <f aca="false">IF($A978="","",$A978+MOD(6-WEEKDAY($A978),7))</f>
        <v/>
      </c>
      <c r="S978" s="31" t="str">
        <f aca="false">IF($B978="","",IF(AND($M978='Invoice Builder'!$C$5,$Q978='Invoice Builder'!$C$6,N($N978)&gt;0),COUNTIFS($M$5:$M978,'Invoice Builder'!$C$5,$Q$5:$Q978,'Invoice Builder'!$C$6,$N$5:$N978,"&gt;0"),""))</f>
        <v/>
      </c>
      <c r="T978" s="27" t="str">
        <f aca="false">IF($A978="","",IF($A978&gt;=DATE(YEAR($A978),4,6),YEAR($A978)&amp;"/"&amp;RIGHT(YEAR($A978)+1,2),YEAR($A978)-1&amp;"/"&amp;RIGHT(YEAR($A978),2)))</f>
        <v/>
      </c>
    </row>
    <row r="979" customFormat="false" ht="15" hidden="false" customHeight="false" outlineLevel="0" collapsed="false">
      <c r="A979" s="22"/>
      <c r="B979" s="23"/>
      <c r="C979" s="23"/>
      <c r="D979" s="23"/>
      <c r="E979" s="24"/>
      <c r="F979" s="24"/>
      <c r="G979" s="23"/>
      <c r="H979" s="23"/>
      <c r="I979" s="25"/>
      <c r="J979" s="23"/>
      <c r="K979" s="23"/>
      <c r="L979" s="26" t="str">
        <f aca="false">IF(OR($E979="",$F979=""),"",MOD($F979-$E979,1)*24)</f>
        <v/>
      </c>
      <c r="M979" s="27" t="str">
        <f aca="false">IF($B979="","",IFERROR(INDEX(Properties!$D$5:$D$104,MATCH($B979,Properties!$A$5:$A$104,0)),"?"))</f>
        <v/>
      </c>
      <c r="N979" s="28" t="str">
        <f aca="false">IF($B979="","",IFERROR(IF($D979="Completed",INDEX(Properties!$I$5:$I$104,MATCH($B979,Properties!$A$5:$A$104,0))*(1+IF($G979="Y",Settings!$B$8,0))+IF($H979="Y",Settings!$B$7,0)+N($I979),IF($D979="Deep clean",INDEX(Settings!$E$22:$E$26,MATCH(MIN(INDEX(Properties!$E$5:$E$104,MATCH($B979,Properties!$A$5:$A$104,0)),4),Settings!$A$22:$A$26,0))+N($I979),IF($D979="Late cancel",INDEX(Properties!$I$5:$I$104,MATCH($B979,Properties!$A$5:$A$104,0))*Settings!$B$10,0))),0))</f>
        <v/>
      </c>
      <c r="O979" s="28" t="str">
        <f aca="false">IF($B979="","",IFERROR(IF($D979="Completed",INDEX(Properties!$L$5:$L$104,MATCH($B979,Properties!$A$5:$A$104,0))+IF($G979="Y",INDEX(Properties!$I$5:$I$104,MATCH($B979,Properties!$A$5:$A$104,0))*Settings!$B$8*Settings!$B$9,0)+IF($H979="Y",Settings!$B$7*Settings!$B$9,0)+N($I979)*Settings!$B$9,IF($D979="Deep clean",INDEX(Settings!$E$22:$E$26,MATCH(MIN(INDEX(Properties!$E$5:$E$104,MATCH($B979,Properties!$A$5:$A$104,0)),4),Settings!$A$22:$A$26,0))*Settings!$B$19+N($I979)*Settings!$B$9,IF($D979="Late cancel",INDEX(Properties!$L$5:$L$104,MATCH($B979,Properties!$A$5:$A$104,0))*Settings!$B$11,0))),0))</f>
        <v/>
      </c>
      <c r="P979" s="28" t="str">
        <f aca="false">IF($B979="","",$N979-$O979)</f>
        <v/>
      </c>
      <c r="Q979" s="29" t="str">
        <f aca="false">IF($A979="","",DATE(YEAR($A979),MONTH($A979),1))</f>
        <v/>
      </c>
      <c r="R979" s="30" t="str">
        <f aca="false">IF($A979="","",$A979+MOD(6-WEEKDAY($A979),7))</f>
        <v/>
      </c>
      <c r="S979" s="31" t="str">
        <f aca="false">IF($B979="","",IF(AND($M979='Invoice Builder'!$C$5,$Q979='Invoice Builder'!$C$6,N($N979)&gt;0),COUNTIFS($M$5:$M979,'Invoice Builder'!$C$5,$Q$5:$Q979,'Invoice Builder'!$C$6,$N$5:$N979,"&gt;0"),""))</f>
        <v/>
      </c>
      <c r="T979" s="27" t="str">
        <f aca="false">IF($A979="","",IF($A979&gt;=DATE(YEAR($A979),4,6),YEAR($A979)&amp;"/"&amp;RIGHT(YEAR($A979)+1,2),YEAR($A979)-1&amp;"/"&amp;RIGHT(YEAR($A979),2)))</f>
        <v/>
      </c>
    </row>
    <row r="980" customFormat="false" ht="15" hidden="false" customHeight="false" outlineLevel="0" collapsed="false">
      <c r="A980" s="22"/>
      <c r="B980" s="23"/>
      <c r="C980" s="23"/>
      <c r="D980" s="23"/>
      <c r="E980" s="24"/>
      <c r="F980" s="24"/>
      <c r="G980" s="23"/>
      <c r="H980" s="23"/>
      <c r="I980" s="25"/>
      <c r="J980" s="23"/>
      <c r="K980" s="23"/>
      <c r="L980" s="26" t="str">
        <f aca="false">IF(OR($E980="",$F980=""),"",MOD($F980-$E980,1)*24)</f>
        <v/>
      </c>
      <c r="M980" s="27" t="str">
        <f aca="false">IF($B980="","",IFERROR(INDEX(Properties!$D$5:$D$104,MATCH($B980,Properties!$A$5:$A$104,0)),"?"))</f>
        <v/>
      </c>
      <c r="N980" s="28" t="str">
        <f aca="false">IF($B980="","",IFERROR(IF($D980="Completed",INDEX(Properties!$I$5:$I$104,MATCH($B980,Properties!$A$5:$A$104,0))*(1+IF($G980="Y",Settings!$B$8,0))+IF($H980="Y",Settings!$B$7,0)+N($I980),IF($D980="Deep clean",INDEX(Settings!$E$22:$E$26,MATCH(MIN(INDEX(Properties!$E$5:$E$104,MATCH($B980,Properties!$A$5:$A$104,0)),4),Settings!$A$22:$A$26,0))+N($I980),IF($D980="Late cancel",INDEX(Properties!$I$5:$I$104,MATCH($B980,Properties!$A$5:$A$104,0))*Settings!$B$10,0))),0))</f>
        <v/>
      </c>
      <c r="O980" s="28" t="str">
        <f aca="false">IF($B980="","",IFERROR(IF($D980="Completed",INDEX(Properties!$L$5:$L$104,MATCH($B980,Properties!$A$5:$A$104,0))+IF($G980="Y",INDEX(Properties!$I$5:$I$104,MATCH($B980,Properties!$A$5:$A$104,0))*Settings!$B$8*Settings!$B$9,0)+IF($H980="Y",Settings!$B$7*Settings!$B$9,0)+N($I980)*Settings!$B$9,IF($D980="Deep clean",INDEX(Settings!$E$22:$E$26,MATCH(MIN(INDEX(Properties!$E$5:$E$104,MATCH($B980,Properties!$A$5:$A$104,0)),4),Settings!$A$22:$A$26,0))*Settings!$B$19+N($I980)*Settings!$B$9,IF($D980="Late cancel",INDEX(Properties!$L$5:$L$104,MATCH($B980,Properties!$A$5:$A$104,0))*Settings!$B$11,0))),0))</f>
        <v/>
      </c>
      <c r="P980" s="28" t="str">
        <f aca="false">IF($B980="","",$N980-$O980)</f>
        <v/>
      </c>
      <c r="Q980" s="29" t="str">
        <f aca="false">IF($A980="","",DATE(YEAR($A980),MONTH($A980),1))</f>
        <v/>
      </c>
      <c r="R980" s="30" t="str">
        <f aca="false">IF($A980="","",$A980+MOD(6-WEEKDAY($A980),7))</f>
        <v/>
      </c>
      <c r="S980" s="31" t="str">
        <f aca="false">IF($B980="","",IF(AND($M980='Invoice Builder'!$C$5,$Q980='Invoice Builder'!$C$6,N($N980)&gt;0),COUNTIFS($M$5:$M980,'Invoice Builder'!$C$5,$Q$5:$Q980,'Invoice Builder'!$C$6,$N$5:$N980,"&gt;0"),""))</f>
        <v/>
      </c>
      <c r="T980" s="27" t="str">
        <f aca="false">IF($A980="","",IF($A980&gt;=DATE(YEAR($A980),4,6),YEAR($A980)&amp;"/"&amp;RIGHT(YEAR($A980)+1,2),YEAR($A980)-1&amp;"/"&amp;RIGHT(YEAR($A980),2)))</f>
        <v/>
      </c>
    </row>
    <row r="981" customFormat="false" ht="15" hidden="false" customHeight="false" outlineLevel="0" collapsed="false">
      <c r="A981" s="22"/>
      <c r="B981" s="23"/>
      <c r="C981" s="23"/>
      <c r="D981" s="23"/>
      <c r="E981" s="24"/>
      <c r="F981" s="24"/>
      <c r="G981" s="23"/>
      <c r="H981" s="23"/>
      <c r="I981" s="25"/>
      <c r="J981" s="23"/>
      <c r="K981" s="23"/>
      <c r="L981" s="26" t="str">
        <f aca="false">IF(OR($E981="",$F981=""),"",MOD($F981-$E981,1)*24)</f>
        <v/>
      </c>
      <c r="M981" s="27" t="str">
        <f aca="false">IF($B981="","",IFERROR(INDEX(Properties!$D$5:$D$104,MATCH($B981,Properties!$A$5:$A$104,0)),"?"))</f>
        <v/>
      </c>
      <c r="N981" s="28" t="str">
        <f aca="false">IF($B981="","",IFERROR(IF($D981="Completed",INDEX(Properties!$I$5:$I$104,MATCH($B981,Properties!$A$5:$A$104,0))*(1+IF($G981="Y",Settings!$B$8,0))+IF($H981="Y",Settings!$B$7,0)+N($I981),IF($D981="Deep clean",INDEX(Settings!$E$22:$E$26,MATCH(MIN(INDEX(Properties!$E$5:$E$104,MATCH($B981,Properties!$A$5:$A$104,0)),4),Settings!$A$22:$A$26,0))+N($I981),IF($D981="Late cancel",INDEX(Properties!$I$5:$I$104,MATCH($B981,Properties!$A$5:$A$104,0))*Settings!$B$10,0))),0))</f>
        <v/>
      </c>
      <c r="O981" s="28" t="str">
        <f aca="false">IF($B981="","",IFERROR(IF($D981="Completed",INDEX(Properties!$L$5:$L$104,MATCH($B981,Properties!$A$5:$A$104,0))+IF($G981="Y",INDEX(Properties!$I$5:$I$104,MATCH($B981,Properties!$A$5:$A$104,0))*Settings!$B$8*Settings!$B$9,0)+IF($H981="Y",Settings!$B$7*Settings!$B$9,0)+N($I981)*Settings!$B$9,IF($D981="Deep clean",INDEX(Settings!$E$22:$E$26,MATCH(MIN(INDEX(Properties!$E$5:$E$104,MATCH($B981,Properties!$A$5:$A$104,0)),4),Settings!$A$22:$A$26,0))*Settings!$B$19+N($I981)*Settings!$B$9,IF($D981="Late cancel",INDEX(Properties!$L$5:$L$104,MATCH($B981,Properties!$A$5:$A$104,0))*Settings!$B$11,0))),0))</f>
        <v/>
      </c>
      <c r="P981" s="28" t="str">
        <f aca="false">IF($B981="","",$N981-$O981)</f>
        <v/>
      </c>
      <c r="Q981" s="29" t="str">
        <f aca="false">IF($A981="","",DATE(YEAR($A981),MONTH($A981),1))</f>
        <v/>
      </c>
      <c r="R981" s="30" t="str">
        <f aca="false">IF($A981="","",$A981+MOD(6-WEEKDAY($A981),7))</f>
        <v/>
      </c>
      <c r="S981" s="31" t="str">
        <f aca="false">IF($B981="","",IF(AND($M981='Invoice Builder'!$C$5,$Q981='Invoice Builder'!$C$6,N($N981)&gt;0),COUNTIFS($M$5:$M981,'Invoice Builder'!$C$5,$Q$5:$Q981,'Invoice Builder'!$C$6,$N$5:$N981,"&gt;0"),""))</f>
        <v/>
      </c>
      <c r="T981" s="27" t="str">
        <f aca="false">IF($A981="","",IF($A981&gt;=DATE(YEAR($A981),4,6),YEAR($A981)&amp;"/"&amp;RIGHT(YEAR($A981)+1,2),YEAR($A981)-1&amp;"/"&amp;RIGHT(YEAR($A981),2)))</f>
        <v/>
      </c>
    </row>
    <row r="982" customFormat="false" ht="15" hidden="false" customHeight="false" outlineLevel="0" collapsed="false">
      <c r="A982" s="22"/>
      <c r="B982" s="23"/>
      <c r="C982" s="23"/>
      <c r="D982" s="23"/>
      <c r="E982" s="24"/>
      <c r="F982" s="24"/>
      <c r="G982" s="23"/>
      <c r="H982" s="23"/>
      <c r="I982" s="25"/>
      <c r="J982" s="23"/>
      <c r="K982" s="23"/>
      <c r="L982" s="26" t="str">
        <f aca="false">IF(OR($E982="",$F982=""),"",MOD($F982-$E982,1)*24)</f>
        <v/>
      </c>
      <c r="M982" s="27" t="str">
        <f aca="false">IF($B982="","",IFERROR(INDEX(Properties!$D$5:$D$104,MATCH($B982,Properties!$A$5:$A$104,0)),"?"))</f>
        <v/>
      </c>
      <c r="N982" s="28" t="str">
        <f aca="false">IF($B982="","",IFERROR(IF($D982="Completed",INDEX(Properties!$I$5:$I$104,MATCH($B982,Properties!$A$5:$A$104,0))*(1+IF($G982="Y",Settings!$B$8,0))+IF($H982="Y",Settings!$B$7,0)+N($I982),IF($D982="Deep clean",INDEX(Settings!$E$22:$E$26,MATCH(MIN(INDEX(Properties!$E$5:$E$104,MATCH($B982,Properties!$A$5:$A$104,0)),4),Settings!$A$22:$A$26,0))+N($I982),IF($D982="Late cancel",INDEX(Properties!$I$5:$I$104,MATCH($B982,Properties!$A$5:$A$104,0))*Settings!$B$10,0))),0))</f>
        <v/>
      </c>
      <c r="O982" s="28" t="str">
        <f aca="false">IF($B982="","",IFERROR(IF($D982="Completed",INDEX(Properties!$L$5:$L$104,MATCH($B982,Properties!$A$5:$A$104,0))+IF($G982="Y",INDEX(Properties!$I$5:$I$104,MATCH($B982,Properties!$A$5:$A$104,0))*Settings!$B$8*Settings!$B$9,0)+IF($H982="Y",Settings!$B$7*Settings!$B$9,0)+N($I982)*Settings!$B$9,IF($D982="Deep clean",INDEX(Settings!$E$22:$E$26,MATCH(MIN(INDEX(Properties!$E$5:$E$104,MATCH($B982,Properties!$A$5:$A$104,0)),4),Settings!$A$22:$A$26,0))*Settings!$B$19+N($I982)*Settings!$B$9,IF($D982="Late cancel",INDEX(Properties!$L$5:$L$104,MATCH($B982,Properties!$A$5:$A$104,0))*Settings!$B$11,0))),0))</f>
        <v/>
      </c>
      <c r="P982" s="28" t="str">
        <f aca="false">IF($B982="","",$N982-$O982)</f>
        <v/>
      </c>
      <c r="Q982" s="29" t="str">
        <f aca="false">IF($A982="","",DATE(YEAR($A982),MONTH($A982),1))</f>
        <v/>
      </c>
      <c r="R982" s="30" t="str">
        <f aca="false">IF($A982="","",$A982+MOD(6-WEEKDAY($A982),7))</f>
        <v/>
      </c>
      <c r="S982" s="31" t="str">
        <f aca="false">IF($B982="","",IF(AND($M982='Invoice Builder'!$C$5,$Q982='Invoice Builder'!$C$6,N($N982)&gt;0),COUNTIFS($M$5:$M982,'Invoice Builder'!$C$5,$Q$5:$Q982,'Invoice Builder'!$C$6,$N$5:$N982,"&gt;0"),""))</f>
        <v/>
      </c>
      <c r="T982" s="27" t="str">
        <f aca="false">IF($A982="","",IF($A982&gt;=DATE(YEAR($A982),4,6),YEAR($A982)&amp;"/"&amp;RIGHT(YEAR($A982)+1,2),YEAR($A982)-1&amp;"/"&amp;RIGHT(YEAR($A982),2)))</f>
        <v/>
      </c>
    </row>
    <row r="983" customFormat="false" ht="15" hidden="false" customHeight="false" outlineLevel="0" collapsed="false">
      <c r="A983" s="22"/>
      <c r="B983" s="23"/>
      <c r="C983" s="23"/>
      <c r="D983" s="23"/>
      <c r="E983" s="24"/>
      <c r="F983" s="24"/>
      <c r="G983" s="23"/>
      <c r="H983" s="23"/>
      <c r="I983" s="25"/>
      <c r="J983" s="23"/>
      <c r="K983" s="23"/>
      <c r="L983" s="26" t="str">
        <f aca="false">IF(OR($E983="",$F983=""),"",MOD($F983-$E983,1)*24)</f>
        <v/>
      </c>
      <c r="M983" s="27" t="str">
        <f aca="false">IF($B983="","",IFERROR(INDEX(Properties!$D$5:$D$104,MATCH($B983,Properties!$A$5:$A$104,0)),"?"))</f>
        <v/>
      </c>
      <c r="N983" s="28" t="str">
        <f aca="false">IF($B983="","",IFERROR(IF($D983="Completed",INDEX(Properties!$I$5:$I$104,MATCH($B983,Properties!$A$5:$A$104,0))*(1+IF($G983="Y",Settings!$B$8,0))+IF($H983="Y",Settings!$B$7,0)+N($I983),IF($D983="Deep clean",INDEX(Settings!$E$22:$E$26,MATCH(MIN(INDEX(Properties!$E$5:$E$104,MATCH($B983,Properties!$A$5:$A$104,0)),4),Settings!$A$22:$A$26,0))+N($I983),IF($D983="Late cancel",INDEX(Properties!$I$5:$I$104,MATCH($B983,Properties!$A$5:$A$104,0))*Settings!$B$10,0))),0))</f>
        <v/>
      </c>
      <c r="O983" s="28" t="str">
        <f aca="false">IF($B983="","",IFERROR(IF($D983="Completed",INDEX(Properties!$L$5:$L$104,MATCH($B983,Properties!$A$5:$A$104,0))+IF($G983="Y",INDEX(Properties!$I$5:$I$104,MATCH($B983,Properties!$A$5:$A$104,0))*Settings!$B$8*Settings!$B$9,0)+IF($H983="Y",Settings!$B$7*Settings!$B$9,0)+N($I983)*Settings!$B$9,IF($D983="Deep clean",INDEX(Settings!$E$22:$E$26,MATCH(MIN(INDEX(Properties!$E$5:$E$104,MATCH($B983,Properties!$A$5:$A$104,0)),4),Settings!$A$22:$A$26,0))*Settings!$B$19+N($I983)*Settings!$B$9,IF($D983="Late cancel",INDEX(Properties!$L$5:$L$104,MATCH($B983,Properties!$A$5:$A$104,0))*Settings!$B$11,0))),0))</f>
        <v/>
      </c>
      <c r="P983" s="28" t="str">
        <f aca="false">IF($B983="","",$N983-$O983)</f>
        <v/>
      </c>
      <c r="Q983" s="29" t="str">
        <f aca="false">IF($A983="","",DATE(YEAR($A983),MONTH($A983),1))</f>
        <v/>
      </c>
      <c r="R983" s="30" t="str">
        <f aca="false">IF($A983="","",$A983+MOD(6-WEEKDAY($A983),7))</f>
        <v/>
      </c>
      <c r="S983" s="31" t="str">
        <f aca="false">IF($B983="","",IF(AND($M983='Invoice Builder'!$C$5,$Q983='Invoice Builder'!$C$6,N($N983)&gt;0),COUNTIFS($M$5:$M983,'Invoice Builder'!$C$5,$Q$5:$Q983,'Invoice Builder'!$C$6,$N$5:$N983,"&gt;0"),""))</f>
        <v/>
      </c>
      <c r="T983" s="27" t="str">
        <f aca="false">IF($A983="","",IF($A983&gt;=DATE(YEAR($A983),4,6),YEAR($A983)&amp;"/"&amp;RIGHT(YEAR($A983)+1,2),YEAR($A983)-1&amp;"/"&amp;RIGHT(YEAR($A983),2)))</f>
        <v/>
      </c>
    </row>
    <row r="984" customFormat="false" ht="15" hidden="false" customHeight="false" outlineLevel="0" collapsed="false">
      <c r="A984" s="22"/>
      <c r="B984" s="23"/>
      <c r="C984" s="23"/>
      <c r="D984" s="23"/>
      <c r="E984" s="24"/>
      <c r="F984" s="24"/>
      <c r="G984" s="23"/>
      <c r="H984" s="23"/>
      <c r="I984" s="25"/>
      <c r="J984" s="23"/>
      <c r="K984" s="23"/>
      <c r="L984" s="26" t="str">
        <f aca="false">IF(OR($E984="",$F984=""),"",MOD($F984-$E984,1)*24)</f>
        <v/>
      </c>
      <c r="M984" s="27" t="str">
        <f aca="false">IF($B984="","",IFERROR(INDEX(Properties!$D$5:$D$104,MATCH($B984,Properties!$A$5:$A$104,0)),"?"))</f>
        <v/>
      </c>
      <c r="N984" s="28" t="str">
        <f aca="false">IF($B984="","",IFERROR(IF($D984="Completed",INDEX(Properties!$I$5:$I$104,MATCH($B984,Properties!$A$5:$A$104,0))*(1+IF($G984="Y",Settings!$B$8,0))+IF($H984="Y",Settings!$B$7,0)+N($I984),IF($D984="Deep clean",INDEX(Settings!$E$22:$E$26,MATCH(MIN(INDEX(Properties!$E$5:$E$104,MATCH($B984,Properties!$A$5:$A$104,0)),4),Settings!$A$22:$A$26,0))+N($I984),IF($D984="Late cancel",INDEX(Properties!$I$5:$I$104,MATCH($B984,Properties!$A$5:$A$104,0))*Settings!$B$10,0))),0))</f>
        <v/>
      </c>
      <c r="O984" s="28" t="str">
        <f aca="false">IF($B984="","",IFERROR(IF($D984="Completed",INDEX(Properties!$L$5:$L$104,MATCH($B984,Properties!$A$5:$A$104,0))+IF($G984="Y",INDEX(Properties!$I$5:$I$104,MATCH($B984,Properties!$A$5:$A$104,0))*Settings!$B$8*Settings!$B$9,0)+IF($H984="Y",Settings!$B$7*Settings!$B$9,0)+N($I984)*Settings!$B$9,IF($D984="Deep clean",INDEX(Settings!$E$22:$E$26,MATCH(MIN(INDEX(Properties!$E$5:$E$104,MATCH($B984,Properties!$A$5:$A$104,0)),4),Settings!$A$22:$A$26,0))*Settings!$B$19+N($I984)*Settings!$B$9,IF($D984="Late cancel",INDEX(Properties!$L$5:$L$104,MATCH($B984,Properties!$A$5:$A$104,0))*Settings!$B$11,0))),0))</f>
        <v/>
      </c>
      <c r="P984" s="28" t="str">
        <f aca="false">IF($B984="","",$N984-$O984)</f>
        <v/>
      </c>
      <c r="Q984" s="29" t="str">
        <f aca="false">IF($A984="","",DATE(YEAR($A984),MONTH($A984),1))</f>
        <v/>
      </c>
      <c r="R984" s="30" t="str">
        <f aca="false">IF($A984="","",$A984+MOD(6-WEEKDAY($A984),7))</f>
        <v/>
      </c>
      <c r="S984" s="31" t="str">
        <f aca="false">IF($B984="","",IF(AND($M984='Invoice Builder'!$C$5,$Q984='Invoice Builder'!$C$6,N($N984)&gt;0),COUNTIFS($M$5:$M984,'Invoice Builder'!$C$5,$Q$5:$Q984,'Invoice Builder'!$C$6,$N$5:$N984,"&gt;0"),""))</f>
        <v/>
      </c>
      <c r="T984" s="27" t="str">
        <f aca="false">IF($A984="","",IF($A984&gt;=DATE(YEAR($A984),4,6),YEAR($A984)&amp;"/"&amp;RIGHT(YEAR($A984)+1,2),YEAR($A984)-1&amp;"/"&amp;RIGHT(YEAR($A984),2)))</f>
        <v/>
      </c>
    </row>
    <row r="985" customFormat="false" ht="15" hidden="false" customHeight="false" outlineLevel="0" collapsed="false">
      <c r="A985" s="22"/>
      <c r="B985" s="23"/>
      <c r="C985" s="23"/>
      <c r="D985" s="23"/>
      <c r="E985" s="24"/>
      <c r="F985" s="24"/>
      <c r="G985" s="23"/>
      <c r="H985" s="23"/>
      <c r="I985" s="25"/>
      <c r="J985" s="23"/>
      <c r="K985" s="23"/>
      <c r="L985" s="26" t="str">
        <f aca="false">IF(OR($E985="",$F985=""),"",MOD($F985-$E985,1)*24)</f>
        <v/>
      </c>
      <c r="M985" s="27" t="str">
        <f aca="false">IF($B985="","",IFERROR(INDEX(Properties!$D$5:$D$104,MATCH($B985,Properties!$A$5:$A$104,0)),"?"))</f>
        <v/>
      </c>
      <c r="N985" s="28" t="str">
        <f aca="false">IF($B985="","",IFERROR(IF($D985="Completed",INDEX(Properties!$I$5:$I$104,MATCH($B985,Properties!$A$5:$A$104,0))*(1+IF($G985="Y",Settings!$B$8,0))+IF($H985="Y",Settings!$B$7,0)+N($I985),IF($D985="Deep clean",INDEX(Settings!$E$22:$E$26,MATCH(MIN(INDEX(Properties!$E$5:$E$104,MATCH($B985,Properties!$A$5:$A$104,0)),4),Settings!$A$22:$A$26,0))+N($I985),IF($D985="Late cancel",INDEX(Properties!$I$5:$I$104,MATCH($B985,Properties!$A$5:$A$104,0))*Settings!$B$10,0))),0))</f>
        <v/>
      </c>
      <c r="O985" s="28" t="str">
        <f aca="false">IF($B985="","",IFERROR(IF($D985="Completed",INDEX(Properties!$L$5:$L$104,MATCH($B985,Properties!$A$5:$A$104,0))+IF($G985="Y",INDEX(Properties!$I$5:$I$104,MATCH($B985,Properties!$A$5:$A$104,0))*Settings!$B$8*Settings!$B$9,0)+IF($H985="Y",Settings!$B$7*Settings!$B$9,0)+N($I985)*Settings!$B$9,IF($D985="Deep clean",INDEX(Settings!$E$22:$E$26,MATCH(MIN(INDEX(Properties!$E$5:$E$104,MATCH($B985,Properties!$A$5:$A$104,0)),4),Settings!$A$22:$A$26,0))*Settings!$B$19+N($I985)*Settings!$B$9,IF($D985="Late cancel",INDEX(Properties!$L$5:$L$104,MATCH($B985,Properties!$A$5:$A$104,0))*Settings!$B$11,0))),0))</f>
        <v/>
      </c>
      <c r="P985" s="28" t="str">
        <f aca="false">IF($B985="","",$N985-$O985)</f>
        <v/>
      </c>
      <c r="Q985" s="29" t="str">
        <f aca="false">IF($A985="","",DATE(YEAR($A985),MONTH($A985),1))</f>
        <v/>
      </c>
      <c r="R985" s="30" t="str">
        <f aca="false">IF($A985="","",$A985+MOD(6-WEEKDAY($A985),7))</f>
        <v/>
      </c>
      <c r="S985" s="31" t="str">
        <f aca="false">IF($B985="","",IF(AND($M985='Invoice Builder'!$C$5,$Q985='Invoice Builder'!$C$6,N($N985)&gt;0),COUNTIFS($M$5:$M985,'Invoice Builder'!$C$5,$Q$5:$Q985,'Invoice Builder'!$C$6,$N$5:$N985,"&gt;0"),""))</f>
        <v/>
      </c>
      <c r="T985" s="27" t="str">
        <f aca="false">IF($A985="","",IF($A985&gt;=DATE(YEAR($A985),4,6),YEAR($A985)&amp;"/"&amp;RIGHT(YEAR($A985)+1,2),YEAR($A985)-1&amp;"/"&amp;RIGHT(YEAR($A985),2)))</f>
        <v/>
      </c>
    </row>
    <row r="986" customFormat="false" ht="15" hidden="false" customHeight="false" outlineLevel="0" collapsed="false">
      <c r="A986" s="22"/>
      <c r="B986" s="23"/>
      <c r="C986" s="23"/>
      <c r="D986" s="23"/>
      <c r="E986" s="24"/>
      <c r="F986" s="24"/>
      <c r="G986" s="23"/>
      <c r="H986" s="23"/>
      <c r="I986" s="25"/>
      <c r="J986" s="23"/>
      <c r="K986" s="23"/>
      <c r="L986" s="26" t="str">
        <f aca="false">IF(OR($E986="",$F986=""),"",MOD($F986-$E986,1)*24)</f>
        <v/>
      </c>
      <c r="M986" s="27" t="str">
        <f aca="false">IF($B986="","",IFERROR(INDEX(Properties!$D$5:$D$104,MATCH($B986,Properties!$A$5:$A$104,0)),"?"))</f>
        <v/>
      </c>
      <c r="N986" s="28" t="str">
        <f aca="false">IF($B986="","",IFERROR(IF($D986="Completed",INDEX(Properties!$I$5:$I$104,MATCH($B986,Properties!$A$5:$A$104,0))*(1+IF($G986="Y",Settings!$B$8,0))+IF($H986="Y",Settings!$B$7,0)+N($I986),IF($D986="Deep clean",INDEX(Settings!$E$22:$E$26,MATCH(MIN(INDEX(Properties!$E$5:$E$104,MATCH($B986,Properties!$A$5:$A$104,0)),4),Settings!$A$22:$A$26,0))+N($I986),IF($D986="Late cancel",INDEX(Properties!$I$5:$I$104,MATCH($B986,Properties!$A$5:$A$104,0))*Settings!$B$10,0))),0))</f>
        <v/>
      </c>
      <c r="O986" s="28" t="str">
        <f aca="false">IF($B986="","",IFERROR(IF($D986="Completed",INDEX(Properties!$L$5:$L$104,MATCH($B986,Properties!$A$5:$A$104,0))+IF($G986="Y",INDEX(Properties!$I$5:$I$104,MATCH($B986,Properties!$A$5:$A$104,0))*Settings!$B$8*Settings!$B$9,0)+IF($H986="Y",Settings!$B$7*Settings!$B$9,0)+N($I986)*Settings!$B$9,IF($D986="Deep clean",INDEX(Settings!$E$22:$E$26,MATCH(MIN(INDEX(Properties!$E$5:$E$104,MATCH($B986,Properties!$A$5:$A$104,0)),4),Settings!$A$22:$A$26,0))*Settings!$B$19+N($I986)*Settings!$B$9,IF($D986="Late cancel",INDEX(Properties!$L$5:$L$104,MATCH($B986,Properties!$A$5:$A$104,0))*Settings!$B$11,0))),0))</f>
        <v/>
      </c>
      <c r="P986" s="28" t="str">
        <f aca="false">IF($B986="","",$N986-$O986)</f>
        <v/>
      </c>
      <c r="Q986" s="29" t="str">
        <f aca="false">IF($A986="","",DATE(YEAR($A986),MONTH($A986),1))</f>
        <v/>
      </c>
      <c r="R986" s="30" t="str">
        <f aca="false">IF($A986="","",$A986+MOD(6-WEEKDAY($A986),7))</f>
        <v/>
      </c>
      <c r="S986" s="31" t="str">
        <f aca="false">IF($B986="","",IF(AND($M986='Invoice Builder'!$C$5,$Q986='Invoice Builder'!$C$6,N($N986)&gt;0),COUNTIFS($M$5:$M986,'Invoice Builder'!$C$5,$Q$5:$Q986,'Invoice Builder'!$C$6,$N$5:$N986,"&gt;0"),""))</f>
        <v/>
      </c>
      <c r="T986" s="27" t="str">
        <f aca="false">IF($A986="","",IF($A986&gt;=DATE(YEAR($A986),4,6),YEAR($A986)&amp;"/"&amp;RIGHT(YEAR($A986)+1,2),YEAR($A986)-1&amp;"/"&amp;RIGHT(YEAR($A986),2)))</f>
        <v/>
      </c>
    </row>
    <row r="987" customFormat="false" ht="15" hidden="false" customHeight="false" outlineLevel="0" collapsed="false">
      <c r="A987" s="22"/>
      <c r="B987" s="23"/>
      <c r="C987" s="23"/>
      <c r="D987" s="23"/>
      <c r="E987" s="24"/>
      <c r="F987" s="24"/>
      <c r="G987" s="23"/>
      <c r="H987" s="23"/>
      <c r="I987" s="25"/>
      <c r="J987" s="23"/>
      <c r="K987" s="23"/>
      <c r="L987" s="26" t="str">
        <f aca="false">IF(OR($E987="",$F987=""),"",MOD($F987-$E987,1)*24)</f>
        <v/>
      </c>
      <c r="M987" s="27" t="str">
        <f aca="false">IF($B987="","",IFERROR(INDEX(Properties!$D$5:$D$104,MATCH($B987,Properties!$A$5:$A$104,0)),"?"))</f>
        <v/>
      </c>
      <c r="N987" s="28" t="str">
        <f aca="false">IF($B987="","",IFERROR(IF($D987="Completed",INDEX(Properties!$I$5:$I$104,MATCH($B987,Properties!$A$5:$A$104,0))*(1+IF($G987="Y",Settings!$B$8,0))+IF($H987="Y",Settings!$B$7,0)+N($I987),IF($D987="Deep clean",INDEX(Settings!$E$22:$E$26,MATCH(MIN(INDEX(Properties!$E$5:$E$104,MATCH($B987,Properties!$A$5:$A$104,0)),4),Settings!$A$22:$A$26,0))+N($I987),IF($D987="Late cancel",INDEX(Properties!$I$5:$I$104,MATCH($B987,Properties!$A$5:$A$104,0))*Settings!$B$10,0))),0))</f>
        <v/>
      </c>
      <c r="O987" s="28" t="str">
        <f aca="false">IF($B987="","",IFERROR(IF($D987="Completed",INDEX(Properties!$L$5:$L$104,MATCH($B987,Properties!$A$5:$A$104,0))+IF($G987="Y",INDEX(Properties!$I$5:$I$104,MATCH($B987,Properties!$A$5:$A$104,0))*Settings!$B$8*Settings!$B$9,0)+IF($H987="Y",Settings!$B$7*Settings!$B$9,0)+N($I987)*Settings!$B$9,IF($D987="Deep clean",INDEX(Settings!$E$22:$E$26,MATCH(MIN(INDEX(Properties!$E$5:$E$104,MATCH($B987,Properties!$A$5:$A$104,0)),4),Settings!$A$22:$A$26,0))*Settings!$B$19+N($I987)*Settings!$B$9,IF($D987="Late cancel",INDEX(Properties!$L$5:$L$104,MATCH($B987,Properties!$A$5:$A$104,0))*Settings!$B$11,0))),0))</f>
        <v/>
      </c>
      <c r="P987" s="28" t="str">
        <f aca="false">IF($B987="","",$N987-$O987)</f>
        <v/>
      </c>
      <c r="Q987" s="29" t="str">
        <f aca="false">IF($A987="","",DATE(YEAR($A987),MONTH($A987),1))</f>
        <v/>
      </c>
      <c r="R987" s="30" t="str">
        <f aca="false">IF($A987="","",$A987+MOD(6-WEEKDAY($A987),7))</f>
        <v/>
      </c>
      <c r="S987" s="31" t="str">
        <f aca="false">IF($B987="","",IF(AND($M987='Invoice Builder'!$C$5,$Q987='Invoice Builder'!$C$6,N($N987)&gt;0),COUNTIFS($M$5:$M987,'Invoice Builder'!$C$5,$Q$5:$Q987,'Invoice Builder'!$C$6,$N$5:$N987,"&gt;0"),""))</f>
        <v/>
      </c>
      <c r="T987" s="27" t="str">
        <f aca="false">IF($A987="","",IF($A987&gt;=DATE(YEAR($A987),4,6),YEAR($A987)&amp;"/"&amp;RIGHT(YEAR($A987)+1,2),YEAR($A987)-1&amp;"/"&amp;RIGHT(YEAR($A987),2)))</f>
        <v/>
      </c>
    </row>
    <row r="988" customFormat="false" ht="15" hidden="false" customHeight="false" outlineLevel="0" collapsed="false">
      <c r="A988" s="22"/>
      <c r="B988" s="23"/>
      <c r="C988" s="23"/>
      <c r="D988" s="23"/>
      <c r="E988" s="24"/>
      <c r="F988" s="24"/>
      <c r="G988" s="23"/>
      <c r="H988" s="23"/>
      <c r="I988" s="25"/>
      <c r="J988" s="23"/>
      <c r="K988" s="23"/>
      <c r="L988" s="26" t="str">
        <f aca="false">IF(OR($E988="",$F988=""),"",MOD($F988-$E988,1)*24)</f>
        <v/>
      </c>
      <c r="M988" s="27" t="str">
        <f aca="false">IF($B988="","",IFERROR(INDEX(Properties!$D$5:$D$104,MATCH($B988,Properties!$A$5:$A$104,0)),"?"))</f>
        <v/>
      </c>
      <c r="N988" s="28" t="str">
        <f aca="false">IF($B988="","",IFERROR(IF($D988="Completed",INDEX(Properties!$I$5:$I$104,MATCH($B988,Properties!$A$5:$A$104,0))*(1+IF($G988="Y",Settings!$B$8,0))+IF($H988="Y",Settings!$B$7,0)+N($I988),IF($D988="Deep clean",INDEX(Settings!$E$22:$E$26,MATCH(MIN(INDEX(Properties!$E$5:$E$104,MATCH($B988,Properties!$A$5:$A$104,0)),4),Settings!$A$22:$A$26,0))+N($I988),IF($D988="Late cancel",INDEX(Properties!$I$5:$I$104,MATCH($B988,Properties!$A$5:$A$104,0))*Settings!$B$10,0))),0))</f>
        <v/>
      </c>
      <c r="O988" s="28" t="str">
        <f aca="false">IF($B988="","",IFERROR(IF($D988="Completed",INDEX(Properties!$L$5:$L$104,MATCH($B988,Properties!$A$5:$A$104,0))+IF($G988="Y",INDEX(Properties!$I$5:$I$104,MATCH($B988,Properties!$A$5:$A$104,0))*Settings!$B$8*Settings!$B$9,0)+IF($H988="Y",Settings!$B$7*Settings!$B$9,0)+N($I988)*Settings!$B$9,IF($D988="Deep clean",INDEX(Settings!$E$22:$E$26,MATCH(MIN(INDEX(Properties!$E$5:$E$104,MATCH($B988,Properties!$A$5:$A$104,0)),4),Settings!$A$22:$A$26,0))*Settings!$B$19+N($I988)*Settings!$B$9,IF($D988="Late cancel",INDEX(Properties!$L$5:$L$104,MATCH($B988,Properties!$A$5:$A$104,0))*Settings!$B$11,0))),0))</f>
        <v/>
      </c>
      <c r="P988" s="28" t="str">
        <f aca="false">IF($B988="","",$N988-$O988)</f>
        <v/>
      </c>
      <c r="Q988" s="29" t="str">
        <f aca="false">IF($A988="","",DATE(YEAR($A988),MONTH($A988),1))</f>
        <v/>
      </c>
      <c r="R988" s="30" t="str">
        <f aca="false">IF($A988="","",$A988+MOD(6-WEEKDAY($A988),7))</f>
        <v/>
      </c>
      <c r="S988" s="31" t="str">
        <f aca="false">IF($B988="","",IF(AND($M988='Invoice Builder'!$C$5,$Q988='Invoice Builder'!$C$6,N($N988)&gt;0),COUNTIFS($M$5:$M988,'Invoice Builder'!$C$5,$Q$5:$Q988,'Invoice Builder'!$C$6,$N$5:$N988,"&gt;0"),""))</f>
        <v/>
      </c>
      <c r="T988" s="27" t="str">
        <f aca="false">IF($A988="","",IF($A988&gt;=DATE(YEAR($A988),4,6),YEAR($A988)&amp;"/"&amp;RIGHT(YEAR($A988)+1,2),YEAR($A988)-1&amp;"/"&amp;RIGHT(YEAR($A988),2)))</f>
        <v/>
      </c>
    </row>
    <row r="989" customFormat="false" ht="15" hidden="false" customHeight="false" outlineLevel="0" collapsed="false">
      <c r="A989" s="22"/>
      <c r="B989" s="23"/>
      <c r="C989" s="23"/>
      <c r="D989" s="23"/>
      <c r="E989" s="24"/>
      <c r="F989" s="24"/>
      <c r="G989" s="23"/>
      <c r="H989" s="23"/>
      <c r="I989" s="25"/>
      <c r="J989" s="23"/>
      <c r="K989" s="23"/>
      <c r="L989" s="26" t="str">
        <f aca="false">IF(OR($E989="",$F989=""),"",MOD($F989-$E989,1)*24)</f>
        <v/>
      </c>
      <c r="M989" s="27" t="str">
        <f aca="false">IF($B989="","",IFERROR(INDEX(Properties!$D$5:$D$104,MATCH($B989,Properties!$A$5:$A$104,0)),"?"))</f>
        <v/>
      </c>
      <c r="N989" s="28" t="str">
        <f aca="false">IF($B989="","",IFERROR(IF($D989="Completed",INDEX(Properties!$I$5:$I$104,MATCH($B989,Properties!$A$5:$A$104,0))*(1+IF($G989="Y",Settings!$B$8,0))+IF($H989="Y",Settings!$B$7,0)+N($I989),IF($D989="Deep clean",INDEX(Settings!$E$22:$E$26,MATCH(MIN(INDEX(Properties!$E$5:$E$104,MATCH($B989,Properties!$A$5:$A$104,0)),4),Settings!$A$22:$A$26,0))+N($I989),IF($D989="Late cancel",INDEX(Properties!$I$5:$I$104,MATCH($B989,Properties!$A$5:$A$104,0))*Settings!$B$10,0))),0))</f>
        <v/>
      </c>
      <c r="O989" s="28" t="str">
        <f aca="false">IF($B989="","",IFERROR(IF($D989="Completed",INDEX(Properties!$L$5:$L$104,MATCH($B989,Properties!$A$5:$A$104,0))+IF($G989="Y",INDEX(Properties!$I$5:$I$104,MATCH($B989,Properties!$A$5:$A$104,0))*Settings!$B$8*Settings!$B$9,0)+IF($H989="Y",Settings!$B$7*Settings!$B$9,0)+N($I989)*Settings!$B$9,IF($D989="Deep clean",INDEX(Settings!$E$22:$E$26,MATCH(MIN(INDEX(Properties!$E$5:$E$104,MATCH($B989,Properties!$A$5:$A$104,0)),4),Settings!$A$22:$A$26,0))*Settings!$B$19+N($I989)*Settings!$B$9,IF($D989="Late cancel",INDEX(Properties!$L$5:$L$104,MATCH($B989,Properties!$A$5:$A$104,0))*Settings!$B$11,0))),0))</f>
        <v/>
      </c>
      <c r="P989" s="28" t="str">
        <f aca="false">IF($B989="","",$N989-$O989)</f>
        <v/>
      </c>
      <c r="Q989" s="29" t="str">
        <f aca="false">IF($A989="","",DATE(YEAR($A989),MONTH($A989),1))</f>
        <v/>
      </c>
      <c r="R989" s="30" t="str">
        <f aca="false">IF($A989="","",$A989+MOD(6-WEEKDAY($A989),7))</f>
        <v/>
      </c>
      <c r="S989" s="31" t="str">
        <f aca="false">IF($B989="","",IF(AND($M989='Invoice Builder'!$C$5,$Q989='Invoice Builder'!$C$6,N($N989)&gt;0),COUNTIFS($M$5:$M989,'Invoice Builder'!$C$5,$Q$5:$Q989,'Invoice Builder'!$C$6,$N$5:$N989,"&gt;0"),""))</f>
        <v/>
      </c>
      <c r="T989" s="27" t="str">
        <f aca="false">IF($A989="","",IF($A989&gt;=DATE(YEAR($A989),4,6),YEAR($A989)&amp;"/"&amp;RIGHT(YEAR($A989)+1,2),YEAR($A989)-1&amp;"/"&amp;RIGHT(YEAR($A989),2)))</f>
        <v/>
      </c>
    </row>
    <row r="990" customFormat="false" ht="15" hidden="false" customHeight="false" outlineLevel="0" collapsed="false">
      <c r="A990" s="22"/>
      <c r="B990" s="23"/>
      <c r="C990" s="23"/>
      <c r="D990" s="23"/>
      <c r="E990" s="24"/>
      <c r="F990" s="24"/>
      <c r="G990" s="23"/>
      <c r="H990" s="23"/>
      <c r="I990" s="25"/>
      <c r="J990" s="23"/>
      <c r="K990" s="23"/>
      <c r="L990" s="26" t="str">
        <f aca="false">IF(OR($E990="",$F990=""),"",MOD($F990-$E990,1)*24)</f>
        <v/>
      </c>
      <c r="M990" s="27" t="str">
        <f aca="false">IF($B990="","",IFERROR(INDEX(Properties!$D$5:$D$104,MATCH($B990,Properties!$A$5:$A$104,0)),"?"))</f>
        <v/>
      </c>
      <c r="N990" s="28" t="str">
        <f aca="false">IF($B990="","",IFERROR(IF($D990="Completed",INDEX(Properties!$I$5:$I$104,MATCH($B990,Properties!$A$5:$A$104,0))*(1+IF($G990="Y",Settings!$B$8,0))+IF($H990="Y",Settings!$B$7,0)+N($I990),IF($D990="Deep clean",INDEX(Settings!$E$22:$E$26,MATCH(MIN(INDEX(Properties!$E$5:$E$104,MATCH($B990,Properties!$A$5:$A$104,0)),4),Settings!$A$22:$A$26,0))+N($I990),IF($D990="Late cancel",INDEX(Properties!$I$5:$I$104,MATCH($B990,Properties!$A$5:$A$104,0))*Settings!$B$10,0))),0))</f>
        <v/>
      </c>
      <c r="O990" s="28" t="str">
        <f aca="false">IF($B990="","",IFERROR(IF($D990="Completed",INDEX(Properties!$L$5:$L$104,MATCH($B990,Properties!$A$5:$A$104,0))+IF($G990="Y",INDEX(Properties!$I$5:$I$104,MATCH($B990,Properties!$A$5:$A$104,0))*Settings!$B$8*Settings!$B$9,0)+IF($H990="Y",Settings!$B$7*Settings!$B$9,0)+N($I990)*Settings!$B$9,IF($D990="Deep clean",INDEX(Settings!$E$22:$E$26,MATCH(MIN(INDEX(Properties!$E$5:$E$104,MATCH($B990,Properties!$A$5:$A$104,0)),4),Settings!$A$22:$A$26,0))*Settings!$B$19+N($I990)*Settings!$B$9,IF($D990="Late cancel",INDEX(Properties!$L$5:$L$104,MATCH($B990,Properties!$A$5:$A$104,0))*Settings!$B$11,0))),0))</f>
        <v/>
      </c>
      <c r="P990" s="28" t="str">
        <f aca="false">IF($B990="","",$N990-$O990)</f>
        <v/>
      </c>
      <c r="Q990" s="29" t="str">
        <f aca="false">IF($A990="","",DATE(YEAR($A990),MONTH($A990),1))</f>
        <v/>
      </c>
      <c r="R990" s="30" t="str">
        <f aca="false">IF($A990="","",$A990+MOD(6-WEEKDAY($A990),7))</f>
        <v/>
      </c>
      <c r="S990" s="31" t="str">
        <f aca="false">IF($B990="","",IF(AND($M990='Invoice Builder'!$C$5,$Q990='Invoice Builder'!$C$6,N($N990)&gt;0),COUNTIFS($M$5:$M990,'Invoice Builder'!$C$5,$Q$5:$Q990,'Invoice Builder'!$C$6,$N$5:$N990,"&gt;0"),""))</f>
        <v/>
      </c>
      <c r="T990" s="27" t="str">
        <f aca="false">IF($A990="","",IF($A990&gt;=DATE(YEAR($A990),4,6),YEAR($A990)&amp;"/"&amp;RIGHT(YEAR($A990)+1,2),YEAR($A990)-1&amp;"/"&amp;RIGHT(YEAR($A990),2)))</f>
        <v/>
      </c>
    </row>
    <row r="991" customFormat="false" ht="15" hidden="false" customHeight="false" outlineLevel="0" collapsed="false">
      <c r="A991" s="22"/>
      <c r="B991" s="23"/>
      <c r="C991" s="23"/>
      <c r="D991" s="23"/>
      <c r="E991" s="24"/>
      <c r="F991" s="24"/>
      <c r="G991" s="23"/>
      <c r="H991" s="23"/>
      <c r="I991" s="25"/>
      <c r="J991" s="23"/>
      <c r="K991" s="23"/>
      <c r="L991" s="26" t="str">
        <f aca="false">IF(OR($E991="",$F991=""),"",MOD($F991-$E991,1)*24)</f>
        <v/>
      </c>
      <c r="M991" s="27" t="str">
        <f aca="false">IF($B991="","",IFERROR(INDEX(Properties!$D$5:$D$104,MATCH($B991,Properties!$A$5:$A$104,0)),"?"))</f>
        <v/>
      </c>
      <c r="N991" s="28" t="str">
        <f aca="false">IF($B991="","",IFERROR(IF($D991="Completed",INDEX(Properties!$I$5:$I$104,MATCH($B991,Properties!$A$5:$A$104,0))*(1+IF($G991="Y",Settings!$B$8,0))+IF($H991="Y",Settings!$B$7,0)+N($I991),IF($D991="Deep clean",INDEX(Settings!$E$22:$E$26,MATCH(MIN(INDEX(Properties!$E$5:$E$104,MATCH($B991,Properties!$A$5:$A$104,0)),4),Settings!$A$22:$A$26,0))+N($I991),IF($D991="Late cancel",INDEX(Properties!$I$5:$I$104,MATCH($B991,Properties!$A$5:$A$104,0))*Settings!$B$10,0))),0))</f>
        <v/>
      </c>
      <c r="O991" s="28" t="str">
        <f aca="false">IF($B991="","",IFERROR(IF($D991="Completed",INDEX(Properties!$L$5:$L$104,MATCH($B991,Properties!$A$5:$A$104,0))+IF($G991="Y",INDEX(Properties!$I$5:$I$104,MATCH($B991,Properties!$A$5:$A$104,0))*Settings!$B$8*Settings!$B$9,0)+IF($H991="Y",Settings!$B$7*Settings!$B$9,0)+N($I991)*Settings!$B$9,IF($D991="Deep clean",INDEX(Settings!$E$22:$E$26,MATCH(MIN(INDEX(Properties!$E$5:$E$104,MATCH($B991,Properties!$A$5:$A$104,0)),4),Settings!$A$22:$A$26,0))*Settings!$B$19+N($I991)*Settings!$B$9,IF($D991="Late cancel",INDEX(Properties!$L$5:$L$104,MATCH($B991,Properties!$A$5:$A$104,0))*Settings!$B$11,0))),0))</f>
        <v/>
      </c>
      <c r="P991" s="28" t="str">
        <f aca="false">IF($B991="","",$N991-$O991)</f>
        <v/>
      </c>
      <c r="Q991" s="29" t="str">
        <f aca="false">IF($A991="","",DATE(YEAR($A991),MONTH($A991),1))</f>
        <v/>
      </c>
      <c r="R991" s="30" t="str">
        <f aca="false">IF($A991="","",$A991+MOD(6-WEEKDAY($A991),7))</f>
        <v/>
      </c>
      <c r="S991" s="31" t="str">
        <f aca="false">IF($B991="","",IF(AND($M991='Invoice Builder'!$C$5,$Q991='Invoice Builder'!$C$6,N($N991)&gt;0),COUNTIFS($M$5:$M991,'Invoice Builder'!$C$5,$Q$5:$Q991,'Invoice Builder'!$C$6,$N$5:$N991,"&gt;0"),""))</f>
        <v/>
      </c>
      <c r="T991" s="27" t="str">
        <f aca="false">IF($A991="","",IF($A991&gt;=DATE(YEAR($A991),4,6),YEAR($A991)&amp;"/"&amp;RIGHT(YEAR($A991)+1,2),YEAR($A991)-1&amp;"/"&amp;RIGHT(YEAR($A991),2)))</f>
        <v/>
      </c>
    </row>
    <row r="992" customFormat="false" ht="15" hidden="false" customHeight="false" outlineLevel="0" collapsed="false">
      <c r="A992" s="22"/>
      <c r="B992" s="23"/>
      <c r="C992" s="23"/>
      <c r="D992" s="23"/>
      <c r="E992" s="24"/>
      <c r="F992" s="24"/>
      <c r="G992" s="23"/>
      <c r="H992" s="23"/>
      <c r="I992" s="25"/>
      <c r="J992" s="23"/>
      <c r="K992" s="23"/>
      <c r="L992" s="26" t="str">
        <f aca="false">IF(OR($E992="",$F992=""),"",MOD($F992-$E992,1)*24)</f>
        <v/>
      </c>
      <c r="M992" s="27" t="str">
        <f aca="false">IF($B992="","",IFERROR(INDEX(Properties!$D$5:$D$104,MATCH($B992,Properties!$A$5:$A$104,0)),"?"))</f>
        <v/>
      </c>
      <c r="N992" s="28" t="str">
        <f aca="false">IF($B992="","",IFERROR(IF($D992="Completed",INDEX(Properties!$I$5:$I$104,MATCH($B992,Properties!$A$5:$A$104,0))*(1+IF($G992="Y",Settings!$B$8,0))+IF($H992="Y",Settings!$B$7,0)+N($I992),IF($D992="Deep clean",INDEX(Settings!$E$22:$E$26,MATCH(MIN(INDEX(Properties!$E$5:$E$104,MATCH($B992,Properties!$A$5:$A$104,0)),4),Settings!$A$22:$A$26,0))+N($I992),IF($D992="Late cancel",INDEX(Properties!$I$5:$I$104,MATCH($B992,Properties!$A$5:$A$104,0))*Settings!$B$10,0))),0))</f>
        <v/>
      </c>
      <c r="O992" s="28" t="str">
        <f aca="false">IF($B992="","",IFERROR(IF($D992="Completed",INDEX(Properties!$L$5:$L$104,MATCH($B992,Properties!$A$5:$A$104,0))+IF($G992="Y",INDEX(Properties!$I$5:$I$104,MATCH($B992,Properties!$A$5:$A$104,0))*Settings!$B$8*Settings!$B$9,0)+IF($H992="Y",Settings!$B$7*Settings!$B$9,0)+N($I992)*Settings!$B$9,IF($D992="Deep clean",INDEX(Settings!$E$22:$E$26,MATCH(MIN(INDEX(Properties!$E$5:$E$104,MATCH($B992,Properties!$A$5:$A$104,0)),4),Settings!$A$22:$A$26,0))*Settings!$B$19+N($I992)*Settings!$B$9,IF($D992="Late cancel",INDEX(Properties!$L$5:$L$104,MATCH($B992,Properties!$A$5:$A$104,0))*Settings!$B$11,0))),0))</f>
        <v/>
      </c>
      <c r="P992" s="28" t="str">
        <f aca="false">IF($B992="","",$N992-$O992)</f>
        <v/>
      </c>
      <c r="Q992" s="29" t="str">
        <f aca="false">IF($A992="","",DATE(YEAR($A992),MONTH($A992),1))</f>
        <v/>
      </c>
      <c r="R992" s="30" t="str">
        <f aca="false">IF($A992="","",$A992+MOD(6-WEEKDAY($A992),7))</f>
        <v/>
      </c>
      <c r="S992" s="31" t="str">
        <f aca="false">IF($B992="","",IF(AND($M992='Invoice Builder'!$C$5,$Q992='Invoice Builder'!$C$6,N($N992)&gt;0),COUNTIFS($M$5:$M992,'Invoice Builder'!$C$5,$Q$5:$Q992,'Invoice Builder'!$C$6,$N$5:$N992,"&gt;0"),""))</f>
        <v/>
      </c>
      <c r="T992" s="27" t="str">
        <f aca="false">IF($A992="","",IF($A992&gt;=DATE(YEAR($A992),4,6),YEAR($A992)&amp;"/"&amp;RIGHT(YEAR($A992)+1,2),YEAR($A992)-1&amp;"/"&amp;RIGHT(YEAR($A992),2)))</f>
        <v/>
      </c>
    </row>
    <row r="993" customFormat="false" ht="15" hidden="false" customHeight="false" outlineLevel="0" collapsed="false">
      <c r="A993" s="22"/>
      <c r="B993" s="23"/>
      <c r="C993" s="23"/>
      <c r="D993" s="23"/>
      <c r="E993" s="24"/>
      <c r="F993" s="24"/>
      <c r="G993" s="23"/>
      <c r="H993" s="23"/>
      <c r="I993" s="25"/>
      <c r="J993" s="23"/>
      <c r="K993" s="23"/>
      <c r="L993" s="26" t="str">
        <f aca="false">IF(OR($E993="",$F993=""),"",MOD($F993-$E993,1)*24)</f>
        <v/>
      </c>
      <c r="M993" s="27" t="str">
        <f aca="false">IF($B993="","",IFERROR(INDEX(Properties!$D$5:$D$104,MATCH($B993,Properties!$A$5:$A$104,0)),"?"))</f>
        <v/>
      </c>
      <c r="N993" s="28" t="str">
        <f aca="false">IF($B993="","",IFERROR(IF($D993="Completed",INDEX(Properties!$I$5:$I$104,MATCH($B993,Properties!$A$5:$A$104,0))*(1+IF($G993="Y",Settings!$B$8,0))+IF($H993="Y",Settings!$B$7,0)+N($I993),IF($D993="Deep clean",INDEX(Settings!$E$22:$E$26,MATCH(MIN(INDEX(Properties!$E$5:$E$104,MATCH($B993,Properties!$A$5:$A$104,0)),4),Settings!$A$22:$A$26,0))+N($I993),IF($D993="Late cancel",INDEX(Properties!$I$5:$I$104,MATCH($B993,Properties!$A$5:$A$104,0))*Settings!$B$10,0))),0))</f>
        <v/>
      </c>
      <c r="O993" s="28" t="str">
        <f aca="false">IF($B993="","",IFERROR(IF($D993="Completed",INDEX(Properties!$L$5:$L$104,MATCH($B993,Properties!$A$5:$A$104,0))+IF($G993="Y",INDEX(Properties!$I$5:$I$104,MATCH($B993,Properties!$A$5:$A$104,0))*Settings!$B$8*Settings!$B$9,0)+IF($H993="Y",Settings!$B$7*Settings!$B$9,0)+N($I993)*Settings!$B$9,IF($D993="Deep clean",INDEX(Settings!$E$22:$E$26,MATCH(MIN(INDEX(Properties!$E$5:$E$104,MATCH($B993,Properties!$A$5:$A$104,0)),4),Settings!$A$22:$A$26,0))*Settings!$B$19+N($I993)*Settings!$B$9,IF($D993="Late cancel",INDEX(Properties!$L$5:$L$104,MATCH($B993,Properties!$A$5:$A$104,0))*Settings!$B$11,0))),0))</f>
        <v/>
      </c>
      <c r="P993" s="28" t="str">
        <f aca="false">IF($B993="","",$N993-$O993)</f>
        <v/>
      </c>
      <c r="Q993" s="29" t="str">
        <f aca="false">IF($A993="","",DATE(YEAR($A993),MONTH($A993),1))</f>
        <v/>
      </c>
      <c r="R993" s="30" t="str">
        <f aca="false">IF($A993="","",$A993+MOD(6-WEEKDAY($A993),7))</f>
        <v/>
      </c>
      <c r="S993" s="31" t="str">
        <f aca="false">IF($B993="","",IF(AND($M993='Invoice Builder'!$C$5,$Q993='Invoice Builder'!$C$6,N($N993)&gt;0),COUNTIFS($M$5:$M993,'Invoice Builder'!$C$5,$Q$5:$Q993,'Invoice Builder'!$C$6,$N$5:$N993,"&gt;0"),""))</f>
        <v/>
      </c>
      <c r="T993" s="27" t="str">
        <f aca="false">IF($A993="","",IF($A993&gt;=DATE(YEAR($A993),4,6),YEAR($A993)&amp;"/"&amp;RIGHT(YEAR($A993)+1,2),YEAR($A993)-1&amp;"/"&amp;RIGHT(YEAR($A993),2)))</f>
        <v/>
      </c>
    </row>
    <row r="994" customFormat="false" ht="15" hidden="false" customHeight="false" outlineLevel="0" collapsed="false">
      <c r="A994" s="22"/>
      <c r="B994" s="23"/>
      <c r="C994" s="23"/>
      <c r="D994" s="23"/>
      <c r="E994" s="24"/>
      <c r="F994" s="24"/>
      <c r="G994" s="23"/>
      <c r="H994" s="23"/>
      <c r="I994" s="25"/>
      <c r="J994" s="23"/>
      <c r="K994" s="23"/>
      <c r="L994" s="26" t="str">
        <f aca="false">IF(OR($E994="",$F994=""),"",MOD($F994-$E994,1)*24)</f>
        <v/>
      </c>
      <c r="M994" s="27" t="str">
        <f aca="false">IF($B994="","",IFERROR(INDEX(Properties!$D$5:$D$104,MATCH($B994,Properties!$A$5:$A$104,0)),"?"))</f>
        <v/>
      </c>
      <c r="N994" s="28" t="str">
        <f aca="false">IF($B994="","",IFERROR(IF($D994="Completed",INDEX(Properties!$I$5:$I$104,MATCH($B994,Properties!$A$5:$A$104,0))*(1+IF($G994="Y",Settings!$B$8,0))+IF($H994="Y",Settings!$B$7,0)+N($I994),IF($D994="Deep clean",INDEX(Settings!$E$22:$E$26,MATCH(MIN(INDEX(Properties!$E$5:$E$104,MATCH($B994,Properties!$A$5:$A$104,0)),4),Settings!$A$22:$A$26,0))+N($I994),IF($D994="Late cancel",INDEX(Properties!$I$5:$I$104,MATCH($B994,Properties!$A$5:$A$104,0))*Settings!$B$10,0))),0))</f>
        <v/>
      </c>
      <c r="O994" s="28" t="str">
        <f aca="false">IF($B994="","",IFERROR(IF($D994="Completed",INDEX(Properties!$L$5:$L$104,MATCH($B994,Properties!$A$5:$A$104,0))+IF($G994="Y",INDEX(Properties!$I$5:$I$104,MATCH($B994,Properties!$A$5:$A$104,0))*Settings!$B$8*Settings!$B$9,0)+IF($H994="Y",Settings!$B$7*Settings!$B$9,0)+N($I994)*Settings!$B$9,IF($D994="Deep clean",INDEX(Settings!$E$22:$E$26,MATCH(MIN(INDEX(Properties!$E$5:$E$104,MATCH($B994,Properties!$A$5:$A$104,0)),4),Settings!$A$22:$A$26,0))*Settings!$B$19+N($I994)*Settings!$B$9,IF($D994="Late cancel",INDEX(Properties!$L$5:$L$104,MATCH($B994,Properties!$A$5:$A$104,0))*Settings!$B$11,0))),0))</f>
        <v/>
      </c>
      <c r="P994" s="28" t="str">
        <f aca="false">IF($B994="","",$N994-$O994)</f>
        <v/>
      </c>
      <c r="Q994" s="29" t="str">
        <f aca="false">IF($A994="","",DATE(YEAR($A994),MONTH($A994),1))</f>
        <v/>
      </c>
      <c r="R994" s="30" t="str">
        <f aca="false">IF($A994="","",$A994+MOD(6-WEEKDAY($A994),7))</f>
        <v/>
      </c>
      <c r="S994" s="31" t="str">
        <f aca="false">IF($B994="","",IF(AND($M994='Invoice Builder'!$C$5,$Q994='Invoice Builder'!$C$6,N($N994)&gt;0),COUNTIFS($M$5:$M994,'Invoice Builder'!$C$5,$Q$5:$Q994,'Invoice Builder'!$C$6,$N$5:$N994,"&gt;0"),""))</f>
        <v/>
      </c>
      <c r="T994" s="27" t="str">
        <f aca="false">IF($A994="","",IF($A994&gt;=DATE(YEAR($A994),4,6),YEAR($A994)&amp;"/"&amp;RIGHT(YEAR($A994)+1,2),YEAR($A994)-1&amp;"/"&amp;RIGHT(YEAR($A994),2)))</f>
        <v/>
      </c>
    </row>
    <row r="995" customFormat="false" ht="15" hidden="false" customHeight="false" outlineLevel="0" collapsed="false">
      <c r="A995" s="22"/>
      <c r="B995" s="23"/>
      <c r="C995" s="23"/>
      <c r="D995" s="23"/>
      <c r="E995" s="24"/>
      <c r="F995" s="24"/>
      <c r="G995" s="23"/>
      <c r="H995" s="23"/>
      <c r="I995" s="25"/>
      <c r="J995" s="23"/>
      <c r="K995" s="23"/>
      <c r="L995" s="26" t="str">
        <f aca="false">IF(OR($E995="",$F995=""),"",MOD($F995-$E995,1)*24)</f>
        <v/>
      </c>
      <c r="M995" s="27" t="str">
        <f aca="false">IF($B995="","",IFERROR(INDEX(Properties!$D$5:$D$104,MATCH($B995,Properties!$A$5:$A$104,0)),"?"))</f>
        <v/>
      </c>
      <c r="N995" s="28" t="str">
        <f aca="false">IF($B995="","",IFERROR(IF($D995="Completed",INDEX(Properties!$I$5:$I$104,MATCH($B995,Properties!$A$5:$A$104,0))*(1+IF($G995="Y",Settings!$B$8,0))+IF($H995="Y",Settings!$B$7,0)+N($I995),IF($D995="Deep clean",INDEX(Settings!$E$22:$E$26,MATCH(MIN(INDEX(Properties!$E$5:$E$104,MATCH($B995,Properties!$A$5:$A$104,0)),4),Settings!$A$22:$A$26,0))+N($I995),IF($D995="Late cancel",INDEX(Properties!$I$5:$I$104,MATCH($B995,Properties!$A$5:$A$104,0))*Settings!$B$10,0))),0))</f>
        <v/>
      </c>
      <c r="O995" s="28" t="str">
        <f aca="false">IF($B995="","",IFERROR(IF($D995="Completed",INDEX(Properties!$L$5:$L$104,MATCH($B995,Properties!$A$5:$A$104,0))+IF($G995="Y",INDEX(Properties!$I$5:$I$104,MATCH($B995,Properties!$A$5:$A$104,0))*Settings!$B$8*Settings!$B$9,0)+IF($H995="Y",Settings!$B$7*Settings!$B$9,0)+N($I995)*Settings!$B$9,IF($D995="Deep clean",INDEX(Settings!$E$22:$E$26,MATCH(MIN(INDEX(Properties!$E$5:$E$104,MATCH($B995,Properties!$A$5:$A$104,0)),4),Settings!$A$22:$A$26,0))*Settings!$B$19+N($I995)*Settings!$B$9,IF($D995="Late cancel",INDEX(Properties!$L$5:$L$104,MATCH($B995,Properties!$A$5:$A$104,0))*Settings!$B$11,0))),0))</f>
        <v/>
      </c>
      <c r="P995" s="28" t="str">
        <f aca="false">IF($B995="","",$N995-$O995)</f>
        <v/>
      </c>
      <c r="Q995" s="29" t="str">
        <f aca="false">IF($A995="","",DATE(YEAR($A995),MONTH($A995),1))</f>
        <v/>
      </c>
      <c r="R995" s="30" t="str">
        <f aca="false">IF($A995="","",$A995+MOD(6-WEEKDAY($A995),7))</f>
        <v/>
      </c>
      <c r="S995" s="31" t="str">
        <f aca="false">IF($B995="","",IF(AND($M995='Invoice Builder'!$C$5,$Q995='Invoice Builder'!$C$6,N($N995)&gt;0),COUNTIFS($M$5:$M995,'Invoice Builder'!$C$5,$Q$5:$Q995,'Invoice Builder'!$C$6,$N$5:$N995,"&gt;0"),""))</f>
        <v/>
      </c>
      <c r="T995" s="27" t="str">
        <f aca="false">IF($A995="","",IF($A995&gt;=DATE(YEAR($A995),4,6),YEAR($A995)&amp;"/"&amp;RIGHT(YEAR($A995)+1,2),YEAR($A995)-1&amp;"/"&amp;RIGHT(YEAR($A995),2)))</f>
        <v/>
      </c>
    </row>
    <row r="996" customFormat="false" ht="15" hidden="false" customHeight="false" outlineLevel="0" collapsed="false">
      <c r="A996" s="22"/>
      <c r="B996" s="23"/>
      <c r="C996" s="23"/>
      <c r="D996" s="23"/>
      <c r="E996" s="24"/>
      <c r="F996" s="24"/>
      <c r="G996" s="23"/>
      <c r="H996" s="23"/>
      <c r="I996" s="25"/>
      <c r="J996" s="23"/>
      <c r="K996" s="23"/>
      <c r="L996" s="26" t="str">
        <f aca="false">IF(OR($E996="",$F996=""),"",MOD($F996-$E996,1)*24)</f>
        <v/>
      </c>
      <c r="M996" s="27" t="str">
        <f aca="false">IF($B996="","",IFERROR(INDEX(Properties!$D$5:$D$104,MATCH($B996,Properties!$A$5:$A$104,0)),"?"))</f>
        <v/>
      </c>
      <c r="N996" s="28" t="str">
        <f aca="false">IF($B996="","",IFERROR(IF($D996="Completed",INDEX(Properties!$I$5:$I$104,MATCH($B996,Properties!$A$5:$A$104,0))*(1+IF($G996="Y",Settings!$B$8,0))+IF($H996="Y",Settings!$B$7,0)+N($I996),IF($D996="Deep clean",INDEX(Settings!$E$22:$E$26,MATCH(MIN(INDEX(Properties!$E$5:$E$104,MATCH($B996,Properties!$A$5:$A$104,0)),4),Settings!$A$22:$A$26,0))+N($I996),IF($D996="Late cancel",INDEX(Properties!$I$5:$I$104,MATCH($B996,Properties!$A$5:$A$104,0))*Settings!$B$10,0))),0))</f>
        <v/>
      </c>
      <c r="O996" s="28" t="str">
        <f aca="false">IF($B996="","",IFERROR(IF($D996="Completed",INDEX(Properties!$L$5:$L$104,MATCH($B996,Properties!$A$5:$A$104,0))+IF($G996="Y",INDEX(Properties!$I$5:$I$104,MATCH($B996,Properties!$A$5:$A$104,0))*Settings!$B$8*Settings!$B$9,0)+IF($H996="Y",Settings!$B$7*Settings!$B$9,0)+N($I996)*Settings!$B$9,IF($D996="Deep clean",INDEX(Settings!$E$22:$E$26,MATCH(MIN(INDEX(Properties!$E$5:$E$104,MATCH($B996,Properties!$A$5:$A$104,0)),4),Settings!$A$22:$A$26,0))*Settings!$B$19+N($I996)*Settings!$B$9,IF($D996="Late cancel",INDEX(Properties!$L$5:$L$104,MATCH($B996,Properties!$A$5:$A$104,0))*Settings!$B$11,0))),0))</f>
        <v/>
      </c>
      <c r="P996" s="28" t="str">
        <f aca="false">IF($B996="","",$N996-$O996)</f>
        <v/>
      </c>
      <c r="Q996" s="29" t="str">
        <f aca="false">IF($A996="","",DATE(YEAR($A996),MONTH($A996),1))</f>
        <v/>
      </c>
      <c r="R996" s="30" t="str">
        <f aca="false">IF($A996="","",$A996+MOD(6-WEEKDAY($A996),7))</f>
        <v/>
      </c>
      <c r="S996" s="31" t="str">
        <f aca="false">IF($B996="","",IF(AND($M996='Invoice Builder'!$C$5,$Q996='Invoice Builder'!$C$6,N($N996)&gt;0),COUNTIFS($M$5:$M996,'Invoice Builder'!$C$5,$Q$5:$Q996,'Invoice Builder'!$C$6,$N$5:$N996,"&gt;0"),""))</f>
        <v/>
      </c>
      <c r="T996" s="27" t="str">
        <f aca="false">IF($A996="","",IF($A996&gt;=DATE(YEAR($A996),4,6),YEAR($A996)&amp;"/"&amp;RIGHT(YEAR($A996)+1,2),YEAR($A996)-1&amp;"/"&amp;RIGHT(YEAR($A996),2)))</f>
        <v/>
      </c>
    </row>
    <row r="997" customFormat="false" ht="15" hidden="false" customHeight="false" outlineLevel="0" collapsed="false">
      <c r="A997" s="22"/>
      <c r="B997" s="23"/>
      <c r="C997" s="23"/>
      <c r="D997" s="23"/>
      <c r="E997" s="24"/>
      <c r="F997" s="24"/>
      <c r="G997" s="23"/>
      <c r="H997" s="23"/>
      <c r="I997" s="25"/>
      <c r="J997" s="23"/>
      <c r="K997" s="23"/>
      <c r="L997" s="26" t="str">
        <f aca="false">IF(OR($E997="",$F997=""),"",MOD($F997-$E997,1)*24)</f>
        <v/>
      </c>
      <c r="M997" s="27" t="str">
        <f aca="false">IF($B997="","",IFERROR(INDEX(Properties!$D$5:$D$104,MATCH($B997,Properties!$A$5:$A$104,0)),"?"))</f>
        <v/>
      </c>
      <c r="N997" s="28" t="str">
        <f aca="false">IF($B997="","",IFERROR(IF($D997="Completed",INDEX(Properties!$I$5:$I$104,MATCH($B997,Properties!$A$5:$A$104,0))*(1+IF($G997="Y",Settings!$B$8,0))+IF($H997="Y",Settings!$B$7,0)+N($I997),IF($D997="Deep clean",INDEX(Settings!$E$22:$E$26,MATCH(MIN(INDEX(Properties!$E$5:$E$104,MATCH($B997,Properties!$A$5:$A$104,0)),4),Settings!$A$22:$A$26,0))+N($I997),IF($D997="Late cancel",INDEX(Properties!$I$5:$I$104,MATCH($B997,Properties!$A$5:$A$104,0))*Settings!$B$10,0))),0))</f>
        <v/>
      </c>
      <c r="O997" s="28" t="str">
        <f aca="false">IF($B997="","",IFERROR(IF($D997="Completed",INDEX(Properties!$L$5:$L$104,MATCH($B997,Properties!$A$5:$A$104,0))+IF($G997="Y",INDEX(Properties!$I$5:$I$104,MATCH($B997,Properties!$A$5:$A$104,0))*Settings!$B$8*Settings!$B$9,0)+IF($H997="Y",Settings!$B$7*Settings!$B$9,0)+N($I997)*Settings!$B$9,IF($D997="Deep clean",INDEX(Settings!$E$22:$E$26,MATCH(MIN(INDEX(Properties!$E$5:$E$104,MATCH($B997,Properties!$A$5:$A$104,0)),4),Settings!$A$22:$A$26,0))*Settings!$B$19+N($I997)*Settings!$B$9,IF($D997="Late cancel",INDEX(Properties!$L$5:$L$104,MATCH($B997,Properties!$A$5:$A$104,0))*Settings!$B$11,0))),0))</f>
        <v/>
      </c>
      <c r="P997" s="28" t="str">
        <f aca="false">IF($B997="","",$N997-$O997)</f>
        <v/>
      </c>
      <c r="Q997" s="29" t="str">
        <f aca="false">IF($A997="","",DATE(YEAR($A997),MONTH($A997),1))</f>
        <v/>
      </c>
      <c r="R997" s="30" t="str">
        <f aca="false">IF($A997="","",$A997+MOD(6-WEEKDAY($A997),7))</f>
        <v/>
      </c>
      <c r="S997" s="31" t="str">
        <f aca="false">IF($B997="","",IF(AND($M997='Invoice Builder'!$C$5,$Q997='Invoice Builder'!$C$6,N($N997)&gt;0),COUNTIFS($M$5:$M997,'Invoice Builder'!$C$5,$Q$5:$Q997,'Invoice Builder'!$C$6,$N$5:$N997,"&gt;0"),""))</f>
        <v/>
      </c>
      <c r="T997" s="27" t="str">
        <f aca="false">IF($A997="","",IF($A997&gt;=DATE(YEAR($A997),4,6),YEAR($A997)&amp;"/"&amp;RIGHT(YEAR($A997)+1,2),YEAR($A997)-1&amp;"/"&amp;RIGHT(YEAR($A997),2)))</f>
        <v/>
      </c>
    </row>
    <row r="998" customFormat="false" ht="15" hidden="false" customHeight="false" outlineLevel="0" collapsed="false">
      <c r="A998" s="22"/>
      <c r="B998" s="23"/>
      <c r="C998" s="23"/>
      <c r="D998" s="23"/>
      <c r="E998" s="24"/>
      <c r="F998" s="24"/>
      <c r="G998" s="23"/>
      <c r="H998" s="23"/>
      <c r="I998" s="25"/>
      <c r="J998" s="23"/>
      <c r="K998" s="23"/>
      <c r="L998" s="26" t="str">
        <f aca="false">IF(OR($E998="",$F998=""),"",MOD($F998-$E998,1)*24)</f>
        <v/>
      </c>
      <c r="M998" s="27" t="str">
        <f aca="false">IF($B998="","",IFERROR(INDEX(Properties!$D$5:$D$104,MATCH($B998,Properties!$A$5:$A$104,0)),"?"))</f>
        <v/>
      </c>
      <c r="N998" s="28" t="str">
        <f aca="false">IF($B998="","",IFERROR(IF($D998="Completed",INDEX(Properties!$I$5:$I$104,MATCH($B998,Properties!$A$5:$A$104,0))*(1+IF($G998="Y",Settings!$B$8,0))+IF($H998="Y",Settings!$B$7,0)+N($I998),IF($D998="Deep clean",INDEX(Settings!$E$22:$E$26,MATCH(MIN(INDEX(Properties!$E$5:$E$104,MATCH($B998,Properties!$A$5:$A$104,0)),4),Settings!$A$22:$A$26,0))+N($I998),IF($D998="Late cancel",INDEX(Properties!$I$5:$I$104,MATCH($B998,Properties!$A$5:$A$104,0))*Settings!$B$10,0))),0))</f>
        <v/>
      </c>
      <c r="O998" s="28" t="str">
        <f aca="false">IF($B998="","",IFERROR(IF($D998="Completed",INDEX(Properties!$L$5:$L$104,MATCH($B998,Properties!$A$5:$A$104,0))+IF($G998="Y",INDEX(Properties!$I$5:$I$104,MATCH($B998,Properties!$A$5:$A$104,0))*Settings!$B$8*Settings!$B$9,0)+IF($H998="Y",Settings!$B$7*Settings!$B$9,0)+N($I998)*Settings!$B$9,IF($D998="Deep clean",INDEX(Settings!$E$22:$E$26,MATCH(MIN(INDEX(Properties!$E$5:$E$104,MATCH($B998,Properties!$A$5:$A$104,0)),4),Settings!$A$22:$A$26,0))*Settings!$B$19+N($I998)*Settings!$B$9,IF($D998="Late cancel",INDEX(Properties!$L$5:$L$104,MATCH($B998,Properties!$A$5:$A$104,0))*Settings!$B$11,0))),0))</f>
        <v/>
      </c>
      <c r="P998" s="28" t="str">
        <f aca="false">IF($B998="","",$N998-$O998)</f>
        <v/>
      </c>
      <c r="Q998" s="29" t="str">
        <f aca="false">IF($A998="","",DATE(YEAR($A998),MONTH($A998),1))</f>
        <v/>
      </c>
      <c r="R998" s="30" t="str">
        <f aca="false">IF($A998="","",$A998+MOD(6-WEEKDAY($A998),7))</f>
        <v/>
      </c>
      <c r="S998" s="31" t="str">
        <f aca="false">IF($B998="","",IF(AND($M998='Invoice Builder'!$C$5,$Q998='Invoice Builder'!$C$6,N($N998)&gt;0),COUNTIFS($M$5:$M998,'Invoice Builder'!$C$5,$Q$5:$Q998,'Invoice Builder'!$C$6,$N$5:$N998,"&gt;0"),""))</f>
        <v/>
      </c>
      <c r="T998" s="27" t="str">
        <f aca="false">IF($A998="","",IF($A998&gt;=DATE(YEAR($A998),4,6),YEAR($A998)&amp;"/"&amp;RIGHT(YEAR($A998)+1,2),YEAR($A998)-1&amp;"/"&amp;RIGHT(YEAR($A998),2)))</f>
        <v/>
      </c>
    </row>
    <row r="999" customFormat="false" ht="15" hidden="false" customHeight="false" outlineLevel="0" collapsed="false">
      <c r="A999" s="22"/>
      <c r="B999" s="23"/>
      <c r="C999" s="23"/>
      <c r="D999" s="23"/>
      <c r="E999" s="24"/>
      <c r="F999" s="24"/>
      <c r="G999" s="23"/>
      <c r="H999" s="23"/>
      <c r="I999" s="25"/>
      <c r="J999" s="23"/>
      <c r="K999" s="23"/>
      <c r="L999" s="26" t="str">
        <f aca="false">IF(OR($E999="",$F999=""),"",MOD($F999-$E999,1)*24)</f>
        <v/>
      </c>
      <c r="M999" s="27" t="str">
        <f aca="false">IF($B999="","",IFERROR(INDEX(Properties!$D$5:$D$104,MATCH($B999,Properties!$A$5:$A$104,0)),"?"))</f>
        <v/>
      </c>
      <c r="N999" s="28" t="str">
        <f aca="false">IF($B999="","",IFERROR(IF($D999="Completed",INDEX(Properties!$I$5:$I$104,MATCH($B999,Properties!$A$5:$A$104,0))*(1+IF($G999="Y",Settings!$B$8,0))+IF($H999="Y",Settings!$B$7,0)+N($I999),IF($D999="Deep clean",INDEX(Settings!$E$22:$E$26,MATCH(MIN(INDEX(Properties!$E$5:$E$104,MATCH($B999,Properties!$A$5:$A$104,0)),4),Settings!$A$22:$A$26,0))+N($I999),IF($D999="Late cancel",INDEX(Properties!$I$5:$I$104,MATCH($B999,Properties!$A$5:$A$104,0))*Settings!$B$10,0))),0))</f>
        <v/>
      </c>
      <c r="O999" s="28" t="str">
        <f aca="false">IF($B999="","",IFERROR(IF($D999="Completed",INDEX(Properties!$L$5:$L$104,MATCH($B999,Properties!$A$5:$A$104,0))+IF($G999="Y",INDEX(Properties!$I$5:$I$104,MATCH($B999,Properties!$A$5:$A$104,0))*Settings!$B$8*Settings!$B$9,0)+IF($H999="Y",Settings!$B$7*Settings!$B$9,0)+N($I999)*Settings!$B$9,IF($D999="Deep clean",INDEX(Settings!$E$22:$E$26,MATCH(MIN(INDEX(Properties!$E$5:$E$104,MATCH($B999,Properties!$A$5:$A$104,0)),4),Settings!$A$22:$A$26,0))*Settings!$B$19+N($I999)*Settings!$B$9,IF($D999="Late cancel",INDEX(Properties!$L$5:$L$104,MATCH($B999,Properties!$A$5:$A$104,0))*Settings!$B$11,0))),0))</f>
        <v/>
      </c>
      <c r="P999" s="28" t="str">
        <f aca="false">IF($B999="","",$N999-$O999)</f>
        <v/>
      </c>
      <c r="Q999" s="29" t="str">
        <f aca="false">IF($A999="","",DATE(YEAR($A999),MONTH($A999),1))</f>
        <v/>
      </c>
      <c r="R999" s="30" t="str">
        <f aca="false">IF($A999="","",$A999+MOD(6-WEEKDAY($A999),7))</f>
        <v/>
      </c>
      <c r="S999" s="31" t="str">
        <f aca="false">IF($B999="","",IF(AND($M999='Invoice Builder'!$C$5,$Q999='Invoice Builder'!$C$6,N($N999)&gt;0),COUNTIFS($M$5:$M999,'Invoice Builder'!$C$5,$Q$5:$Q999,'Invoice Builder'!$C$6,$N$5:$N999,"&gt;0"),""))</f>
        <v/>
      </c>
      <c r="T999" s="27" t="str">
        <f aca="false">IF($A999="","",IF($A999&gt;=DATE(YEAR($A999),4,6),YEAR($A999)&amp;"/"&amp;RIGHT(YEAR($A999)+1,2),YEAR($A999)-1&amp;"/"&amp;RIGHT(YEAR($A999),2)))</f>
        <v/>
      </c>
    </row>
    <row r="1000" customFormat="false" ht="15" hidden="false" customHeight="false" outlineLevel="0" collapsed="false">
      <c r="A1000" s="22"/>
      <c r="B1000" s="23"/>
      <c r="C1000" s="23"/>
      <c r="D1000" s="23"/>
      <c r="E1000" s="24"/>
      <c r="F1000" s="24"/>
      <c r="G1000" s="23"/>
      <c r="H1000" s="23"/>
      <c r="I1000" s="25"/>
      <c r="J1000" s="23"/>
      <c r="K1000" s="23"/>
      <c r="L1000" s="26" t="str">
        <f aca="false">IF(OR($E1000="",$F1000=""),"",MOD($F1000-$E1000,1)*24)</f>
        <v/>
      </c>
      <c r="M1000" s="27" t="str">
        <f aca="false">IF($B1000="","",IFERROR(INDEX(Properties!$D$5:$D$104,MATCH($B1000,Properties!$A$5:$A$104,0)),"?"))</f>
        <v/>
      </c>
      <c r="N1000" s="28" t="str">
        <f aca="false">IF($B1000="","",IFERROR(IF($D1000="Completed",INDEX(Properties!$I$5:$I$104,MATCH($B1000,Properties!$A$5:$A$104,0))*(1+IF($G1000="Y",Settings!$B$8,0))+IF($H1000="Y",Settings!$B$7,0)+N($I1000),IF($D1000="Deep clean",INDEX(Settings!$E$22:$E$26,MATCH(MIN(INDEX(Properties!$E$5:$E$104,MATCH($B1000,Properties!$A$5:$A$104,0)),4),Settings!$A$22:$A$26,0))+N($I1000),IF($D1000="Late cancel",INDEX(Properties!$I$5:$I$104,MATCH($B1000,Properties!$A$5:$A$104,0))*Settings!$B$10,0))),0))</f>
        <v/>
      </c>
      <c r="O1000" s="28" t="str">
        <f aca="false">IF($B1000="","",IFERROR(IF($D1000="Completed",INDEX(Properties!$L$5:$L$104,MATCH($B1000,Properties!$A$5:$A$104,0))+IF($G1000="Y",INDEX(Properties!$I$5:$I$104,MATCH($B1000,Properties!$A$5:$A$104,0))*Settings!$B$8*Settings!$B$9,0)+IF($H1000="Y",Settings!$B$7*Settings!$B$9,0)+N($I1000)*Settings!$B$9,IF($D1000="Deep clean",INDEX(Settings!$E$22:$E$26,MATCH(MIN(INDEX(Properties!$E$5:$E$104,MATCH($B1000,Properties!$A$5:$A$104,0)),4),Settings!$A$22:$A$26,0))*Settings!$B$19+N($I1000)*Settings!$B$9,IF($D1000="Late cancel",INDEX(Properties!$L$5:$L$104,MATCH($B1000,Properties!$A$5:$A$104,0))*Settings!$B$11,0))),0))</f>
        <v/>
      </c>
      <c r="P1000" s="28" t="str">
        <f aca="false">IF($B1000="","",$N1000-$O1000)</f>
        <v/>
      </c>
      <c r="Q1000" s="29" t="str">
        <f aca="false">IF($A1000="","",DATE(YEAR($A1000),MONTH($A1000),1))</f>
        <v/>
      </c>
      <c r="R1000" s="30" t="str">
        <f aca="false">IF($A1000="","",$A1000+MOD(6-WEEKDAY($A1000),7))</f>
        <v/>
      </c>
      <c r="S1000" s="31" t="str">
        <f aca="false">IF($B1000="","",IF(AND($M1000='Invoice Builder'!$C$5,$Q1000='Invoice Builder'!$C$6,N($N1000)&gt;0),COUNTIFS($M$5:$M1000,'Invoice Builder'!$C$5,$Q$5:$Q1000,'Invoice Builder'!$C$6,$N$5:$N1000,"&gt;0"),""))</f>
        <v/>
      </c>
      <c r="T1000" s="27" t="str">
        <f aca="false">IF($A1000="","",IF($A1000&gt;=DATE(YEAR($A1000),4,6),YEAR($A1000)&amp;"/"&amp;RIGHT(YEAR($A1000)+1,2),YEAR($A1000)-1&amp;"/"&amp;RIGHT(YEAR($A1000),2)))</f>
        <v/>
      </c>
    </row>
    <row r="1001" customFormat="false" ht="15" hidden="false" customHeight="false" outlineLevel="0" collapsed="false">
      <c r="A1001" s="22"/>
      <c r="B1001" s="23"/>
      <c r="C1001" s="23"/>
      <c r="D1001" s="23"/>
      <c r="E1001" s="24"/>
      <c r="F1001" s="24"/>
      <c r="G1001" s="23"/>
      <c r="H1001" s="23"/>
      <c r="I1001" s="25"/>
      <c r="J1001" s="23"/>
      <c r="K1001" s="23"/>
      <c r="L1001" s="26" t="str">
        <f aca="false">IF(OR($E1001="",$F1001=""),"",MOD($F1001-$E1001,1)*24)</f>
        <v/>
      </c>
      <c r="M1001" s="27" t="str">
        <f aca="false">IF($B1001="","",IFERROR(INDEX(Properties!$D$5:$D$104,MATCH($B1001,Properties!$A$5:$A$104,0)),"?"))</f>
        <v/>
      </c>
      <c r="N1001" s="28" t="str">
        <f aca="false">IF($B1001="","",IFERROR(IF($D1001="Completed",INDEX(Properties!$I$5:$I$104,MATCH($B1001,Properties!$A$5:$A$104,0))*(1+IF($G1001="Y",Settings!$B$8,0))+IF($H1001="Y",Settings!$B$7,0)+N($I1001),IF($D1001="Deep clean",INDEX(Settings!$E$22:$E$26,MATCH(MIN(INDEX(Properties!$E$5:$E$104,MATCH($B1001,Properties!$A$5:$A$104,0)),4),Settings!$A$22:$A$26,0))+N($I1001),IF($D1001="Late cancel",INDEX(Properties!$I$5:$I$104,MATCH($B1001,Properties!$A$5:$A$104,0))*Settings!$B$10,0))),0))</f>
        <v/>
      </c>
      <c r="O1001" s="28" t="str">
        <f aca="false">IF($B1001="","",IFERROR(IF($D1001="Completed",INDEX(Properties!$L$5:$L$104,MATCH($B1001,Properties!$A$5:$A$104,0))+IF($G1001="Y",INDEX(Properties!$I$5:$I$104,MATCH($B1001,Properties!$A$5:$A$104,0))*Settings!$B$8*Settings!$B$9,0)+IF($H1001="Y",Settings!$B$7*Settings!$B$9,0)+N($I1001)*Settings!$B$9,IF($D1001="Deep clean",INDEX(Settings!$E$22:$E$26,MATCH(MIN(INDEX(Properties!$E$5:$E$104,MATCH($B1001,Properties!$A$5:$A$104,0)),4),Settings!$A$22:$A$26,0))*Settings!$B$19+N($I1001)*Settings!$B$9,IF($D1001="Late cancel",INDEX(Properties!$L$5:$L$104,MATCH($B1001,Properties!$A$5:$A$104,0))*Settings!$B$11,0))),0))</f>
        <v/>
      </c>
      <c r="P1001" s="28" t="str">
        <f aca="false">IF($B1001="","",$N1001-$O1001)</f>
        <v/>
      </c>
      <c r="Q1001" s="29" t="str">
        <f aca="false">IF($A1001="","",DATE(YEAR($A1001),MONTH($A1001),1))</f>
        <v/>
      </c>
      <c r="R1001" s="30" t="str">
        <f aca="false">IF($A1001="","",$A1001+MOD(6-WEEKDAY($A1001),7))</f>
        <v/>
      </c>
      <c r="S1001" s="31" t="str">
        <f aca="false">IF($B1001="","",IF(AND($M1001='Invoice Builder'!$C$5,$Q1001='Invoice Builder'!$C$6,N($N1001)&gt;0),COUNTIFS($M$5:$M1001,'Invoice Builder'!$C$5,$Q$5:$Q1001,'Invoice Builder'!$C$6,$N$5:$N1001,"&gt;0"),""))</f>
        <v/>
      </c>
      <c r="T1001" s="27" t="str">
        <f aca="false">IF($A1001="","",IF($A1001&gt;=DATE(YEAR($A1001),4,6),YEAR($A1001)&amp;"/"&amp;RIGHT(YEAR($A1001)+1,2),YEAR($A1001)-1&amp;"/"&amp;RIGHT(YEAR($A1001),2)))</f>
        <v/>
      </c>
    </row>
    <row r="1002" customFormat="false" ht="15" hidden="false" customHeight="false" outlineLevel="0" collapsed="false">
      <c r="A1002" s="22"/>
      <c r="B1002" s="23"/>
      <c r="C1002" s="23"/>
      <c r="D1002" s="23"/>
      <c r="E1002" s="24"/>
      <c r="F1002" s="24"/>
      <c r="G1002" s="23"/>
      <c r="H1002" s="23"/>
      <c r="I1002" s="25"/>
      <c r="J1002" s="23"/>
      <c r="K1002" s="23"/>
      <c r="L1002" s="26" t="str">
        <f aca="false">IF(OR($E1002="",$F1002=""),"",MOD($F1002-$E1002,1)*24)</f>
        <v/>
      </c>
      <c r="M1002" s="27" t="str">
        <f aca="false">IF($B1002="","",IFERROR(INDEX(Properties!$D$5:$D$104,MATCH($B1002,Properties!$A$5:$A$104,0)),"?"))</f>
        <v/>
      </c>
      <c r="N1002" s="28" t="str">
        <f aca="false">IF($B1002="","",IFERROR(IF($D1002="Completed",INDEX(Properties!$I$5:$I$104,MATCH($B1002,Properties!$A$5:$A$104,0))*(1+IF($G1002="Y",Settings!$B$8,0))+IF($H1002="Y",Settings!$B$7,0)+N($I1002),IF($D1002="Deep clean",INDEX(Settings!$E$22:$E$26,MATCH(MIN(INDEX(Properties!$E$5:$E$104,MATCH($B1002,Properties!$A$5:$A$104,0)),4),Settings!$A$22:$A$26,0))+N($I1002),IF($D1002="Late cancel",INDEX(Properties!$I$5:$I$104,MATCH($B1002,Properties!$A$5:$A$104,0))*Settings!$B$10,0))),0))</f>
        <v/>
      </c>
      <c r="O1002" s="28" t="str">
        <f aca="false">IF($B1002="","",IFERROR(IF($D1002="Completed",INDEX(Properties!$L$5:$L$104,MATCH($B1002,Properties!$A$5:$A$104,0))+IF($G1002="Y",INDEX(Properties!$I$5:$I$104,MATCH($B1002,Properties!$A$5:$A$104,0))*Settings!$B$8*Settings!$B$9,0)+IF($H1002="Y",Settings!$B$7*Settings!$B$9,0)+N($I1002)*Settings!$B$9,IF($D1002="Deep clean",INDEX(Settings!$E$22:$E$26,MATCH(MIN(INDEX(Properties!$E$5:$E$104,MATCH($B1002,Properties!$A$5:$A$104,0)),4),Settings!$A$22:$A$26,0))*Settings!$B$19+N($I1002)*Settings!$B$9,IF($D1002="Late cancel",INDEX(Properties!$L$5:$L$104,MATCH($B1002,Properties!$A$5:$A$104,0))*Settings!$B$11,0))),0))</f>
        <v/>
      </c>
      <c r="P1002" s="28" t="str">
        <f aca="false">IF($B1002="","",$N1002-$O1002)</f>
        <v/>
      </c>
      <c r="Q1002" s="29" t="str">
        <f aca="false">IF($A1002="","",DATE(YEAR($A1002),MONTH($A1002),1))</f>
        <v/>
      </c>
      <c r="R1002" s="30" t="str">
        <f aca="false">IF($A1002="","",$A1002+MOD(6-WEEKDAY($A1002),7))</f>
        <v/>
      </c>
      <c r="S1002" s="31" t="str">
        <f aca="false">IF($B1002="","",IF(AND($M1002='Invoice Builder'!$C$5,$Q1002='Invoice Builder'!$C$6,N($N1002)&gt;0),COUNTIFS($M$5:$M1002,'Invoice Builder'!$C$5,$Q$5:$Q1002,'Invoice Builder'!$C$6,$N$5:$N1002,"&gt;0"),""))</f>
        <v/>
      </c>
      <c r="T1002" s="27" t="str">
        <f aca="false">IF($A1002="","",IF($A1002&gt;=DATE(YEAR($A1002),4,6),YEAR($A1002)&amp;"/"&amp;RIGHT(YEAR($A1002)+1,2),YEAR($A1002)-1&amp;"/"&amp;RIGHT(YEAR($A1002),2)))</f>
        <v/>
      </c>
    </row>
    <row r="1003" customFormat="false" ht="15" hidden="false" customHeight="false" outlineLevel="0" collapsed="false">
      <c r="A1003" s="22"/>
      <c r="B1003" s="23"/>
      <c r="C1003" s="23"/>
      <c r="D1003" s="23"/>
      <c r="E1003" s="24"/>
      <c r="F1003" s="24"/>
      <c r="G1003" s="23"/>
      <c r="H1003" s="23"/>
      <c r="I1003" s="25"/>
      <c r="J1003" s="23"/>
      <c r="K1003" s="23"/>
      <c r="L1003" s="26" t="str">
        <f aca="false">IF(OR($E1003="",$F1003=""),"",MOD($F1003-$E1003,1)*24)</f>
        <v/>
      </c>
      <c r="M1003" s="27" t="str">
        <f aca="false">IF($B1003="","",IFERROR(INDEX(Properties!$D$5:$D$104,MATCH($B1003,Properties!$A$5:$A$104,0)),"?"))</f>
        <v/>
      </c>
      <c r="N1003" s="28" t="str">
        <f aca="false">IF($B1003="","",IFERROR(IF($D1003="Completed",INDEX(Properties!$I$5:$I$104,MATCH($B1003,Properties!$A$5:$A$104,0))*(1+IF($G1003="Y",Settings!$B$8,0))+IF($H1003="Y",Settings!$B$7,0)+N($I1003),IF($D1003="Deep clean",INDEX(Settings!$E$22:$E$26,MATCH(MIN(INDEX(Properties!$E$5:$E$104,MATCH($B1003,Properties!$A$5:$A$104,0)),4),Settings!$A$22:$A$26,0))+N($I1003),IF($D1003="Late cancel",INDEX(Properties!$I$5:$I$104,MATCH($B1003,Properties!$A$5:$A$104,0))*Settings!$B$10,0))),0))</f>
        <v/>
      </c>
      <c r="O1003" s="28" t="str">
        <f aca="false">IF($B1003="","",IFERROR(IF($D1003="Completed",INDEX(Properties!$L$5:$L$104,MATCH($B1003,Properties!$A$5:$A$104,0))+IF($G1003="Y",INDEX(Properties!$I$5:$I$104,MATCH($B1003,Properties!$A$5:$A$104,0))*Settings!$B$8*Settings!$B$9,0)+IF($H1003="Y",Settings!$B$7*Settings!$B$9,0)+N($I1003)*Settings!$B$9,IF($D1003="Deep clean",INDEX(Settings!$E$22:$E$26,MATCH(MIN(INDEX(Properties!$E$5:$E$104,MATCH($B1003,Properties!$A$5:$A$104,0)),4),Settings!$A$22:$A$26,0))*Settings!$B$19+N($I1003)*Settings!$B$9,IF($D1003="Late cancel",INDEX(Properties!$L$5:$L$104,MATCH($B1003,Properties!$A$5:$A$104,0))*Settings!$B$11,0))),0))</f>
        <v/>
      </c>
      <c r="P1003" s="28" t="str">
        <f aca="false">IF($B1003="","",$N1003-$O1003)</f>
        <v/>
      </c>
      <c r="Q1003" s="29" t="str">
        <f aca="false">IF($A1003="","",DATE(YEAR($A1003),MONTH($A1003),1))</f>
        <v/>
      </c>
      <c r="R1003" s="30" t="str">
        <f aca="false">IF($A1003="","",$A1003+MOD(6-WEEKDAY($A1003),7))</f>
        <v/>
      </c>
      <c r="S1003" s="31" t="str">
        <f aca="false">IF($B1003="","",IF(AND($M1003='Invoice Builder'!$C$5,$Q1003='Invoice Builder'!$C$6,N($N1003)&gt;0),COUNTIFS($M$5:$M1003,'Invoice Builder'!$C$5,$Q$5:$Q1003,'Invoice Builder'!$C$6,$N$5:$N1003,"&gt;0"),""))</f>
        <v/>
      </c>
      <c r="T1003" s="27" t="str">
        <f aca="false">IF($A1003="","",IF($A1003&gt;=DATE(YEAR($A1003),4,6),YEAR($A1003)&amp;"/"&amp;RIGHT(YEAR($A1003)+1,2),YEAR($A1003)-1&amp;"/"&amp;RIGHT(YEAR($A1003),2)))</f>
        <v/>
      </c>
    </row>
    <row r="1004" customFormat="false" ht="15" hidden="false" customHeight="false" outlineLevel="0" collapsed="false">
      <c r="A1004" s="22"/>
      <c r="B1004" s="23"/>
      <c r="C1004" s="23"/>
      <c r="D1004" s="23"/>
      <c r="E1004" s="24"/>
      <c r="F1004" s="24"/>
      <c r="G1004" s="23"/>
      <c r="H1004" s="23"/>
      <c r="I1004" s="25"/>
      <c r="J1004" s="23"/>
      <c r="K1004" s="23"/>
      <c r="L1004" s="26" t="str">
        <f aca="false">IF(OR($E1004="",$F1004=""),"",MOD($F1004-$E1004,1)*24)</f>
        <v/>
      </c>
      <c r="M1004" s="27" t="str">
        <f aca="false">IF($B1004="","",IFERROR(INDEX(Properties!$D$5:$D$104,MATCH($B1004,Properties!$A$5:$A$104,0)),"?"))</f>
        <v/>
      </c>
      <c r="N1004" s="28" t="str">
        <f aca="false">IF($B1004="","",IFERROR(IF($D1004="Completed",INDEX(Properties!$I$5:$I$104,MATCH($B1004,Properties!$A$5:$A$104,0))*(1+IF($G1004="Y",Settings!$B$8,0))+IF($H1004="Y",Settings!$B$7,0)+N($I1004),IF($D1004="Deep clean",INDEX(Settings!$E$22:$E$26,MATCH(MIN(INDEX(Properties!$E$5:$E$104,MATCH($B1004,Properties!$A$5:$A$104,0)),4),Settings!$A$22:$A$26,0))+N($I1004),IF($D1004="Late cancel",INDEX(Properties!$I$5:$I$104,MATCH($B1004,Properties!$A$5:$A$104,0))*Settings!$B$10,0))),0))</f>
        <v/>
      </c>
      <c r="O1004" s="28" t="str">
        <f aca="false">IF($B1004="","",IFERROR(IF($D1004="Completed",INDEX(Properties!$L$5:$L$104,MATCH($B1004,Properties!$A$5:$A$104,0))+IF($G1004="Y",INDEX(Properties!$I$5:$I$104,MATCH($B1004,Properties!$A$5:$A$104,0))*Settings!$B$8*Settings!$B$9,0)+IF($H1004="Y",Settings!$B$7*Settings!$B$9,0)+N($I1004)*Settings!$B$9,IF($D1004="Deep clean",INDEX(Settings!$E$22:$E$26,MATCH(MIN(INDEX(Properties!$E$5:$E$104,MATCH($B1004,Properties!$A$5:$A$104,0)),4),Settings!$A$22:$A$26,0))*Settings!$B$19+N($I1004)*Settings!$B$9,IF($D1004="Late cancel",INDEX(Properties!$L$5:$L$104,MATCH($B1004,Properties!$A$5:$A$104,0))*Settings!$B$11,0))),0))</f>
        <v/>
      </c>
      <c r="P1004" s="28" t="str">
        <f aca="false">IF($B1004="","",$N1004-$O1004)</f>
        <v/>
      </c>
      <c r="Q1004" s="29" t="str">
        <f aca="false">IF($A1004="","",DATE(YEAR($A1004),MONTH($A1004),1))</f>
        <v/>
      </c>
      <c r="R1004" s="30" t="str">
        <f aca="false">IF($A1004="","",$A1004+MOD(6-WEEKDAY($A1004),7))</f>
        <v/>
      </c>
      <c r="S1004" s="31" t="str">
        <f aca="false">IF($B1004="","",IF(AND($M1004='Invoice Builder'!$C$5,$Q1004='Invoice Builder'!$C$6,N($N1004)&gt;0),COUNTIFS($M$5:$M1004,'Invoice Builder'!$C$5,$Q$5:$Q1004,'Invoice Builder'!$C$6,$N$5:$N1004,"&gt;0"),""))</f>
        <v/>
      </c>
      <c r="T1004" s="27" t="str">
        <f aca="false">IF($A1004="","",IF($A1004&gt;=DATE(YEAR($A1004),4,6),YEAR($A1004)&amp;"/"&amp;RIGHT(YEAR($A1004)+1,2),YEAR($A1004)-1&amp;"/"&amp;RIGHT(YEAR($A1004),2)))</f>
        <v/>
      </c>
    </row>
  </sheetData>
  <conditionalFormatting sqref="J5:J1004">
    <cfRule type="expression" priority="2" aboveAverage="0" equalAverage="0" bottom="0" percent="0" rank="0" text="" dxfId="1">
      <formula>AND($B5&lt;&gt;"",$D5="Completed",$J5&lt;&gt;"Y")</formula>
    </cfRule>
  </conditionalFormatting>
  <conditionalFormatting sqref="M5:M1004">
    <cfRule type="expression" priority="3" aboveAverage="0" equalAverage="0" bottom="0" percent="0" rank="0" text="" dxfId="0">
      <formula>$M5="?"</formula>
    </cfRule>
  </conditionalFormatting>
  <dataValidations count="6">
    <dataValidation allowBlank="true" errorStyle="stop" operator="between" showDropDown="false" showErrorMessage="false" showInputMessage="false" sqref="B5:B1004" type="list">
      <formula1>Properties!$A$5:$A$104</formula1>
      <formula2>0</formula2>
    </dataValidation>
    <dataValidation allowBlank="true" errorStyle="stop" operator="between" showDropDown="false" showErrorMessage="false" showInputMessage="false" sqref="C5:C1004" type="list">
      <formula1>Cleaners!$A$5:$A$34</formula1>
      <formula2>0</formula2>
    </dataValidation>
    <dataValidation allowBlank="true" errorStyle="stop" operator="between" showDropDown="false" showErrorMessage="false" showInputMessage="false" sqref="D5:D1004" type="list">
      <formula1>Settings!$H$22:$H$26</formula1>
      <formula2>0</formula2>
    </dataValidation>
    <dataValidation allowBlank="true" errorStyle="stop" operator="between" showDropDown="false" showErrorMessage="false" showInputMessage="false" sqref="G5:G1004" type="list">
      <formula1>Settings!$I$22:$I$23</formula1>
      <formula2>0</formula2>
    </dataValidation>
    <dataValidation allowBlank="true" errorStyle="stop" operator="between" showDropDown="false" showErrorMessage="false" showInputMessage="false" sqref="H5:H1004" type="list">
      <formula1>Settings!$I$22:$I$23</formula1>
      <formula2>0</formula2>
    </dataValidation>
    <dataValidation allowBlank="true" errorStyle="stop" operator="between" showDropDown="false" showErrorMessage="false" showInputMessage="false" sqref="J5:J1004" type="list">
      <formula1>Settings!$I$22:$I$23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890F"/>
    <pageSetUpPr fitToPage="false"/>
  </sheetPr>
  <dimension ref="A1:L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</cols>
  <sheetData>
    <row r="1" customFormat="false" ht="19.7" hidden="false" customHeight="false" outlineLevel="0" collapsed="false">
      <c r="A1" s="1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1.5" hidden="false" customHeight="true" outlineLevel="0" collapsed="false">
      <c r="A4" s="20" t="s">
        <v>99</v>
      </c>
      <c r="B4" s="20" t="s">
        <v>128</v>
      </c>
      <c r="C4" s="21" t="s">
        <v>129</v>
      </c>
      <c r="D4" s="20" t="s">
        <v>130</v>
      </c>
      <c r="E4" s="20" t="s">
        <v>131</v>
      </c>
      <c r="F4" s="20" t="s">
        <v>132</v>
      </c>
      <c r="G4" s="20" t="s">
        <v>133</v>
      </c>
      <c r="H4" s="21" t="s">
        <v>101</v>
      </c>
      <c r="I4" s="21" t="s">
        <v>134</v>
      </c>
      <c r="J4" s="21" t="s">
        <v>135</v>
      </c>
      <c r="L4" s="3" t="s">
        <v>136</v>
      </c>
    </row>
    <row r="5" customFormat="false" ht="15" hidden="false" customHeight="false" outlineLevel="0" collapsed="false">
      <c r="A5" s="23" t="s">
        <v>115</v>
      </c>
      <c r="B5" s="23" t="s">
        <v>137</v>
      </c>
      <c r="C5" s="27" t="str">
        <f aca="false">IF($B5="","",IFERROR(INDEX(Supplies!$B$5:$B$104,MATCH($B5,Supplies!$A$5:$A$104,0)),"?"))</f>
        <v>Toilet roll</v>
      </c>
      <c r="D5" s="32" t="n">
        <v>8</v>
      </c>
      <c r="E5" s="32" t="n">
        <v>4</v>
      </c>
      <c r="F5" s="32" t="n">
        <v>5</v>
      </c>
      <c r="G5" s="22" t="n">
        <v>46319</v>
      </c>
      <c r="H5" s="27" t="str">
        <f aca="false">IF($A5="","",IF($F5="","Count it",IF($F5&lt;=$E5,"REORDER","OK")))</f>
        <v>OK</v>
      </c>
      <c r="I5" s="31" t="n">
        <f aca="false">IF(OR($A5="",$F5=""),"",MAX(0,$D5-$F5))</f>
        <v>3</v>
      </c>
      <c r="J5" s="28" t="n">
        <f aca="false">IF(OR($A5="",$I5=""),"",$I5*IFERROR(INDEX(Supplies!$F$5:$F$104,MATCH($B5,Supplies!$A$5:$A$104,0)),0))</f>
        <v>1.575</v>
      </c>
    </row>
    <row r="6" customFormat="false" ht="15" hidden="false" customHeight="false" outlineLevel="0" collapsed="false">
      <c r="A6" s="23" t="s">
        <v>115</v>
      </c>
      <c r="B6" s="23" t="s">
        <v>138</v>
      </c>
      <c r="C6" s="27" t="str">
        <f aca="false">IF($B6="","",IFERROR(INDEX(Supplies!$B$5:$B$104,MATCH($B6,Supplies!$A$5:$A$104,0)),"?"))</f>
        <v>Kitchen roll</v>
      </c>
      <c r="D6" s="32" t="n">
        <v>3</v>
      </c>
      <c r="E6" s="32" t="n">
        <v>1</v>
      </c>
      <c r="F6" s="32" t="n">
        <v>2</v>
      </c>
      <c r="G6" s="22" t="n">
        <v>46319</v>
      </c>
      <c r="H6" s="27" t="str">
        <f aca="false">IF($A6="","",IF($F6="","Count it",IF($F6&lt;=$E6,"REORDER","OK")))</f>
        <v>OK</v>
      </c>
      <c r="I6" s="31" t="n">
        <f aca="false">IF(OR($A6="",$F6=""),"",MAX(0,$D6-$F6))</f>
        <v>1</v>
      </c>
      <c r="J6" s="28" t="n">
        <f aca="false">IF(OR($A6="",$I6=""),"",$I6*IFERROR(INDEX(Supplies!$F$5:$F$104,MATCH($B6,Supplies!$A$5:$A$104,0)),0))</f>
        <v>1</v>
      </c>
    </row>
    <row r="7" customFormat="false" ht="15" hidden="false" customHeight="false" outlineLevel="0" collapsed="false">
      <c r="A7" s="23" t="s">
        <v>115</v>
      </c>
      <c r="B7" s="23" t="s">
        <v>139</v>
      </c>
      <c r="C7" s="27" t="str">
        <f aca="false">IF($B7="","",IFERROR(INDEX(Supplies!$B$5:$B$104,MATCH($B7,Supplies!$A$5:$A$104,0)),"?"))</f>
        <v>Hand soap (500ml pump)</v>
      </c>
      <c r="D7" s="32" t="n">
        <v>2</v>
      </c>
      <c r="E7" s="32" t="n">
        <v>1</v>
      </c>
      <c r="F7" s="32" t="n">
        <v>1</v>
      </c>
      <c r="G7" s="22" t="n">
        <v>46319</v>
      </c>
      <c r="H7" s="27" t="str">
        <f aca="false">IF($A7="","",IF($F7="","Count it",IF($F7&lt;=$E7,"REORDER","OK")))</f>
        <v>REORDER</v>
      </c>
      <c r="I7" s="31" t="n">
        <f aca="false">IF(OR($A7="",$F7=""),"",MAX(0,$D7-$F7))</f>
        <v>1</v>
      </c>
      <c r="J7" s="28" t="n">
        <f aca="false">IF(OR($A7="",$I7=""),"",$I7*IFERROR(INDEX(Supplies!$F$5:$F$104,MATCH($B7,Supplies!$A$5:$A$104,0)),0))</f>
        <v>1.5</v>
      </c>
    </row>
    <row r="8" customFormat="false" ht="15" hidden="false" customHeight="false" outlineLevel="0" collapsed="false">
      <c r="A8" s="23" t="s">
        <v>115</v>
      </c>
      <c r="B8" s="23" t="s">
        <v>140</v>
      </c>
      <c r="C8" s="27" t="str">
        <f aca="false">IF($B8="","",IFERROR(INDEX(Supplies!$B$5:$B$104,MATCH($B8,Supplies!$A$5:$A$104,0)),"?"))</f>
        <v>Mini shampoo</v>
      </c>
      <c r="D8" s="32" t="n">
        <v>6</v>
      </c>
      <c r="E8" s="32" t="n">
        <v>2</v>
      </c>
      <c r="F8" s="32" t="n">
        <v>4</v>
      </c>
      <c r="G8" s="22" t="n">
        <v>46319</v>
      </c>
      <c r="H8" s="27" t="str">
        <f aca="false">IF($A8="","",IF($F8="","Count it",IF($F8&lt;=$E8,"REORDER","OK")))</f>
        <v>OK</v>
      </c>
      <c r="I8" s="31" t="n">
        <f aca="false">IF(OR($A8="",$F8=""),"",MAX(0,$D8-$F8))</f>
        <v>2</v>
      </c>
      <c r="J8" s="28" t="n">
        <f aca="false">IF(OR($A8="",$I8=""),"",$I8*IFERROR(INDEX(Supplies!$F$5:$F$104,MATCH($B8,Supplies!$A$5:$A$104,0)),0))</f>
        <v>0.48</v>
      </c>
    </row>
    <row r="9" customFormat="false" ht="15" hidden="false" customHeight="false" outlineLevel="0" collapsed="false">
      <c r="A9" s="23" t="s">
        <v>115</v>
      </c>
      <c r="B9" s="23" t="s">
        <v>141</v>
      </c>
      <c r="C9" s="27" t="str">
        <f aca="false">IF($B9="","",IFERROR(INDEX(Supplies!$B$5:$B$104,MATCH($B9,Supplies!$A$5:$A$104,0)),"?"))</f>
        <v>Mini conditioner</v>
      </c>
      <c r="D9" s="32" t="n">
        <v>6</v>
      </c>
      <c r="E9" s="32" t="n">
        <v>2</v>
      </c>
      <c r="F9" s="32" t="n">
        <v>4</v>
      </c>
      <c r="G9" s="22" t="n">
        <v>46319</v>
      </c>
      <c r="H9" s="27" t="str">
        <f aca="false">IF($A9="","",IF($F9="","Count it",IF($F9&lt;=$E9,"REORDER","OK")))</f>
        <v>OK</v>
      </c>
      <c r="I9" s="31" t="n">
        <f aca="false">IF(OR($A9="",$F9=""),"",MAX(0,$D9-$F9))</f>
        <v>2</v>
      </c>
      <c r="J9" s="28" t="n">
        <f aca="false">IF(OR($A9="",$I9=""),"",$I9*IFERROR(INDEX(Supplies!$F$5:$F$104,MATCH($B9,Supplies!$A$5:$A$104,0)),0))</f>
        <v>0.48</v>
      </c>
    </row>
    <row r="10" customFormat="false" ht="15" hidden="false" customHeight="false" outlineLevel="0" collapsed="false">
      <c r="A10" s="23" t="s">
        <v>115</v>
      </c>
      <c r="B10" s="23" t="s">
        <v>142</v>
      </c>
      <c r="C10" s="27" t="str">
        <f aca="false">IF($B10="","",IFERROR(INDEX(Supplies!$B$5:$B$104,MATCH($B10,Supplies!$A$5:$A$104,0)),"?"))</f>
        <v>Mini shower gel</v>
      </c>
      <c r="D10" s="32" t="n">
        <v>6</v>
      </c>
      <c r="E10" s="32" t="n">
        <v>2</v>
      </c>
      <c r="F10" s="32" t="n">
        <v>2</v>
      </c>
      <c r="G10" s="22" t="n">
        <v>46319</v>
      </c>
      <c r="H10" s="27" t="str">
        <f aca="false">IF($A10="","",IF($F10="","Count it",IF($F10&lt;=$E10,"REORDER","OK")))</f>
        <v>REORDER</v>
      </c>
      <c r="I10" s="31" t="n">
        <f aca="false">IF(OR($A10="",$F10=""),"",MAX(0,$D10-$F10))</f>
        <v>4</v>
      </c>
      <c r="J10" s="28" t="n">
        <f aca="false">IF(OR($A10="",$I10=""),"",$I10*IFERROR(INDEX(Supplies!$F$5:$F$104,MATCH($B10,Supplies!$A$5:$A$104,0)),0))</f>
        <v>0.96</v>
      </c>
    </row>
    <row r="11" customFormat="false" ht="15" hidden="false" customHeight="false" outlineLevel="0" collapsed="false">
      <c r="A11" s="23" t="s">
        <v>115</v>
      </c>
      <c r="B11" s="23" t="s">
        <v>143</v>
      </c>
      <c r="C11" s="27" t="str">
        <f aca="false">IF($B11="","",IFERROR(INDEX(Supplies!$B$5:$B$104,MATCH($B11,Supplies!$A$5:$A$104,0)),"?"))</f>
        <v>Dishwasher tablets</v>
      </c>
      <c r="D11" s="32" t="n">
        <v>20</v>
      </c>
      <c r="E11" s="32" t="n">
        <v>8</v>
      </c>
      <c r="F11" s="32" t="n">
        <v>14</v>
      </c>
      <c r="G11" s="22" t="n">
        <v>46319</v>
      </c>
      <c r="H11" s="27" t="str">
        <f aca="false">IF($A11="","",IF($F11="","Count it",IF($F11&lt;=$E11,"REORDER","OK")))</f>
        <v>OK</v>
      </c>
      <c r="I11" s="31" t="n">
        <f aca="false">IF(OR($A11="",$F11=""),"",MAX(0,$D11-$F11))</f>
        <v>6</v>
      </c>
      <c r="J11" s="28" t="n">
        <f aca="false">IF(OR($A11="",$I11=""),"",$I11*IFERROR(INDEX(Supplies!$F$5:$F$104,MATCH($B11,Supplies!$A$5:$A$104,0)),0))</f>
        <v>0.9</v>
      </c>
    </row>
    <row r="12" customFormat="false" ht="15" hidden="false" customHeight="false" outlineLevel="0" collapsed="false">
      <c r="A12" s="23" t="s">
        <v>115</v>
      </c>
      <c r="B12" s="23" t="s">
        <v>144</v>
      </c>
      <c r="C12" s="27" t="str">
        <f aca="false">IF($B12="","",IFERROR(INDEX(Supplies!$B$5:$B$104,MATCH($B12,Supplies!$A$5:$A$104,0)),"?"))</f>
        <v>Washing-up liquid</v>
      </c>
      <c r="D12" s="32" t="n">
        <v>2</v>
      </c>
      <c r="E12" s="32" t="n">
        <v>1</v>
      </c>
      <c r="F12" s="32" t="n">
        <v>2</v>
      </c>
      <c r="G12" s="22" t="n">
        <v>46319</v>
      </c>
      <c r="H12" s="27" t="str">
        <f aca="false">IF($A12="","",IF($F12="","Count it",IF($F12&lt;=$E12,"REORDER","OK")))</f>
        <v>OK</v>
      </c>
      <c r="I12" s="31" t="n">
        <f aca="false">IF(OR($A12="",$F12=""),"",MAX(0,$D12-$F12))</f>
        <v>0</v>
      </c>
      <c r="J12" s="28" t="n">
        <f aca="false">IF(OR($A12="",$I12=""),"",$I12*IFERROR(INDEX(Supplies!$F$5:$F$104,MATCH($B12,Supplies!$A$5:$A$104,0)),0))</f>
        <v>0</v>
      </c>
    </row>
    <row r="13" customFormat="false" ht="15" hidden="false" customHeight="false" outlineLevel="0" collapsed="false">
      <c r="A13" s="23" t="s">
        <v>115</v>
      </c>
      <c r="B13" s="23" t="s">
        <v>145</v>
      </c>
      <c r="C13" s="27" t="str">
        <f aca="false">IF($B13="","",IFERROR(INDEX(Supplies!$B$5:$B$104,MATCH($B13,Supplies!$A$5:$A$104,0)),"?"))</f>
        <v>Sponge scourers</v>
      </c>
      <c r="D13" s="32" t="n">
        <v>3</v>
      </c>
      <c r="E13" s="32" t="n">
        <v>1</v>
      </c>
      <c r="F13" s="32" t="n">
        <v>2</v>
      </c>
      <c r="G13" s="22" t="n">
        <v>46319</v>
      </c>
      <c r="H13" s="27" t="str">
        <f aca="false">IF($A13="","",IF($F13="","Count it",IF($F13&lt;=$E13,"REORDER","OK")))</f>
        <v>OK</v>
      </c>
      <c r="I13" s="31" t="n">
        <f aca="false">IF(OR($A13="",$F13=""),"",MAX(0,$D13-$F13))</f>
        <v>1</v>
      </c>
      <c r="J13" s="28" t="n">
        <f aca="false">IF(OR($A13="",$I13=""),"",$I13*IFERROR(INDEX(Supplies!$F$5:$F$104,MATCH($B13,Supplies!$A$5:$A$104,0)),0))</f>
        <v>0.3</v>
      </c>
    </row>
    <row r="14" customFormat="false" ht="15" hidden="false" customHeight="false" outlineLevel="0" collapsed="false">
      <c r="A14" s="23" t="s">
        <v>115</v>
      </c>
      <c r="B14" s="23" t="s">
        <v>146</v>
      </c>
      <c r="C14" s="27" t="str">
        <f aca="false">IF($B14="","",IFERROR(INDEX(Supplies!$B$5:$B$104,MATCH($B14,Supplies!$A$5:$A$104,0)),"?"))</f>
        <v>Bin bags (kitchen)</v>
      </c>
      <c r="D14" s="32" t="n">
        <v>20</v>
      </c>
      <c r="E14" s="32" t="n">
        <v>8</v>
      </c>
      <c r="F14" s="32" t="n">
        <v>7</v>
      </c>
      <c r="G14" s="22" t="n">
        <v>46319</v>
      </c>
      <c r="H14" s="27" t="str">
        <f aca="false">IF($A14="","",IF($F14="","Count it",IF($F14&lt;=$E14,"REORDER","OK")))</f>
        <v>REORDER</v>
      </c>
      <c r="I14" s="31" t="n">
        <f aca="false">IF(OR($A14="",$F14=""),"",MAX(0,$D14-$F14))</f>
        <v>13</v>
      </c>
      <c r="J14" s="28" t="n">
        <f aca="false">IF(OR($A14="",$I14=""),"",$I14*IFERROR(INDEX(Supplies!$F$5:$F$104,MATCH($B14,Supplies!$A$5:$A$104,0)),0))</f>
        <v>1.04</v>
      </c>
    </row>
    <row r="15" customFormat="false" ht="15" hidden="false" customHeight="false" outlineLevel="0" collapsed="false">
      <c r="A15" s="23" t="s">
        <v>115</v>
      </c>
      <c r="B15" s="23" t="s">
        <v>147</v>
      </c>
      <c r="C15" s="27" t="str">
        <f aca="false">IF($B15="","",IFERROR(INDEX(Supplies!$B$5:$B$104,MATCH($B15,Supplies!$A$5:$A$104,0)),"?"))</f>
        <v>Tea bags</v>
      </c>
      <c r="D15" s="32" t="n">
        <v>40</v>
      </c>
      <c r="E15" s="32" t="n">
        <v>15</v>
      </c>
      <c r="F15" s="32" t="n">
        <v>22</v>
      </c>
      <c r="G15" s="22" t="n">
        <v>46319</v>
      </c>
      <c r="H15" s="27" t="str">
        <f aca="false">IF($A15="","",IF($F15="","Count it",IF($F15&lt;=$E15,"REORDER","OK")))</f>
        <v>OK</v>
      </c>
      <c r="I15" s="31" t="n">
        <f aca="false">IF(OR($A15="",$F15=""),"",MAX(0,$D15-$F15))</f>
        <v>18</v>
      </c>
      <c r="J15" s="28" t="n">
        <f aca="false">IF(OR($A15="",$I15=""),"",$I15*IFERROR(INDEX(Supplies!$F$5:$F$104,MATCH($B15,Supplies!$A$5:$A$104,0)),0))</f>
        <v>0.45</v>
      </c>
    </row>
    <row r="16" customFormat="false" ht="15" hidden="false" customHeight="false" outlineLevel="0" collapsed="false">
      <c r="A16" s="23" t="s">
        <v>115</v>
      </c>
      <c r="B16" s="23" t="s">
        <v>148</v>
      </c>
      <c r="C16" s="27" t="str">
        <f aca="false">IF($B16="","",IFERROR(INDEX(Supplies!$B$5:$B$104,MATCH($B16,Supplies!$A$5:$A$104,0)),"?"))</f>
        <v>Coffee sachets / pods</v>
      </c>
      <c r="D16" s="32" t="n">
        <v>20</v>
      </c>
      <c r="E16" s="32" t="n">
        <v>8</v>
      </c>
      <c r="F16" s="32" t="n">
        <v>9</v>
      </c>
      <c r="G16" s="22" t="n">
        <v>46319</v>
      </c>
      <c r="H16" s="27" t="str">
        <f aca="false">IF($A16="","",IF($F16="","Count it",IF($F16&lt;=$E16,"REORDER","OK")))</f>
        <v>OK</v>
      </c>
      <c r="I16" s="31" t="n">
        <f aca="false">IF(OR($A16="",$F16=""),"",MAX(0,$D16-$F16))</f>
        <v>11</v>
      </c>
      <c r="J16" s="28" t="n">
        <f aca="false">IF(OR($A16="",$I16=""),"",$I16*IFERROR(INDEX(Supplies!$F$5:$F$104,MATCH($B16,Supplies!$A$5:$A$104,0)),0))</f>
        <v>1.65</v>
      </c>
    </row>
    <row r="17" customFormat="false" ht="15" hidden="false" customHeight="false" outlineLevel="0" collapsed="false">
      <c r="A17" s="23" t="s">
        <v>115</v>
      </c>
      <c r="B17" s="23" t="s">
        <v>149</v>
      </c>
      <c r="C17" s="27" t="str">
        <f aca="false">IF($B17="","",IFERROR(INDEX(Supplies!$B$5:$B$104,MATCH($B17,Supplies!$A$5:$A$104,0)),"?"))</f>
        <v>Sugar sachets</v>
      </c>
      <c r="D17" s="32" t="n">
        <v>30</v>
      </c>
      <c r="E17" s="32" t="n">
        <v>10</v>
      </c>
      <c r="F17" s="32" t="n">
        <v>18</v>
      </c>
      <c r="G17" s="22" t="n">
        <v>46319</v>
      </c>
      <c r="H17" s="27" t="str">
        <f aca="false">IF($A17="","",IF($F17="","Count it",IF($F17&lt;=$E17,"REORDER","OK")))</f>
        <v>OK</v>
      </c>
      <c r="I17" s="31" t="n">
        <f aca="false">IF(OR($A17="",$F17=""),"",MAX(0,$D17-$F17))</f>
        <v>12</v>
      </c>
      <c r="J17" s="28" t="n">
        <f aca="false">IF(OR($A17="",$I17=""),"",$I17*IFERROR(INDEX(Supplies!$F$5:$F$104,MATCH($B17,Supplies!$A$5:$A$104,0)),0))</f>
        <v>0.12</v>
      </c>
    </row>
    <row r="18" customFormat="false" ht="15" hidden="false" customHeight="false" outlineLevel="0" collapsed="false">
      <c r="A18" s="23" t="s">
        <v>115</v>
      </c>
      <c r="B18" s="23" t="s">
        <v>150</v>
      </c>
      <c r="C18" s="27" t="str">
        <f aca="false">IF($B18="","",IFERROR(INDEX(Supplies!$B$5:$B$104,MATCH($B18,Supplies!$A$5:$A$104,0)),"?"))</f>
        <v>UHT milk portions</v>
      </c>
      <c r="D18" s="32" t="n">
        <v>12</v>
      </c>
      <c r="E18" s="32" t="n">
        <v>4</v>
      </c>
      <c r="F18" s="32" t="n">
        <v>3</v>
      </c>
      <c r="G18" s="22" t="n">
        <v>46319</v>
      </c>
      <c r="H18" s="27" t="str">
        <f aca="false">IF($A18="","",IF($F18="","Count it",IF($F18&lt;=$E18,"REORDER","OK")))</f>
        <v>REORDER</v>
      </c>
      <c r="I18" s="31" t="n">
        <f aca="false">IF(OR($A18="",$F18=""),"",MAX(0,$D18-$F18))</f>
        <v>9</v>
      </c>
      <c r="J18" s="28" t="n">
        <f aca="false">IF(OR($A18="",$I18=""),"",$I18*IFERROR(INDEX(Supplies!$F$5:$F$104,MATCH($B18,Supplies!$A$5:$A$104,0)),0))</f>
        <v>0.675</v>
      </c>
    </row>
    <row r="19" customFormat="false" ht="15" hidden="false" customHeight="false" outlineLevel="0" collapsed="false">
      <c r="A19" s="23" t="s">
        <v>115</v>
      </c>
      <c r="B19" s="23" t="s">
        <v>151</v>
      </c>
      <c r="C19" s="27" t="str">
        <f aca="false">IF($B19="","",IFERROR(INDEX(Supplies!$B$5:$B$104,MATCH($B19,Supplies!$A$5:$A$104,0)),"?"))</f>
        <v>Laundry detergent pods</v>
      </c>
      <c r="D19" s="32" t="n">
        <v>15</v>
      </c>
      <c r="E19" s="32" t="n">
        <v>6</v>
      </c>
      <c r="F19" s="32" t="n">
        <v>10</v>
      </c>
      <c r="G19" s="22" t="n">
        <v>46319</v>
      </c>
      <c r="H19" s="27" t="str">
        <f aca="false">IF($A19="","",IF($F19="","Count it",IF($F19&lt;=$E19,"REORDER","OK")))</f>
        <v>OK</v>
      </c>
      <c r="I19" s="31" t="n">
        <f aca="false">IF(OR($A19="",$F19=""),"",MAX(0,$D19-$F19))</f>
        <v>5</v>
      </c>
      <c r="J19" s="28" t="n">
        <f aca="false">IF(OR($A19="",$I19=""),"",$I19*IFERROR(INDEX(Supplies!$F$5:$F$104,MATCH($B19,Supplies!$A$5:$A$104,0)),0))</f>
        <v>1</v>
      </c>
    </row>
    <row r="20" customFormat="false" ht="15" hidden="false" customHeight="false" outlineLevel="0" collapsed="false">
      <c r="A20" s="23" t="s">
        <v>115</v>
      </c>
      <c r="B20" s="23" t="s">
        <v>152</v>
      </c>
      <c r="C20" s="27" t="str">
        <f aca="false">IF($B20="","",IFERROR(INDEX(Supplies!$B$5:$B$104,MATCH($B20,Supplies!$A$5:$A$104,0)),"?"))</f>
        <v>LED bulb E27 (screw)</v>
      </c>
      <c r="D20" s="32" t="n">
        <v>2</v>
      </c>
      <c r="E20" s="32" t="n">
        <v>1</v>
      </c>
      <c r="F20" s="32" t="n">
        <v>2</v>
      </c>
      <c r="G20" s="22" t="n">
        <v>46319</v>
      </c>
      <c r="H20" s="27" t="str">
        <f aca="false">IF($A20="","",IF($F20="","Count it",IF($F20&lt;=$E20,"REORDER","OK")))</f>
        <v>OK</v>
      </c>
      <c r="I20" s="31" t="n">
        <f aca="false">IF(OR($A20="",$F20=""),"",MAX(0,$D20-$F20))</f>
        <v>0</v>
      </c>
      <c r="J20" s="28" t="n">
        <f aca="false">IF(OR($A20="",$I20=""),"",$I20*IFERROR(INDEX(Supplies!$F$5:$F$104,MATCH($B20,Supplies!$A$5:$A$104,0)),0))</f>
        <v>0</v>
      </c>
    </row>
    <row r="21" customFormat="false" ht="15" hidden="false" customHeight="false" outlineLevel="0" collapsed="false">
      <c r="A21" s="23" t="s">
        <v>115</v>
      </c>
      <c r="B21" s="23" t="s">
        <v>153</v>
      </c>
      <c r="C21" s="27" t="str">
        <f aca="false">IF($B21="","",IFERROR(INDEX(Supplies!$B$5:$B$104,MATCH($B21,Supplies!$A$5:$A$104,0)),"?"))</f>
        <v>AA batteries</v>
      </c>
      <c r="D21" s="32" t="n">
        <v>4</v>
      </c>
      <c r="E21" s="32" t="n">
        <v>2</v>
      </c>
      <c r="F21" s="32" t="n">
        <v>4</v>
      </c>
      <c r="G21" s="22" t="n">
        <v>46319</v>
      </c>
      <c r="H21" s="27" t="str">
        <f aca="false">IF($A21="","",IF($F21="","Count it",IF($F21&lt;=$E21,"REORDER","OK")))</f>
        <v>OK</v>
      </c>
      <c r="I21" s="31" t="n">
        <f aca="false">IF(OR($A21="",$F21=""),"",MAX(0,$D21-$F21))</f>
        <v>0</v>
      </c>
      <c r="J21" s="28" t="n">
        <f aca="false">IF(OR($A21="",$I21=""),"",$I21*IFERROR(INDEX(Supplies!$F$5:$F$104,MATCH($B21,Supplies!$A$5:$A$104,0)),0))</f>
        <v>0</v>
      </c>
    </row>
    <row r="22" customFormat="false" ht="15" hidden="false" customHeight="false" outlineLevel="0" collapsed="false">
      <c r="A22" s="23"/>
      <c r="B22" s="23"/>
      <c r="C22" s="27" t="str">
        <f aca="false">IF($B22="","",IFERROR(INDEX(Supplies!$B$5:$B$104,MATCH($B22,Supplies!$A$5:$A$104,0)),"?"))</f>
        <v/>
      </c>
      <c r="D22" s="32"/>
      <c r="E22" s="32"/>
      <c r="F22" s="32"/>
      <c r="G22" s="22"/>
      <c r="H22" s="27" t="str">
        <f aca="false">IF($A22="","",IF($F22="","Count it",IF($F22&lt;=$E22,"REORDER","OK")))</f>
        <v/>
      </c>
      <c r="I22" s="31" t="str">
        <f aca="false">IF(OR($A22="",$F22=""),"",MAX(0,$D22-$F22))</f>
        <v/>
      </c>
      <c r="J22" s="28" t="str">
        <f aca="false">IF(OR($A22="",$I22=""),"",$I22*IFERROR(INDEX(Supplies!$F$5:$F$104,MATCH($B22,Supplies!$A$5:$A$104,0)),0))</f>
        <v/>
      </c>
    </row>
    <row r="23" customFormat="false" ht="15" hidden="false" customHeight="false" outlineLevel="0" collapsed="false">
      <c r="A23" s="23"/>
      <c r="B23" s="23"/>
      <c r="C23" s="27" t="str">
        <f aca="false">IF($B23="","",IFERROR(INDEX(Supplies!$B$5:$B$104,MATCH($B23,Supplies!$A$5:$A$104,0)),"?"))</f>
        <v/>
      </c>
      <c r="D23" s="32"/>
      <c r="E23" s="32"/>
      <c r="F23" s="32"/>
      <c r="G23" s="22"/>
      <c r="H23" s="27" t="str">
        <f aca="false">IF($A23="","",IF($F23="","Count it",IF($F23&lt;=$E23,"REORDER","OK")))</f>
        <v/>
      </c>
      <c r="I23" s="31" t="str">
        <f aca="false">IF(OR($A23="",$F23=""),"",MAX(0,$D23-$F23))</f>
        <v/>
      </c>
      <c r="J23" s="28" t="str">
        <f aca="false">IF(OR($A23="",$I23=""),"",$I23*IFERROR(INDEX(Supplies!$F$5:$F$104,MATCH($B23,Supplies!$A$5:$A$104,0)),0))</f>
        <v/>
      </c>
    </row>
    <row r="24" customFormat="false" ht="15" hidden="false" customHeight="false" outlineLevel="0" collapsed="false">
      <c r="A24" s="23"/>
      <c r="B24" s="23"/>
      <c r="C24" s="27" t="str">
        <f aca="false">IF($B24="","",IFERROR(INDEX(Supplies!$B$5:$B$104,MATCH($B24,Supplies!$A$5:$A$104,0)),"?"))</f>
        <v/>
      </c>
      <c r="D24" s="32"/>
      <c r="E24" s="32"/>
      <c r="F24" s="32"/>
      <c r="G24" s="22"/>
      <c r="H24" s="27" t="str">
        <f aca="false">IF($A24="","",IF($F24="","Count it",IF($F24&lt;=$E24,"REORDER","OK")))</f>
        <v/>
      </c>
      <c r="I24" s="31" t="str">
        <f aca="false">IF(OR($A24="",$F24=""),"",MAX(0,$D24-$F24))</f>
        <v/>
      </c>
      <c r="J24" s="28" t="str">
        <f aca="false">IF(OR($A24="",$I24=""),"",$I24*IFERROR(INDEX(Supplies!$F$5:$F$104,MATCH($B24,Supplies!$A$5:$A$104,0)),0))</f>
        <v/>
      </c>
    </row>
    <row r="25" customFormat="false" ht="15" hidden="false" customHeight="false" outlineLevel="0" collapsed="false">
      <c r="A25" s="23"/>
      <c r="B25" s="23"/>
      <c r="C25" s="27" t="str">
        <f aca="false">IF($B25="","",IFERROR(INDEX(Supplies!$B$5:$B$104,MATCH($B25,Supplies!$A$5:$A$104,0)),"?"))</f>
        <v/>
      </c>
      <c r="D25" s="32"/>
      <c r="E25" s="32"/>
      <c r="F25" s="32"/>
      <c r="G25" s="22"/>
      <c r="H25" s="27" t="str">
        <f aca="false">IF($A25="","",IF($F25="","Count it",IF($F25&lt;=$E25,"REORDER","OK")))</f>
        <v/>
      </c>
      <c r="I25" s="31" t="str">
        <f aca="false">IF(OR($A25="",$F25=""),"",MAX(0,$D25-$F25))</f>
        <v/>
      </c>
      <c r="J25" s="28" t="str">
        <f aca="false">IF(OR($A25="",$I25=""),"",$I25*IFERROR(INDEX(Supplies!$F$5:$F$104,MATCH($B25,Supplies!$A$5:$A$104,0)),0))</f>
        <v/>
      </c>
    </row>
    <row r="26" customFormat="false" ht="15" hidden="false" customHeight="false" outlineLevel="0" collapsed="false">
      <c r="A26" s="23"/>
      <c r="B26" s="23"/>
      <c r="C26" s="27" t="str">
        <f aca="false">IF($B26="","",IFERROR(INDEX(Supplies!$B$5:$B$104,MATCH($B26,Supplies!$A$5:$A$104,0)),"?"))</f>
        <v/>
      </c>
      <c r="D26" s="32"/>
      <c r="E26" s="32"/>
      <c r="F26" s="32"/>
      <c r="G26" s="22"/>
      <c r="H26" s="27" t="str">
        <f aca="false">IF($A26="","",IF($F26="","Count it",IF($F26&lt;=$E26,"REORDER","OK")))</f>
        <v/>
      </c>
      <c r="I26" s="31" t="str">
        <f aca="false">IF(OR($A26="",$F26=""),"",MAX(0,$D26-$F26))</f>
        <v/>
      </c>
      <c r="J26" s="28" t="str">
        <f aca="false">IF(OR($A26="",$I26=""),"",$I26*IFERROR(INDEX(Supplies!$F$5:$F$104,MATCH($B26,Supplies!$A$5:$A$104,0)),0))</f>
        <v/>
      </c>
    </row>
    <row r="27" customFormat="false" ht="15" hidden="false" customHeight="false" outlineLevel="0" collapsed="false">
      <c r="A27" s="23"/>
      <c r="B27" s="23"/>
      <c r="C27" s="27" t="str">
        <f aca="false">IF($B27="","",IFERROR(INDEX(Supplies!$B$5:$B$104,MATCH($B27,Supplies!$A$5:$A$104,0)),"?"))</f>
        <v/>
      </c>
      <c r="D27" s="32"/>
      <c r="E27" s="32"/>
      <c r="F27" s="32"/>
      <c r="G27" s="22"/>
      <c r="H27" s="27" t="str">
        <f aca="false">IF($A27="","",IF($F27="","Count it",IF($F27&lt;=$E27,"REORDER","OK")))</f>
        <v/>
      </c>
      <c r="I27" s="31" t="str">
        <f aca="false">IF(OR($A27="",$F27=""),"",MAX(0,$D27-$F27))</f>
        <v/>
      </c>
      <c r="J27" s="28" t="str">
        <f aca="false">IF(OR($A27="",$I27=""),"",$I27*IFERROR(INDEX(Supplies!$F$5:$F$104,MATCH($B27,Supplies!$A$5:$A$104,0)),0))</f>
        <v/>
      </c>
    </row>
    <row r="28" customFormat="false" ht="15" hidden="false" customHeight="false" outlineLevel="0" collapsed="false">
      <c r="A28" s="23"/>
      <c r="B28" s="23"/>
      <c r="C28" s="27" t="str">
        <f aca="false">IF($B28="","",IFERROR(INDEX(Supplies!$B$5:$B$104,MATCH($B28,Supplies!$A$5:$A$104,0)),"?"))</f>
        <v/>
      </c>
      <c r="D28" s="32"/>
      <c r="E28" s="32"/>
      <c r="F28" s="32"/>
      <c r="G28" s="22"/>
      <c r="H28" s="27" t="str">
        <f aca="false">IF($A28="","",IF($F28="","Count it",IF($F28&lt;=$E28,"REORDER","OK")))</f>
        <v/>
      </c>
      <c r="I28" s="31" t="str">
        <f aca="false">IF(OR($A28="",$F28=""),"",MAX(0,$D28-$F28))</f>
        <v/>
      </c>
      <c r="J28" s="28" t="str">
        <f aca="false">IF(OR($A28="",$I28=""),"",$I28*IFERROR(INDEX(Supplies!$F$5:$F$104,MATCH($B28,Supplies!$A$5:$A$104,0)),0))</f>
        <v/>
      </c>
    </row>
    <row r="29" customFormat="false" ht="15" hidden="false" customHeight="false" outlineLevel="0" collapsed="false">
      <c r="A29" s="23"/>
      <c r="B29" s="23"/>
      <c r="C29" s="27" t="str">
        <f aca="false">IF($B29="","",IFERROR(INDEX(Supplies!$B$5:$B$104,MATCH($B29,Supplies!$A$5:$A$104,0)),"?"))</f>
        <v/>
      </c>
      <c r="D29" s="32"/>
      <c r="E29" s="32"/>
      <c r="F29" s="32"/>
      <c r="G29" s="22"/>
      <c r="H29" s="27" t="str">
        <f aca="false">IF($A29="","",IF($F29="","Count it",IF($F29&lt;=$E29,"REORDER","OK")))</f>
        <v/>
      </c>
      <c r="I29" s="31" t="str">
        <f aca="false">IF(OR($A29="",$F29=""),"",MAX(0,$D29-$F29))</f>
        <v/>
      </c>
      <c r="J29" s="28" t="str">
        <f aca="false">IF(OR($A29="",$I29=""),"",$I29*IFERROR(INDEX(Supplies!$F$5:$F$104,MATCH($B29,Supplies!$A$5:$A$104,0)),0))</f>
        <v/>
      </c>
    </row>
    <row r="30" customFormat="false" ht="15" hidden="false" customHeight="false" outlineLevel="0" collapsed="false">
      <c r="A30" s="23"/>
      <c r="B30" s="23"/>
      <c r="C30" s="27" t="str">
        <f aca="false">IF($B30="","",IFERROR(INDEX(Supplies!$B$5:$B$104,MATCH($B30,Supplies!$A$5:$A$104,0)),"?"))</f>
        <v/>
      </c>
      <c r="D30" s="32"/>
      <c r="E30" s="32"/>
      <c r="F30" s="32"/>
      <c r="G30" s="22"/>
      <c r="H30" s="27" t="str">
        <f aca="false">IF($A30="","",IF($F30="","Count it",IF($F30&lt;=$E30,"REORDER","OK")))</f>
        <v/>
      </c>
      <c r="I30" s="31" t="str">
        <f aca="false">IF(OR($A30="",$F30=""),"",MAX(0,$D30-$F30))</f>
        <v/>
      </c>
      <c r="J30" s="28" t="str">
        <f aca="false">IF(OR($A30="",$I30=""),"",$I30*IFERROR(INDEX(Supplies!$F$5:$F$104,MATCH($B30,Supplies!$A$5:$A$104,0)),0))</f>
        <v/>
      </c>
    </row>
    <row r="31" customFormat="false" ht="15" hidden="false" customHeight="false" outlineLevel="0" collapsed="false">
      <c r="A31" s="23"/>
      <c r="B31" s="23"/>
      <c r="C31" s="27" t="str">
        <f aca="false">IF($B31="","",IFERROR(INDEX(Supplies!$B$5:$B$104,MATCH($B31,Supplies!$A$5:$A$104,0)),"?"))</f>
        <v/>
      </c>
      <c r="D31" s="32"/>
      <c r="E31" s="32"/>
      <c r="F31" s="32"/>
      <c r="G31" s="22"/>
      <c r="H31" s="27" t="str">
        <f aca="false">IF($A31="","",IF($F31="","Count it",IF($F31&lt;=$E31,"REORDER","OK")))</f>
        <v/>
      </c>
      <c r="I31" s="31" t="str">
        <f aca="false">IF(OR($A31="",$F31=""),"",MAX(0,$D31-$F31))</f>
        <v/>
      </c>
      <c r="J31" s="28" t="str">
        <f aca="false">IF(OR($A31="",$I31=""),"",$I31*IFERROR(INDEX(Supplies!$F$5:$F$104,MATCH($B31,Supplies!$A$5:$A$104,0)),0))</f>
        <v/>
      </c>
    </row>
    <row r="32" customFormat="false" ht="15" hidden="false" customHeight="false" outlineLevel="0" collapsed="false">
      <c r="A32" s="23"/>
      <c r="B32" s="23"/>
      <c r="C32" s="27" t="str">
        <f aca="false">IF($B32="","",IFERROR(INDEX(Supplies!$B$5:$B$104,MATCH($B32,Supplies!$A$5:$A$104,0)),"?"))</f>
        <v/>
      </c>
      <c r="D32" s="32"/>
      <c r="E32" s="32"/>
      <c r="F32" s="32"/>
      <c r="G32" s="22"/>
      <c r="H32" s="27" t="str">
        <f aca="false">IF($A32="","",IF($F32="","Count it",IF($F32&lt;=$E32,"REORDER","OK")))</f>
        <v/>
      </c>
      <c r="I32" s="31" t="str">
        <f aca="false">IF(OR($A32="",$F32=""),"",MAX(0,$D32-$F32))</f>
        <v/>
      </c>
      <c r="J32" s="28" t="str">
        <f aca="false">IF(OR($A32="",$I32=""),"",$I32*IFERROR(INDEX(Supplies!$F$5:$F$104,MATCH($B32,Supplies!$A$5:$A$104,0)),0))</f>
        <v/>
      </c>
    </row>
    <row r="33" customFormat="false" ht="15" hidden="false" customHeight="false" outlineLevel="0" collapsed="false">
      <c r="A33" s="23"/>
      <c r="B33" s="23"/>
      <c r="C33" s="27" t="str">
        <f aca="false">IF($B33="","",IFERROR(INDEX(Supplies!$B$5:$B$104,MATCH($B33,Supplies!$A$5:$A$104,0)),"?"))</f>
        <v/>
      </c>
      <c r="D33" s="32"/>
      <c r="E33" s="32"/>
      <c r="F33" s="32"/>
      <c r="G33" s="22"/>
      <c r="H33" s="27" t="str">
        <f aca="false">IF($A33="","",IF($F33="","Count it",IF($F33&lt;=$E33,"REORDER","OK")))</f>
        <v/>
      </c>
      <c r="I33" s="31" t="str">
        <f aca="false">IF(OR($A33="",$F33=""),"",MAX(0,$D33-$F33))</f>
        <v/>
      </c>
      <c r="J33" s="28" t="str">
        <f aca="false">IF(OR($A33="",$I33=""),"",$I33*IFERROR(INDEX(Supplies!$F$5:$F$104,MATCH($B33,Supplies!$A$5:$A$104,0)),0))</f>
        <v/>
      </c>
    </row>
    <row r="34" customFormat="false" ht="15" hidden="false" customHeight="false" outlineLevel="0" collapsed="false">
      <c r="A34" s="23"/>
      <c r="B34" s="23"/>
      <c r="C34" s="27" t="str">
        <f aca="false">IF($B34="","",IFERROR(INDEX(Supplies!$B$5:$B$104,MATCH($B34,Supplies!$A$5:$A$104,0)),"?"))</f>
        <v/>
      </c>
      <c r="D34" s="32"/>
      <c r="E34" s="32"/>
      <c r="F34" s="32"/>
      <c r="G34" s="22"/>
      <c r="H34" s="27" t="str">
        <f aca="false">IF($A34="","",IF($F34="","Count it",IF($F34&lt;=$E34,"REORDER","OK")))</f>
        <v/>
      </c>
      <c r="I34" s="31" t="str">
        <f aca="false">IF(OR($A34="",$F34=""),"",MAX(0,$D34-$F34))</f>
        <v/>
      </c>
      <c r="J34" s="28" t="str">
        <f aca="false">IF(OR($A34="",$I34=""),"",$I34*IFERROR(INDEX(Supplies!$F$5:$F$104,MATCH($B34,Supplies!$A$5:$A$104,0)),0))</f>
        <v/>
      </c>
    </row>
    <row r="35" customFormat="false" ht="15" hidden="false" customHeight="false" outlineLevel="0" collapsed="false">
      <c r="A35" s="23"/>
      <c r="B35" s="23"/>
      <c r="C35" s="27" t="str">
        <f aca="false">IF($B35="","",IFERROR(INDEX(Supplies!$B$5:$B$104,MATCH($B35,Supplies!$A$5:$A$104,0)),"?"))</f>
        <v/>
      </c>
      <c r="D35" s="32"/>
      <c r="E35" s="32"/>
      <c r="F35" s="32"/>
      <c r="G35" s="22"/>
      <c r="H35" s="27" t="str">
        <f aca="false">IF($A35="","",IF($F35="","Count it",IF($F35&lt;=$E35,"REORDER","OK")))</f>
        <v/>
      </c>
      <c r="I35" s="31" t="str">
        <f aca="false">IF(OR($A35="",$F35=""),"",MAX(0,$D35-$F35))</f>
        <v/>
      </c>
      <c r="J35" s="28" t="str">
        <f aca="false">IF(OR($A35="",$I35=""),"",$I35*IFERROR(INDEX(Supplies!$F$5:$F$104,MATCH($B35,Supplies!$A$5:$A$104,0)),0))</f>
        <v/>
      </c>
    </row>
    <row r="36" customFormat="false" ht="15" hidden="false" customHeight="false" outlineLevel="0" collapsed="false">
      <c r="A36" s="23"/>
      <c r="B36" s="23"/>
      <c r="C36" s="27" t="str">
        <f aca="false">IF($B36="","",IFERROR(INDEX(Supplies!$B$5:$B$104,MATCH($B36,Supplies!$A$5:$A$104,0)),"?"))</f>
        <v/>
      </c>
      <c r="D36" s="32"/>
      <c r="E36" s="32"/>
      <c r="F36" s="32"/>
      <c r="G36" s="22"/>
      <c r="H36" s="27" t="str">
        <f aca="false">IF($A36="","",IF($F36="","Count it",IF($F36&lt;=$E36,"REORDER","OK")))</f>
        <v/>
      </c>
      <c r="I36" s="31" t="str">
        <f aca="false">IF(OR($A36="",$F36=""),"",MAX(0,$D36-$F36))</f>
        <v/>
      </c>
      <c r="J36" s="28" t="str">
        <f aca="false">IF(OR($A36="",$I36=""),"",$I36*IFERROR(INDEX(Supplies!$F$5:$F$104,MATCH($B36,Supplies!$A$5:$A$104,0)),0))</f>
        <v/>
      </c>
    </row>
    <row r="37" customFormat="false" ht="15" hidden="false" customHeight="false" outlineLevel="0" collapsed="false">
      <c r="A37" s="23"/>
      <c r="B37" s="23"/>
      <c r="C37" s="27" t="str">
        <f aca="false">IF($B37="","",IFERROR(INDEX(Supplies!$B$5:$B$104,MATCH($B37,Supplies!$A$5:$A$104,0)),"?"))</f>
        <v/>
      </c>
      <c r="D37" s="32"/>
      <c r="E37" s="32"/>
      <c r="F37" s="32"/>
      <c r="G37" s="22"/>
      <c r="H37" s="27" t="str">
        <f aca="false">IF($A37="","",IF($F37="","Count it",IF($F37&lt;=$E37,"REORDER","OK")))</f>
        <v/>
      </c>
      <c r="I37" s="31" t="str">
        <f aca="false">IF(OR($A37="",$F37=""),"",MAX(0,$D37-$F37))</f>
        <v/>
      </c>
      <c r="J37" s="28" t="str">
        <f aca="false">IF(OR($A37="",$I37=""),"",$I37*IFERROR(INDEX(Supplies!$F$5:$F$104,MATCH($B37,Supplies!$A$5:$A$104,0)),0))</f>
        <v/>
      </c>
    </row>
    <row r="38" customFormat="false" ht="15" hidden="false" customHeight="false" outlineLevel="0" collapsed="false">
      <c r="A38" s="23"/>
      <c r="B38" s="23"/>
      <c r="C38" s="27" t="str">
        <f aca="false">IF($B38="","",IFERROR(INDEX(Supplies!$B$5:$B$104,MATCH($B38,Supplies!$A$5:$A$104,0)),"?"))</f>
        <v/>
      </c>
      <c r="D38" s="32"/>
      <c r="E38" s="32"/>
      <c r="F38" s="32"/>
      <c r="G38" s="22"/>
      <c r="H38" s="27" t="str">
        <f aca="false">IF($A38="","",IF($F38="","Count it",IF($F38&lt;=$E38,"REORDER","OK")))</f>
        <v/>
      </c>
      <c r="I38" s="31" t="str">
        <f aca="false">IF(OR($A38="",$F38=""),"",MAX(0,$D38-$F38))</f>
        <v/>
      </c>
      <c r="J38" s="28" t="str">
        <f aca="false">IF(OR($A38="",$I38=""),"",$I38*IFERROR(INDEX(Supplies!$F$5:$F$104,MATCH($B38,Supplies!$A$5:$A$104,0)),0))</f>
        <v/>
      </c>
    </row>
    <row r="39" customFormat="false" ht="15" hidden="false" customHeight="false" outlineLevel="0" collapsed="false">
      <c r="A39" s="23"/>
      <c r="B39" s="23"/>
      <c r="C39" s="27" t="str">
        <f aca="false">IF($B39="","",IFERROR(INDEX(Supplies!$B$5:$B$104,MATCH($B39,Supplies!$A$5:$A$104,0)),"?"))</f>
        <v/>
      </c>
      <c r="D39" s="32"/>
      <c r="E39" s="32"/>
      <c r="F39" s="32"/>
      <c r="G39" s="22"/>
      <c r="H39" s="27" t="str">
        <f aca="false">IF($A39="","",IF($F39="","Count it",IF($F39&lt;=$E39,"REORDER","OK")))</f>
        <v/>
      </c>
      <c r="I39" s="31" t="str">
        <f aca="false">IF(OR($A39="",$F39=""),"",MAX(0,$D39-$F39))</f>
        <v/>
      </c>
      <c r="J39" s="28" t="str">
        <f aca="false">IF(OR($A39="",$I39=""),"",$I39*IFERROR(INDEX(Supplies!$F$5:$F$104,MATCH($B39,Supplies!$A$5:$A$104,0)),0))</f>
        <v/>
      </c>
    </row>
    <row r="40" customFormat="false" ht="15" hidden="false" customHeight="false" outlineLevel="0" collapsed="false">
      <c r="A40" s="23"/>
      <c r="B40" s="23"/>
      <c r="C40" s="27" t="str">
        <f aca="false">IF($B40="","",IFERROR(INDEX(Supplies!$B$5:$B$104,MATCH($B40,Supplies!$A$5:$A$104,0)),"?"))</f>
        <v/>
      </c>
      <c r="D40" s="32"/>
      <c r="E40" s="32"/>
      <c r="F40" s="32"/>
      <c r="G40" s="22"/>
      <c r="H40" s="27" t="str">
        <f aca="false">IF($A40="","",IF($F40="","Count it",IF($F40&lt;=$E40,"REORDER","OK")))</f>
        <v/>
      </c>
      <c r="I40" s="31" t="str">
        <f aca="false">IF(OR($A40="",$F40=""),"",MAX(0,$D40-$F40))</f>
        <v/>
      </c>
      <c r="J40" s="28" t="str">
        <f aca="false">IF(OR($A40="",$I40=""),"",$I40*IFERROR(INDEX(Supplies!$F$5:$F$104,MATCH($B40,Supplies!$A$5:$A$104,0)),0))</f>
        <v/>
      </c>
    </row>
    <row r="41" customFormat="false" ht="15" hidden="false" customHeight="false" outlineLevel="0" collapsed="false">
      <c r="A41" s="23"/>
      <c r="B41" s="23"/>
      <c r="C41" s="27" t="str">
        <f aca="false">IF($B41="","",IFERROR(INDEX(Supplies!$B$5:$B$104,MATCH($B41,Supplies!$A$5:$A$104,0)),"?"))</f>
        <v/>
      </c>
      <c r="D41" s="32"/>
      <c r="E41" s="32"/>
      <c r="F41" s="32"/>
      <c r="G41" s="22"/>
      <c r="H41" s="27" t="str">
        <f aca="false">IF($A41="","",IF($F41="","Count it",IF($F41&lt;=$E41,"REORDER","OK")))</f>
        <v/>
      </c>
      <c r="I41" s="31" t="str">
        <f aca="false">IF(OR($A41="",$F41=""),"",MAX(0,$D41-$F41))</f>
        <v/>
      </c>
      <c r="J41" s="28" t="str">
        <f aca="false">IF(OR($A41="",$I41=""),"",$I41*IFERROR(INDEX(Supplies!$F$5:$F$104,MATCH($B41,Supplies!$A$5:$A$104,0)),0))</f>
        <v/>
      </c>
    </row>
    <row r="42" customFormat="false" ht="15" hidden="false" customHeight="false" outlineLevel="0" collapsed="false">
      <c r="A42" s="23"/>
      <c r="B42" s="23"/>
      <c r="C42" s="27" t="str">
        <f aca="false">IF($B42="","",IFERROR(INDEX(Supplies!$B$5:$B$104,MATCH($B42,Supplies!$A$5:$A$104,0)),"?"))</f>
        <v/>
      </c>
      <c r="D42" s="32"/>
      <c r="E42" s="32"/>
      <c r="F42" s="32"/>
      <c r="G42" s="22"/>
      <c r="H42" s="27" t="str">
        <f aca="false">IF($A42="","",IF($F42="","Count it",IF($F42&lt;=$E42,"REORDER","OK")))</f>
        <v/>
      </c>
      <c r="I42" s="31" t="str">
        <f aca="false">IF(OR($A42="",$F42=""),"",MAX(0,$D42-$F42))</f>
        <v/>
      </c>
      <c r="J42" s="28" t="str">
        <f aca="false">IF(OR($A42="",$I42=""),"",$I42*IFERROR(INDEX(Supplies!$F$5:$F$104,MATCH($B42,Supplies!$A$5:$A$104,0)),0))</f>
        <v/>
      </c>
    </row>
    <row r="43" customFormat="false" ht="15" hidden="false" customHeight="false" outlineLevel="0" collapsed="false">
      <c r="A43" s="23"/>
      <c r="B43" s="23"/>
      <c r="C43" s="27" t="str">
        <f aca="false">IF($B43="","",IFERROR(INDEX(Supplies!$B$5:$B$104,MATCH($B43,Supplies!$A$5:$A$104,0)),"?"))</f>
        <v/>
      </c>
      <c r="D43" s="32"/>
      <c r="E43" s="32"/>
      <c r="F43" s="32"/>
      <c r="G43" s="22"/>
      <c r="H43" s="27" t="str">
        <f aca="false">IF($A43="","",IF($F43="","Count it",IF($F43&lt;=$E43,"REORDER","OK")))</f>
        <v/>
      </c>
      <c r="I43" s="31" t="str">
        <f aca="false">IF(OR($A43="",$F43=""),"",MAX(0,$D43-$F43))</f>
        <v/>
      </c>
      <c r="J43" s="28" t="str">
        <f aca="false">IF(OR($A43="",$I43=""),"",$I43*IFERROR(INDEX(Supplies!$F$5:$F$104,MATCH($B43,Supplies!$A$5:$A$104,0)),0))</f>
        <v/>
      </c>
    </row>
    <row r="44" customFormat="false" ht="15" hidden="false" customHeight="false" outlineLevel="0" collapsed="false">
      <c r="A44" s="23"/>
      <c r="B44" s="23"/>
      <c r="C44" s="27" t="str">
        <f aca="false">IF($B44="","",IFERROR(INDEX(Supplies!$B$5:$B$104,MATCH($B44,Supplies!$A$5:$A$104,0)),"?"))</f>
        <v/>
      </c>
      <c r="D44" s="32"/>
      <c r="E44" s="32"/>
      <c r="F44" s="32"/>
      <c r="G44" s="22"/>
      <c r="H44" s="27" t="str">
        <f aca="false">IF($A44="","",IF($F44="","Count it",IF($F44&lt;=$E44,"REORDER","OK")))</f>
        <v/>
      </c>
      <c r="I44" s="31" t="str">
        <f aca="false">IF(OR($A44="",$F44=""),"",MAX(0,$D44-$F44))</f>
        <v/>
      </c>
      <c r="J44" s="28" t="str">
        <f aca="false">IF(OR($A44="",$I44=""),"",$I44*IFERROR(INDEX(Supplies!$F$5:$F$104,MATCH($B44,Supplies!$A$5:$A$104,0)),0))</f>
        <v/>
      </c>
    </row>
    <row r="45" customFormat="false" ht="15" hidden="false" customHeight="false" outlineLevel="0" collapsed="false">
      <c r="A45" s="23"/>
      <c r="B45" s="23"/>
      <c r="C45" s="27" t="str">
        <f aca="false">IF($B45="","",IFERROR(INDEX(Supplies!$B$5:$B$104,MATCH($B45,Supplies!$A$5:$A$104,0)),"?"))</f>
        <v/>
      </c>
      <c r="D45" s="32"/>
      <c r="E45" s="32"/>
      <c r="F45" s="32"/>
      <c r="G45" s="22"/>
      <c r="H45" s="27" t="str">
        <f aca="false">IF($A45="","",IF($F45="","Count it",IF($F45&lt;=$E45,"REORDER","OK")))</f>
        <v/>
      </c>
      <c r="I45" s="31" t="str">
        <f aca="false">IF(OR($A45="",$F45=""),"",MAX(0,$D45-$F45))</f>
        <v/>
      </c>
      <c r="J45" s="28" t="str">
        <f aca="false">IF(OR($A45="",$I45=""),"",$I45*IFERROR(INDEX(Supplies!$F$5:$F$104,MATCH($B45,Supplies!$A$5:$A$104,0)),0))</f>
        <v/>
      </c>
    </row>
    <row r="46" customFormat="false" ht="15" hidden="false" customHeight="false" outlineLevel="0" collapsed="false">
      <c r="A46" s="23"/>
      <c r="B46" s="23"/>
      <c r="C46" s="27" t="str">
        <f aca="false">IF($B46="","",IFERROR(INDEX(Supplies!$B$5:$B$104,MATCH($B46,Supplies!$A$5:$A$104,0)),"?"))</f>
        <v/>
      </c>
      <c r="D46" s="32"/>
      <c r="E46" s="32"/>
      <c r="F46" s="32"/>
      <c r="G46" s="22"/>
      <c r="H46" s="27" t="str">
        <f aca="false">IF($A46="","",IF($F46="","Count it",IF($F46&lt;=$E46,"REORDER","OK")))</f>
        <v/>
      </c>
      <c r="I46" s="31" t="str">
        <f aca="false">IF(OR($A46="",$F46=""),"",MAX(0,$D46-$F46))</f>
        <v/>
      </c>
      <c r="J46" s="28" t="str">
        <f aca="false">IF(OR($A46="",$I46=""),"",$I46*IFERROR(INDEX(Supplies!$F$5:$F$104,MATCH($B46,Supplies!$A$5:$A$104,0)),0))</f>
        <v/>
      </c>
    </row>
    <row r="47" customFormat="false" ht="15" hidden="false" customHeight="false" outlineLevel="0" collapsed="false">
      <c r="A47" s="23"/>
      <c r="B47" s="23"/>
      <c r="C47" s="27" t="str">
        <f aca="false">IF($B47="","",IFERROR(INDEX(Supplies!$B$5:$B$104,MATCH($B47,Supplies!$A$5:$A$104,0)),"?"))</f>
        <v/>
      </c>
      <c r="D47" s="32"/>
      <c r="E47" s="32"/>
      <c r="F47" s="32"/>
      <c r="G47" s="22"/>
      <c r="H47" s="27" t="str">
        <f aca="false">IF($A47="","",IF($F47="","Count it",IF($F47&lt;=$E47,"REORDER","OK")))</f>
        <v/>
      </c>
      <c r="I47" s="31" t="str">
        <f aca="false">IF(OR($A47="",$F47=""),"",MAX(0,$D47-$F47))</f>
        <v/>
      </c>
      <c r="J47" s="28" t="str">
        <f aca="false">IF(OR($A47="",$I47=""),"",$I47*IFERROR(INDEX(Supplies!$F$5:$F$104,MATCH($B47,Supplies!$A$5:$A$104,0)),0))</f>
        <v/>
      </c>
    </row>
    <row r="48" customFormat="false" ht="15" hidden="false" customHeight="false" outlineLevel="0" collapsed="false">
      <c r="A48" s="23"/>
      <c r="B48" s="23"/>
      <c r="C48" s="27" t="str">
        <f aca="false">IF($B48="","",IFERROR(INDEX(Supplies!$B$5:$B$104,MATCH($B48,Supplies!$A$5:$A$104,0)),"?"))</f>
        <v/>
      </c>
      <c r="D48" s="32"/>
      <c r="E48" s="32"/>
      <c r="F48" s="32"/>
      <c r="G48" s="22"/>
      <c r="H48" s="27" t="str">
        <f aca="false">IF($A48="","",IF($F48="","Count it",IF($F48&lt;=$E48,"REORDER","OK")))</f>
        <v/>
      </c>
      <c r="I48" s="31" t="str">
        <f aca="false">IF(OR($A48="",$F48=""),"",MAX(0,$D48-$F48))</f>
        <v/>
      </c>
      <c r="J48" s="28" t="str">
        <f aca="false">IF(OR($A48="",$I48=""),"",$I48*IFERROR(INDEX(Supplies!$F$5:$F$104,MATCH($B48,Supplies!$A$5:$A$104,0)),0))</f>
        <v/>
      </c>
    </row>
    <row r="49" customFormat="false" ht="15" hidden="false" customHeight="false" outlineLevel="0" collapsed="false">
      <c r="A49" s="23"/>
      <c r="B49" s="23"/>
      <c r="C49" s="27" t="str">
        <f aca="false">IF($B49="","",IFERROR(INDEX(Supplies!$B$5:$B$104,MATCH($B49,Supplies!$A$5:$A$104,0)),"?"))</f>
        <v/>
      </c>
      <c r="D49" s="32"/>
      <c r="E49" s="32"/>
      <c r="F49" s="32"/>
      <c r="G49" s="22"/>
      <c r="H49" s="27" t="str">
        <f aca="false">IF($A49="","",IF($F49="","Count it",IF($F49&lt;=$E49,"REORDER","OK")))</f>
        <v/>
      </c>
      <c r="I49" s="31" t="str">
        <f aca="false">IF(OR($A49="",$F49=""),"",MAX(0,$D49-$F49))</f>
        <v/>
      </c>
      <c r="J49" s="28" t="str">
        <f aca="false">IF(OR($A49="",$I49=""),"",$I49*IFERROR(INDEX(Supplies!$F$5:$F$104,MATCH($B49,Supplies!$A$5:$A$104,0)),0))</f>
        <v/>
      </c>
    </row>
    <row r="50" customFormat="false" ht="15" hidden="false" customHeight="false" outlineLevel="0" collapsed="false">
      <c r="A50" s="23"/>
      <c r="B50" s="23"/>
      <c r="C50" s="27" t="str">
        <f aca="false">IF($B50="","",IFERROR(INDEX(Supplies!$B$5:$B$104,MATCH($B50,Supplies!$A$5:$A$104,0)),"?"))</f>
        <v/>
      </c>
      <c r="D50" s="32"/>
      <c r="E50" s="32"/>
      <c r="F50" s="32"/>
      <c r="G50" s="22"/>
      <c r="H50" s="27" t="str">
        <f aca="false">IF($A50="","",IF($F50="","Count it",IF($F50&lt;=$E50,"REORDER","OK")))</f>
        <v/>
      </c>
      <c r="I50" s="31" t="str">
        <f aca="false">IF(OR($A50="",$F50=""),"",MAX(0,$D50-$F50))</f>
        <v/>
      </c>
      <c r="J50" s="28" t="str">
        <f aca="false">IF(OR($A50="",$I50=""),"",$I50*IFERROR(INDEX(Supplies!$F$5:$F$104,MATCH($B50,Supplies!$A$5:$A$104,0)),0))</f>
        <v/>
      </c>
    </row>
    <row r="51" customFormat="false" ht="15" hidden="false" customHeight="false" outlineLevel="0" collapsed="false">
      <c r="A51" s="23"/>
      <c r="B51" s="23"/>
      <c r="C51" s="27" t="str">
        <f aca="false">IF($B51="","",IFERROR(INDEX(Supplies!$B$5:$B$104,MATCH($B51,Supplies!$A$5:$A$104,0)),"?"))</f>
        <v/>
      </c>
      <c r="D51" s="32"/>
      <c r="E51" s="32"/>
      <c r="F51" s="32"/>
      <c r="G51" s="22"/>
      <c r="H51" s="27" t="str">
        <f aca="false">IF($A51="","",IF($F51="","Count it",IF($F51&lt;=$E51,"REORDER","OK")))</f>
        <v/>
      </c>
      <c r="I51" s="31" t="str">
        <f aca="false">IF(OR($A51="",$F51=""),"",MAX(0,$D51-$F51))</f>
        <v/>
      </c>
      <c r="J51" s="28" t="str">
        <f aca="false">IF(OR($A51="",$I51=""),"",$I51*IFERROR(INDEX(Supplies!$F$5:$F$104,MATCH($B51,Supplies!$A$5:$A$104,0)),0))</f>
        <v/>
      </c>
    </row>
    <row r="52" customFormat="false" ht="15" hidden="false" customHeight="false" outlineLevel="0" collapsed="false">
      <c r="A52" s="23"/>
      <c r="B52" s="23"/>
      <c r="C52" s="27" t="str">
        <f aca="false">IF($B52="","",IFERROR(INDEX(Supplies!$B$5:$B$104,MATCH($B52,Supplies!$A$5:$A$104,0)),"?"))</f>
        <v/>
      </c>
      <c r="D52" s="32"/>
      <c r="E52" s="32"/>
      <c r="F52" s="32"/>
      <c r="G52" s="22"/>
      <c r="H52" s="27" t="str">
        <f aca="false">IF($A52="","",IF($F52="","Count it",IF($F52&lt;=$E52,"REORDER","OK")))</f>
        <v/>
      </c>
      <c r="I52" s="31" t="str">
        <f aca="false">IF(OR($A52="",$F52=""),"",MAX(0,$D52-$F52))</f>
        <v/>
      </c>
      <c r="J52" s="28" t="str">
        <f aca="false">IF(OR($A52="",$I52=""),"",$I52*IFERROR(INDEX(Supplies!$F$5:$F$104,MATCH($B52,Supplies!$A$5:$A$104,0)),0))</f>
        <v/>
      </c>
    </row>
    <row r="53" customFormat="false" ht="15" hidden="false" customHeight="false" outlineLevel="0" collapsed="false">
      <c r="A53" s="23"/>
      <c r="B53" s="23"/>
      <c r="C53" s="27" t="str">
        <f aca="false">IF($B53="","",IFERROR(INDEX(Supplies!$B$5:$B$104,MATCH($B53,Supplies!$A$5:$A$104,0)),"?"))</f>
        <v/>
      </c>
      <c r="D53" s="32"/>
      <c r="E53" s="32"/>
      <c r="F53" s="32"/>
      <c r="G53" s="22"/>
      <c r="H53" s="27" t="str">
        <f aca="false">IF($A53="","",IF($F53="","Count it",IF($F53&lt;=$E53,"REORDER","OK")))</f>
        <v/>
      </c>
      <c r="I53" s="31" t="str">
        <f aca="false">IF(OR($A53="",$F53=""),"",MAX(0,$D53-$F53))</f>
        <v/>
      </c>
      <c r="J53" s="28" t="str">
        <f aca="false">IF(OR($A53="",$I53=""),"",$I53*IFERROR(INDEX(Supplies!$F$5:$F$104,MATCH($B53,Supplies!$A$5:$A$104,0)),0))</f>
        <v/>
      </c>
    </row>
    <row r="54" customFormat="false" ht="15" hidden="false" customHeight="false" outlineLevel="0" collapsed="false">
      <c r="A54" s="23"/>
      <c r="B54" s="23"/>
      <c r="C54" s="27" t="str">
        <f aca="false">IF($B54="","",IFERROR(INDEX(Supplies!$B$5:$B$104,MATCH($B54,Supplies!$A$5:$A$104,0)),"?"))</f>
        <v/>
      </c>
      <c r="D54" s="32"/>
      <c r="E54" s="32"/>
      <c r="F54" s="32"/>
      <c r="G54" s="22"/>
      <c r="H54" s="27" t="str">
        <f aca="false">IF($A54="","",IF($F54="","Count it",IF($F54&lt;=$E54,"REORDER","OK")))</f>
        <v/>
      </c>
      <c r="I54" s="31" t="str">
        <f aca="false">IF(OR($A54="",$F54=""),"",MAX(0,$D54-$F54))</f>
        <v/>
      </c>
      <c r="J54" s="28" t="str">
        <f aca="false">IF(OR($A54="",$I54=""),"",$I54*IFERROR(INDEX(Supplies!$F$5:$F$104,MATCH($B54,Supplies!$A$5:$A$104,0)),0))</f>
        <v/>
      </c>
    </row>
    <row r="55" customFormat="false" ht="15" hidden="false" customHeight="false" outlineLevel="0" collapsed="false">
      <c r="A55" s="23"/>
      <c r="B55" s="23"/>
      <c r="C55" s="27" t="str">
        <f aca="false">IF($B55="","",IFERROR(INDEX(Supplies!$B$5:$B$104,MATCH($B55,Supplies!$A$5:$A$104,0)),"?"))</f>
        <v/>
      </c>
      <c r="D55" s="32"/>
      <c r="E55" s="32"/>
      <c r="F55" s="32"/>
      <c r="G55" s="22"/>
      <c r="H55" s="27" t="str">
        <f aca="false">IF($A55="","",IF($F55="","Count it",IF($F55&lt;=$E55,"REORDER","OK")))</f>
        <v/>
      </c>
      <c r="I55" s="31" t="str">
        <f aca="false">IF(OR($A55="",$F55=""),"",MAX(0,$D55-$F55))</f>
        <v/>
      </c>
      <c r="J55" s="28" t="str">
        <f aca="false">IF(OR($A55="",$I55=""),"",$I55*IFERROR(INDEX(Supplies!$F$5:$F$104,MATCH($B55,Supplies!$A$5:$A$104,0)),0))</f>
        <v/>
      </c>
    </row>
    <row r="56" customFormat="false" ht="15" hidden="false" customHeight="false" outlineLevel="0" collapsed="false">
      <c r="A56" s="23"/>
      <c r="B56" s="23"/>
      <c r="C56" s="27" t="str">
        <f aca="false">IF($B56="","",IFERROR(INDEX(Supplies!$B$5:$B$104,MATCH($B56,Supplies!$A$5:$A$104,0)),"?"))</f>
        <v/>
      </c>
      <c r="D56" s="32"/>
      <c r="E56" s="32"/>
      <c r="F56" s="32"/>
      <c r="G56" s="22"/>
      <c r="H56" s="27" t="str">
        <f aca="false">IF($A56="","",IF($F56="","Count it",IF($F56&lt;=$E56,"REORDER","OK")))</f>
        <v/>
      </c>
      <c r="I56" s="31" t="str">
        <f aca="false">IF(OR($A56="",$F56=""),"",MAX(0,$D56-$F56))</f>
        <v/>
      </c>
      <c r="J56" s="28" t="str">
        <f aca="false">IF(OR($A56="",$I56=""),"",$I56*IFERROR(INDEX(Supplies!$F$5:$F$104,MATCH($B56,Supplies!$A$5:$A$104,0)),0))</f>
        <v/>
      </c>
    </row>
    <row r="57" customFormat="false" ht="15" hidden="false" customHeight="false" outlineLevel="0" collapsed="false">
      <c r="A57" s="23"/>
      <c r="B57" s="23"/>
      <c r="C57" s="27" t="str">
        <f aca="false">IF($B57="","",IFERROR(INDEX(Supplies!$B$5:$B$104,MATCH($B57,Supplies!$A$5:$A$104,0)),"?"))</f>
        <v/>
      </c>
      <c r="D57" s="32"/>
      <c r="E57" s="32"/>
      <c r="F57" s="32"/>
      <c r="G57" s="22"/>
      <c r="H57" s="27" t="str">
        <f aca="false">IF($A57="","",IF($F57="","Count it",IF($F57&lt;=$E57,"REORDER","OK")))</f>
        <v/>
      </c>
      <c r="I57" s="31" t="str">
        <f aca="false">IF(OR($A57="",$F57=""),"",MAX(0,$D57-$F57))</f>
        <v/>
      </c>
      <c r="J57" s="28" t="str">
        <f aca="false">IF(OR($A57="",$I57=""),"",$I57*IFERROR(INDEX(Supplies!$F$5:$F$104,MATCH($B57,Supplies!$A$5:$A$104,0)),0))</f>
        <v/>
      </c>
    </row>
    <row r="58" customFormat="false" ht="15" hidden="false" customHeight="false" outlineLevel="0" collapsed="false">
      <c r="A58" s="23"/>
      <c r="B58" s="23"/>
      <c r="C58" s="27" t="str">
        <f aca="false">IF($B58="","",IFERROR(INDEX(Supplies!$B$5:$B$104,MATCH($B58,Supplies!$A$5:$A$104,0)),"?"))</f>
        <v/>
      </c>
      <c r="D58" s="32"/>
      <c r="E58" s="32"/>
      <c r="F58" s="32"/>
      <c r="G58" s="22"/>
      <c r="H58" s="27" t="str">
        <f aca="false">IF($A58="","",IF($F58="","Count it",IF($F58&lt;=$E58,"REORDER","OK")))</f>
        <v/>
      </c>
      <c r="I58" s="31" t="str">
        <f aca="false">IF(OR($A58="",$F58=""),"",MAX(0,$D58-$F58))</f>
        <v/>
      </c>
      <c r="J58" s="28" t="str">
        <f aca="false">IF(OR($A58="",$I58=""),"",$I58*IFERROR(INDEX(Supplies!$F$5:$F$104,MATCH($B58,Supplies!$A$5:$A$104,0)),0))</f>
        <v/>
      </c>
    </row>
    <row r="59" customFormat="false" ht="15" hidden="false" customHeight="false" outlineLevel="0" collapsed="false">
      <c r="A59" s="23"/>
      <c r="B59" s="23"/>
      <c r="C59" s="27" t="str">
        <f aca="false">IF($B59="","",IFERROR(INDEX(Supplies!$B$5:$B$104,MATCH($B59,Supplies!$A$5:$A$104,0)),"?"))</f>
        <v/>
      </c>
      <c r="D59" s="32"/>
      <c r="E59" s="32"/>
      <c r="F59" s="32"/>
      <c r="G59" s="22"/>
      <c r="H59" s="27" t="str">
        <f aca="false">IF($A59="","",IF($F59="","Count it",IF($F59&lt;=$E59,"REORDER","OK")))</f>
        <v/>
      </c>
      <c r="I59" s="31" t="str">
        <f aca="false">IF(OR($A59="",$F59=""),"",MAX(0,$D59-$F59))</f>
        <v/>
      </c>
      <c r="J59" s="28" t="str">
        <f aca="false">IF(OR($A59="",$I59=""),"",$I59*IFERROR(INDEX(Supplies!$F$5:$F$104,MATCH($B59,Supplies!$A$5:$A$104,0)),0))</f>
        <v/>
      </c>
    </row>
    <row r="60" customFormat="false" ht="15" hidden="false" customHeight="false" outlineLevel="0" collapsed="false">
      <c r="A60" s="23"/>
      <c r="B60" s="23"/>
      <c r="C60" s="27" t="str">
        <f aca="false">IF($B60="","",IFERROR(INDEX(Supplies!$B$5:$B$104,MATCH($B60,Supplies!$A$5:$A$104,0)),"?"))</f>
        <v/>
      </c>
      <c r="D60" s="32"/>
      <c r="E60" s="32"/>
      <c r="F60" s="32"/>
      <c r="G60" s="22"/>
      <c r="H60" s="27" t="str">
        <f aca="false">IF($A60="","",IF($F60="","Count it",IF($F60&lt;=$E60,"REORDER","OK")))</f>
        <v/>
      </c>
      <c r="I60" s="31" t="str">
        <f aca="false">IF(OR($A60="",$F60=""),"",MAX(0,$D60-$F60))</f>
        <v/>
      </c>
      <c r="J60" s="28" t="str">
        <f aca="false">IF(OR($A60="",$I60=""),"",$I60*IFERROR(INDEX(Supplies!$F$5:$F$104,MATCH($B60,Supplies!$A$5:$A$104,0)),0))</f>
        <v/>
      </c>
    </row>
    <row r="61" customFormat="false" ht="15" hidden="false" customHeight="false" outlineLevel="0" collapsed="false">
      <c r="A61" s="23"/>
      <c r="B61" s="23"/>
      <c r="C61" s="27" t="str">
        <f aca="false">IF($B61="","",IFERROR(INDEX(Supplies!$B$5:$B$104,MATCH($B61,Supplies!$A$5:$A$104,0)),"?"))</f>
        <v/>
      </c>
      <c r="D61" s="32"/>
      <c r="E61" s="32"/>
      <c r="F61" s="32"/>
      <c r="G61" s="22"/>
      <c r="H61" s="27" t="str">
        <f aca="false">IF($A61="","",IF($F61="","Count it",IF($F61&lt;=$E61,"REORDER","OK")))</f>
        <v/>
      </c>
      <c r="I61" s="31" t="str">
        <f aca="false">IF(OR($A61="",$F61=""),"",MAX(0,$D61-$F61))</f>
        <v/>
      </c>
      <c r="J61" s="28" t="str">
        <f aca="false">IF(OR($A61="",$I61=""),"",$I61*IFERROR(INDEX(Supplies!$F$5:$F$104,MATCH($B61,Supplies!$A$5:$A$104,0)),0))</f>
        <v/>
      </c>
    </row>
    <row r="62" customFormat="false" ht="15" hidden="false" customHeight="false" outlineLevel="0" collapsed="false">
      <c r="A62" s="23"/>
      <c r="B62" s="23"/>
      <c r="C62" s="27" t="str">
        <f aca="false">IF($B62="","",IFERROR(INDEX(Supplies!$B$5:$B$104,MATCH($B62,Supplies!$A$5:$A$104,0)),"?"))</f>
        <v/>
      </c>
      <c r="D62" s="32"/>
      <c r="E62" s="32"/>
      <c r="F62" s="32"/>
      <c r="G62" s="22"/>
      <c r="H62" s="27" t="str">
        <f aca="false">IF($A62="","",IF($F62="","Count it",IF($F62&lt;=$E62,"REORDER","OK")))</f>
        <v/>
      </c>
      <c r="I62" s="31" t="str">
        <f aca="false">IF(OR($A62="",$F62=""),"",MAX(0,$D62-$F62))</f>
        <v/>
      </c>
      <c r="J62" s="28" t="str">
        <f aca="false">IF(OR($A62="",$I62=""),"",$I62*IFERROR(INDEX(Supplies!$F$5:$F$104,MATCH($B62,Supplies!$A$5:$A$104,0)),0))</f>
        <v/>
      </c>
    </row>
    <row r="63" customFormat="false" ht="15" hidden="false" customHeight="false" outlineLevel="0" collapsed="false">
      <c r="A63" s="23"/>
      <c r="B63" s="23"/>
      <c r="C63" s="27" t="str">
        <f aca="false">IF($B63="","",IFERROR(INDEX(Supplies!$B$5:$B$104,MATCH($B63,Supplies!$A$5:$A$104,0)),"?"))</f>
        <v/>
      </c>
      <c r="D63" s="32"/>
      <c r="E63" s="32"/>
      <c r="F63" s="32"/>
      <c r="G63" s="22"/>
      <c r="H63" s="27" t="str">
        <f aca="false">IF($A63="","",IF($F63="","Count it",IF($F63&lt;=$E63,"REORDER","OK")))</f>
        <v/>
      </c>
      <c r="I63" s="31" t="str">
        <f aca="false">IF(OR($A63="",$F63=""),"",MAX(0,$D63-$F63))</f>
        <v/>
      </c>
      <c r="J63" s="28" t="str">
        <f aca="false">IF(OR($A63="",$I63=""),"",$I63*IFERROR(INDEX(Supplies!$F$5:$F$104,MATCH($B63,Supplies!$A$5:$A$104,0)),0))</f>
        <v/>
      </c>
    </row>
    <row r="64" customFormat="false" ht="15" hidden="false" customHeight="false" outlineLevel="0" collapsed="false">
      <c r="A64" s="23"/>
      <c r="B64" s="23"/>
      <c r="C64" s="27" t="str">
        <f aca="false">IF($B64="","",IFERROR(INDEX(Supplies!$B$5:$B$104,MATCH($B64,Supplies!$A$5:$A$104,0)),"?"))</f>
        <v/>
      </c>
      <c r="D64" s="32"/>
      <c r="E64" s="32"/>
      <c r="F64" s="32"/>
      <c r="G64" s="22"/>
      <c r="H64" s="27" t="str">
        <f aca="false">IF($A64="","",IF($F64="","Count it",IF($F64&lt;=$E64,"REORDER","OK")))</f>
        <v/>
      </c>
      <c r="I64" s="31" t="str">
        <f aca="false">IF(OR($A64="",$F64=""),"",MAX(0,$D64-$F64))</f>
        <v/>
      </c>
      <c r="J64" s="28" t="str">
        <f aca="false">IF(OR($A64="",$I64=""),"",$I64*IFERROR(INDEX(Supplies!$F$5:$F$104,MATCH($B64,Supplies!$A$5:$A$104,0)),0))</f>
        <v/>
      </c>
    </row>
    <row r="65" customFormat="false" ht="15" hidden="false" customHeight="false" outlineLevel="0" collapsed="false">
      <c r="A65" s="23"/>
      <c r="B65" s="23"/>
      <c r="C65" s="27" t="str">
        <f aca="false">IF($B65="","",IFERROR(INDEX(Supplies!$B$5:$B$104,MATCH($B65,Supplies!$A$5:$A$104,0)),"?"))</f>
        <v/>
      </c>
      <c r="D65" s="32"/>
      <c r="E65" s="32"/>
      <c r="F65" s="32"/>
      <c r="G65" s="22"/>
      <c r="H65" s="27" t="str">
        <f aca="false">IF($A65="","",IF($F65="","Count it",IF($F65&lt;=$E65,"REORDER","OK")))</f>
        <v/>
      </c>
      <c r="I65" s="31" t="str">
        <f aca="false">IF(OR($A65="",$F65=""),"",MAX(0,$D65-$F65))</f>
        <v/>
      </c>
      <c r="J65" s="28" t="str">
        <f aca="false">IF(OR($A65="",$I65=""),"",$I65*IFERROR(INDEX(Supplies!$F$5:$F$104,MATCH($B65,Supplies!$A$5:$A$104,0)),0))</f>
        <v/>
      </c>
    </row>
    <row r="66" customFormat="false" ht="15" hidden="false" customHeight="false" outlineLevel="0" collapsed="false">
      <c r="A66" s="23"/>
      <c r="B66" s="23"/>
      <c r="C66" s="27" t="str">
        <f aca="false">IF($B66="","",IFERROR(INDEX(Supplies!$B$5:$B$104,MATCH($B66,Supplies!$A$5:$A$104,0)),"?"))</f>
        <v/>
      </c>
      <c r="D66" s="32"/>
      <c r="E66" s="32"/>
      <c r="F66" s="32"/>
      <c r="G66" s="22"/>
      <c r="H66" s="27" t="str">
        <f aca="false">IF($A66="","",IF($F66="","Count it",IF($F66&lt;=$E66,"REORDER","OK")))</f>
        <v/>
      </c>
      <c r="I66" s="31" t="str">
        <f aca="false">IF(OR($A66="",$F66=""),"",MAX(0,$D66-$F66))</f>
        <v/>
      </c>
      <c r="J66" s="28" t="str">
        <f aca="false">IF(OR($A66="",$I66=""),"",$I66*IFERROR(INDEX(Supplies!$F$5:$F$104,MATCH($B66,Supplies!$A$5:$A$104,0)),0))</f>
        <v/>
      </c>
    </row>
    <row r="67" customFormat="false" ht="15" hidden="false" customHeight="false" outlineLevel="0" collapsed="false">
      <c r="A67" s="23"/>
      <c r="B67" s="23"/>
      <c r="C67" s="27" t="str">
        <f aca="false">IF($B67="","",IFERROR(INDEX(Supplies!$B$5:$B$104,MATCH($B67,Supplies!$A$5:$A$104,0)),"?"))</f>
        <v/>
      </c>
      <c r="D67" s="32"/>
      <c r="E67" s="32"/>
      <c r="F67" s="32"/>
      <c r="G67" s="22"/>
      <c r="H67" s="27" t="str">
        <f aca="false">IF($A67="","",IF($F67="","Count it",IF($F67&lt;=$E67,"REORDER","OK")))</f>
        <v/>
      </c>
      <c r="I67" s="31" t="str">
        <f aca="false">IF(OR($A67="",$F67=""),"",MAX(0,$D67-$F67))</f>
        <v/>
      </c>
      <c r="J67" s="28" t="str">
        <f aca="false">IF(OR($A67="",$I67=""),"",$I67*IFERROR(INDEX(Supplies!$F$5:$F$104,MATCH($B67,Supplies!$A$5:$A$104,0)),0))</f>
        <v/>
      </c>
    </row>
    <row r="68" customFormat="false" ht="15" hidden="false" customHeight="false" outlineLevel="0" collapsed="false">
      <c r="A68" s="23"/>
      <c r="B68" s="23"/>
      <c r="C68" s="27" t="str">
        <f aca="false">IF($B68="","",IFERROR(INDEX(Supplies!$B$5:$B$104,MATCH($B68,Supplies!$A$5:$A$104,0)),"?"))</f>
        <v/>
      </c>
      <c r="D68" s="32"/>
      <c r="E68" s="32"/>
      <c r="F68" s="32"/>
      <c r="G68" s="22"/>
      <c r="H68" s="27" t="str">
        <f aca="false">IF($A68="","",IF($F68="","Count it",IF($F68&lt;=$E68,"REORDER","OK")))</f>
        <v/>
      </c>
      <c r="I68" s="31" t="str">
        <f aca="false">IF(OR($A68="",$F68=""),"",MAX(0,$D68-$F68))</f>
        <v/>
      </c>
      <c r="J68" s="28" t="str">
        <f aca="false">IF(OR($A68="",$I68=""),"",$I68*IFERROR(INDEX(Supplies!$F$5:$F$104,MATCH($B68,Supplies!$A$5:$A$104,0)),0))</f>
        <v/>
      </c>
    </row>
    <row r="69" customFormat="false" ht="15" hidden="false" customHeight="false" outlineLevel="0" collapsed="false">
      <c r="A69" s="23"/>
      <c r="B69" s="23"/>
      <c r="C69" s="27" t="str">
        <f aca="false">IF($B69="","",IFERROR(INDEX(Supplies!$B$5:$B$104,MATCH($B69,Supplies!$A$5:$A$104,0)),"?"))</f>
        <v/>
      </c>
      <c r="D69" s="32"/>
      <c r="E69" s="32"/>
      <c r="F69" s="32"/>
      <c r="G69" s="22"/>
      <c r="H69" s="27" t="str">
        <f aca="false">IF($A69="","",IF($F69="","Count it",IF($F69&lt;=$E69,"REORDER","OK")))</f>
        <v/>
      </c>
      <c r="I69" s="31" t="str">
        <f aca="false">IF(OR($A69="",$F69=""),"",MAX(0,$D69-$F69))</f>
        <v/>
      </c>
      <c r="J69" s="28" t="str">
        <f aca="false">IF(OR($A69="",$I69=""),"",$I69*IFERROR(INDEX(Supplies!$F$5:$F$104,MATCH($B69,Supplies!$A$5:$A$104,0)),0))</f>
        <v/>
      </c>
    </row>
    <row r="70" customFormat="false" ht="15" hidden="false" customHeight="false" outlineLevel="0" collapsed="false">
      <c r="A70" s="23"/>
      <c r="B70" s="23"/>
      <c r="C70" s="27" t="str">
        <f aca="false">IF($B70="","",IFERROR(INDEX(Supplies!$B$5:$B$104,MATCH($B70,Supplies!$A$5:$A$104,0)),"?"))</f>
        <v/>
      </c>
      <c r="D70" s="32"/>
      <c r="E70" s="32"/>
      <c r="F70" s="32"/>
      <c r="G70" s="22"/>
      <c r="H70" s="27" t="str">
        <f aca="false">IF($A70="","",IF($F70="","Count it",IF($F70&lt;=$E70,"REORDER","OK")))</f>
        <v/>
      </c>
      <c r="I70" s="31" t="str">
        <f aca="false">IF(OR($A70="",$F70=""),"",MAX(0,$D70-$F70))</f>
        <v/>
      </c>
      <c r="J70" s="28" t="str">
        <f aca="false">IF(OR($A70="",$I70=""),"",$I70*IFERROR(INDEX(Supplies!$F$5:$F$104,MATCH($B70,Supplies!$A$5:$A$104,0)),0))</f>
        <v/>
      </c>
    </row>
    <row r="71" customFormat="false" ht="15" hidden="false" customHeight="false" outlineLevel="0" collapsed="false">
      <c r="A71" s="23"/>
      <c r="B71" s="23"/>
      <c r="C71" s="27" t="str">
        <f aca="false">IF($B71="","",IFERROR(INDEX(Supplies!$B$5:$B$104,MATCH($B71,Supplies!$A$5:$A$104,0)),"?"))</f>
        <v/>
      </c>
      <c r="D71" s="32"/>
      <c r="E71" s="32"/>
      <c r="F71" s="32"/>
      <c r="G71" s="22"/>
      <c r="H71" s="27" t="str">
        <f aca="false">IF($A71="","",IF($F71="","Count it",IF($F71&lt;=$E71,"REORDER","OK")))</f>
        <v/>
      </c>
      <c r="I71" s="31" t="str">
        <f aca="false">IF(OR($A71="",$F71=""),"",MAX(0,$D71-$F71))</f>
        <v/>
      </c>
      <c r="J71" s="28" t="str">
        <f aca="false">IF(OR($A71="",$I71=""),"",$I71*IFERROR(INDEX(Supplies!$F$5:$F$104,MATCH($B71,Supplies!$A$5:$A$104,0)),0))</f>
        <v/>
      </c>
    </row>
    <row r="72" customFormat="false" ht="15" hidden="false" customHeight="false" outlineLevel="0" collapsed="false">
      <c r="A72" s="23"/>
      <c r="B72" s="23"/>
      <c r="C72" s="27" t="str">
        <f aca="false">IF($B72="","",IFERROR(INDEX(Supplies!$B$5:$B$104,MATCH($B72,Supplies!$A$5:$A$104,0)),"?"))</f>
        <v/>
      </c>
      <c r="D72" s="32"/>
      <c r="E72" s="32"/>
      <c r="F72" s="32"/>
      <c r="G72" s="22"/>
      <c r="H72" s="27" t="str">
        <f aca="false">IF($A72="","",IF($F72="","Count it",IF($F72&lt;=$E72,"REORDER","OK")))</f>
        <v/>
      </c>
      <c r="I72" s="31" t="str">
        <f aca="false">IF(OR($A72="",$F72=""),"",MAX(0,$D72-$F72))</f>
        <v/>
      </c>
      <c r="J72" s="28" t="str">
        <f aca="false">IF(OR($A72="",$I72=""),"",$I72*IFERROR(INDEX(Supplies!$F$5:$F$104,MATCH($B72,Supplies!$A$5:$A$104,0)),0))</f>
        <v/>
      </c>
    </row>
    <row r="73" customFormat="false" ht="15" hidden="false" customHeight="false" outlineLevel="0" collapsed="false">
      <c r="A73" s="23"/>
      <c r="B73" s="23"/>
      <c r="C73" s="27" t="str">
        <f aca="false">IF($B73="","",IFERROR(INDEX(Supplies!$B$5:$B$104,MATCH($B73,Supplies!$A$5:$A$104,0)),"?"))</f>
        <v/>
      </c>
      <c r="D73" s="32"/>
      <c r="E73" s="32"/>
      <c r="F73" s="32"/>
      <c r="G73" s="22"/>
      <c r="H73" s="27" t="str">
        <f aca="false">IF($A73="","",IF($F73="","Count it",IF($F73&lt;=$E73,"REORDER","OK")))</f>
        <v/>
      </c>
      <c r="I73" s="31" t="str">
        <f aca="false">IF(OR($A73="",$F73=""),"",MAX(0,$D73-$F73))</f>
        <v/>
      </c>
      <c r="J73" s="28" t="str">
        <f aca="false">IF(OR($A73="",$I73=""),"",$I73*IFERROR(INDEX(Supplies!$F$5:$F$104,MATCH($B73,Supplies!$A$5:$A$104,0)),0))</f>
        <v/>
      </c>
    </row>
    <row r="74" customFormat="false" ht="15" hidden="false" customHeight="false" outlineLevel="0" collapsed="false">
      <c r="A74" s="23"/>
      <c r="B74" s="23"/>
      <c r="C74" s="27" t="str">
        <f aca="false">IF($B74="","",IFERROR(INDEX(Supplies!$B$5:$B$104,MATCH($B74,Supplies!$A$5:$A$104,0)),"?"))</f>
        <v/>
      </c>
      <c r="D74" s="32"/>
      <c r="E74" s="32"/>
      <c r="F74" s="32"/>
      <c r="G74" s="22"/>
      <c r="H74" s="27" t="str">
        <f aca="false">IF($A74="","",IF($F74="","Count it",IF($F74&lt;=$E74,"REORDER","OK")))</f>
        <v/>
      </c>
      <c r="I74" s="31" t="str">
        <f aca="false">IF(OR($A74="",$F74=""),"",MAX(0,$D74-$F74))</f>
        <v/>
      </c>
      <c r="J74" s="28" t="str">
        <f aca="false">IF(OR($A74="",$I74=""),"",$I74*IFERROR(INDEX(Supplies!$F$5:$F$104,MATCH($B74,Supplies!$A$5:$A$104,0)),0))</f>
        <v/>
      </c>
    </row>
    <row r="75" customFormat="false" ht="15" hidden="false" customHeight="false" outlineLevel="0" collapsed="false">
      <c r="A75" s="23"/>
      <c r="B75" s="23"/>
      <c r="C75" s="27" t="str">
        <f aca="false">IF($B75="","",IFERROR(INDEX(Supplies!$B$5:$B$104,MATCH($B75,Supplies!$A$5:$A$104,0)),"?"))</f>
        <v/>
      </c>
      <c r="D75" s="32"/>
      <c r="E75" s="32"/>
      <c r="F75" s="32"/>
      <c r="G75" s="22"/>
      <c r="H75" s="27" t="str">
        <f aca="false">IF($A75="","",IF($F75="","Count it",IF($F75&lt;=$E75,"REORDER","OK")))</f>
        <v/>
      </c>
      <c r="I75" s="31" t="str">
        <f aca="false">IF(OR($A75="",$F75=""),"",MAX(0,$D75-$F75))</f>
        <v/>
      </c>
      <c r="J75" s="28" t="str">
        <f aca="false">IF(OR($A75="",$I75=""),"",$I75*IFERROR(INDEX(Supplies!$F$5:$F$104,MATCH($B75,Supplies!$A$5:$A$104,0)),0))</f>
        <v/>
      </c>
    </row>
    <row r="76" customFormat="false" ht="15" hidden="false" customHeight="false" outlineLevel="0" collapsed="false">
      <c r="A76" s="23"/>
      <c r="B76" s="23"/>
      <c r="C76" s="27" t="str">
        <f aca="false">IF($B76="","",IFERROR(INDEX(Supplies!$B$5:$B$104,MATCH($B76,Supplies!$A$5:$A$104,0)),"?"))</f>
        <v/>
      </c>
      <c r="D76" s="32"/>
      <c r="E76" s="32"/>
      <c r="F76" s="32"/>
      <c r="G76" s="22"/>
      <c r="H76" s="27" t="str">
        <f aca="false">IF($A76="","",IF($F76="","Count it",IF($F76&lt;=$E76,"REORDER","OK")))</f>
        <v/>
      </c>
      <c r="I76" s="31" t="str">
        <f aca="false">IF(OR($A76="",$F76=""),"",MAX(0,$D76-$F76))</f>
        <v/>
      </c>
      <c r="J76" s="28" t="str">
        <f aca="false">IF(OR($A76="",$I76=""),"",$I76*IFERROR(INDEX(Supplies!$F$5:$F$104,MATCH($B76,Supplies!$A$5:$A$104,0)),0))</f>
        <v/>
      </c>
    </row>
    <row r="77" customFormat="false" ht="15" hidden="false" customHeight="false" outlineLevel="0" collapsed="false">
      <c r="A77" s="23"/>
      <c r="B77" s="23"/>
      <c r="C77" s="27" t="str">
        <f aca="false">IF($B77="","",IFERROR(INDEX(Supplies!$B$5:$B$104,MATCH($B77,Supplies!$A$5:$A$104,0)),"?"))</f>
        <v/>
      </c>
      <c r="D77" s="32"/>
      <c r="E77" s="32"/>
      <c r="F77" s="32"/>
      <c r="G77" s="22"/>
      <c r="H77" s="27" t="str">
        <f aca="false">IF($A77="","",IF($F77="","Count it",IF($F77&lt;=$E77,"REORDER","OK")))</f>
        <v/>
      </c>
      <c r="I77" s="31" t="str">
        <f aca="false">IF(OR($A77="",$F77=""),"",MAX(0,$D77-$F77))</f>
        <v/>
      </c>
      <c r="J77" s="28" t="str">
        <f aca="false">IF(OR($A77="",$I77=""),"",$I77*IFERROR(INDEX(Supplies!$F$5:$F$104,MATCH($B77,Supplies!$A$5:$A$104,0)),0))</f>
        <v/>
      </c>
    </row>
    <row r="78" customFormat="false" ht="15" hidden="false" customHeight="false" outlineLevel="0" collapsed="false">
      <c r="A78" s="23"/>
      <c r="B78" s="23"/>
      <c r="C78" s="27" t="str">
        <f aca="false">IF($B78="","",IFERROR(INDEX(Supplies!$B$5:$B$104,MATCH($B78,Supplies!$A$5:$A$104,0)),"?"))</f>
        <v/>
      </c>
      <c r="D78" s="32"/>
      <c r="E78" s="32"/>
      <c r="F78" s="32"/>
      <c r="G78" s="22"/>
      <c r="H78" s="27" t="str">
        <f aca="false">IF($A78="","",IF($F78="","Count it",IF($F78&lt;=$E78,"REORDER","OK")))</f>
        <v/>
      </c>
      <c r="I78" s="31" t="str">
        <f aca="false">IF(OR($A78="",$F78=""),"",MAX(0,$D78-$F78))</f>
        <v/>
      </c>
      <c r="J78" s="28" t="str">
        <f aca="false">IF(OR($A78="",$I78=""),"",$I78*IFERROR(INDEX(Supplies!$F$5:$F$104,MATCH($B78,Supplies!$A$5:$A$104,0)),0))</f>
        <v/>
      </c>
    </row>
    <row r="79" customFormat="false" ht="15" hidden="false" customHeight="false" outlineLevel="0" collapsed="false">
      <c r="A79" s="23"/>
      <c r="B79" s="23"/>
      <c r="C79" s="27" t="str">
        <f aca="false">IF($B79="","",IFERROR(INDEX(Supplies!$B$5:$B$104,MATCH($B79,Supplies!$A$5:$A$104,0)),"?"))</f>
        <v/>
      </c>
      <c r="D79" s="32"/>
      <c r="E79" s="32"/>
      <c r="F79" s="32"/>
      <c r="G79" s="22"/>
      <c r="H79" s="27" t="str">
        <f aca="false">IF($A79="","",IF($F79="","Count it",IF($F79&lt;=$E79,"REORDER","OK")))</f>
        <v/>
      </c>
      <c r="I79" s="31" t="str">
        <f aca="false">IF(OR($A79="",$F79=""),"",MAX(0,$D79-$F79))</f>
        <v/>
      </c>
      <c r="J79" s="28" t="str">
        <f aca="false">IF(OR($A79="",$I79=""),"",$I79*IFERROR(INDEX(Supplies!$F$5:$F$104,MATCH($B79,Supplies!$A$5:$A$104,0)),0))</f>
        <v/>
      </c>
    </row>
    <row r="80" customFormat="false" ht="15" hidden="false" customHeight="false" outlineLevel="0" collapsed="false">
      <c r="A80" s="23"/>
      <c r="B80" s="23"/>
      <c r="C80" s="27" t="str">
        <f aca="false">IF($B80="","",IFERROR(INDEX(Supplies!$B$5:$B$104,MATCH($B80,Supplies!$A$5:$A$104,0)),"?"))</f>
        <v/>
      </c>
      <c r="D80" s="32"/>
      <c r="E80" s="32"/>
      <c r="F80" s="32"/>
      <c r="G80" s="22"/>
      <c r="H80" s="27" t="str">
        <f aca="false">IF($A80="","",IF($F80="","Count it",IF($F80&lt;=$E80,"REORDER","OK")))</f>
        <v/>
      </c>
      <c r="I80" s="31" t="str">
        <f aca="false">IF(OR($A80="",$F80=""),"",MAX(0,$D80-$F80))</f>
        <v/>
      </c>
      <c r="J80" s="28" t="str">
        <f aca="false">IF(OR($A80="",$I80=""),"",$I80*IFERROR(INDEX(Supplies!$F$5:$F$104,MATCH($B80,Supplies!$A$5:$A$104,0)),0))</f>
        <v/>
      </c>
    </row>
    <row r="81" customFormat="false" ht="15" hidden="false" customHeight="false" outlineLevel="0" collapsed="false">
      <c r="A81" s="23"/>
      <c r="B81" s="23"/>
      <c r="C81" s="27" t="str">
        <f aca="false">IF($B81="","",IFERROR(INDEX(Supplies!$B$5:$B$104,MATCH($B81,Supplies!$A$5:$A$104,0)),"?"))</f>
        <v/>
      </c>
      <c r="D81" s="32"/>
      <c r="E81" s="32"/>
      <c r="F81" s="32"/>
      <c r="G81" s="22"/>
      <c r="H81" s="27" t="str">
        <f aca="false">IF($A81="","",IF($F81="","Count it",IF($F81&lt;=$E81,"REORDER","OK")))</f>
        <v/>
      </c>
      <c r="I81" s="31" t="str">
        <f aca="false">IF(OR($A81="",$F81=""),"",MAX(0,$D81-$F81))</f>
        <v/>
      </c>
      <c r="J81" s="28" t="str">
        <f aca="false">IF(OR($A81="",$I81=""),"",$I81*IFERROR(INDEX(Supplies!$F$5:$F$104,MATCH($B81,Supplies!$A$5:$A$104,0)),0))</f>
        <v/>
      </c>
    </row>
    <row r="82" customFormat="false" ht="15" hidden="false" customHeight="false" outlineLevel="0" collapsed="false">
      <c r="A82" s="23"/>
      <c r="B82" s="23"/>
      <c r="C82" s="27" t="str">
        <f aca="false">IF($B82="","",IFERROR(INDEX(Supplies!$B$5:$B$104,MATCH($B82,Supplies!$A$5:$A$104,0)),"?"))</f>
        <v/>
      </c>
      <c r="D82" s="32"/>
      <c r="E82" s="32"/>
      <c r="F82" s="32"/>
      <c r="G82" s="22"/>
      <c r="H82" s="27" t="str">
        <f aca="false">IF($A82="","",IF($F82="","Count it",IF($F82&lt;=$E82,"REORDER","OK")))</f>
        <v/>
      </c>
      <c r="I82" s="31" t="str">
        <f aca="false">IF(OR($A82="",$F82=""),"",MAX(0,$D82-$F82))</f>
        <v/>
      </c>
      <c r="J82" s="28" t="str">
        <f aca="false">IF(OR($A82="",$I82=""),"",$I82*IFERROR(INDEX(Supplies!$F$5:$F$104,MATCH($B82,Supplies!$A$5:$A$104,0)),0))</f>
        <v/>
      </c>
    </row>
    <row r="83" customFormat="false" ht="15" hidden="false" customHeight="false" outlineLevel="0" collapsed="false">
      <c r="A83" s="23"/>
      <c r="B83" s="23"/>
      <c r="C83" s="27" t="str">
        <f aca="false">IF($B83="","",IFERROR(INDEX(Supplies!$B$5:$B$104,MATCH($B83,Supplies!$A$5:$A$104,0)),"?"))</f>
        <v/>
      </c>
      <c r="D83" s="32"/>
      <c r="E83" s="32"/>
      <c r="F83" s="32"/>
      <c r="G83" s="22"/>
      <c r="H83" s="27" t="str">
        <f aca="false">IF($A83="","",IF($F83="","Count it",IF($F83&lt;=$E83,"REORDER","OK")))</f>
        <v/>
      </c>
      <c r="I83" s="31" t="str">
        <f aca="false">IF(OR($A83="",$F83=""),"",MAX(0,$D83-$F83))</f>
        <v/>
      </c>
      <c r="J83" s="28" t="str">
        <f aca="false">IF(OR($A83="",$I83=""),"",$I83*IFERROR(INDEX(Supplies!$F$5:$F$104,MATCH($B83,Supplies!$A$5:$A$104,0)),0))</f>
        <v/>
      </c>
    </row>
    <row r="84" customFormat="false" ht="15" hidden="false" customHeight="false" outlineLevel="0" collapsed="false">
      <c r="A84" s="23"/>
      <c r="B84" s="23"/>
      <c r="C84" s="27" t="str">
        <f aca="false">IF($B84="","",IFERROR(INDEX(Supplies!$B$5:$B$104,MATCH($B84,Supplies!$A$5:$A$104,0)),"?"))</f>
        <v/>
      </c>
      <c r="D84" s="32"/>
      <c r="E84" s="32"/>
      <c r="F84" s="32"/>
      <c r="G84" s="22"/>
      <c r="H84" s="27" t="str">
        <f aca="false">IF($A84="","",IF($F84="","Count it",IF($F84&lt;=$E84,"REORDER","OK")))</f>
        <v/>
      </c>
      <c r="I84" s="31" t="str">
        <f aca="false">IF(OR($A84="",$F84=""),"",MAX(0,$D84-$F84))</f>
        <v/>
      </c>
      <c r="J84" s="28" t="str">
        <f aca="false">IF(OR($A84="",$I84=""),"",$I84*IFERROR(INDEX(Supplies!$F$5:$F$104,MATCH($B84,Supplies!$A$5:$A$104,0)),0))</f>
        <v/>
      </c>
    </row>
    <row r="85" customFormat="false" ht="15" hidden="false" customHeight="false" outlineLevel="0" collapsed="false">
      <c r="A85" s="23"/>
      <c r="B85" s="23"/>
      <c r="C85" s="27" t="str">
        <f aca="false">IF($B85="","",IFERROR(INDEX(Supplies!$B$5:$B$104,MATCH($B85,Supplies!$A$5:$A$104,0)),"?"))</f>
        <v/>
      </c>
      <c r="D85" s="32"/>
      <c r="E85" s="32"/>
      <c r="F85" s="32"/>
      <c r="G85" s="22"/>
      <c r="H85" s="27" t="str">
        <f aca="false">IF($A85="","",IF($F85="","Count it",IF($F85&lt;=$E85,"REORDER","OK")))</f>
        <v/>
      </c>
      <c r="I85" s="31" t="str">
        <f aca="false">IF(OR($A85="",$F85=""),"",MAX(0,$D85-$F85))</f>
        <v/>
      </c>
      <c r="J85" s="28" t="str">
        <f aca="false">IF(OR($A85="",$I85=""),"",$I85*IFERROR(INDEX(Supplies!$F$5:$F$104,MATCH($B85,Supplies!$A$5:$A$104,0)),0))</f>
        <v/>
      </c>
    </row>
    <row r="86" customFormat="false" ht="15" hidden="false" customHeight="false" outlineLevel="0" collapsed="false">
      <c r="A86" s="23"/>
      <c r="B86" s="23"/>
      <c r="C86" s="27" t="str">
        <f aca="false">IF($B86="","",IFERROR(INDEX(Supplies!$B$5:$B$104,MATCH($B86,Supplies!$A$5:$A$104,0)),"?"))</f>
        <v/>
      </c>
      <c r="D86" s="32"/>
      <c r="E86" s="32"/>
      <c r="F86" s="32"/>
      <c r="G86" s="22"/>
      <c r="H86" s="27" t="str">
        <f aca="false">IF($A86="","",IF($F86="","Count it",IF($F86&lt;=$E86,"REORDER","OK")))</f>
        <v/>
      </c>
      <c r="I86" s="31" t="str">
        <f aca="false">IF(OR($A86="",$F86=""),"",MAX(0,$D86-$F86))</f>
        <v/>
      </c>
      <c r="J86" s="28" t="str">
        <f aca="false">IF(OR($A86="",$I86=""),"",$I86*IFERROR(INDEX(Supplies!$F$5:$F$104,MATCH($B86,Supplies!$A$5:$A$104,0)),0))</f>
        <v/>
      </c>
    </row>
    <row r="87" customFormat="false" ht="15" hidden="false" customHeight="false" outlineLevel="0" collapsed="false">
      <c r="A87" s="23"/>
      <c r="B87" s="23"/>
      <c r="C87" s="27" t="str">
        <f aca="false">IF($B87="","",IFERROR(INDEX(Supplies!$B$5:$B$104,MATCH($B87,Supplies!$A$5:$A$104,0)),"?"))</f>
        <v/>
      </c>
      <c r="D87" s="32"/>
      <c r="E87" s="32"/>
      <c r="F87" s="32"/>
      <c r="G87" s="22"/>
      <c r="H87" s="27" t="str">
        <f aca="false">IF($A87="","",IF($F87="","Count it",IF($F87&lt;=$E87,"REORDER","OK")))</f>
        <v/>
      </c>
      <c r="I87" s="31" t="str">
        <f aca="false">IF(OR($A87="",$F87=""),"",MAX(0,$D87-$F87))</f>
        <v/>
      </c>
      <c r="J87" s="28" t="str">
        <f aca="false">IF(OR($A87="",$I87=""),"",$I87*IFERROR(INDEX(Supplies!$F$5:$F$104,MATCH($B87,Supplies!$A$5:$A$104,0)),0))</f>
        <v/>
      </c>
    </row>
    <row r="88" customFormat="false" ht="15" hidden="false" customHeight="false" outlineLevel="0" collapsed="false">
      <c r="A88" s="23"/>
      <c r="B88" s="23"/>
      <c r="C88" s="27" t="str">
        <f aca="false">IF($B88="","",IFERROR(INDEX(Supplies!$B$5:$B$104,MATCH($B88,Supplies!$A$5:$A$104,0)),"?"))</f>
        <v/>
      </c>
      <c r="D88" s="32"/>
      <c r="E88" s="32"/>
      <c r="F88" s="32"/>
      <c r="G88" s="22"/>
      <c r="H88" s="27" t="str">
        <f aca="false">IF($A88="","",IF($F88="","Count it",IF($F88&lt;=$E88,"REORDER","OK")))</f>
        <v/>
      </c>
      <c r="I88" s="31" t="str">
        <f aca="false">IF(OR($A88="",$F88=""),"",MAX(0,$D88-$F88))</f>
        <v/>
      </c>
      <c r="J88" s="28" t="str">
        <f aca="false">IF(OR($A88="",$I88=""),"",$I88*IFERROR(INDEX(Supplies!$F$5:$F$104,MATCH($B88,Supplies!$A$5:$A$104,0)),0))</f>
        <v/>
      </c>
    </row>
    <row r="89" customFormat="false" ht="15" hidden="false" customHeight="false" outlineLevel="0" collapsed="false">
      <c r="A89" s="23"/>
      <c r="B89" s="23"/>
      <c r="C89" s="27" t="str">
        <f aca="false">IF($B89="","",IFERROR(INDEX(Supplies!$B$5:$B$104,MATCH($B89,Supplies!$A$5:$A$104,0)),"?"))</f>
        <v/>
      </c>
      <c r="D89" s="32"/>
      <c r="E89" s="32"/>
      <c r="F89" s="32"/>
      <c r="G89" s="22"/>
      <c r="H89" s="27" t="str">
        <f aca="false">IF($A89="","",IF($F89="","Count it",IF($F89&lt;=$E89,"REORDER","OK")))</f>
        <v/>
      </c>
      <c r="I89" s="31" t="str">
        <f aca="false">IF(OR($A89="",$F89=""),"",MAX(0,$D89-$F89))</f>
        <v/>
      </c>
      <c r="J89" s="28" t="str">
        <f aca="false">IF(OR($A89="",$I89=""),"",$I89*IFERROR(INDEX(Supplies!$F$5:$F$104,MATCH($B89,Supplies!$A$5:$A$104,0)),0))</f>
        <v/>
      </c>
    </row>
    <row r="90" customFormat="false" ht="15" hidden="false" customHeight="false" outlineLevel="0" collapsed="false">
      <c r="A90" s="23"/>
      <c r="B90" s="23"/>
      <c r="C90" s="27" t="str">
        <f aca="false">IF($B90="","",IFERROR(INDEX(Supplies!$B$5:$B$104,MATCH($B90,Supplies!$A$5:$A$104,0)),"?"))</f>
        <v/>
      </c>
      <c r="D90" s="32"/>
      <c r="E90" s="32"/>
      <c r="F90" s="32"/>
      <c r="G90" s="22"/>
      <c r="H90" s="27" t="str">
        <f aca="false">IF($A90="","",IF($F90="","Count it",IF($F90&lt;=$E90,"REORDER","OK")))</f>
        <v/>
      </c>
      <c r="I90" s="31" t="str">
        <f aca="false">IF(OR($A90="",$F90=""),"",MAX(0,$D90-$F90))</f>
        <v/>
      </c>
      <c r="J90" s="28" t="str">
        <f aca="false">IF(OR($A90="",$I90=""),"",$I90*IFERROR(INDEX(Supplies!$F$5:$F$104,MATCH($B90,Supplies!$A$5:$A$104,0)),0))</f>
        <v/>
      </c>
    </row>
    <row r="91" customFormat="false" ht="15" hidden="false" customHeight="false" outlineLevel="0" collapsed="false">
      <c r="A91" s="23"/>
      <c r="B91" s="23"/>
      <c r="C91" s="27" t="str">
        <f aca="false">IF($B91="","",IFERROR(INDEX(Supplies!$B$5:$B$104,MATCH($B91,Supplies!$A$5:$A$104,0)),"?"))</f>
        <v/>
      </c>
      <c r="D91" s="32"/>
      <c r="E91" s="32"/>
      <c r="F91" s="32"/>
      <c r="G91" s="22"/>
      <c r="H91" s="27" t="str">
        <f aca="false">IF($A91="","",IF($F91="","Count it",IF($F91&lt;=$E91,"REORDER","OK")))</f>
        <v/>
      </c>
      <c r="I91" s="31" t="str">
        <f aca="false">IF(OR($A91="",$F91=""),"",MAX(0,$D91-$F91))</f>
        <v/>
      </c>
      <c r="J91" s="28" t="str">
        <f aca="false">IF(OR($A91="",$I91=""),"",$I91*IFERROR(INDEX(Supplies!$F$5:$F$104,MATCH($B91,Supplies!$A$5:$A$104,0)),0))</f>
        <v/>
      </c>
    </row>
    <row r="92" customFormat="false" ht="15" hidden="false" customHeight="false" outlineLevel="0" collapsed="false">
      <c r="A92" s="23"/>
      <c r="B92" s="23"/>
      <c r="C92" s="27" t="str">
        <f aca="false">IF($B92="","",IFERROR(INDEX(Supplies!$B$5:$B$104,MATCH($B92,Supplies!$A$5:$A$104,0)),"?"))</f>
        <v/>
      </c>
      <c r="D92" s="32"/>
      <c r="E92" s="32"/>
      <c r="F92" s="32"/>
      <c r="G92" s="22"/>
      <c r="H92" s="27" t="str">
        <f aca="false">IF($A92="","",IF($F92="","Count it",IF($F92&lt;=$E92,"REORDER","OK")))</f>
        <v/>
      </c>
      <c r="I92" s="31" t="str">
        <f aca="false">IF(OR($A92="",$F92=""),"",MAX(0,$D92-$F92))</f>
        <v/>
      </c>
      <c r="J92" s="28" t="str">
        <f aca="false">IF(OR($A92="",$I92=""),"",$I92*IFERROR(INDEX(Supplies!$F$5:$F$104,MATCH($B92,Supplies!$A$5:$A$104,0)),0))</f>
        <v/>
      </c>
    </row>
    <row r="93" customFormat="false" ht="15" hidden="false" customHeight="false" outlineLevel="0" collapsed="false">
      <c r="A93" s="23"/>
      <c r="B93" s="23"/>
      <c r="C93" s="27" t="str">
        <f aca="false">IF($B93="","",IFERROR(INDEX(Supplies!$B$5:$B$104,MATCH($B93,Supplies!$A$5:$A$104,0)),"?"))</f>
        <v/>
      </c>
      <c r="D93" s="32"/>
      <c r="E93" s="32"/>
      <c r="F93" s="32"/>
      <c r="G93" s="22"/>
      <c r="H93" s="27" t="str">
        <f aca="false">IF($A93="","",IF($F93="","Count it",IF($F93&lt;=$E93,"REORDER","OK")))</f>
        <v/>
      </c>
      <c r="I93" s="31" t="str">
        <f aca="false">IF(OR($A93="",$F93=""),"",MAX(0,$D93-$F93))</f>
        <v/>
      </c>
      <c r="J93" s="28" t="str">
        <f aca="false">IF(OR($A93="",$I93=""),"",$I93*IFERROR(INDEX(Supplies!$F$5:$F$104,MATCH($B93,Supplies!$A$5:$A$104,0)),0))</f>
        <v/>
      </c>
    </row>
    <row r="94" customFormat="false" ht="15" hidden="false" customHeight="false" outlineLevel="0" collapsed="false">
      <c r="A94" s="23"/>
      <c r="B94" s="23"/>
      <c r="C94" s="27" t="str">
        <f aca="false">IF($B94="","",IFERROR(INDEX(Supplies!$B$5:$B$104,MATCH($B94,Supplies!$A$5:$A$104,0)),"?"))</f>
        <v/>
      </c>
      <c r="D94" s="32"/>
      <c r="E94" s="32"/>
      <c r="F94" s="32"/>
      <c r="G94" s="22"/>
      <c r="H94" s="27" t="str">
        <f aca="false">IF($A94="","",IF($F94="","Count it",IF($F94&lt;=$E94,"REORDER","OK")))</f>
        <v/>
      </c>
      <c r="I94" s="31" t="str">
        <f aca="false">IF(OR($A94="",$F94=""),"",MAX(0,$D94-$F94))</f>
        <v/>
      </c>
      <c r="J94" s="28" t="str">
        <f aca="false">IF(OR($A94="",$I94=""),"",$I94*IFERROR(INDEX(Supplies!$F$5:$F$104,MATCH($B94,Supplies!$A$5:$A$104,0)),0))</f>
        <v/>
      </c>
    </row>
    <row r="95" customFormat="false" ht="15" hidden="false" customHeight="false" outlineLevel="0" collapsed="false">
      <c r="A95" s="23"/>
      <c r="B95" s="23"/>
      <c r="C95" s="27" t="str">
        <f aca="false">IF($B95="","",IFERROR(INDEX(Supplies!$B$5:$B$104,MATCH($B95,Supplies!$A$5:$A$104,0)),"?"))</f>
        <v/>
      </c>
      <c r="D95" s="32"/>
      <c r="E95" s="32"/>
      <c r="F95" s="32"/>
      <c r="G95" s="22"/>
      <c r="H95" s="27" t="str">
        <f aca="false">IF($A95="","",IF($F95="","Count it",IF($F95&lt;=$E95,"REORDER","OK")))</f>
        <v/>
      </c>
      <c r="I95" s="31" t="str">
        <f aca="false">IF(OR($A95="",$F95=""),"",MAX(0,$D95-$F95))</f>
        <v/>
      </c>
      <c r="J95" s="28" t="str">
        <f aca="false">IF(OR($A95="",$I95=""),"",$I95*IFERROR(INDEX(Supplies!$F$5:$F$104,MATCH($B95,Supplies!$A$5:$A$104,0)),0))</f>
        <v/>
      </c>
    </row>
    <row r="96" customFormat="false" ht="15" hidden="false" customHeight="false" outlineLevel="0" collapsed="false">
      <c r="A96" s="23"/>
      <c r="B96" s="23"/>
      <c r="C96" s="27" t="str">
        <f aca="false">IF($B96="","",IFERROR(INDEX(Supplies!$B$5:$B$104,MATCH($B96,Supplies!$A$5:$A$104,0)),"?"))</f>
        <v/>
      </c>
      <c r="D96" s="32"/>
      <c r="E96" s="32"/>
      <c r="F96" s="32"/>
      <c r="G96" s="22"/>
      <c r="H96" s="27" t="str">
        <f aca="false">IF($A96="","",IF($F96="","Count it",IF($F96&lt;=$E96,"REORDER","OK")))</f>
        <v/>
      </c>
      <c r="I96" s="31" t="str">
        <f aca="false">IF(OR($A96="",$F96=""),"",MAX(0,$D96-$F96))</f>
        <v/>
      </c>
      <c r="J96" s="28" t="str">
        <f aca="false">IF(OR($A96="",$I96=""),"",$I96*IFERROR(INDEX(Supplies!$F$5:$F$104,MATCH($B96,Supplies!$A$5:$A$104,0)),0))</f>
        <v/>
      </c>
    </row>
    <row r="97" customFormat="false" ht="15" hidden="false" customHeight="false" outlineLevel="0" collapsed="false">
      <c r="A97" s="23"/>
      <c r="B97" s="23"/>
      <c r="C97" s="27" t="str">
        <f aca="false">IF($B97="","",IFERROR(INDEX(Supplies!$B$5:$B$104,MATCH($B97,Supplies!$A$5:$A$104,0)),"?"))</f>
        <v/>
      </c>
      <c r="D97" s="32"/>
      <c r="E97" s="32"/>
      <c r="F97" s="32"/>
      <c r="G97" s="22"/>
      <c r="H97" s="27" t="str">
        <f aca="false">IF($A97="","",IF($F97="","Count it",IF($F97&lt;=$E97,"REORDER","OK")))</f>
        <v/>
      </c>
      <c r="I97" s="31" t="str">
        <f aca="false">IF(OR($A97="",$F97=""),"",MAX(0,$D97-$F97))</f>
        <v/>
      </c>
      <c r="J97" s="28" t="str">
        <f aca="false">IF(OR($A97="",$I97=""),"",$I97*IFERROR(INDEX(Supplies!$F$5:$F$104,MATCH($B97,Supplies!$A$5:$A$104,0)),0))</f>
        <v/>
      </c>
    </row>
    <row r="98" customFormat="false" ht="15" hidden="false" customHeight="false" outlineLevel="0" collapsed="false">
      <c r="A98" s="23"/>
      <c r="B98" s="23"/>
      <c r="C98" s="27" t="str">
        <f aca="false">IF($B98="","",IFERROR(INDEX(Supplies!$B$5:$B$104,MATCH($B98,Supplies!$A$5:$A$104,0)),"?"))</f>
        <v/>
      </c>
      <c r="D98" s="32"/>
      <c r="E98" s="32"/>
      <c r="F98" s="32"/>
      <c r="G98" s="22"/>
      <c r="H98" s="27" t="str">
        <f aca="false">IF($A98="","",IF($F98="","Count it",IF($F98&lt;=$E98,"REORDER","OK")))</f>
        <v/>
      </c>
      <c r="I98" s="31" t="str">
        <f aca="false">IF(OR($A98="",$F98=""),"",MAX(0,$D98-$F98))</f>
        <v/>
      </c>
      <c r="J98" s="28" t="str">
        <f aca="false">IF(OR($A98="",$I98=""),"",$I98*IFERROR(INDEX(Supplies!$F$5:$F$104,MATCH($B98,Supplies!$A$5:$A$104,0)),0))</f>
        <v/>
      </c>
    </row>
    <row r="99" customFormat="false" ht="15" hidden="false" customHeight="false" outlineLevel="0" collapsed="false">
      <c r="A99" s="23"/>
      <c r="B99" s="23"/>
      <c r="C99" s="27" t="str">
        <f aca="false">IF($B99="","",IFERROR(INDEX(Supplies!$B$5:$B$104,MATCH($B99,Supplies!$A$5:$A$104,0)),"?"))</f>
        <v/>
      </c>
      <c r="D99" s="32"/>
      <c r="E99" s="32"/>
      <c r="F99" s="32"/>
      <c r="G99" s="22"/>
      <c r="H99" s="27" t="str">
        <f aca="false">IF($A99="","",IF($F99="","Count it",IF($F99&lt;=$E99,"REORDER","OK")))</f>
        <v/>
      </c>
      <c r="I99" s="31" t="str">
        <f aca="false">IF(OR($A99="",$F99=""),"",MAX(0,$D99-$F99))</f>
        <v/>
      </c>
      <c r="J99" s="28" t="str">
        <f aca="false">IF(OR($A99="",$I99=""),"",$I99*IFERROR(INDEX(Supplies!$F$5:$F$104,MATCH($B99,Supplies!$A$5:$A$104,0)),0))</f>
        <v/>
      </c>
    </row>
    <row r="100" customFormat="false" ht="15" hidden="false" customHeight="false" outlineLevel="0" collapsed="false">
      <c r="A100" s="23"/>
      <c r="B100" s="23"/>
      <c r="C100" s="27" t="str">
        <f aca="false">IF($B100="","",IFERROR(INDEX(Supplies!$B$5:$B$104,MATCH($B100,Supplies!$A$5:$A$104,0)),"?"))</f>
        <v/>
      </c>
      <c r="D100" s="32"/>
      <c r="E100" s="32"/>
      <c r="F100" s="32"/>
      <c r="G100" s="22"/>
      <c r="H100" s="27" t="str">
        <f aca="false">IF($A100="","",IF($F100="","Count it",IF($F100&lt;=$E100,"REORDER","OK")))</f>
        <v/>
      </c>
      <c r="I100" s="31" t="str">
        <f aca="false">IF(OR($A100="",$F100=""),"",MAX(0,$D100-$F100))</f>
        <v/>
      </c>
      <c r="J100" s="28" t="str">
        <f aca="false">IF(OR($A100="",$I100=""),"",$I100*IFERROR(INDEX(Supplies!$F$5:$F$104,MATCH($B100,Supplies!$A$5:$A$104,0)),0))</f>
        <v/>
      </c>
    </row>
    <row r="101" customFormat="false" ht="15" hidden="false" customHeight="false" outlineLevel="0" collapsed="false">
      <c r="A101" s="23"/>
      <c r="B101" s="23"/>
      <c r="C101" s="27" t="str">
        <f aca="false">IF($B101="","",IFERROR(INDEX(Supplies!$B$5:$B$104,MATCH($B101,Supplies!$A$5:$A$104,0)),"?"))</f>
        <v/>
      </c>
      <c r="D101" s="32"/>
      <c r="E101" s="32"/>
      <c r="F101" s="32"/>
      <c r="G101" s="22"/>
      <c r="H101" s="27" t="str">
        <f aca="false">IF($A101="","",IF($F101="","Count it",IF($F101&lt;=$E101,"REORDER","OK")))</f>
        <v/>
      </c>
      <c r="I101" s="31" t="str">
        <f aca="false">IF(OR($A101="",$F101=""),"",MAX(0,$D101-$F101))</f>
        <v/>
      </c>
      <c r="J101" s="28" t="str">
        <f aca="false">IF(OR($A101="",$I101=""),"",$I101*IFERROR(INDEX(Supplies!$F$5:$F$104,MATCH($B101,Supplies!$A$5:$A$104,0)),0))</f>
        <v/>
      </c>
    </row>
    <row r="102" customFormat="false" ht="15" hidden="false" customHeight="false" outlineLevel="0" collapsed="false">
      <c r="A102" s="23"/>
      <c r="B102" s="23"/>
      <c r="C102" s="27" t="str">
        <f aca="false">IF($B102="","",IFERROR(INDEX(Supplies!$B$5:$B$104,MATCH($B102,Supplies!$A$5:$A$104,0)),"?"))</f>
        <v/>
      </c>
      <c r="D102" s="32"/>
      <c r="E102" s="32"/>
      <c r="F102" s="32"/>
      <c r="G102" s="22"/>
      <c r="H102" s="27" t="str">
        <f aca="false">IF($A102="","",IF($F102="","Count it",IF($F102&lt;=$E102,"REORDER","OK")))</f>
        <v/>
      </c>
      <c r="I102" s="31" t="str">
        <f aca="false">IF(OR($A102="",$F102=""),"",MAX(0,$D102-$F102))</f>
        <v/>
      </c>
      <c r="J102" s="28" t="str">
        <f aca="false">IF(OR($A102="",$I102=""),"",$I102*IFERROR(INDEX(Supplies!$F$5:$F$104,MATCH($B102,Supplies!$A$5:$A$104,0)),0))</f>
        <v/>
      </c>
    </row>
    <row r="103" customFormat="false" ht="15" hidden="false" customHeight="false" outlineLevel="0" collapsed="false">
      <c r="A103" s="23"/>
      <c r="B103" s="23"/>
      <c r="C103" s="27" t="str">
        <f aca="false">IF($B103="","",IFERROR(INDEX(Supplies!$B$5:$B$104,MATCH($B103,Supplies!$A$5:$A$104,0)),"?"))</f>
        <v/>
      </c>
      <c r="D103" s="32"/>
      <c r="E103" s="32"/>
      <c r="F103" s="32"/>
      <c r="G103" s="22"/>
      <c r="H103" s="27" t="str">
        <f aca="false">IF($A103="","",IF($F103="","Count it",IF($F103&lt;=$E103,"REORDER","OK")))</f>
        <v/>
      </c>
      <c r="I103" s="31" t="str">
        <f aca="false">IF(OR($A103="",$F103=""),"",MAX(0,$D103-$F103))</f>
        <v/>
      </c>
      <c r="J103" s="28" t="str">
        <f aca="false">IF(OR($A103="",$I103=""),"",$I103*IFERROR(INDEX(Supplies!$F$5:$F$104,MATCH($B103,Supplies!$A$5:$A$104,0)),0))</f>
        <v/>
      </c>
    </row>
    <row r="104" customFormat="false" ht="15" hidden="false" customHeight="false" outlineLevel="0" collapsed="false">
      <c r="A104" s="23"/>
      <c r="B104" s="23"/>
      <c r="C104" s="27" t="str">
        <f aca="false">IF($B104="","",IFERROR(INDEX(Supplies!$B$5:$B$104,MATCH($B104,Supplies!$A$5:$A$104,0)),"?"))</f>
        <v/>
      </c>
      <c r="D104" s="32"/>
      <c r="E104" s="32"/>
      <c r="F104" s="32"/>
      <c r="G104" s="22"/>
      <c r="H104" s="27" t="str">
        <f aca="false">IF($A104="","",IF($F104="","Count it",IF($F104&lt;=$E104,"REORDER","OK")))</f>
        <v/>
      </c>
      <c r="I104" s="31" t="str">
        <f aca="false">IF(OR($A104="",$F104=""),"",MAX(0,$D104-$F104))</f>
        <v/>
      </c>
      <c r="J104" s="28" t="str">
        <f aca="false">IF(OR($A104="",$I104=""),"",$I104*IFERROR(INDEX(Supplies!$F$5:$F$104,MATCH($B104,Supplies!$A$5:$A$104,0)),0))</f>
        <v/>
      </c>
    </row>
    <row r="105" customFormat="false" ht="15" hidden="false" customHeight="false" outlineLevel="0" collapsed="false">
      <c r="A105" s="23"/>
      <c r="B105" s="23"/>
      <c r="C105" s="27" t="str">
        <f aca="false">IF($B105="","",IFERROR(INDEX(Supplies!$B$5:$B$104,MATCH($B105,Supplies!$A$5:$A$104,0)),"?"))</f>
        <v/>
      </c>
      <c r="D105" s="32"/>
      <c r="E105" s="32"/>
      <c r="F105" s="32"/>
      <c r="G105" s="22"/>
      <c r="H105" s="27" t="str">
        <f aca="false">IF($A105="","",IF($F105="","Count it",IF($F105&lt;=$E105,"REORDER","OK")))</f>
        <v/>
      </c>
      <c r="I105" s="31" t="str">
        <f aca="false">IF(OR($A105="",$F105=""),"",MAX(0,$D105-$F105))</f>
        <v/>
      </c>
      <c r="J105" s="28" t="str">
        <f aca="false">IF(OR($A105="",$I105=""),"",$I105*IFERROR(INDEX(Supplies!$F$5:$F$104,MATCH($B105,Supplies!$A$5:$A$104,0)),0))</f>
        <v/>
      </c>
    </row>
    <row r="106" customFormat="false" ht="15" hidden="false" customHeight="false" outlineLevel="0" collapsed="false">
      <c r="A106" s="23"/>
      <c r="B106" s="23"/>
      <c r="C106" s="27" t="str">
        <f aca="false">IF($B106="","",IFERROR(INDEX(Supplies!$B$5:$B$104,MATCH($B106,Supplies!$A$5:$A$104,0)),"?"))</f>
        <v/>
      </c>
      <c r="D106" s="32"/>
      <c r="E106" s="32"/>
      <c r="F106" s="32"/>
      <c r="G106" s="22"/>
      <c r="H106" s="27" t="str">
        <f aca="false">IF($A106="","",IF($F106="","Count it",IF($F106&lt;=$E106,"REORDER","OK")))</f>
        <v/>
      </c>
      <c r="I106" s="31" t="str">
        <f aca="false">IF(OR($A106="",$F106=""),"",MAX(0,$D106-$F106))</f>
        <v/>
      </c>
      <c r="J106" s="28" t="str">
        <f aca="false">IF(OR($A106="",$I106=""),"",$I106*IFERROR(INDEX(Supplies!$F$5:$F$104,MATCH($B106,Supplies!$A$5:$A$104,0)),0))</f>
        <v/>
      </c>
    </row>
    <row r="107" customFormat="false" ht="15" hidden="false" customHeight="false" outlineLevel="0" collapsed="false">
      <c r="A107" s="23"/>
      <c r="B107" s="23"/>
      <c r="C107" s="27" t="str">
        <f aca="false">IF($B107="","",IFERROR(INDEX(Supplies!$B$5:$B$104,MATCH($B107,Supplies!$A$5:$A$104,0)),"?"))</f>
        <v/>
      </c>
      <c r="D107" s="32"/>
      <c r="E107" s="32"/>
      <c r="F107" s="32"/>
      <c r="G107" s="22"/>
      <c r="H107" s="27" t="str">
        <f aca="false">IF($A107="","",IF($F107="","Count it",IF($F107&lt;=$E107,"REORDER","OK")))</f>
        <v/>
      </c>
      <c r="I107" s="31" t="str">
        <f aca="false">IF(OR($A107="",$F107=""),"",MAX(0,$D107-$F107))</f>
        <v/>
      </c>
      <c r="J107" s="28" t="str">
        <f aca="false">IF(OR($A107="",$I107=""),"",$I107*IFERROR(INDEX(Supplies!$F$5:$F$104,MATCH($B107,Supplies!$A$5:$A$104,0)),0))</f>
        <v/>
      </c>
    </row>
    <row r="108" customFormat="false" ht="15" hidden="false" customHeight="false" outlineLevel="0" collapsed="false">
      <c r="A108" s="23"/>
      <c r="B108" s="23"/>
      <c r="C108" s="27" t="str">
        <f aca="false">IF($B108="","",IFERROR(INDEX(Supplies!$B$5:$B$104,MATCH($B108,Supplies!$A$5:$A$104,0)),"?"))</f>
        <v/>
      </c>
      <c r="D108" s="32"/>
      <c r="E108" s="32"/>
      <c r="F108" s="32"/>
      <c r="G108" s="22"/>
      <c r="H108" s="27" t="str">
        <f aca="false">IF($A108="","",IF($F108="","Count it",IF($F108&lt;=$E108,"REORDER","OK")))</f>
        <v/>
      </c>
      <c r="I108" s="31" t="str">
        <f aca="false">IF(OR($A108="",$F108=""),"",MAX(0,$D108-$F108))</f>
        <v/>
      </c>
      <c r="J108" s="28" t="str">
        <f aca="false">IF(OR($A108="",$I108=""),"",$I108*IFERROR(INDEX(Supplies!$F$5:$F$104,MATCH($B108,Supplies!$A$5:$A$104,0)),0))</f>
        <v/>
      </c>
    </row>
    <row r="109" customFormat="false" ht="15" hidden="false" customHeight="false" outlineLevel="0" collapsed="false">
      <c r="A109" s="23"/>
      <c r="B109" s="23"/>
      <c r="C109" s="27" t="str">
        <f aca="false">IF($B109="","",IFERROR(INDEX(Supplies!$B$5:$B$104,MATCH($B109,Supplies!$A$5:$A$104,0)),"?"))</f>
        <v/>
      </c>
      <c r="D109" s="32"/>
      <c r="E109" s="32"/>
      <c r="F109" s="32"/>
      <c r="G109" s="22"/>
      <c r="H109" s="27" t="str">
        <f aca="false">IF($A109="","",IF($F109="","Count it",IF($F109&lt;=$E109,"REORDER","OK")))</f>
        <v/>
      </c>
      <c r="I109" s="31" t="str">
        <f aca="false">IF(OR($A109="",$F109=""),"",MAX(0,$D109-$F109))</f>
        <v/>
      </c>
      <c r="J109" s="28" t="str">
        <f aca="false">IF(OR($A109="",$I109=""),"",$I109*IFERROR(INDEX(Supplies!$F$5:$F$104,MATCH($B109,Supplies!$A$5:$A$104,0)),0))</f>
        <v/>
      </c>
    </row>
    <row r="110" customFormat="false" ht="15" hidden="false" customHeight="false" outlineLevel="0" collapsed="false">
      <c r="A110" s="23"/>
      <c r="B110" s="23"/>
      <c r="C110" s="27" t="str">
        <f aca="false">IF($B110="","",IFERROR(INDEX(Supplies!$B$5:$B$104,MATCH($B110,Supplies!$A$5:$A$104,0)),"?"))</f>
        <v/>
      </c>
      <c r="D110" s="32"/>
      <c r="E110" s="32"/>
      <c r="F110" s="32"/>
      <c r="G110" s="22"/>
      <c r="H110" s="27" t="str">
        <f aca="false">IF($A110="","",IF($F110="","Count it",IF($F110&lt;=$E110,"REORDER","OK")))</f>
        <v/>
      </c>
      <c r="I110" s="31" t="str">
        <f aca="false">IF(OR($A110="",$F110=""),"",MAX(0,$D110-$F110))</f>
        <v/>
      </c>
      <c r="J110" s="28" t="str">
        <f aca="false">IF(OR($A110="",$I110=""),"",$I110*IFERROR(INDEX(Supplies!$F$5:$F$104,MATCH($B110,Supplies!$A$5:$A$104,0)),0))</f>
        <v/>
      </c>
    </row>
    <row r="111" customFormat="false" ht="15" hidden="false" customHeight="false" outlineLevel="0" collapsed="false">
      <c r="A111" s="23"/>
      <c r="B111" s="23"/>
      <c r="C111" s="27" t="str">
        <f aca="false">IF($B111="","",IFERROR(INDEX(Supplies!$B$5:$B$104,MATCH($B111,Supplies!$A$5:$A$104,0)),"?"))</f>
        <v/>
      </c>
      <c r="D111" s="32"/>
      <c r="E111" s="32"/>
      <c r="F111" s="32"/>
      <c r="G111" s="22"/>
      <c r="H111" s="27" t="str">
        <f aca="false">IF($A111="","",IF($F111="","Count it",IF($F111&lt;=$E111,"REORDER","OK")))</f>
        <v/>
      </c>
      <c r="I111" s="31" t="str">
        <f aca="false">IF(OR($A111="",$F111=""),"",MAX(0,$D111-$F111))</f>
        <v/>
      </c>
      <c r="J111" s="28" t="str">
        <f aca="false">IF(OR($A111="",$I111=""),"",$I111*IFERROR(INDEX(Supplies!$F$5:$F$104,MATCH($B111,Supplies!$A$5:$A$104,0)),0))</f>
        <v/>
      </c>
    </row>
    <row r="112" customFormat="false" ht="15" hidden="false" customHeight="false" outlineLevel="0" collapsed="false">
      <c r="A112" s="23"/>
      <c r="B112" s="23"/>
      <c r="C112" s="27" t="str">
        <f aca="false">IF($B112="","",IFERROR(INDEX(Supplies!$B$5:$B$104,MATCH($B112,Supplies!$A$5:$A$104,0)),"?"))</f>
        <v/>
      </c>
      <c r="D112" s="32"/>
      <c r="E112" s="32"/>
      <c r="F112" s="32"/>
      <c r="G112" s="22"/>
      <c r="H112" s="27" t="str">
        <f aca="false">IF($A112="","",IF($F112="","Count it",IF($F112&lt;=$E112,"REORDER","OK")))</f>
        <v/>
      </c>
      <c r="I112" s="31" t="str">
        <f aca="false">IF(OR($A112="",$F112=""),"",MAX(0,$D112-$F112))</f>
        <v/>
      </c>
      <c r="J112" s="28" t="str">
        <f aca="false">IF(OR($A112="",$I112=""),"",$I112*IFERROR(INDEX(Supplies!$F$5:$F$104,MATCH($B112,Supplies!$A$5:$A$104,0)),0))</f>
        <v/>
      </c>
    </row>
    <row r="113" customFormat="false" ht="15" hidden="false" customHeight="false" outlineLevel="0" collapsed="false">
      <c r="A113" s="23"/>
      <c r="B113" s="23"/>
      <c r="C113" s="27" t="str">
        <f aca="false">IF($B113="","",IFERROR(INDEX(Supplies!$B$5:$B$104,MATCH($B113,Supplies!$A$5:$A$104,0)),"?"))</f>
        <v/>
      </c>
      <c r="D113" s="32"/>
      <c r="E113" s="32"/>
      <c r="F113" s="32"/>
      <c r="G113" s="22"/>
      <c r="H113" s="27" t="str">
        <f aca="false">IF($A113="","",IF($F113="","Count it",IF($F113&lt;=$E113,"REORDER","OK")))</f>
        <v/>
      </c>
      <c r="I113" s="31" t="str">
        <f aca="false">IF(OR($A113="",$F113=""),"",MAX(0,$D113-$F113))</f>
        <v/>
      </c>
      <c r="J113" s="28" t="str">
        <f aca="false">IF(OR($A113="",$I113=""),"",$I113*IFERROR(INDEX(Supplies!$F$5:$F$104,MATCH($B113,Supplies!$A$5:$A$104,0)),0))</f>
        <v/>
      </c>
    </row>
    <row r="114" customFormat="false" ht="15" hidden="false" customHeight="false" outlineLevel="0" collapsed="false">
      <c r="A114" s="23"/>
      <c r="B114" s="23"/>
      <c r="C114" s="27" t="str">
        <f aca="false">IF($B114="","",IFERROR(INDEX(Supplies!$B$5:$B$104,MATCH($B114,Supplies!$A$5:$A$104,0)),"?"))</f>
        <v/>
      </c>
      <c r="D114" s="32"/>
      <c r="E114" s="32"/>
      <c r="F114" s="32"/>
      <c r="G114" s="22"/>
      <c r="H114" s="27" t="str">
        <f aca="false">IF($A114="","",IF($F114="","Count it",IF($F114&lt;=$E114,"REORDER","OK")))</f>
        <v/>
      </c>
      <c r="I114" s="31" t="str">
        <f aca="false">IF(OR($A114="",$F114=""),"",MAX(0,$D114-$F114))</f>
        <v/>
      </c>
      <c r="J114" s="28" t="str">
        <f aca="false">IF(OR($A114="",$I114=""),"",$I114*IFERROR(INDEX(Supplies!$F$5:$F$104,MATCH($B114,Supplies!$A$5:$A$104,0)),0))</f>
        <v/>
      </c>
    </row>
    <row r="115" customFormat="false" ht="15" hidden="false" customHeight="false" outlineLevel="0" collapsed="false">
      <c r="A115" s="23"/>
      <c r="B115" s="23"/>
      <c r="C115" s="27" t="str">
        <f aca="false">IF($B115="","",IFERROR(INDEX(Supplies!$B$5:$B$104,MATCH($B115,Supplies!$A$5:$A$104,0)),"?"))</f>
        <v/>
      </c>
      <c r="D115" s="32"/>
      <c r="E115" s="32"/>
      <c r="F115" s="32"/>
      <c r="G115" s="22"/>
      <c r="H115" s="27" t="str">
        <f aca="false">IF($A115="","",IF($F115="","Count it",IF($F115&lt;=$E115,"REORDER","OK")))</f>
        <v/>
      </c>
      <c r="I115" s="31" t="str">
        <f aca="false">IF(OR($A115="",$F115=""),"",MAX(0,$D115-$F115))</f>
        <v/>
      </c>
      <c r="J115" s="28" t="str">
        <f aca="false">IF(OR($A115="",$I115=""),"",$I115*IFERROR(INDEX(Supplies!$F$5:$F$104,MATCH($B115,Supplies!$A$5:$A$104,0)),0))</f>
        <v/>
      </c>
    </row>
    <row r="116" customFormat="false" ht="15" hidden="false" customHeight="false" outlineLevel="0" collapsed="false">
      <c r="A116" s="23"/>
      <c r="B116" s="23"/>
      <c r="C116" s="27" t="str">
        <f aca="false">IF($B116="","",IFERROR(INDEX(Supplies!$B$5:$B$104,MATCH($B116,Supplies!$A$5:$A$104,0)),"?"))</f>
        <v/>
      </c>
      <c r="D116" s="32"/>
      <c r="E116" s="32"/>
      <c r="F116" s="32"/>
      <c r="G116" s="22"/>
      <c r="H116" s="27" t="str">
        <f aca="false">IF($A116="","",IF($F116="","Count it",IF($F116&lt;=$E116,"REORDER","OK")))</f>
        <v/>
      </c>
      <c r="I116" s="31" t="str">
        <f aca="false">IF(OR($A116="",$F116=""),"",MAX(0,$D116-$F116))</f>
        <v/>
      </c>
      <c r="J116" s="28" t="str">
        <f aca="false">IF(OR($A116="",$I116=""),"",$I116*IFERROR(INDEX(Supplies!$F$5:$F$104,MATCH($B116,Supplies!$A$5:$A$104,0)),0))</f>
        <v/>
      </c>
    </row>
    <row r="117" customFormat="false" ht="15" hidden="false" customHeight="false" outlineLevel="0" collapsed="false">
      <c r="A117" s="23"/>
      <c r="B117" s="23"/>
      <c r="C117" s="27" t="str">
        <f aca="false">IF($B117="","",IFERROR(INDEX(Supplies!$B$5:$B$104,MATCH($B117,Supplies!$A$5:$A$104,0)),"?"))</f>
        <v/>
      </c>
      <c r="D117" s="32"/>
      <c r="E117" s="32"/>
      <c r="F117" s="32"/>
      <c r="G117" s="22"/>
      <c r="H117" s="27" t="str">
        <f aca="false">IF($A117="","",IF($F117="","Count it",IF($F117&lt;=$E117,"REORDER","OK")))</f>
        <v/>
      </c>
      <c r="I117" s="31" t="str">
        <f aca="false">IF(OR($A117="",$F117=""),"",MAX(0,$D117-$F117))</f>
        <v/>
      </c>
      <c r="J117" s="28" t="str">
        <f aca="false">IF(OR($A117="",$I117=""),"",$I117*IFERROR(INDEX(Supplies!$F$5:$F$104,MATCH($B117,Supplies!$A$5:$A$104,0)),0))</f>
        <v/>
      </c>
    </row>
    <row r="118" customFormat="false" ht="15" hidden="false" customHeight="false" outlineLevel="0" collapsed="false">
      <c r="A118" s="23"/>
      <c r="B118" s="23"/>
      <c r="C118" s="27" t="str">
        <f aca="false">IF($B118="","",IFERROR(INDEX(Supplies!$B$5:$B$104,MATCH($B118,Supplies!$A$5:$A$104,0)),"?"))</f>
        <v/>
      </c>
      <c r="D118" s="32"/>
      <c r="E118" s="32"/>
      <c r="F118" s="32"/>
      <c r="G118" s="22"/>
      <c r="H118" s="27" t="str">
        <f aca="false">IF($A118="","",IF($F118="","Count it",IF($F118&lt;=$E118,"REORDER","OK")))</f>
        <v/>
      </c>
      <c r="I118" s="31" t="str">
        <f aca="false">IF(OR($A118="",$F118=""),"",MAX(0,$D118-$F118))</f>
        <v/>
      </c>
      <c r="J118" s="28" t="str">
        <f aca="false">IF(OR($A118="",$I118=""),"",$I118*IFERROR(INDEX(Supplies!$F$5:$F$104,MATCH($B118,Supplies!$A$5:$A$104,0)),0))</f>
        <v/>
      </c>
    </row>
    <row r="119" customFormat="false" ht="15" hidden="false" customHeight="false" outlineLevel="0" collapsed="false">
      <c r="A119" s="23"/>
      <c r="B119" s="23"/>
      <c r="C119" s="27" t="str">
        <f aca="false">IF($B119="","",IFERROR(INDEX(Supplies!$B$5:$B$104,MATCH($B119,Supplies!$A$5:$A$104,0)),"?"))</f>
        <v/>
      </c>
      <c r="D119" s="32"/>
      <c r="E119" s="32"/>
      <c r="F119" s="32"/>
      <c r="G119" s="22"/>
      <c r="H119" s="27" t="str">
        <f aca="false">IF($A119="","",IF($F119="","Count it",IF($F119&lt;=$E119,"REORDER","OK")))</f>
        <v/>
      </c>
      <c r="I119" s="31" t="str">
        <f aca="false">IF(OR($A119="",$F119=""),"",MAX(0,$D119-$F119))</f>
        <v/>
      </c>
      <c r="J119" s="28" t="str">
        <f aca="false">IF(OR($A119="",$I119=""),"",$I119*IFERROR(INDEX(Supplies!$F$5:$F$104,MATCH($B119,Supplies!$A$5:$A$104,0)),0))</f>
        <v/>
      </c>
    </row>
    <row r="120" customFormat="false" ht="15" hidden="false" customHeight="false" outlineLevel="0" collapsed="false">
      <c r="A120" s="23"/>
      <c r="B120" s="23"/>
      <c r="C120" s="27" t="str">
        <f aca="false">IF($B120="","",IFERROR(INDEX(Supplies!$B$5:$B$104,MATCH($B120,Supplies!$A$5:$A$104,0)),"?"))</f>
        <v/>
      </c>
      <c r="D120" s="32"/>
      <c r="E120" s="32"/>
      <c r="F120" s="32"/>
      <c r="G120" s="22"/>
      <c r="H120" s="27" t="str">
        <f aca="false">IF($A120="","",IF($F120="","Count it",IF($F120&lt;=$E120,"REORDER","OK")))</f>
        <v/>
      </c>
      <c r="I120" s="31" t="str">
        <f aca="false">IF(OR($A120="",$F120=""),"",MAX(0,$D120-$F120))</f>
        <v/>
      </c>
      <c r="J120" s="28" t="str">
        <f aca="false">IF(OR($A120="",$I120=""),"",$I120*IFERROR(INDEX(Supplies!$F$5:$F$104,MATCH($B120,Supplies!$A$5:$A$104,0)),0))</f>
        <v/>
      </c>
    </row>
    <row r="121" customFormat="false" ht="15" hidden="false" customHeight="false" outlineLevel="0" collapsed="false">
      <c r="A121" s="23"/>
      <c r="B121" s="23"/>
      <c r="C121" s="27" t="str">
        <f aca="false">IF($B121="","",IFERROR(INDEX(Supplies!$B$5:$B$104,MATCH($B121,Supplies!$A$5:$A$104,0)),"?"))</f>
        <v/>
      </c>
      <c r="D121" s="32"/>
      <c r="E121" s="32"/>
      <c r="F121" s="32"/>
      <c r="G121" s="22"/>
      <c r="H121" s="27" t="str">
        <f aca="false">IF($A121="","",IF($F121="","Count it",IF($F121&lt;=$E121,"REORDER","OK")))</f>
        <v/>
      </c>
      <c r="I121" s="31" t="str">
        <f aca="false">IF(OR($A121="",$F121=""),"",MAX(0,$D121-$F121))</f>
        <v/>
      </c>
      <c r="J121" s="28" t="str">
        <f aca="false">IF(OR($A121="",$I121=""),"",$I121*IFERROR(INDEX(Supplies!$F$5:$F$104,MATCH($B121,Supplies!$A$5:$A$104,0)),0))</f>
        <v/>
      </c>
    </row>
    <row r="122" customFormat="false" ht="15" hidden="false" customHeight="false" outlineLevel="0" collapsed="false">
      <c r="A122" s="23"/>
      <c r="B122" s="23"/>
      <c r="C122" s="27" t="str">
        <f aca="false">IF($B122="","",IFERROR(INDEX(Supplies!$B$5:$B$104,MATCH($B122,Supplies!$A$5:$A$104,0)),"?"))</f>
        <v/>
      </c>
      <c r="D122" s="32"/>
      <c r="E122" s="32"/>
      <c r="F122" s="32"/>
      <c r="G122" s="22"/>
      <c r="H122" s="27" t="str">
        <f aca="false">IF($A122="","",IF($F122="","Count it",IF($F122&lt;=$E122,"REORDER","OK")))</f>
        <v/>
      </c>
      <c r="I122" s="31" t="str">
        <f aca="false">IF(OR($A122="",$F122=""),"",MAX(0,$D122-$F122))</f>
        <v/>
      </c>
      <c r="J122" s="28" t="str">
        <f aca="false">IF(OR($A122="",$I122=""),"",$I122*IFERROR(INDEX(Supplies!$F$5:$F$104,MATCH($B122,Supplies!$A$5:$A$104,0)),0))</f>
        <v/>
      </c>
    </row>
    <row r="123" customFormat="false" ht="15" hidden="false" customHeight="false" outlineLevel="0" collapsed="false">
      <c r="A123" s="23"/>
      <c r="B123" s="23"/>
      <c r="C123" s="27" t="str">
        <f aca="false">IF($B123="","",IFERROR(INDEX(Supplies!$B$5:$B$104,MATCH($B123,Supplies!$A$5:$A$104,0)),"?"))</f>
        <v/>
      </c>
      <c r="D123" s="32"/>
      <c r="E123" s="32"/>
      <c r="F123" s="32"/>
      <c r="G123" s="22"/>
      <c r="H123" s="27" t="str">
        <f aca="false">IF($A123="","",IF($F123="","Count it",IF($F123&lt;=$E123,"REORDER","OK")))</f>
        <v/>
      </c>
      <c r="I123" s="31" t="str">
        <f aca="false">IF(OR($A123="",$F123=""),"",MAX(0,$D123-$F123))</f>
        <v/>
      </c>
      <c r="J123" s="28" t="str">
        <f aca="false">IF(OR($A123="",$I123=""),"",$I123*IFERROR(INDEX(Supplies!$F$5:$F$104,MATCH($B123,Supplies!$A$5:$A$104,0)),0))</f>
        <v/>
      </c>
    </row>
    <row r="124" customFormat="false" ht="15" hidden="false" customHeight="false" outlineLevel="0" collapsed="false">
      <c r="A124" s="23"/>
      <c r="B124" s="23"/>
      <c r="C124" s="27" t="str">
        <f aca="false">IF($B124="","",IFERROR(INDEX(Supplies!$B$5:$B$104,MATCH($B124,Supplies!$A$5:$A$104,0)),"?"))</f>
        <v/>
      </c>
      <c r="D124" s="32"/>
      <c r="E124" s="32"/>
      <c r="F124" s="32"/>
      <c r="G124" s="22"/>
      <c r="H124" s="27" t="str">
        <f aca="false">IF($A124="","",IF($F124="","Count it",IF($F124&lt;=$E124,"REORDER","OK")))</f>
        <v/>
      </c>
      <c r="I124" s="31" t="str">
        <f aca="false">IF(OR($A124="",$F124=""),"",MAX(0,$D124-$F124))</f>
        <v/>
      </c>
      <c r="J124" s="28" t="str">
        <f aca="false">IF(OR($A124="",$I124=""),"",$I124*IFERROR(INDEX(Supplies!$F$5:$F$104,MATCH($B124,Supplies!$A$5:$A$104,0)),0))</f>
        <v/>
      </c>
    </row>
    <row r="125" customFormat="false" ht="15" hidden="false" customHeight="false" outlineLevel="0" collapsed="false">
      <c r="A125" s="23"/>
      <c r="B125" s="23"/>
      <c r="C125" s="27" t="str">
        <f aca="false">IF($B125="","",IFERROR(INDEX(Supplies!$B$5:$B$104,MATCH($B125,Supplies!$A$5:$A$104,0)),"?"))</f>
        <v/>
      </c>
      <c r="D125" s="32"/>
      <c r="E125" s="32"/>
      <c r="F125" s="32"/>
      <c r="G125" s="22"/>
      <c r="H125" s="27" t="str">
        <f aca="false">IF($A125="","",IF($F125="","Count it",IF($F125&lt;=$E125,"REORDER","OK")))</f>
        <v/>
      </c>
      <c r="I125" s="31" t="str">
        <f aca="false">IF(OR($A125="",$F125=""),"",MAX(0,$D125-$F125))</f>
        <v/>
      </c>
      <c r="J125" s="28" t="str">
        <f aca="false">IF(OR($A125="",$I125=""),"",$I125*IFERROR(INDEX(Supplies!$F$5:$F$104,MATCH($B125,Supplies!$A$5:$A$104,0)),0))</f>
        <v/>
      </c>
    </row>
    <row r="126" customFormat="false" ht="15" hidden="false" customHeight="false" outlineLevel="0" collapsed="false">
      <c r="A126" s="23"/>
      <c r="B126" s="23"/>
      <c r="C126" s="27" t="str">
        <f aca="false">IF($B126="","",IFERROR(INDEX(Supplies!$B$5:$B$104,MATCH($B126,Supplies!$A$5:$A$104,0)),"?"))</f>
        <v/>
      </c>
      <c r="D126" s="32"/>
      <c r="E126" s="32"/>
      <c r="F126" s="32"/>
      <c r="G126" s="22"/>
      <c r="H126" s="27" t="str">
        <f aca="false">IF($A126="","",IF($F126="","Count it",IF($F126&lt;=$E126,"REORDER","OK")))</f>
        <v/>
      </c>
      <c r="I126" s="31" t="str">
        <f aca="false">IF(OR($A126="",$F126=""),"",MAX(0,$D126-$F126))</f>
        <v/>
      </c>
      <c r="J126" s="28" t="str">
        <f aca="false">IF(OR($A126="",$I126=""),"",$I126*IFERROR(INDEX(Supplies!$F$5:$F$104,MATCH($B126,Supplies!$A$5:$A$104,0)),0))</f>
        <v/>
      </c>
    </row>
    <row r="127" customFormat="false" ht="15" hidden="false" customHeight="false" outlineLevel="0" collapsed="false">
      <c r="A127" s="23"/>
      <c r="B127" s="23"/>
      <c r="C127" s="27" t="str">
        <f aca="false">IF($B127="","",IFERROR(INDEX(Supplies!$B$5:$B$104,MATCH($B127,Supplies!$A$5:$A$104,0)),"?"))</f>
        <v/>
      </c>
      <c r="D127" s="32"/>
      <c r="E127" s="32"/>
      <c r="F127" s="32"/>
      <c r="G127" s="22"/>
      <c r="H127" s="27" t="str">
        <f aca="false">IF($A127="","",IF($F127="","Count it",IF($F127&lt;=$E127,"REORDER","OK")))</f>
        <v/>
      </c>
      <c r="I127" s="31" t="str">
        <f aca="false">IF(OR($A127="",$F127=""),"",MAX(0,$D127-$F127))</f>
        <v/>
      </c>
      <c r="J127" s="28" t="str">
        <f aca="false">IF(OR($A127="",$I127=""),"",$I127*IFERROR(INDEX(Supplies!$F$5:$F$104,MATCH($B127,Supplies!$A$5:$A$104,0)),0))</f>
        <v/>
      </c>
    </row>
    <row r="128" customFormat="false" ht="15" hidden="false" customHeight="false" outlineLevel="0" collapsed="false">
      <c r="A128" s="23"/>
      <c r="B128" s="23"/>
      <c r="C128" s="27" t="str">
        <f aca="false">IF($B128="","",IFERROR(INDEX(Supplies!$B$5:$B$104,MATCH($B128,Supplies!$A$5:$A$104,0)),"?"))</f>
        <v/>
      </c>
      <c r="D128" s="32"/>
      <c r="E128" s="32"/>
      <c r="F128" s="32"/>
      <c r="G128" s="22"/>
      <c r="H128" s="27" t="str">
        <f aca="false">IF($A128="","",IF($F128="","Count it",IF($F128&lt;=$E128,"REORDER","OK")))</f>
        <v/>
      </c>
      <c r="I128" s="31" t="str">
        <f aca="false">IF(OR($A128="",$F128=""),"",MAX(0,$D128-$F128))</f>
        <v/>
      </c>
      <c r="J128" s="28" t="str">
        <f aca="false">IF(OR($A128="",$I128=""),"",$I128*IFERROR(INDEX(Supplies!$F$5:$F$104,MATCH($B128,Supplies!$A$5:$A$104,0)),0))</f>
        <v/>
      </c>
    </row>
    <row r="129" customFormat="false" ht="15" hidden="false" customHeight="false" outlineLevel="0" collapsed="false">
      <c r="A129" s="23"/>
      <c r="B129" s="23"/>
      <c r="C129" s="27" t="str">
        <f aca="false">IF($B129="","",IFERROR(INDEX(Supplies!$B$5:$B$104,MATCH($B129,Supplies!$A$5:$A$104,0)),"?"))</f>
        <v/>
      </c>
      <c r="D129" s="32"/>
      <c r="E129" s="32"/>
      <c r="F129" s="32"/>
      <c r="G129" s="22"/>
      <c r="H129" s="27" t="str">
        <f aca="false">IF($A129="","",IF($F129="","Count it",IF($F129&lt;=$E129,"REORDER","OK")))</f>
        <v/>
      </c>
      <c r="I129" s="31" t="str">
        <f aca="false">IF(OR($A129="",$F129=""),"",MAX(0,$D129-$F129))</f>
        <v/>
      </c>
      <c r="J129" s="28" t="str">
        <f aca="false">IF(OR($A129="",$I129=""),"",$I129*IFERROR(INDEX(Supplies!$F$5:$F$104,MATCH($B129,Supplies!$A$5:$A$104,0)),0))</f>
        <v/>
      </c>
    </row>
    <row r="130" customFormat="false" ht="15" hidden="false" customHeight="false" outlineLevel="0" collapsed="false">
      <c r="A130" s="23"/>
      <c r="B130" s="23"/>
      <c r="C130" s="27" t="str">
        <f aca="false">IF($B130="","",IFERROR(INDEX(Supplies!$B$5:$B$104,MATCH($B130,Supplies!$A$5:$A$104,0)),"?"))</f>
        <v/>
      </c>
      <c r="D130" s="32"/>
      <c r="E130" s="32"/>
      <c r="F130" s="32"/>
      <c r="G130" s="22"/>
      <c r="H130" s="27" t="str">
        <f aca="false">IF($A130="","",IF($F130="","Count it",IF($F130&lt;=$E130,"REORDER","OK")))</f>
        <v/>
      </c>
      <c r="I130" s="31" t="str">
        <f aca="false">IF(OR($A130="",$F130=""),"",MAX(0,$D130-$F130))</f>
        <v/>
      </c>
      <c r="J130" s="28" t="str">
        <f aca="false">IF(OR($A130="",$I130=""),"",$I130*IFERROR(INDEX(Supplies!$F$5:$F$104,MATCH($B130,Supplies!$A$5:$A$104,0)),0))</f>
        <v/>
      </c>
    </row>
    <row r="131" customFormat="false" ht="15" hidden="false" customHeight="false" outlineLevel="0" collapsed="false">
      <c r="A131" s="23"/>
      <c r="B131" s="23"/>
      <c r="C131" s="27" t="str">
        <f aca="false">IF($B131="","",IFERROR(INDEX(Supplies!$B$5:$B$104,MATCH($B131,Supplies!$A$5:$A$104,0)),"?"))</f>
        <v/>
      </c>
      <c r="D131" s="32"/>
      <c r="E131" s="32"/>
      <c r="F131" s="32"/>
      <c r="G131" s="22"/>
      <c r="H131" s="27" t="str">
        <f aca="false">IF($A131="","",IF($F131="","Count it",IF($F131&lt;=$E131,"REORDER","OK")))</f>
        <v/>
      </c>
      <c r="I131" s="31" t="str">
        <f aca="false">IF(OR($A131="",$F131=""),"",MAX(0,$D131-$F131))</f>
        <v/>
      </c>
      <c r="J131" s="28" t="str">
        <f aca="false">IF(OR($A131="",$I131=""),"",$I131*IFERROR(INDEX(Supplies!$F$5:$F$104,MATCH($B131,Supplies!$A$5:$A$104,0)),0))</f>
        <v/>
      </c>
    </row>
    <row r="132" customFormat="false" ht="15" hidden="false" customHeight="false" outlineLevel="0" collapsed="false">
      <c r="A132" s="23"/>
      <c r="B132" s="23"/>
      <c r="C132" s="27" t="str">
        <f aca="false">IF($B132="","",IFERROR(INDEX(Supplies!$B$5:$B$104,MATCH($B132,Supplies!$A$5:$A$104,0)),"?"))</f>
        <v/>
      </c>
      <c r="D132" s="32"/>
      <c r="E132" s="32"/>
      <c r="F132" s="32"/>
      <c r="G132" s="22"/>
      <c r="H132" s="27" t="str">
        <f aca="false">IF($A132="","",IF($F132="","Count it",IF($F132&lt;=$E132,"REORDER","OK")))</f>
        <v/>
      </c>
      <c r="I132" s="31" t="str">
        <f aca="false">IF(OR($A132="",$F132=""),"",MAX(0,$D132-$F132))</f>
        <v/>
      </c>
      <c r="J132" s="28" t="str">
        <f aca="false">IF(OR($A132="",$I132=""),"",$I132*IFERROR(INDEX(Supplies!$F$5:$F$104,MATCH($B132,Supplies!$A$5:$A$104,0)),0))</f>
        <v/>
      </c>
    </row>
    <row r="133" customFormat="false" ht="15" hidden="false" customHeight="false" outlineLevel="0" collapsed="false">
      <c r="A133" s="23"/>
      <c r="B133" s="23"/>
      <c r="C133" s="27" t="str">
        <f aca="false">IF($B133="","",IFERROR(INDEX(Supplies!$B$5:$B$104,MATCH($B133,Supplies!$A$5:$A$104,0)),"?"))</f>
        <v/>
      </c>
      <c r="D133" s="32"/>
      <c r="E133" s="32"/>
      <c r="F133" s="32"/>
      <c r="G133" s="22"/>
      <c r="H133" s="27" t="str">
        <f aca="false">IF($A133="","",IF($F133="","Count it",IF($F133&lt;=$E133,"REORDER","OK")))</f>
        <v/>
      </c>
      <c r="I133" s="31" t="str">
        <f aca="false">IF(OR($A133="",$F133=""),"",MAX(0,$D133-$F133))</f>
        <v/>
      </c>
      <c r="J133" s="28" t="str">
        <f aca="false">IF(OR($A133="",$I133=""),"",$I133*IFERROR(INDEX(Supplies!$F$5:$F$104,MATCH($B133,Supplies!$A$5:$A$104,0)),0))</f>
        <v/>
      </c>
    </row>
    <row r="134" customFormat="false" ht="15" hidden="false" customHeight="false" outlineLevel="0" collapsed="false">
      <c r="A134" s="23"/>
      <c r="B134" s="23"/>
      <c r="C134" s="27" t="str">
        <f aca="false">IF($B134="","",IFERROR(INDEX(Supplies!$B$5:$B$104,MATCH($B134,Supplies!$A$5:$A$104,0)),"?"))</f>
        <v/>
      </c>
      <c r="D134" s="32"/>
      <c r="E134" s="32"/>
      <c r="F134" s="32"/>
      <c r="G134" s="22"/>
      <c r="H134" s="27" t="str">
        <f aca="false">IF($A134="","",IF($F134="","Count it",IF($F134&lt;=$E134,"REORDER","OK")))</f>
        <v/>
      </c>
      <c r="I134" s="31" t="str">
        <f aca="false">IF(OR($A134="",$F134=""),"",MAX(0,$D134-$F134))</f>
        <v/>
      </c>
      <c r="J134" s="28" t="str">
        <f aca="false">IF(OR($A134="",$I134=""),"",$I134*IFERROR(INDEX(Supplies!$F$5:$F$104,MATCH($B134,Supplies!$A$5:$A$104,0)),0))</f>
        <v/>
      </c>
    </row>
    <row r="135" customFormat="false" ht="15" hidden="false" customHeight="false" outlineLevel="0" collapsed="false">
      <c r="A135" s="23"/>
      <c r="B135" s="23"/>
      <c r="C135" s="27" t="str">
        <f aca="false">IF($B135="","",IFERROR(INDEX(Supplies!$B$5:$B$104,MATCH($B135,Supplies!$A$5:$A$104,0)),"?"))</f>
        <v/>
      </c>
      <c r="D135" s="32"/>
      <c r="E135" s="32"/>
      <c r="F135" s="32"/>
      <c r="G135" s="22"/>
      <c r="H135" s="27" t="str">
        <f aca="false">IF($A135="","",IF($F135="","Count it",IF($F135&lt;=$E135,"REORDER","OK")))</f>
        <v/>
      </c>
      <c r="I135" s="31" t="str">
        <f aca="false">IF(OR($A135="",$F135=""),"",MAX(0,$D135-$F135))</f>
        <v/>
      </c>
      <c r="J135" s="28" t="str">
        <f aca="false">IF(OR($A135="",$I135=""),"",$I135*IFERROR(INDEX(Supplies!$F$5:$F$104,MATCH($B135,Supplies!$A$5:$A$104,0)),0))</f>
        <v/>
      </c>
    </row>
    <row r="136" customFormat="false" ht="15" hidden="false" customHeight="false" outlineLevel="0" collapsed="false">
      <c r="A136" s="23"/>
      <c r="B136" s="23"/>
      <c r="C136" s="27" t="str">
        <f aca="false">IF($B136="","",IFERROR(INDEX(Supplies!$B$5:$B$104,MATCH($B136,Supplies!$A$5:$A$104,0)),"?"))</f>
        <v/>
      </c>
      <c r="D136" s="32"/>
      <c r="E136" s="32"/>
      <c r="F136" s="32"/>
      <c r="G136" s="22"/>
      <c r="H136" s="27" t="str">
        <f aca="false">IF($A136="","",IF($F136="","Count it",IF($F136&lt;=$E136,"REORDER","OK")))</f>
        <v/>
      </c>
      <c r="I136" s="31" t="str">
        <f aca="false">IF(OR($A136="",$F136=""),"",MAX(0,$D136-$F136))</f>
        <v/>
      </c>
      <c r="J136" s="28" t="str">
        <f aca="false">IF(OR($A136="",$I136=""),"",$I136*IFERROR(INDEX(Supplies!$F$5:$F$104,MATCH($B136,Supplies!$A$5:$A$104,0)),0))</f>
        <v/>
      </c>
    </row>
    <row r="137" customFormat="false" ht="15" hidden="false" customHeight="false" outlineLevel="0" collapsed="false">
      <c r="A137" s="23"/>
      <c r="B137" s="23"/>
      <c r="C137" s="27" t="str">
        <f aca="false">IF($B137="","",IFERROR(INDEX(Supplies!$B$5:$B$104,MATCH($B137,Supplies!$A$5:$A$104,0)),"?"))</f>
        <v/>
      </c>
      <c r="D137" s="32"/>
      <c r="E137" s="32"/>
      <c r="F137" s="32"/>
      <c r="G137" s="22"/>
      <c r="H137" s="27" t="str">
        <f aca="false">IF($A137="","",IF($F137="","Count it",IF($F137&lt;=$E137,"REORDER","OK")))</f>
        <v/>
      </c>
      <c r="I137" s="31" t="str">
        <f aca="false">IF(OR($A137="",$F137=""),"",MAX(0,$D137-$F137))</f>
        <v/>
      </c>
      <c r="J137" s="28" t="str">
        <f aca="false">IF(OR($A137="",$I137=""),"",$I137*IFERROR(INDEX(Supplies!$F$5:$F$104,MATCH($B137,Supplies!$A$5:$A$104,0)),0))</f>
        <v/>
      </c>
    </row>
    <row r="138" customFormat="false" ht="15" hidden="false" customHeight="false" outlineLevel="0" collapsed="false">
      <c r="A138" s="23"/>
      <c r="B138" s="23"/>
      <c r="C138" s="27" t="str">
        <f aca="false">IF($B138="","",IFERROR(INDEX(Supplies!$B$5:$B$104,MATCH($B138,Supplies!$A$5:$A$104,0)),"?"))</f>
        <v/>
      </c>
      <c r="D138" s="32"/>
      <c r="E138" s="32"/>
      <c r="F138" s="32"/>
      <c r="G138" s="22"/>
      <c r="H138" s="27" t="str">
        <f aca="false">IF($A138="","",IF($F138="","Count it",IF($F138&lt;=$E138,"REORDER","OK")))</f>
        <v/>
      </c>
      <c r="I138" s="31" t="str">
        <f aca="false">IF(OR($A138="",$F138=""),"",MAX(0,$D138-$F138))</f>
        <v/>
      </c>
      <c r="J138" s="28" t="str">
        <f aca="false">IF(OR($A138="",$I138=""),"",$I138*IFERROR(INDEX(Supplies!$F$5:$F$104,MATCH($B138,Supplies!$A$5:$A$104,0)),0))</f>
        <v/>
      </c>
    </row>
    <row r="139" customFormat="false" ht="15" hidden="false" customHeight="false" outlineLevel="0" collapsed="false">
      <c r="A139" s="23"/>
      <c r="B139" s="23"/>
      <c r="C139" s="27" t="str">
        <f aca="false">IF($B139="","",IFERROR(INDEX(Supplies!$B$5:$B$104,MATCH($B139,Supplies!$A$5:$A$104,0)),"?"))</f>
        <v/>
      </c>
      <c r="D139" s="32"/>
      <c r="E139" s="32"/>
      <c r="F139" s="32"/>
      <c r="G139" s="22"/>
      <c r="H139" s="27" t="str">
        <f aca="false">IF($A139="","",IF($F139="","Count it",IF($F139&lt;=$E139,"REORDER","OK")))</f>
        <v/>
      </c>
      <c r="I139" s="31" t="str">
        <f aca="false">IF(OR($A139="",$F139=""),"",MAX(0,$D139-$F139))</f>
        <v/>
      </c>
      <c r="J139" s="28" t="str">
        <f aca="false">IF(OR($A139="",$I139=""),"",$I139*IFERROR(INDEX(Supplies!$F$5:$F$104,MATCH($B139,Supplies!$A$5:$A$104,0)),0))</f>
        <v/>
      </c>
    </row>
    <row r="140" customFormat="false" ht="15" hidden="false" customHeight="false" outlineLevel="0" collapsed="false">
      <c r="A140" s="23"/>
      <c r="B140" s="23"/>
      <c r="C140" s="27" t="str">
        <f aca="false">IF($B140="","",IFERROR(INDEX(Supplies!$B$5:$B$104,MATCH($B140,Supplies!$A$5:$A$104,0)),"?"))</f>
        <v/>
      </c>
      <c r="D140" s="32"/>
      <c r="E140" s="32"/>
      <c r="F140" s="32"/>
      <c r="G140" s="22"/>
      <c r="H140" s="27" t="str">
        <f aca="false">IF($A140="","",IF($F140="","Count it",IF($F140&lt;=$E140,"REORDER","OK")))</f>
        <v/>
      </c>
      <c r="I140" s="31" t="str">
        <f aca="false">IF(OR($A140="",$F140=""),"",MAX(0,$D140-$F140))</f>
        <v/>
      </c>
      <c r="J140" s="28" t="str">
        <f aca="false">IF(OR($A140="",$I140=""),"",$I140*IFERROR(INDEX(Supplies!$F$5:$F$104,MATCH($B140,Supplies!$A$5:$A$104,0)),0))</f>
        <v/>
      </c>
    </row>
    <row r="141" customFormat="false" ht="15" hidden="false" customHeight="false" outlineLevel="0" collapsed="false">
      <c r="A141" s="23"/>
      <c r="B141" s="23"/>
      <c r="C141" s="27" t="str">
        <f aca="false">IF($B141="","",IFERROR(INDEX(Supplies!$B$5:$B$104,MATCH($B141,Supplies!$A$5:$A$104,0)),"?"))</f>
        <v/>
      </c>
      <c r="D141" s="32"/>
      <c r="E141" s="32"/>
      <c r="F141" s="32"/>
      <c r="G141" s="22"/>
      <c r="H141" s="27" t="str">
        <f aca="false">IF($A141="","",IF($F141="","Count it",IF($F141&lt;=$E141,"REORDER","OK")))</f>
        <v/>
      </c>
      <c r="I141" s="31" t="str">
        <f aca="false">IF(OR($A141="",$F141=""),"",MAX(0,$D141-$F141))</f>
        <v/>
      </c>
      <c r="J141" s="28" t="str">
        <f aca="false">IF(OR($A141="",$I141=""),"",$I141*IFERROR(INDEX(Supplies!$F$5:$F$104,MATCH($B141,Supplies!$A$5:$A$104,0)),0))</f>
        <v/>
      </c>
    </row>
    <row r="142" customFormat="false" ht="15" hidden="false" customHeight="false" outlineLevel="0" collapsed="false">
      <c r="A142" s="23"/>
      <c r="B142" s="23"/>
      <c r="C142" s="27" t="str">
        <f aca="false">IF($B142="","",IFERROR(INDEX(Supplies!$B$5:$B$104,MATCH($B142,Supplies!$A$5:$A$104,0)),"?"))</f>
        <v/>
      </c>
      <c r="D142" s="32"/>
      <c r="E142" s="32"/>
      <c r="F142" s="32"/>
      <c r="G142" s="22"/>
      <c r="H142" s="27" t="str">
        <f aca="false">IF($A142="","",IF($F142="","Count it",IF($F142&lt;=$E142,"REORDER","OK")))</f>
        <v/>
      </c>
      <c r="I142" s="31" t="str">
        <f aca="false">IF(OR($A142="",$F142=""),"",MAX(0,$D142-$F142))</f>
        <v/>
      </c>
      <c r="J142" s="28" t="str">
        <f aca="false">IF(OR($A142="",$I142=""),"",$I142*IFERROR(INDEX(Supplies!$F$5:$F$104,MATCH($B142,Supplies!$A$5:$A$104,0)),0))</f>
        <v/>
      </c>
    </row>
    <row r="143" customFormat="false" ht="15" hidden="false" customHeight="false" outlineLevel="0" collapsed="false">
      <c r="A143" s="23"/>
      <c r="B143" s="23"/>
      <c r="C143" s="27" t="str">
        <f aca="false">IF($B143="","",IFERROR(INDEX(Supplies!$B$5:$B$104,MATCH($B143,Supplies!$A$5:$A$104,0)),"?"))</f>
        <v/>
      </c>
      <c r="D143" s="32"/>
      <c r="E143" s="32"/>
      <c r="F143" s="32"/>
      <c r="G143" s="22"/>
      <c r="H143" s="27" t="str">
        <f aca="false">IF($A143="","",IF($F143="","Count it",IF($F143&lt;=$E143,"REORDER","OK")))</f>
        <v/>
      </c>
      <c r="I143" s="31" t="str">
        <f aca="false">IF(OR($A143="",$F143=""),"",MAX(0,$D143-$F143))</f>
        <v/>
      </c>
      <c r="J143" s="28" t="str">
        <f aca="false">IF(OR($A143="",$I143=""),"",$I143*IFERROR(INDEX(Supplies!$F$5:$F$104,MATCH($B143,Supplies!$A$5:$A$104,0)),0))</f>
        <v/>
      </c>
    </row>
    <row r="144" customFormat="false" ht="15" hidden="false" customHeight="false" outlineLevel="0" collapsed="false">
      <c r="A144" s="23"/>
      <c r="B144" s="23"/>
      <c r="C144" s="27" t="str">
        <f aca="false">IF($B144="","",IFERROR(INDEX(Supplies!$B$5:$B$104,MATCH($B144,Supplies!$A$5:$A$104,0)),"?"))</f>
        <v/>
      </c>
      <c r="D144" s="32"/>
      <c r="E144" s="32"/>
      <c r="F144" s="32"/>
      <c r="G144" s="22"/>
      <c r="H144" s="27" t="str">
        <f aca="false">IF($A144="","",IF($F144="","Count it",IF($F144&lt;=$E144,"REORDER","OK")))</f>
        <v/>
      </c>
      <c r="I144" s="31" t="str">
        <f aca="false">IF(OR($A144="",$F144=""),"",MAX(0,$D144-$F144))</f>
        <v/>
      </c>
      <c r="J144" s="28" t="str">
        <f aca="false">IF(OR($A144="",$I144=""),"",$I144*IFERROR(INDEX(Supplies!$F$5:$F$104,MATCH($B144,Supplies!$A$5:$A$104,0)),0))</f>
        <v/>
      </c>
    </row>
    <row r="145" customFormat="false" ht="15" hidden="false" customHeight="false" outlineLevel="0" collapsed="false">
      <c r="A145" s="23"/>
      <c r="B145" s="23"/>
      <c r="C145" s="27" t="str">
        <f aca="false">IF($B145="","",IFERROR(INDEX(Supplies!$B$5:$B$104,MATCH($B145,Supplies!$A$5:$A$104,0)),"?"))</f>
        <v/>
      </c>
      <c r="D145" s="32"/>
      <c r="E145" s="32"/>
      <c r="F145" s="32"/>
      <c r="G145" s="22"/>
      <c r="H145" s="27" t="str">
        <f aca="false">IF($A145="","",IF($F145="","Count it",IF($F145&lt;=$E145,"REORDER","OK")))</f>
        <v/>
      </c>
      <c r="I145" s="31" t="str">
        <f aca="false">IF(OR($A145="",$F145=""),"",MAX(0,$D145-$F145))</f>
        <v/>
      </c>
      <c r="J145" s="28" t="str">
        <f aca="false">IF(OR($A145="",$I145=""),"",$I145*IFERROR(INDEX(Supplies!$F$5:$F$104,MATCH($B145,Supplies!$A$5:$A$104,0)),0))</f>
        <v/>
      </c>
    </row>
    <row r="146" customFormat="false" ht="15" hidden="false" customHeight="false" outlineLevel="0" collapsed="false">
      <c r="A146" s="23"/>
      <c r="B146" s="23"/>
      <c r="C146" s="27" t="str">
        <f aca="false">IF($B146="","",IFERROR(INDEX(Supplies!$B$5:$B$104,MATCH($B146,Supplies!$A$5:$A$104,0)),"?"))</f>
        <v/>
      </c>
      <c r="D146" s="32"/>
      <c r="E146" s="32"/>
      <c r="F146" s="32"/>
      <c r="G146" s="22"/>
      <c r="H146" s="27" t="str">
        <f aca="false">IF($A146="","",IF($F146="","Count it",IF($F146&lt;=$E146,"REORDER","OK")))</f>
        <v/>
      </c>
      <c r="I146" s="31" t="str">
        <f aca="false">IF(OR($A146="",$F146=""),"",MAX(0,$D146-$F146))</f>
        <v/>
      </c>
      <c r="J146" s="28" t="str">
        <f aca="false">IF(OR($A146="",$I146=""),"",$I146*IFERROR(INDEX(Supplies!$F$5:$F$104,MATCH($B146,Supplies!$A$5:$A$104,0)),0))</f>
        <v/>
      </c>
    </row>
    <row r="147" customFormat="false" ht="15" hidden="false" customHeight="false" outlineLevel="0" collapsed="false">
      <c r="A147" s="23"/>
      <c r="B147" s="23"/>
      <c r="C147" s="27" t="str">
        <f aca="false">IF($B147="","",IFERROR(INDEX(Supplies!$B$5:$B$104,MATCH($B147,Supplies!$A$5:$A$104,0)),"?"))</f>
        <v/>
      </c>
      <c r="D147" s="32"/>
      <c r="E147" s="32"/>
      <c r="F147" s="32"/>
      <c r="G147" s="22"/>
      <c r="H147" s="27" t="str">
        <f aca="false">IF($A147="","",IF($F147="","Count it",IF($F147&lt;=$E147,"REORDER","OK")))</f>
        <v/>
      </c>
      <c r="I147" s="31" t="str">
        <f aca="false">IF(OR($A147="",$F147=""),"",MAX(0,$D147-$F147))</f>
        <v/>
      </c>
      <c r="J147" s="28" t="str">
        <f aca="false">IF(OR($A147="",$I147=""),"",$I147*IFERROR(INDEX(Supplies!$F$5:$F$104,MATCH($B147,Supplies!$A$5:$A$104,0)),0))</f>
        <v/>
      </c>
    </row>
    <row r="148" customFormat="false" ht="15" hidden="false" customHeight="false" outlineLevel="0" collapsed="false">
      <c r="A148" s="23"/>
      <c r="B148" s="23"/>
      <c r="C148" s="27" t="str">
        <f aca="false">IF($B148="","",IFERROR(INDEX(Supplies!$B$5:$B$104,MATCH($B148,Supplies!$A$5:$A$104,0)),"?"))</f>
        <v/>
      </c>
      <c r="D148" s="32"/>
      <c r="E148" s="32"/>
      <c r="F148" s="32"/>
      <c r="G148" s="22"/>
      <c r="H148" s="27" t="str">
        <f aca="false">IF($A148="","",IF($F148="","Count it",IF($F148&lt;=$E148,"REORDER","OK")))</f>
        <v/>
      </c>
      <c r="I148" s="31" t="str">
        <f aca="false">IF(OR($A148="",$F148=""),"",MAX(0,$D148-$F148))</f>
        <v/>
      </c>
      <c r="J148" s="28" t="str">
        <f aca="false">IF(OR($A148="",$I148=""),"",$I148*IFERROR(INDEX(Supplies!$F$5:$F$104,MATCH($B148,Supplies!$A$5:$A$104,0)),0))</f>
        <v/>
      </c>
    </row>
    <row r="149" customFormat="false" ht="15" hidden="false" customHeight="false" outlineLevel="0" collapsed="false">
      <c r="A149" s="23"/>
      <c r="B149" s="23"/>
      <c r="C149" s="27" t="str">
        <f aca="false">IF($B149="","",IFERROR(INDEX(Supplies!$B$5:$B$104,MATCH($B149,Supplies!$A$5:$A$104,0)),"?"))</f>
        <v/>
      </c>
      <c r="D149" s="32"/>
      <c r="E149" s="32"/>
      <c r="F149" s="32"/>
      <c r="G149" s="22"/>
      <c r="H149" s="27" t="str">
        <f aca="false">IF($A149="","",IF($F149="","Count it",IF($F149&lt;=$E149,"REORDER","OK")))</f>
        <v/>
      </c>
      <c r="I149" s="31" t="str">
        <f aca="false">IF(OR($A149="",$F149=""),"",MAX(0,$D149-$F149))</f>
        <v/>
      </c>
      <c r="J149" s="28" t="str">
        <f aca="false">IF(OR($A149="",$I149=""),"",$I149*IFERROR(INDEX(Supplies!$F$5:$F$104,MATCH($B149,Supplies!$A$5:$A$104,0)),0))</f>
        <v/>
      </c>
    </row>
    <row r="150" customFormat="false" ht="15" hidden="false" customHeight="false" outlineLevel="0" collapsed="false">
      <c r="A150" s="23"/>
      <c r="B150" s="23"/>
      <c r="C150" s="27" t="str">
        <f aca="false">IF($B150="","",IFERROR(INDEX(Supplies!$B$5:$B$104,MATCH($B150,Supplies!$A$5:$A$104,0)),"?"))</f>
        <v/>
      </c>
      <c r="D150" s="32"/>
      <c r="E150" s="32"/>
      <c r="F150" s="32"/>
      <c r="G150" s="22"/>
      <c r="H150" s="27" t="str">
        <f aca="false">IF($A150="","",IF($F150="","Count it",IF($F150&lt;=$E150,"REORDER","OK")))</f>
        <v/>
      </c>
      <c r="I150" s="31" t="str">
        <f aca="false">IF(OR($A150="",$F150=""),"",MAX(0,$D150-$F150))</f>
        <v/>
      </c>
      <c r="J150" s="28" t="str">
        <f aca="false">IF(OR($A150="",$I150=""),"",$I150*IFERROR(INDEX(Supplies!$F$5:$F$104,MATCH($B150,Supplies!$A$5:$A$104,0)),0))</f>
        <v/>
      </c>
    </row>
    <row r="151" customFormat="false" ht="15" hidden="false" customHeight="false" outlineLevel="0" collapsed="false">
      <c r="A151" s="23"/>
      <c r="B151" s="23"/>
      <c r="C151" s="27" t="str">
        <f aca="false">IF($B151="","",IFERROR(INDEX(Supplies!$B$5:$B$104,MATCH($B151,Supplies!$A$5:$A$104,0)),"?"))</f>
        <v/>
      </c>
      <c r="D151" s="32"/>
      <c r="E151" s="32"/>
      <c r="F151" s="32"/>
      <c r="G151" s="22"/>
      <c r="H151" s="27" t="str">
        <f aca="false">IF($A151="","",IF($F151="","Count it",IF($F151&lt;=$E151,"REORDER","OK")))</f>
        <v/>
      </c>
      <c r="I151" s="31" t="str">
        <f aca="false">IF(OR($A151="",$F151=""),"",MAX(0,$D151-$F151))</f>
        <v/>
      </c>
      <c r="J151" s="28" t="str">
        <f aca="false">IF(OR($A151="",$I151=""),"",$I151*IFERROR(INDEX(Supplies!$F$5:$F$104,MATCH($B151,Supplies!$A$5:$A$104,0)),0))</f>
        <v/>
      </c>
    </row>
    <row r="152" customFormat="false" ht="15" hidden="false" customHeight="false" outlineLevel="0" collapsed="false">
      <c r="A152" s="23"/>
      <c r="B152" s="23"/>
      <c r="C152" s="27" t="str">
        <f aca="false">IF($B152="","",IFERROR(INDEX(Supplies!$B$5:$B$104,MATCH($B152,Supplies!$A$5:$A$104,0)),"?"))</f>
        <v/>
      </c>
      <c r="D152" s="32"/>
      <c r="E152" s="32"/>
      <c r="F152" s="32"/>
      <c r="G152" s="22"/>
      <c r="H152" s="27" t="str">
        <f aca="false">IF($A152="","",IF($F152="","Count it",IF($F152&lt;=$E152,"REORDER","OK")))</f>
        <v/>
      </c>
      <c r="I152" s="31" t="str">
        <f aca="false">IF(OR($A152="",$F152=""),"",MAX(0,$D152-$F152))</f>
        <v/>
      </c>
      <c r="J152" s="28" t="str">
        <f aca="false">IF(OR($A152="",$I152=""),"",$I152*IFERROR(INDEX(Supplies!$F$5:$F$104,MATCH($B152,Supplies!$A$5:$A$104,0)),0))</f>
        <v/>
      </c>
    </row>
    <row r="153" customFormat="false" ht="15" hidden="false" customHeight="false" outlineLevel="0" collapsed="false">
      <c r="A153" s="23"/>
      <c r="B153" s="23"/>
      <c r="C153" s="27" t="str">
        <f aca="false">IF($B153="","",IFERROR(INDEX(Supplies!$B$5:$B$104,MATCH($B153,Supplies!$A$5:$A$104,0)),"?"))</f>
        <v/>
      </c>
      <c r="D153" s="32"/>
      <c r="E153" s="32"/>
      <c r="F153" s="32"/>
      <c r="G153" s="22"/>
      <c r="H153" s="27" t="str">
        <f aca="false">IF($A153="","",IF($F153="","Count it",IF($F153&lt;=$E153,"REORDER","OK")))</f>
        <v/>
      </c>
      <c r="I153" s="31" t="str">
        <f aca="false">IF(OR($A153="",$F153=""),"",MAX(0,$D153-$F153))</f>
        <v/>
      </c>
      <c r="J153" s="28" t="str">
        <f aca="false">IF(OR($A153="",$I153=""),"",$I153*IFERROR(INDEX(Supplies!$F$5:$F$104,MATCH($B153,Supplies!$A$5:$A$104,0)),0))</f>
        <v/>
      </c>
    </row>
    <row r="154" customFormat="false" ht="15" hidden="false" customHeight="false" outlineLevel="0" collapsed="false">
      <c r="A154" s="23"/>
      <c r="B154" s="23"/>
      <c r="C154" s="27" t="str">
        <f aca="false">IF($B154="","",IFERROR(INDEX(Supplies!$B$5:$B$104,MATCH($B154,Supplies!$A$5:$A$104,0)),"?"))</f>
        <v/>
      </c>
      <c r="D154" s="32"/>
      <c r="E154" s="32"/>
      <c r="F154" s="32"/>
      <c r="G154" s="22"/>
      <c r="H154" s="27" t="str">
        <f aca="false">IF($A154="","",IF($F154="","Count it",IF($F154&lt;=$E154,"REORDER","OK")))</f>
        <v/>
      </c>
      <c r="I154" s="31" t="str">
        <f aca="false">IF(OR($A154="",$F154=""),"",MAX(0,$D154-$F154))</f>
        <v/>
      </c>
      <c r="J154" s="28" t="str">
        <f aca="false">IF(OR($A154="",$I154=""),"",$I154*IFERROR(INDEX(Supplies!$F$5:$F$104,MATCH($B154,Supplies!$A$5:$A$104,0)),0))</f>
        <v/>
      </c>
    </row>
    <row r="155" customFormat="false" ht="15" hidden="false" customHeight="false" outlineLevel="0" collapsed="false">
      <c r="A155" s="23"/>
      <c r="B155" s="23"/>
      <c r="C155" s="27" t="str">
        <f aca="false">IF($B155="","",IFERROR(INDEX(Supplies!$B$5:$B$104,MATCH($B155,Supplies!$A$5:$A$104,0)),"?"))</f>
        <v/>
      </c>
      <c r="D155" s="32"/>
      <c r="E155" s="32"/>
      <c r="F155" s="32"/>
      <c r="G155" s="22"/>
      <c r="H155" s="27" t="str">
        <f aca="false">IF($A155="","",IF($F155="","Count it",IF($F155&lt;=$E155,"REORDER","OK")))</f>
        <v/>
      </c>
      <c r="I155" s="31" t="str">
        <f aca="false">IF(OR($A155="",$F155=""),"",MAX(0,$D155-$F155))</f>
        <v/>
      </c>
      <c r="J155" s="28" t="str">
        <f aca="false">IF(OR($A155="",$I155=""),"",$I155*IFERROR(INDEX(Supplies!$F$5:$F$104,MATCH($B155,Supplies!$A$5:$A$104,0)),0))</f>
        <v/>
      </c>
    </row>
    <row r="156" customFormat="false" ht="15" hidden="false" customHeight="false" outlineLevel="0" collapsed="false">
      <c r="A156" s="23"/>
      <c r="B156" s="23"/>
      <c r="C156" s="27" t="str">
        <f aca="false">IF($B156="","",IFERROR(INDEX(Supplies!$B$5:$B$104,MATCH($B156,Supplies!$A$5:$A$104,0)),"?"))</f>
        <v/>
      </c>
      <c r="D156" s="32"/>
      <c r="E156" s="32"/>
      <c r="F156" s="32"/>
      <c r="G156" s="22"/>
      <c r="H156" s="27" t="str">
        <f aca="false">IF($A156="","",IF($F156="","Count it",IF($F156&lt;=$E156,"REORDER","OK")))</f>
        <v/>
      </c>
      <c r="I156" s="31" t="str">
        <f aca="false">IF(OR($A156="",$F156=""),"",MAX(0,$D156-$F156))</f>
        <v/>
      </c>
      <c r="J156" s="28" t="str">
        <f aca="false">IF(OR($A156="",$I156=""),"",$I156*IFERROR(INDEX(Supplies!$F$5:$F$104,MATCH($B156,Supplies!$A$5:$A$104,0)),0))</f>
        <v/>
      </c>
    </row>
    <row r="157" customFormat="false" ht="15" hidden="false" customHeight="false" outlineLevel="0" collapsed="false">
      <c r="A157" s="23"/>
      <c r="B157" s="23"/>
      <c r="C157" s="27" t="str">
        <f aca="false">IF($B157="","",IFERROR(INDEX(Supplies!$B$5:$B$104,MATCH($B157,Supplies!$A$5:$A$104,0)),"?"))</f>
        <v/>
      </c>
      <c r="D157" s="32"/>
      <c r="E157" s="32"/>
      <c r="F157" s="32"/>
      <c r="G157" s="22"/>
      <c r="H157" s="27" t="str">
        <f aca="false">IF($A157="","",IF($F157="","Count it",IF($F157&lt;=$E157,"REORDER","OK")))</f>
        <v/>
      </c>
      <c r="I157" s="31" t="str">
        <f aca="false">IF(OR($A157="",$F157=""),"",MAX(0,$D157-$F157))</f>
        <v/>
      </c>
      <c r="J157" s="28" t="str">
        <f aca="false">IF(OR($A157="",$I157=""),"",$I157*IFERROR(INDEX(Supplies!$F$5:$F$104,MATCH($B157,Supplies!$A$5:$A$104,0)),0))</f>
        <v/>
      </c>
    </row>
    <row r="158" customFormat="false" ht="15" hidden="false" customHeight="false" outlineLevel="0" collapsed="false">
      <c r="A158" s="23"/>
      <c r="B158" s="23"/>
      <c r="C158" s="27" t="str">
        <f aca="false">IF($B158="","",IFERROR(INDEX(Supplies!$B$5:$B$104,MATCH($B158,Supplies!$A$5:$A$104,0)),"?"))</f>
        <v/>
      </c>
      <c r="D158" s="32"/>
      <c r="E158" s="32"/>
      <c r="F158" s="32"/>
      <c r="G158" s="22"/>
      <c r="H158" s="27" t="str">
        <f aca="false">IF($A158="","",IF($F158="","Count it",IF($F158&lt;=$E158,"REORDER","OK")))</f>
        <v/>
      </c>
      <c r="I158" s="31" t="str">
        <f aca="false">IF(OR($A158="",$F158=""),"",MAX(0,$D158-$F158))</f>
        <v/>
      </c>
      <c r="J158" s="28" t="str">
        <f aca="false">IF(OR($A158="",$I158=""),"",$I158*IFERROR(INDEX(Supplies!$F$5:$F$104,MATCH($B158,Supplies!$A$5:$A$104,0)),0))</f>
        <v/>
      </c>
    </row>
    <row r="159" customFormat="false" ht="15" hidden="false" customHeight="false" outlineLevel="0" collapsed="false">
      <c r="A159" s="23"/>
      <c r="B159" s="23"/>
      <c r="C159" s="27" t="str">
        <f aca="false">IF($B159="","",IFERROR(INDEX(Supplies!$B$5:$B$104,MATCH($B159,Supplies!$A$5:$A$104,0)),"?"))</f>
        <v/>
      </c>
      <c r="D159" s="32"/>
      <c r="E159" s="32"/>
      <c r="F159" s="32"/>
      <c r="G159" s="22"/>
      <c r="H159" s="27" t="str">
        <f aca="false">IF($A159="","",IF($F159="","Count it",IF($F159&lt;=$E159,"REORDER","OK")))</f>
        <v/>
      </c>
      <c r="I159" s="31" t="str">
        <f aca="false">IF(OR($A159="",$F159=""),"",MAX(0,$D159-$F159))</f>
        <v/>
      </c>
      <c r="J159" s="28" t="str">
        <f aca="false">IF(OR($A159="",$I159=""),"",$I159*IFERROR(INDEX(Supplies!$F$5:$F$104,MATCH($B159,Supplies!$A$5:$A$104,0)),0))</f>
        <v/>
      </c>
    </row>
    <row r="160" customFormat="false" ht="15" hidden="false" customHeight="false" outlineLevel="0" collapsed="false">
      <c r="A160" s="23"/>
      <c r="B160" s="23"/>
      <c r="C160" s="27" t="str">
        <f aca="false">IF($B160="","",IFERROR(INDEX(Supplies!$B$5:$B$104,MATCH($B160,Supplies!$A$5:$A$104,0)),"?"))</f>
        <v/>
      </c>
      <c r="D160" s="32"/>
      <c r="E160" s="32"/>
      <c r="F160" s="32"/>
      <c r="G160" s="22"/>
      <c r="H160" s="27" t="str">
        <f aca="false">IF($A160="","",IF($F160="","Count it",IF($F160&lt;=$E160,"REORDER","OK")))</f>
        <v/>
      </c>
      <c r="I160" s="31" t="str">
        <f aca="false">IF(OR($A160="",$F160=""),"",MAX(0,$D160-$F160))</f>
        <v/>
      </c>
      <c r="J160" s="28" t="str">
        <f aca="false">IF(OR($A160="",$I160=""),"",$I160*IFERROR(INDEX(Supplies!$F$5:$F$104,MATCH($B160,Supplies!$A$5:$A$104,0)),0))</f>
        <v/>
      </c>
    </row>
    <row r="161" customFormat="false" ht="15" hidden="false" customHeight="false" outlineLevel="0" collapsed="false">
      <c r="A161" s="23"/>
      <c r="B161" s="23"/>
      <c r="C161" s="27" t="str">
        <f aca="false">IF($B161="","",IFERROR(INDEX(Supplies!$B$5:$B$104,MATCH($B161,Supplies!$A$5:$A$104,0)),"?"))</f>
        <v/>
      </c>
      <c r="D161" s="32"/>
      <c r="E161" s="32"/>
      <c r="F161" s="32"/>
      <c r="G161" s="22"/>
      <c r="H161" s="27" t="str">
        <f aca="false">IF($A161="","",IF($F161="","Count it",IF($F161&lt;=$E161,"REORDER","OK")))</f>
        <v/>
      </c>
      <c r="I161" s="31" t="str">
        <f aca="false">IF(OR($A161="",$F161=""),"",MAX(0,$D161-$F161))</f>
        <v/>
      </c>
      <c r="J161" s="28" t="str">
        <f aca="false">IF(OR($A161="",$I161=""),"",$I161*IFERROR(INDEX(Supplies!$F$5:$F$104,MATCH($B161,Supplies!$A$5:$A$104,0)),0))</f>
        <v/>
      </c>
    </row>
    <row r="162" customFormat="false" ht="15" hidden="false" customHeight="false" outlineLevel="0" collapsed="false">
      <c r="A162" s="23"/>
      <c r="B162" s="23"/>
      <c r="C162" s="27" t="str">
        <f aca="false">IF($B162="","",IFERROR(INDEX(Supplies!$B$5:$B$104,MATCH($B162,Supplies!$A$5:$A$104,0)),"?"))</f>
        <v/>
      </c>
      <c r="D162" s="32"/>
      <c r="E162" s="32"/>
      <c r="F162" s="32"/>
      <c r="G162" s="22"/>
      <c r="H162" s="27" t="str">
        <f aca="false">IF($A162="","",IF($F162="","Count it",IF($F162&lt;=$E162,"REORDER","OK")))</f>
        <v/>
      </c>
      <c r="I162" s="31" t="str">
        <f aca="false">IF(OR($A162="",$F162=""),"",MAX(0,$D162-$F162))</f>
        <v/>
      </c>
      <c r="J162" s="28" t="str">
        <f aca="false">IF(OR($A162="",$I162=""),"",$I162*IFERROR(INDEX(Supplies!$F$5:$F$104,MATCH($B162,Supplies!$A$5:$A$104,0)),0))</f>
        <v/>
      </c>
    </row>
    <row r="163" customFormat="false" ht="15" hidden="false" customHeight="false" outlineLevel="0" collapsed="false">
      <c r="A163" s="23"/>
      <c r="B163" s="23"/>
      <c r="C163" s="27" t="str">
        <f aca="false">IF($B163="","",IFERROR(INDEX(Supplies!$B$5:$B$104,MATCH($B163,Supplies!$A$5:$A$104,0)),"?"))</f>
        <v/>
      </c>
      <c r="D163" s="32"/>
      <c r="E163" s="32"/>
      <c r="F163" s="32"/>
      <c r="G163" s="22"/>
      <c r="H163" s="27" t="str">
        <f aca="false">IF($A163="","",IF($F163="","Count it",IF($F163&lt;=$E163,"REORDER","OK")))</f>
        <v/>
      </c>
      <c r="I163" s="31" t="str">
        <f aca="false">IF(OR($A163="",$F163=""),"",MAX(0,$D163-$F163))</f>
        <v/>
      </c>
      <c r="J163" s="28" t="str">
        <f aca="false">IF(OR($A163="",$I163=""),"",$I163*IFERROR(INDEX(Supplies!$F$5:$F$104,MATCH($B163,Supplies!$A$5:$A$104,0)),0))</f>
        <v/>
      </c>
    </row>
    <row r="164" customFormat="false" ht="15" hidden="false" customHeight="false" outlineLevel="0" collapsed="false">
      <c r="A164" s="23"/>
      <c r="B164" s="23"/>
      <c r="C164" s="27" t="str">
        <f aca="false">IF($B164="","",IFERROR(INDEX(Supplies!$B$5:$B$104,MATCH($B164,Supplies!$A$5:$A$104,0)),"?"))</f>
        <v/>
      </c>
      <c r="D164" s="32"/>
      <c r="E164" s="32"/>
      <c r="F164" s="32"/>
      <c r="G164" s="22"/>
      <c r="H164" s="27" t="str">
        <f aca="false">IF($A164="","",IF($F164="","Count it",IF($F164&lt;=$E164,"REORDER","OK")))</f>
        <v/>
      </c>
      <c r="I164" s="31" t="str">
        <f aca="false">IF(OR($A164="",$F164=""),"",MAX(0,$D164-$F164))</f>
        <v/>
      </c>
      <c r="J164" s="28" t="str">
        <f aca="false">IF(OR($A164="",$I164=""),"",$I164*IFERROR(INDEX(Supplies!$F$5:$F$104,MATCH($B164,Supplies!$A$5:$A$104,0)),0))</f>
        <v/>
      </c>
    </row>
    <row r="165" customFormat="false" ht="15" hidden="false" customHeight="false" outlineLevel="0" collapsed="false">
      <c r="A165" s="23"/>
      <c r="B165" s="23"/>
      <c r="C165" s="27" t="str">
        <f aca="false">IF($B165="","",IFERROR(INDEX(Supplies!$B$5:$B$104,MATCH($B165,Supplies!$A$5:$A$104,0)),"?"))</f>
        <v/>
      </c>
      <c r="D165" s="32"/>
      <c r="E165" s="32"/>
      <c r="F165" s="32"/>
      <c r="G165" s="22"/>
      <c r="H165" s="27" t="str">
        <f aca="false">IF($A165="","",IF($F165="","Count it",IF($F165&lt;=$E165,"REORDER","OK")))</f>
        <v/>
      </c>
      <c r="I165" s="31" t="str">
        <f aca="false">IF(OR($A165="",$F165=""),"",MAX(0,$D165-$F165))</f>
        <v/>
      </c>
      <c r="J165" s="28" t="str">
        <f aca="false">IF(OR($A165="",$I165=""),"",$I165*IFERROR(INDEX(Supplies!$F$5:$F$104,MATCH($B165,Supplies!$A$5:$A$104,0)),0))</f>
        <v/>
      </c>
    </row>
    <row r="166" customFormat="false" ht="15" hidden="false" customHeight="false" outlineLevel="0" collapsed="false">
      <c r="A166" s="23"/>
      <c r="B166" s="23"/>
      <c r="C166" s="27" t="str">
        <f aca="false">IF($B166="","",IFERROR(INDEX(Supplies!$B$5:$B$104,MATCH($B166,Supplies!$A$5:$A$104,0)),"?"))</f>
        <v/>
      </c>
      <c r="D166" s="32"/>
      <c r="E166" s="32"/>
      <c r="F166" s="32"/>
      <c r="G166" s="22"/>
      <c r="H166" s="27" t="str">
        <f aca="false">IF($A166="","",IF($F166="","Count it",IF($F166&lt;=$E166,"REORDER","OK")))</f>
        <v/>
      </c>
      <c r="I166" s="31" t="str">
        <f aca="false">IF(OR($A166="",$F166=""),"",MAX(0,$D166-$F166))</f>
        <v/>
      </c>
      <c r="J166" s="28" t="str">
        <f aca="false">IF(OR($A166="",$I166=""),"",$I166*IFERROR(INDEX(Supplies!$F$5:$F$104,MATCH($B166,Supplies!$A$5:$A$104,0)),0))</f>
        <v/>
      </c>
    </row>
    <row r="167" customFormat="false" ht="15" hidden="false" customHeight="false" outlineLevel="0" collapsed="false">
      <c r="A167" s="23"/>
      <c r="B167" s="23"/>
      <c r="C167" s="27" t="str">
        <f aca="false">IF($B167="","",IFERROR(INDEX(Supplies!$B$5:$B$104,MATCH($B167,Supplies!$A$5:$A$104,0)),"?"))</f>
        <v/>
      </c>
      <c r="D167" s="32"/>
      <c r="E167" s="32"/>
      <c r="F167" s="32"/>
      <c r="G167" s="22"/>
      <c r="H167" s="27" t="str">
        <f aca="false">IF($A167="","",IF($F167="","Count it",IF($F167&lt;=$E167,"REORDER","OK")))</f>
        <v/>
      </c>
      <c r="I167" s="31" t="str">
        <f aca="false">IF(OR($A167="",$F167=""),"",MAX(0,$D167-$F167))</f>
        <v/>
      </c>
      <c r="J167" s="28" t="str">
        <f aca="false">IF(OR($A167="",$I167=""),"",$I167*IFERROR(INDEX(Supplies!$F$5:$F$104,MATCH($B167,Supplies!$A$5:$A$104,0)),0))</f>
        <v/>
      </c>
    </row>
    <row r="168" customFormat="false" ht="15" hidden="false" customHeight="false" outlineLevel="0" collapsed="false">
      <c r="A168" s="23"/>
      <c r="B168" s="23"/>
      <c r="C168" s="27" t="str">
        <f aca="false">IF($B168="","",IFERROR(INDEX(Supplies!$B$5:$B$104,MATCH($B168,Supplies!$A$5:$A$104,0)),"?"))</f>
        <v/>
      </c>
      <c r="D168" s="32"/>
      <c r="E168" s="32"/>
      <c r="F168" s="32"/>
      <c r="G168" s="22"/>
      <c r="H168" s="27" t="str">
        <f aca="false">IF($A168="","",IF($F168="","Count it",IF($F168&lt;=$E168,"REORDER","OK")))</f>
        <v/>
      </c>
      <c r="I168" s="31" t="str">
        <f aca="false">IF(OR($A168="",$F168=""),"",MAX(0,$D168-$F168))</f>
        <v/>
      </c>
      <c r="J168" s="28" t="str">
        <f aca="false">IF(OR($A168="",$I168=""),"",$I168*IFERROR(INDEX(Supplies!$F$5:$F$104,MATCH($B168,Supplies!$A$5:$A$104,0)),0))</f>
        <v/>
      </c>
    </row>
    <row r="169" customFormat="false" ht="15" hidden="false" customHeight="false" outlineLevel="0" collapsed="false">
      <c r="A169" s="23"/>
      <c r="B169" s="23"/>
      <c r="C169" s="27" t="str">
        <f aca="false">IF($B169="","",IFERROR(INDEX(Supplies!$B$5:$B$104,MATCH($B169,Supplies!$A$5:$A$104,0)),"?"))</f>
        <v/>
      </c>
      <c r="D169" s="32"/>
      <c r="E169" s="32"/>
      <c r="F169" s="32"/>
      <c r="G169" s="22"/>
      <c r="H169" s="27" t="str">
        <f aca="false">IF($A169="","",IF($F169="","Count it",IF($F169&lt;=$E169,"REORDER","OK")))</f>
        <v/>
      </c>
      <c r="I169" s="31" t="str">
        <f aca="false">IF(OR($A169="",$F169=""),"",MAX(0,$D169-$F169))</f>
        <v/>
      </c>
      <c r="J169" s="28" t="str">
        <f aca="false">IF(OR($A169="",$I169=""),"",$I169*IFERROR(INDEX(Supplies!$F$5:$F$104,MATCH($B169,Supplies!$A$5:$A$104,0)),0))</f>
        <v/>
      </c>
    </row>
    <row r="170" customFormat="false" ht="15" hidden="false" customHeight="false" outlineLevel="0" collapsed="false">
      <c r="A170" s="23"/>
      <c r="B170" s="23"/>
      <c r="C170" s="27" t="str">
        <f aca="false">IF($B170="","",IFERROR(INDEX(Supplies!$B$5:$B$104,MATCH($B170,Supplies!$A$5:$A$104,0)),"?"))</f>
        <v/>
      </c>
      <c r="D170" s="32"/>
      <c r="E170" s="32"/>
      <c r="F170" s="32"/>
      <c r="G170" s="22"/>
      <c r="H170" s="27" t="str">
        <f aca="false">IF($A170="","",IF($F170="","Count it",IF($F170&lt;=$E170,"REORDER","OK")))</f>
        <v/>
      </c>
      <c r="I170" s="31" t="str">
        <f aca="false">IF(OR($A170="",$F170=""),"",MAX(0,$D170-$F170))</f>
        <v/>
      </c>
      <c r="J170" s="28" t="str">
        <f aca="false">IF(OR($A170="",$I170=""),"",$I170*IFERROR(INDEX(Supplies!$F$5:$F$104,MATCH($B170,Supplies!$A$5:$A$104,0)),0))</f>
        <v/>
      </c>
    </row>
    <row r="171" customFormat="false" ht="15" hidden="false" customHeight="false" outlineLevel="0" collapsed="false">
      <c r="A171" s="23"/>
      <c r="B171" s="23"/>
      <c r="C171" s="27" t="str">
        <f aca="false">IF($B171="","",IFERROR(INDEX(Supplies!$B$5:$B$104,MATCH($B171,Supplies!$A$5:$A$104,0)),"?"))</f>
        <v/>
      </c>
      <c r="D171" s="32"/>
      <c r="E171" s="32"/>
      <c r="F171" s="32"/>
      <c r="G171" s="22"/>
      <c r="H171" s="27" t="str">
        <f aca="false">IF($A171="","",IF($F171="","Count it",IF($F171&lt;=$E171,"REORDER","OK")))</f>
        <v/>
      </c>
      <c r="I171" s="31" t="str">
        <f aca="false">IF(OR($A171="",$F171=""),"",MAX(0,$D171-$F171))</f>
        <v/>
      </c>
      <c r="J171" s="28" t="str">
        <f aca="false">IF(OR($A171="",$I171=""),"",$I171*IFERROR(INDEX(Supplies!$F$5:$F$104,MATCH($B171,Supplies!$A$5:$A$104,0)),0))</f>
        <v/>
      </c>
    </row>
    <row r="172" customFormat="false" ht="15" hidden="false" customHeight="false" outlineLevel="0" collapsed="false">
      <c r="A172" s="23"/>
      <c r="B172" s="23"/>
      <c r="C172" s="27" t="str">
        <f aca="false">IF($B172="","",IFERROR(INDEX(Supplies!$B$5:$B$104,MATCH($B172,Supplies!$A$5:$A$104,0)),"?"))</f>
        <v/>
      </c>
      <c r="D172" s="32"/>
      <c r="E172" s="32"/>
      <c r="F172" s="32"/>
      <c r="G172" s="22"/>
      <c r="H172" s="27" t="str">
        <f aca="false">IF($A172="","",IF($F172="","Count it",IF($F172&lt;=$E172,"REORDER","OK")))</f>
        <v/>
      </c>
      <c r="I172" s="31" t="str">
        <f aca="false">IF(OR($A172="",$F172=""),"",MAX(0,$D172-$F172))</f>
        <v/>
      </c>
      <c r="J172" s="28" t="str">
        <f aca="false">IF(OR($A172="",$I172=""),"",$I172*IFERROR(INDEX(Supplies!$F$5:$F$104,MATCH($B172,Supplies!$A$5:$A$104,0)),0))</f>
        <v/>
      </c>
    </row>
    <row r="173" customFormat="false" ht="15" hidden="false" customHeight="false" outlineLevel="0" collapsed="false">
      <c r="A173" s="23"/>
      <c r="B173" s="23"/>
      <c r="C173" s="27" t="str">
        <f aca="false">IF($B173="","",IFERROR(INDEX(Supplies!$B$5:$B$104,MATCH($B173,Supplies!$A$5:$A$104,0)),"?"))</f>
        <v/>
      </c>
      <c r="D173" s="32"/>
      <c r="E173" s="32"/>
      <c r="F173" s="32"/>
      <c r="G173" s="22"/>
      <c r="H173" s="27" t="str">
        <f aca="false">IF($A173="","",IF($F173="","Count it",IF($F173&lt;=$E173,"REORDER","OK")))</f>
        <v/>
      </c>
      <c r="I173" s="31" t="str">
        <f aca="false">IF(OR($A173="",$F173=""),"",MAX(0,$D173-$F173))</f>
        <v/>
      </c>
      <c r="J173" s="28" t="str">
        <f aca="false">IF(OR($A173="",$I173=""),"",$I173*IFERROR(INDEX(Supplies!$F$5:$F$104,MATCH($B173,Supplies!$A$5:$A$104,0)),0))</f>
        <v/>
      </c>
    </row>
    <row r="174" customFormat="false" ht="15" hidden="false" customHeight="false" outlineLevel="0" collapsed="false">
      <c r="A174" s="23"/>
      <c r="B174" s="23"/>
      <c r="C174" s="27" t="str">
        <f aca="false">IF($B174="","",IFERROR(INDEX(Supplies!$B$5:$B$104,MATCH($B174,Supplies!$A$5:$A$104,0)),"?"))</f>
        <v/>
      </c>
      <c r="D174" s="32"/>
      <c r="E174" s="32"/>
      <c r="F174" s="32"/>
      <c r="G174" s="22"/>
      <c r="H174" s="27" t="str">
        <f aca="false">IF($A174="","",IF($F174="","Count it",IF($F174&lt;=$E174,"REORDER","OK")))</f>
        <v/>
      </c>
      <c r="I174" s="31" t="str">
        <f aca="false">IF(OR($A174="",$F174=""),"",MAX(0,$D174-$F174))</f>
        <v/>
      </c>
      <c r="J174" s="28" t="str">
        <f aca="false">IF(OR($A174="",$I174=""),"",$I174*IFERROR(INDEX(Supplies!$F$5:$F$104,MATCH($B174,Supplies!$A$5:$A$104,0)),0))</f>
        <v/>
      </c>
    </row>
    <row r="175" customFormat="false" ht="15" hidden="false" customHeight="false" outlineLevel="0" collapsed="false">
      <c r="A175" s="23"/>
      <c r="B175" s="23"/>
      <c r="C175" s="27" t="str">
        <f aca="false">IF($B175="","",IFERROR(INDEX(Supplies!$B$5:$B$104,MATCH($B175,Supplies!$A$5:$A$104,0)),"?"))</f>
        <v/>
      </c>
      <c r="D175" s="32"/>
      <c r="E175" s="32"/>
      <c r="F175" s="32"/>
      <c r="G175" s="22"/>
      <c r="H175" s="27" t="str">
        <f aca="false">IF($A175="","",IF($F175="","Count it",IF($F175&lt;=$E175,"REORDER","OK")))</f>
        <v/>
      </c>
      <c r="I175" s="31" t="str">
        <f aca="false">IF(OR($A175="",$F175=""),"",MAX(0,$D175-$F175))</f>
        <v/>
      </c>
      <c r="J175" s="28" t="str">
        <f aca="false">IF(OR($A175="",$I175=""),"",$I175*IFERROR(INDEX(Supplies!$F$5:$F$104,MATCH($B175,Supplies!$A$5:$A$104,0)),0))</f>
        <v/>
      </c>
    </row>
    <row r="176" customFormat="false" ht="15" hidden="false" customHeight="false" outlineLevel="0" collapsed="false">
      <c r="A176" s="23"/>
      <c r="B176" s="23"/>
      <c r="C176" s="27" t="str">
        <f aca="false">IF($B176="","",IFERROR(INDEX(Supplies!$B$5:$B$104,MATCH($B176,Supplies!$A$5:$A$104,0)),"?"))</f>
        <v/>
      </c>
      <c r="D176" s="32"/>
      <c r="E176" s="32"/>
      <c r="F176" s="32"/>
      <c r="G176" s="22"/>
      <c r="H176" s="27" t="str">
        <f aca="false">IF($A176="","",IF($F176="","Count it",IF($F176&lt;=$E176,"REORDER","OK")))</f>
        <v/>
      </c>
      <c r="I176" s="31" t="str">
        <f aca="false">IF(OR($A176="",$F176=""),"",MAX(0,$D176-$F176))</f>
        <v/>
      </c>
      <c r="J176" s="28" t="str">
        <f aca="false">IF(OR($A176="",$I176=""),"",$I176*IFERROR(INDEX(Supplies!$F$5:$F$104,MATCH($B176,Supplies!$A$5:$A$104,0)),0))</f>
        <v/>
      </c>
    </row>
    <row r="177" customFormat="false" ht="15" hidden="false" customHeight="false" outlineLevel="0" collapsed="false">
      <c r="A177" s="23"/>
      <c r="B177" s="23"/>
      <c r="C177" s="27" t="str">
        <f aca="false">IF($B177="","",IFERROR(INDEX(Supplies!$B$5:$B$104,MATCH($B177,Supplies!$A$5:$A$104,0)),"?"))</f>
        <v/>
      </c>
      <c r="D177" s="32"/>
      <c r="E177" s="32"/>
      <c r="F177" s="32"/>
      <c r="G177" s="22"/>
      <c r="H177" s="27" t="str">
        <f aca="false">IF($A177="","",IF($F177="","Count it",IF($F177&lt;=$E177,"REORDER","OK")))</f>
        <v/>
      </c>
      <c r="I177" s="31" t="str">
        <f aca="false">IF(OR($A177="",$F177=""),"",MAX(0,$D177-$F177))</f>
        <v/>
      </c>
      <c r="J177" s="28" t="str">
        <f aca="false">IF(OR($A177="",$I177=""),"",$I177*IFERROR(INDEX(Supplies!$F$5:$F$104,MATCH($B177,Supplies!$A$5:$A$104,0)),0))</f>
        <v/>
      </c>
    </row>
    <row r="178" customFormat="false" ht="15" hidden="false" customHeight="false" outlineLevel="0" collapsed="false">
      <c r="A178" s="23"/>
      <c r="B178" s="23"/>
      <c r="C178" s="27" t="str">
        <f aca="false">IF($B178="","",IFERROR(INDEX(Supplies!$B$5:$B$104,MATCH($B178,Supplies!$A$5:$A$104,0)),"?"))</f>
        <v/>
      </c>
      <c r="D178" s="32"/>
      <c r="E178" s="32"/>
      <c r="F178" s="32"/>
      <c r="G178" s="22"/>
      <c r="H178" s="27" t="str">
        <f aca="false">IF($A178="","",IF($F178="","Count it",IF($F178&lt;=$E178,"REORDER","OK")))</f>
        <v/>
      </c>
      <c r="I178" s="31" t="str">
        <f aca="false">IF(OR($A178="",$F178=""),"",MAX(0,$D178-$F178))</f>
        <v/>
      </c>
      <c r="J178" s="28" t="str">
        <f aca="false">IF(OR($A178="",$I178=""),"",$I178*IFERROR(INDEX(Supplies!$F$5:$F$104,MATCH($B178,Supplies!$A$5:$A$104,0)),0))</f>
        <v/>
      </c>
    </row>
    <row r="179" customFormat="false" ht="15" hidden="false" customHeight="false" outlineLevel="0" collapsed="false">
      <c r="A179" s="23"/>
      <c r="B179" s="23"/>
      <c r="C179" s="27" t="str">
        <f aca="false">IF($B179="","",IFERROR(INDEX(Supplies!$B$5:$B$104,MATCH($B179,Supplies!$A$5:$A$104,0)),"?"))</f>
        <v/>
      </c>
      <c r="D179" s="32"/>
      <c r="E179" s="32"/>
      <c r="F179" s="32"/>
      <c r="G179" s="22"/>
      <c r="H179" s="27" t="str">
        <f aca="false">IF($A179="","",IF($F179="","Count it",IF($F179&lt;=$E179,"REORDER","OK")))</f>
        <v/>
      </c>
      <c r="I179" s="31" t="str">
        <f aca="false">IF(OR($A179="",$F179=""),"",MAX(0,$D179-$F179))</f>
        <v/>
      </c>
      <c r="J179" s="28" t="str">
        <f aca="false">IF(OR($A179="",$I179=""),"",$I179*IFERROR(INDEX(Supplies!$F$5:$F$104,MATCH($B179,Supplies!$A$5:$A$104,0)),0))</f>
        <v/>
      </c>
    </row>
    <row r="180" customFormat="false" ht="15" hidden="false" customHeight="false" outlineLevel="0" collapsed="false">
      <c r="A180" s="23"/>
      <c r="B180" s="23"/>
      <c r="C180" s="27" t="str">
        <f aca="false">IF($B180="","",IFERROR(INDEX(Supplies!$B$5:$B$104,MATCH($B180,Supplies!$A$5:$A$104,0)),"?"))</f>
        <v/>
      </c>
      <c r="D180" s="32"/>
      <c r="E180" s="32"/>
      <c r="F180" s="32"/>
      <c r="G180" s="22"/>
      <c r="H180" s="27" t="str">
        <f aca="false">IF($A180="","",IF($F180="","Count it",IF($F180&lt;=$E180,"REORDER","OK")))</f>
        <v/>
      </c>
      <c r="I180" s="31" t="str">
        <f aca="false">IF(OR($A180="",$F180=""),"",MAX(0,$D180-$F180))</f>
        <v/>
      </c>
      <c r="J180" s="28" t="str">
        <f aca="false">IF(OR($A180="",$I180=""),"",$I180*IFERROR(INDEX(Supplies!$F$5:$F$104,MATCH($B180,Supplies!$A$5:$A$104,0)),0))</f>
        <v/>
      </c>
    </row>
    <row r="181" customFormat="false" ht="15" hidden="false" customHeight="false" outlineLevel="0" collapsed="false">
      <c r="A181" s="23"/>
      <c r="B181" s="23"/>
      <c r="C181" s="27" t="str">
        <f aca="false">IF($B181="","",IFERROR(INDEX(Supplies!$B$5:$B$104,MATCH($B181,Supplies!$A$5:$A$104,0)),"?"))</f>
        <v/>
      </c>
      <c r="D181" s="32"/>
      <c r="E181" s="32"/>
      <c r="F181" s="32"/>
      <c r="G181" s="22"/>
      <c r="H181" s="27" t="str">
        <f aca="false">IF($A181="","",IF($F181="","Count it",IF($F181&lt;=$E181,"REORDER","OK")))</f>
        <v/>
      </c>
      <c r="I181" s="31" t="str">
        <f aca="false">IF(OR($A181="",$F181=""),"",MAX(0,$D181-$F181))</f>
        <v/>
      </c>
      <c r="J181" s="28" t="str">
        <f aca="false">IF(OR($A181="",$I181=""),"",$I181*IFERROR(INDEX(Supplies!$F$5:$F$104,MATCH($B181,Supplies!$A$5:$A$104,0)),0))</f>
        <v/>
      </c>
    </row>
    <row r="182" customFormat="false" ht="15" hidden="false" customHeight="false" outlineLevel="0" collapsed="false">
      <c r="A182" s="23"/>
      <c r="B182" s="23"/>
      <c r="C182" s="27" t="str">
        <f aca="false">IF($B182="","",IFERROR(INDEX(Supplies!$B$5:$B$104,MATCH($B182,Supplies!$A$5:$A$104,0)),"?"))</f>
        <v/>
      </c>
      <c r="D182" s="32"/>
      <c r="E182" s="32"/>
      <c r="F182" s="32"/>
      <c r="G182" s="22"/>
      <c r="H182" s="27" t="str">
        <f aca="false">IF($A182="","",IF($F182="","Count it",IF($F182&lt;=$E182,"REORDER","OK")))</f>
        <v/>
      </c>
      <c r="I182" s="31" t="str">
        <f aca="false">IF(OR($A182="",$F182=""),"",MAX(0,$D182-$F182))</f>
        <v/>
      </c>
      <c r="J182" s="28" t="str">
        <f aca="false">IF(OR($A182="",$I182=""),"",$I182*IFERROR(INDEX(Supplies!$F$5:$F$104,MATCH($B182,Supplies!$A$5:$A$104,0)),0))</f>
        <v/>
      </c>
    </row>
    <row r="183" customFormat="false" ht="15" hidden="false" customHeight="false" outlineLevel="0" collapsed="false">
      <c r="A183" s="23"/>
      <c r="B183" s="23"/>
      <c r="C183" s="27" t="str">
        <f aca="false">IF($B183="","",IFERROR(INDEX(Supplies!$B$5:$B$104,MATCH($B183,Supplies!$A$5:$A$104,0)),"?"))</f>
        <v/>
      </c>
      <c r="D183" s="32"/>
      <c r="E183" s="32"/>
      <c r="F183" s="32"/>
      <c r="G183" s="22"/>
      <c r="H183" s="27" t="str">
        <f aca="false">IF($A183="","",IF($F183="","Count it",IF($F183&lt;=$E183,"REORDER","OK")))</f>
        <v/>
      </c>
      <c r="I183" s="31" t="str">
        <f aca="false">IF(OR($A183="",$F183=""),"",MAX(0,$D183-$F183))</f>
        <v/>
      </c>
      <c r="J183" s="28" t="str">
        <f aca="false">IF(OR($A183="",$I183=""),"",$I183*IFERROR(INDEX(Supplies!$F$5:$F$104,MATCH($B183,Supplies!$A$5:$A$104,0)),0))</f>
        <v/>
      </c>
    </row>
    <row r="184" customFormat="false" ht="15" hidden="false" customHeight="false" outlineLevel="0" collapsed="false">
      <c r="A184" s="23"/>
      <c r="B184" s="23"/>
      <c r="C184" s="27" t="str">
        <f aca="false">IF($B184="","",IFERROR(INDEX(Supplies!$B$5:$B$104,MATCH($B184,Supplies!$A$5:$A$104,0)),"?"))</f>
        <v/>
      </c>
      <c r="D184" s="32"/>
      <c r="E184" s="32"/>
      <c r="F184" s="32"/>
      <c r="G184" s="22"/>
      <c r="H184" s="27" t="str">
        <f aca="false">IF($A184="","",IF($F184="","Count it",IF($F184&lt;=$E184,"REORDER","OK")))</f>
        <v/>
      </c>
      <c r="I184" s="31" t="str">
        <f aca="false">IF(OR($A184="",$F184=""),"",MAX(0,$D184-$F184))</f>
        <v/>
      </c>
      <c r="J184" s="28" t="str">
        <f aca="false">IF(OR($A184="",$I184=""),"",$I184*IFERROR(INDEX(Supplies!$F$5:$F$104,MATCH($B184,Supplies!$A$5:$A$104,0)),0))</f>
        <v/>
      </c>
    </row>
    <row r="185" customFormat="false" ht="15" hidden="false" customHeight="false" outlineLevel="0" collapsed="false">
      <c r="A185" s="23"/>
      <c r="B185" s="23"/>
      <c r="C185" s="27" t="str">
        <f aca="false">IF($B185="","",IFERROR(INDEX(Supplies!$B$5:$B$104,MATCH($B185,Supplies!$A$5:$A$104,0)),"?"))</f>
        <v/>
      </c>
      <c r="D185" s="32"/>
      <c r="E185" s="32"/>
      <c r="F185" s="32"/>
      <c r="G185" s="22"/>
      <c r="H185" s="27" t="str">
        <f aca="false">IF($A185="","",IF($F185="","Count it",IF($F185&lt;=$E185,"REORDER","OK")))</f>
        <v/>
      </c>
      <c r="I185" s="31" t="str">
        <f aca="false">IF(OR($A185="",$F185=""),"",MAX(0,$D185-$F185))</f>
        <v/>
      </c>
      <c r="J185" s="28" t="str">
        <f aca="false">IF(OR($A185="",$I185=""),"",$I185*IFERROR(INDEX(Supplies!$F$5:$F$104,MATCH($B185,Supplies!$A$5:$A$104,0)),0))</f>
        <v/>
      </c>
    </row>
    <row r="186" customFormat="false" ht="15" hidden="false" customHeight="false" outlineLevel="0" collapsed="false">
      <c r="A186" s="23"/>
      <c r="B186" s="23"/>
      <c r="C186" s="27" t="str">
        <f aca="false">IF($B186="","",IFERROR(INDEX(Supplies!$B$5:$B$104,MATCH($B186,Supplies!$A$5:$A$104,0)),"?"))</f>
        <v/>
      </c>
      <c r="D186" s="32"/>
      <c r="E186" s="32"/>
      <c r="F186" s="32"/>
      <c r="G186" s="22"/>
      <c r="H186" s="27" t="str">
        <f aca="false">IF($A186="","",IF($F186="","Count it",IF($F186&lt;=$E186,"REORDER","OK")))</f>
        <v/>
      </c>
      <c r="I186" s="31" t="str">
        <f aca="false">IF(OR($A186="",$F186=""),"",MAX(0,$D186-$F186))</f>
        <v/>
      </c>
      <c r="J186" s="28" t="str">
        <f aca="false">IF(OR($A186="",$I186=""),"",$I186*IFERROR(INDEX(Supplies!$F$5:$F$104,MATCH($B186,Supplies!$A$5:$A$104,0)),0))</f>
        <v/>
      </c>
    </row>
    <row r="187" customFormat="false" ht="15" hidden="false" customHeight="false" outlineLevel="0" collapsed="false">
      <c r="A187" s="23"/>
      <c r="B187" s="23"/>
      <c r="C187" s="27" t="str">
        <f aca="false">IF($B187="","",IFERROR(INDEX(Supplies!$B$5:$B$104,MATCH($B187,Supplies!$A$5:$A$104,0)),"?"))</f>
        <v/>
      </c>
      <c r="D187" s="32"/>
      <c r="E187" s="32"/>
      <c r="F187" s="32"/>
      <c r="G187" s="22"/>
      <c r="H187" s="27" t="str">
        <f aca="false">IF($A187="","",IF($F187="","Count it",IF($F187&lt;=$E187,"REORDER","OK")))</f>
        <v/>
      </c>
      <c r="I187" s="31" t="str">
        <f aca="false">IF(OR($A187="",$F187=""),"",MAX(0,$D187-$F187))</f>
        <v/>
      </c>
      <c r="J187" s="28" t="str">
        <f aca="false">IF(OR($A187="",$I187=""),"",$I187*IFERROR(INDEX(Supplies!$F$5:$F$104,MATCH($B187,Supplies!$A$5:$A$104,0)),0))</f>
        <v/>
      </c>
    </row>
    <row r="188" customFormat="false" ht="15" hidden="false" customHeight="false" outlineLevel="0" collapsed="false">
      <c r="A188" s="23"/>
      <c r="B188" s="23"/>
      <c r="C188" s="27" t="str">
        <f aca="false">IF($B188="","",IFERROR(INDEX(Supplies!$B$5:$B$104,MATCH($B188,Supplies!$A$5:$A$104,0)),"?"))</f>
        <v/>
      </c>
      <c r="D188" s="32"/>
      <c r="E188" s="32"/>
      <c r="F188" s="32"/>
      <c r="G188" s="22"/>
      <c r="H188" s="27" t="str">
        <f aca="false">IF($A188="","",IF($F188="","Count it",IF($F188&lt;=$E188,"REORDER","OK")))</f>
        <v/>
      </c>
      <c r="I188" s="31" t="str">
        <f aca="false">IF(OR($A188="",$F188=""),"",MAX(0,$D188-$F188))</f>
        <v/>
      </c>
      <c r="J188" s="28" t="str">
        <f aca="false">IF(OR($A188="",$I188=""),"",$I188*IFERROR(INDEX(Supplies!$F$5:$F$104,MATCH($B188,Supplies!$A$5:$A$104,0)),0))</f>
        <v/>
      </c>
    </row>
    <row r="189" customFormat="false" ht="15" hidden="false" customHeight="false" outlineLevel="0" collapsed="false">
      <c r="A189" s="23"/>
      <c r="B189" s="23"/>
      <c r="C189" s="27" t="str">
        <f aca="false">IF($B189="","",IFERROR(INDEX(Supplies!$B$5:$B$104,MATCH($B189,Supplies!$A$5:$A$104,0)),"?"))</f>
        <v/>
      </c>
      <c r="D189" s="32"/>
      <c r="E189" s="32"/>
      <c r="F189" s="32"/>
      <c r="G189" s="22"/>
      <c r="H189" s="27" t="str">
        <f aca="false">IF($A189="","",IF($F189="","Count it",IF($F189&lt;=$E189,"REORDER","OK")))</f>
        <v/>
      </c>
      <c r="I189" s="31" t="str">
        <f aca="false">IF(OR($A189="",$F189=""),"",MAX(0,$D189-$F189))</f>
        <v/>
      </c>
      <c r="J189" s="28" t="str">
        <f aca="false">IF(OR($A189="",$I189=""),"",$I189*IFERROR(INDEX(Supplies!$F$5:$F$104,MATCH($B189,Supplies!$A$5:$A$104,0)),0))</f>
        <v/>
      </c>
    </row>
    <row r="190" customFormat="false" ht="15" hidden="false" customHeight="false" outlineLevel="0" collapsed="false">
      <c r="A190" s="23"/>
      <c r="B190" s="23"/>
      <c r="C190" s="27" t="str">
        <f aca="false">IF($B190="","",IFERROR(INDEX(Supplies!$B$5:$B$104,MATCH($B190,Supplies!$A$5:$A$104,0)),"?"))</f>
        <v/>
      </c>
      <c r="D190" s="32"/>
      <c r="E190" s="32"/>
      <c r="F190" s="32"/>
      <c r="G190" s="22"/>
      <c r="H190" s="27" t="str">
        <f aca="false">IF($A190="","",IF($F190="","Count it",IF($F190&lt;=$E190,"REORDER","OK")))</f>
        <v/>
      </c>
      <c r="I190" s="31" t="str">
        <f aca="false">IF(OR($A190="",$F190=""),"",MAX(0,$D190-$F190))</f>
        <v/>
      </c>
      <c r="J190" s="28" t="str">
        <f aca="false">IF(OR($A190="",$I190=""),"",$I190*IFERROR(INDEX(Supplies!$F$5:$F$104,MATCH($B190,Supplies!$A$5:$A$104,0)),0))</f>
        <v/>
      </c>
    </row>
    <row r="191" customFormat="false" ht="15" hidden="false" customHeight="false" outlineLevel="0" collapsed="false">
      <c r="A191" s="23"/>
      <c r="B191" s="23"/>
      <c r="C191" s="27" t="str">
        <f aca="false">IF($B191="","",IFERROR(INDEX(Supplies!$B$5:$B$104,MATCH($B191,Supplies!$A$5:$A$104,0)),"?"))</f>
        <v/>
      </c>
      <c r="D191" s="32"/>
      <c r="E191" s="32"/>
      <c r="F191" s="32"/>
      <c r="G191" s="22"/>
      <c r="H191" s="27" t="str">
        <f aca="false">IF($A191="","",IF($F191="","Count it",IF($F191&lt;=$E191,"REORDER","OK")))</f>
        <v/>
      </c>
      <c r="I191" s="31" t="str">
        <f aca="false">IF(OR($A191="",$F191=""),"",MAX(0,$D191-$F191))</f>
        <v/>
      </c>
      <c r="J191" s="28" t="str">
        <f aca="false">IF(OR($A191="",$I191=""),"",$I191*IFERROR(INDEX(Supplies!$F$5:$F$104,MATCH($B191,Supplies!$A$5:$A$104,0)),0))</f>
        <v/>
      </c>
    </row>
    <row r="192" customFormat="false" ht="15" hidden="false" customHeight="false" outlineLevel="0" collapsed="false">
      <c r="A192" s="23"/>
      <c r="B192" s="23"/>
      <c r="C192" s="27" t="str">
        <f aca="false">IF($B192="","",IFERROR(INDEX(Supplies!$B$5:$B$104,MATCH($B192,Supplies!$A$5:$A$104,0)),"?"))</f>
        <v/>
      </c>
      <c r="D192" s="32"/>
      <c r="E192" s="32"/>
      <c r="F192" s="32"/>
      <c r="G192" s="22"/>
      <c r="H192" s="27" t="str">
        <f aca="false">IF($A192="","",IF($F192="","Count it",IF($F192&lt;=$E192,"REORDER","OK")))</f>
        <v/>
      </c>
      <c r="I192" s="31" t="str">
        <f aca="false">IF(OR($A192="",$F192=""),"",MAX(0,$D192-$F192))</f>
        <v/>
      </c>
      <c r="J192" s="28" t="str">
        <f aca="false">IF(OR($A192="",$I192=""),"",$I192*IFERROR(INDEX(Supplies!$F$5:$F$104,MATCH($B192,Supplies!$A$5:$A$104,0)),0))</f>
        <v/>
      </c>
    </row>
    <row r="193" customFormat="false" ht="15" hidden="false" customHeight="false" outlineLevel="0" collapsed="false">
      <c r="A193" s="23"/>
      <c r="B193" s="23"/>
      <c r="C193" s="27" t="str">
        <f aca="false">IF($B193="","",IFERROR(INDEX(Supplies!$B$5:$B$104,MATCH($B193,Supplies!$A$5:$A$104,0)),"?"))</f>
        <v/>
      </c>
      <c r="D193" s="32"/>
      <c r="E193" s="32"/>
      <c r="F193" s="32"/>
      <c r="G193" s="22"/>
      <c r="H193" s="27" t="str">
        <f aca="false">IF($A193="","",IF($F193="","Count it",IF($F193&lt;=$E193,"REORDER","OK")))</f>
        <v/>
      </c>
      <c r="I193" s="31" t="str">
        <f aca="false">IF(OR($A193="",$F193=""),"",MAX(0,$D193-$F193))</f>
        <v/>
      </c>
      <c r="J193" s="28" t="str">
        <f aca="false">IF(OR($A193="",$I193=""),"",$I193*IFERROR(INDEX(Supplies!$F$5:$F$104,MATCH($B193,Supplies!$A$5:$A$104,0)),0))</f>
        <v/>
      </c>
    </row>
    <row r="194" customFormat="false" ht="15" hidden="false" customHeight="false" outlineLevel="0" collapsed="false">
      <c r="A194" s="23"/>
      <c r="B194" s="23"/>
      <c r="C194" s="27" t="str">
        <f aca="false">IF($B194="","",IFERROR(INDEX(Supplies!$B$5:$B$104,MATCH($B194,Supplies!$A$5:$A$104,0)),"?"))</f>
        <v/>
      </c>
      <c r="D194" s="32"/>
      <c r="E194" s="32"/>
      <c r="F194" s="32"/>
      <c r="G194" s="22"/>
      <c r="H194" s="27" t="str">
        <f aca="false">IF($A194="","",IF($F194="","Count it",IF($F194&lt;=$E194,"REORDER","OK")))</f>
        <v/>
      </c>
      <c r="I194" s="31" t="str">
        <f aca="false">IF(OR($A194="",$F194=""),"",MAX(0,$D194-$F194))</f>
        <v/>
      </c>
      <c r="J194" s="28" t="str">
        <f aca="false">IF(OR($A194="",$I194=""),"",$I194*IFERROR(INDEX(Supplies!$F$5:$F$104,MATCH($B194,Supplies!$A$5:$A$104,0)),0))</f>
        <v/>
      </c>
    </row>
    <row r="195" customFormat="false" ht="15" hidden="false" customHeight="false" outlineLevel="0" collapsed="false">
      <c r="A195" s="23"/>
      <c r="B195" s="23"/>
      <c r="C195" s="27" t="str">
        <f aca="false">IF($B195="","",IFERROR(INDEX(Supplies!$B$5:$B$104,MATCH($B195,Supplies!$A$5:$A$104,0)),"?"))</f>
        <v/>
      </c>
      <c r="D195" s="32"/>
      <c r="E195" s="32"/>
      <c r="F195" s="32"/>
      <c r="G195" s="22"/>
      <c r="H195" s="27" t="str">
        <f aca="false">IF($A195="","",IF($F195="","Count it",IF($F195&lt;=$E195,"REORDER","OK")))</f>
        <v/>
      </c>
      <c r="I195" s="31" t="str">
        <f aca="false">IF(OR($A195="",$F195=""),"",MAX(0,$D195-$F195))</f>
        <v/>
      </c>
      <c r="J195" s="28" t="str">
        <f aca="false">IF(OR($A195="",$I195=""),"",$I195*IFERROR(INDEX(Supplies!$F$5:$F$104,MATCH($B195,Supplies!$A$5:$A$104,0)),0))</f>
        <v/>
      </c>
    </row>
    <row r="196" customFormat="false" ht="15" hidden="false" customHeight="false" outlineLevel="0" collapsed="false">
      <c r="A196" s="23"/>
      <c r="B196" s="23"/>
      <c r="C196" s="27" t="str">
        <f aca="false">IF($B196="","",IFERROR(INDEX(Supplies!$B$5:$B$104,MATCH($B196,Supplies!$A$5:$A$104,0)),"?"))</f>
        <v/>
      </c>
      <c r="D196" s="32"/>
      <c r="E196" s="32"/>
      <c r="F196" s="32"/>
      <c r="G196" s="22"/>
      <c r="H196" s="27" t="str">
        <f aca="false">IF($A196="","",IF($F196="","Count it",IF($F196&lt;=$E196,"REORDER","OK")))</f>
        <v/>
      </c>
      <c r="I196" s="31" t="str">
        <f aca="false">IF(OR($A196="",$F196=""),"",MAX(0,$D196-$F196))</f>
        <v/>
      </c>
      <c r="J196" s="28" t="str">
        <f aca="false">IF(OR($A196="",$I196=""),"",$I196*IFERROR(INDEX(Supplies!$F$5:$F$104,MATCH($B196,Supplies!$A$5:$A$104,0)),0))</f>
        <v/>
      </c>
    </row>
    <row r="197" customFormat="false" ht="15" hidden="false" customHeight="false" outlineLevel="0" collapsed="false">
      <c r="A197" s="23"/>
      <c r="B197" s="23"/>
      <c r="C197" s="27" t="str">
        <f aca="false">IF($B197="","",IFERROR(INDEX(Supplies!$B$5:$B$104,MATCH($B197,Supplies!$A$5:$A$104,0)),"?"))</f>
        <v/>
      </c>
      <c r="D197" s="32"/>
      <c r="E197" s="32"/>
      <c r="F197" s="32"/>
      <c r="G197" s="22"/>
      <c r="H197" s="27" t="str">
        <f aca="false">IF($A197="","",IF($F197="","Count it",IF($F197&lt;=$E197,"REORDER","OK")))</f>
        <v/>
      </c>
      <c r="I197" s="31" t="str">
        <f aca="false">IF(OR($A197="",$F197=""),"",MAX(0,$D197-$F197))</f>
        <v/>
      </c>
      <c r="J197" s="28" t="str">
        <f aca="false">IF(OR($A197="",$I197=""),"",$I197*IFERROR(INDEX(Supplies!$F$5:$F$104,MATCH($B197,Supplies!$A$5:$A$104,0)),0))</f>
        <v/>
      </c>
    </row>
    <row r="198" customFormat="false" ht="15" hidden="false" customHeight="false" outlineLevel="0" collapsed="false">
      <c r="A198" s="23"/>
      <c r="B198" s="23"/>
      <c r="C198" s="27" t="str">
        <f aca="false">IF($B198="","",IFERROR(INDEX(Supplies!$B$5:$B$104,MATCH($B198,Supplies!$A$5:$A$104,0)),"?"))</f>
        <v/>
      </c>
      <c r="D198" s="32"/>
      <c r="E198" s="32"/>
      <c r="F198" s="32"/>
      <c r="G198" s="22"/>
      <c r="H198" s="27" t="str">
        <f aca="false">IF($A198="","",IF($F198="","Count it",IF($F198&lt;=$E198,"REORDER","OK")))</f>
        <v/>
      </c>
      <c r="I198" s="31" t="str">
        <f aca="false">IF(OR($A198="",$F198=""),"",MAX(0,$D198-$F198))</f>
        <v/>
      </c>
      <c r="J198" s="28" t="str">
        <f aca="false">IF(OR($A198="",$I198=""),"",$I198*IFERROR(INDEX(Supplies!$F$5:$F$104,MATCH($B198,Supplies!$A$5:$A$104,0)),0))</f>
        <v/>
      </c>
    </row>
    <row r="199" customFormat="false" ht="15" hidden="false" customHeight="false" outlineLevel="0" collapsed="false">
      <c r="A199" s="23"/>
      <c r="B199" s="23"/>
      <c r="C199" s="27" t="str">
        <f aca="false">IF($B199="","",IFERROR(INDEX(Supplies!$B$5:$B$104,MATCH($B199,Supplies!$A$5:$A$104,0)),"?"))</f>
        <v/>
      </c>
      <c r="D199" s="32"/>
      <c r="E199" s="32"/>
      <c r="F199" s="32"/>
      <c r="G199" s="22"/>
      <c r="H199" s="27" t="str">
        <f aca="false">IF($A199="","",IF($F199="","Count it",IF($F199&lt;=$E199,"REORDER","OK")))</f>
        <v/>
      </c>
      <c r="I199" s="31" t="str">
        <f aca="false">IF(OR($A199="",$F199=""),"",MAX(0,$D199-$F199))</f>
        <v/>
      </c>
      <c r="J199" s="28" t="str">
        <f aca="false">IF(OR($A199="",$I199=""),"",$I199*IFERROR(INDEX(Supplies!$F$5:$F$104,MATCH($B199,Supplies!$A$5:$A$104,0)),0))</f>
        <v/>
      </c>
    </row>
    <row r="200" customFormat="false" ht="15" hidden="false" customHeight="false" outlineLevel="0" collapsed="false">
      <c r="A200" s="23"/>
      <c r="B200" s="23"/>
      <c r="C200" s="27" t="str">
        <f aca="false">IF($B200="","",IFERROR(INDEX(Supplies!$B$5:$B$104,MATCH($B200,Supplies!$A$5:$A$104,0)),"?"))</f>
        <v/>
      </c>
      <c r="D200" s="32"/>
      <c r="E200" s="32"/>
      <c r="F200" s="32"/>
      <c r="G200" s="22"/>
      <c r="H200" s="27" t="str">
        <f aca="false">IF($A200="","",IF($F200="","Count it",IF($F200&lt;=$E200,"REORDER","OK")))</f>
        <v/>
      </c>
      <c r="I200" s="31" t="str">
        <f aca="false">IF(OR($A200="",$F200=""),"",MAX(0,$D200-$F200))</f>
        <v/>
      </c>
      <c r="J200" s="28" t="str">
        <f aca="false">IF(OR($A200="",$I200=""),"",$I200*IFERROR(INDEX(Supplies!$F$5:$F$104,MATCH($B200,Supplies!$A$5:$A$104,0)),0))</f>
        <v/>
      </c>
    </row>
    <row r="201" customFormat="false" ht="15" hidden="false" customHeight="false" outlineLevel="0" collapsed="false">
      <c r="A201" s="23"/>
      <c r="B201" s="23"/>
      <c r="C201" s="27" t="str">
        <f aca="false">IF($B201="","",IFERROR(INDEX(Supplies!$B$5:$B$104,MATCH($B201,Supplies!$A$5:$A$104,0)),"?"))</f>
        <v/>
      </c>
      <c r="D201" s="32"/>
      <c r="E201" s="32"/>
      <c r="F201" s="32"/>
      <c r="G201" s="22"/>
      <c r="H201" s="27" t="str">
        <f aca="false">IF($A201="","",IF($F201="","Count it",IF($F201&lt;=$E201,"REORDER","OK")))</f>
        <v/>
      </c>
      <c r="I201" s="31" t="str">
        <f aca="false">IF(OR($A201="",$F201=""),"",MAX(0,$D201-$F201))</f>
        <v/>
      </c>
      <c r="J201" s="28" t="str">
        <f aca="false">IF(OR($A201="",$I201=""),"",$I201*IFERROR(INDEX(Supplies!$F$5:$F$104,MATCH($B201,Supplies!$A$5:$A$104,0)),0))</f>
        <v/>
      </c>
    </row>
    <row r="202" customFormat="false" ht="15" hidden="false" customHeight="false" outlineLevel="0" collapsed="false">
      <c r="A202" s="23"/>
      <c r="B202" s="23"/>
      <c r="C202" s="27" t="str">
        <f aca="false">IF($B202="","",IFERROR(INDEX(Supplies!$B$5:$B$104,MATCH($B202,Supplies!$A$5:$A$104,0)),"?"))</f>
        <v/>
      </c>
      <c r="D202" s="32"/>
      <c r="E202" s="32"/>
      <c r="F202" s="32"/>
      <c r="G202" s="22"/>
      <c r="H202" s="27" t="str">
        <f aca="false">IF($A202="","",IF($F202="","Count it",IF($F202&lt;=$E202,"REORDER","OK")))</f>
        <v/>
      </c>
      <c r="I202" s="31" t="str">
        <f aca="false">IF(OR($A202="",$F202=""),"",MAX(0,$D202-$F202))</f>
        <v/>
      </c>
      <c r="J202" s="28" t="str">
        <f aca="false">IF(OR($A202="",$I202=""),"",$I202*IFERROR(INDEX(Supplies!$F$5:$F$104,MATCH($B202,Supplies!$A$5:$A$104,0)),0))</f>
        <v/>
      </c>
    </row>
    <row r="203" customFormat="false" ht="15" hidden="false" customHeight="false" outlineLevel="0" collapsed="false">
      <c r="A203" s="23"/>
      <c r="B203" s="23"/>
      <c r="C203" s="27" t="str">
        <f aca="false">IF($B203="","",IFERROR(INDEX(Supplies!$B$5:$B$104,MATCH($B203,Supplies!$A$5:$A$104,0)),"?"))</f>
        <v/>
      </c>
      <c r="D203" s="32"/>
      <c r="E203" s="32"/>
      <c r="F203" s="32"/>
      <c r="G203" s="22"/>
      <c r="H203" s="27" t="str">
        <f aca="false">IF($A203="","",IF($F203="","Count it",IF($F203&lt;=$E203,"REORDER","OK")))</f>
        <v/>
      </c>
      <c r="I203" s="31" t="str">
        <f aca="false">IF(OR($A203="",$F203=""),"",MAX(0,$D203-$F203))</f>
        <v/>
      </c>
      <c r="J203" s="28" t="str">
        <f aca="false">IF(OR($A203="",$I203=""),"",$I203*IFERROR(INDEX(Supplies!$F$5:$F$104,MATCH($B203,Supplies!$A$5:$A$104,0)),0))</f>
        <v/>
      </c>
    </row>
    <row r="204" customFormat="false" ht="15" hidden="false" customHeight="false" outlineLevel="0" collapsed="false">
      <c r="A204" s="23"/>
      <c r="B204" s="23"/>
      <c r="C204" s="27" t="str">
        <f aca="false">IF($B204="","",IFERROR(INDEX(Supplies!$B$5:$B$104,MATCH($B204,Supplies!$A$5:$A$104,0)),"?"))</f>
        <v/>
      </c>
      <c r="D204" s="32"/>
      <c r="E204" s="32"/>
      <c r="F204" s="32"/>
      <c r="G204" s="22"/>
      <c r="H204" s="27" t="str">
        <f aca="false">IF($A204="","",IF($F204="","Count it",IF($F204&lt;=$E204,"REORDER","OK")))</f>
        <v/>
      </c>
      <c r="I204" s="31" t="str">
        <f aca="false">IF(OR($A204="",$F204=""),"",MAX(0,$D204-$F204))</f>
        <v/>
      </c>
      <c r="J204" s="28" t="str">
        <f aca="false">IF(OR($A204="",$I204=""),"",$I204*IFERROR(INDEX(Supplies!$F$5:$F$104,MATCH($B204,Supplies!$A$5:$A$104,0)),0))</f>
        <v/>
      </c>
    </row>
    <row r="205" customFormat="false" ht="15" hidden="false" customHeight="false" outlineLevel="0" collapsed="false">
      <c r="A205" s="23"/>
      <c r="B205" s="23"/>
      <c r="C205" s="27" t="str">
        <f aca="false">IF($B205="","",IFERROR(INDEX(Supplies!$B$5:$B$104,MATCH($B205,Supplies!$A$5:$A$104,0)),"?"))</f>
        <v/>
      </c>
      <c r="D205" s="32"/>
      <c r="E205" s="32"/>
      <c r="F205" s="32"/>
      <c r="G205" s="22"/>
      <c r="H205" s="27" t="str">
        <f aca="false">IF($A205="","",IF($F205="","Count it",IF($F205&lt;=$E205,"REORDER","OK")))</f>
        <v/>
      </c>
      <c r="I205" s="31" t="str">
        <f aca="false">IF(OR($A205="",$F205=""),"",MAX(0,$D205-$F205))</f>
        <v/>
      </c>
      <c r="J205" s="28" t="str">
        <f aca="false">IF(OR($A205="",$I205=""),"",$I205*IFERROR(INDEX(Supplies!$F$5:$F$104,MATCH($B205,Supplies!$A$5:$A$104,0)),0))</f>
        <v/>
      </c>
    </row>
    <row r="206" customFormat="false" ht="15" hidden="false" customHeight="false" outlineLevel="0" collapsed="false">
      <c r="A206" s="23"/>
      <c r="B206" s="23"/>
      <c r="C206" s="27" t="str">
        <f aca="false">IF($B206="","",IFERROR(INDEX(Supplies!$B$5:$B$104,MATCH($B206,Supplies!$A$5:$A$104,0)),"?"))</f>
        <v/>
      </c>
      <c r="D206" s="32"/>
      <c r="E206" s="32"/>
      <c r="F206" s="32"/>
      <c r="G206" s="22"/>
      <c r="H206" s="27" t="str">
        <f aca="false">IF($A206="","",IF($F206="","Count it",IF($F206&lt;=$E206,"REORDER","OK")))</f>
        <v/>
      </c>
      <c r="I206" s="31" t="str">
        <f aca="false">IF(OR($A206="",$F206=""),"",MAX(0,$D206-$F206))</f>
        <v/>
      </c>
      <c r="J206" s="28" t="str">
        <f aca="false">IF(OR($A206="",$I206=""),"",$I206*IFERROR(INDEX(Supplies!$F$5:$F$104,MATCH($B206,Supplies!$A$5:$A$104,0)),0))</f>
        <v/>
      </c>
    </row>
    <row r="207" customFormat="false" ht="15" hidden="false" customHeight="false" outlineLevel="0" collapsed="false">
      <c r="A207" s="23"/>
      <c r="B207" s="23"/>
      <c r="C207" s="27" t="str">
        <f aca="false">IF($B207="","",IFERROR(INDEX(Supplies!$B$5:$B$104,MATCH($B207,Supplies!$A$5:$A$104,0)),"?"))</f>
        <v/>
      </c>
      <c r="D207" s="32"/>
      <c r="E207" s="32"/>
      <c r="F207" s="32"/>
      <c r="G207" s="22"/>
      <c r="H207" s="27" t="str">
        <f aca="false">IF($A207="","",IF($F207="","Count it",IF($F207&lt;=$E207,"REORDER","OK")))</f>
        <v/>
      </c>
      <c r="I207" s="31" t="str">
        <f aca="false">IF(OR($A207="",$F207=""),"",MAX(0,$D207-$F207))</f>
        <v/>
      </c>
      <c r="J207" s="28" t="str">
        <f aca="false">IF(OR($A207="",$I207=""),"",$I207*IFERROR(INDEX(Supplies!$F$5:$F$104,MATCH($B207,Supplies!$A$5:$A$104,0)),0))</f>
        <v/>
      </c>
    </row>
    <row r="208" customFormat="false" ht="15" hidden="false" customHeight="false" outlineLevel="0" collapsed="false">
      <c r="A208" s="23"/>
      <c r="B208" s="23"/>
      <c r="C208" s="27" t="str">
        <f aca="false">IF($B208="","",IFERROR(INDEX(Supplies!$B$5:$B$104,MATCH($B208,Supplies!$A$5:$A$104,0)),"?"))</f>
        <v/>
      </c>
      <c r="D208" s="32"/>
      <c r="E208" s="32"/>
      <c r="F208" s="32"/>
      <c r="G208" s="22"/>
      <c r="H208" s="27" t="str">
        <f aca="false">IF($A208="","",IF($F208="","Count it",IF($F208&lt;=$E208,"REORDER","OK")))</f>
        <v/>
      </c>
      <c r="I208" s="31" t="str">
        <f aca="false">IF(OR($A208="",$F208=""),"",MAX(0,$D208-$F208))</f>
        <v/>
      </c>
      <c r="J208" s="28" t="str">
        <f aca="false">IF(OR($A208="",$I208=""),"",$I208*IFERROR(INDEX(Supplies!$F$5:$F$104,MATCH($B208,Supplies!$A$5:$A$104,0)),0))</f>
        <v/>
      </c>
    </row>
    <row r="209" customFormat="false" ht="15" hidden="false" customHeight="false" outlineLevel="0" collapsed="false">
      <c r="A209" s="23"/>
      <c r="B209" s="23"/>
      <c r="C209" s="27" t="str">
        <f aca="false">IF($B209="","",IFERROR(INDEX(Supplies!$B$5:$B$104,MATCH($B209,Supplies!$A$5:$A$104,0)),"?"))</f>
        <v/>
      </c>
      <c r="D209" s="32"/>
      <c r="E209" s="32"/>
      <c r="F209" s="32"/>
      <c r="G209" s="22"/>
      <c r="H209" s="27" t="str">
        <f aca="false">IF($A209="","",IF($F209="","Count it",IF($F209&lt;=$E209,"REORDER","OK")))</f>
        <v/>
      </c>
      <c r="I209" s="31" t="str">
        <f aca="false">IF(OR($A209="",$F209=""),"",MAX(0,$D209-$F209))</f>
        <v/>
      </c>
      <c r="J209" s="28" t="str">
        <f aca="false">IF(OR($A209="",$I209=""),"",$I209*IFERROR(INDEX(Supplies!$F$5:$F$104,MATCH($B209,Supplies!$A$5:$A$104,0)),0))</f>
        <v/>
      </c>
    </row>
    <row r="210" customFormat="false" ht="15" hidden="false" customHeight="false" outlineLevel="0" collapsed="false">
      <c r="A210" s="23"/>
      <c r="B210" s="23"/>
      <c r="C210" s="27" t="str">
        <f aca="false">IF($B210="","",IFERROR(INDEX(Supplies!$B$5:$B$104,MATCH($B210,Supplies!$A$5:$A$104,0)),"?"))</f>
        <v/>
      </c>
      <c r="D210" s="32"/>
      <c r="E210" s="32"/>
      <c r="F210" s="32"/>
      <c r="G210" s="22"/>
      <c r="H210" s="27" t="str">
        <f aca="false">IF($A210="","",IF($F210="","Count it",IF($F210&lt;=$E210,"REORDER","OK")))</f>
        <v/>
      </c>
      <c r="I210" s="31" t="str">
        <f aca="false">IF(OR($A210="",$F210=""),"",MAX(0,$D210-$F210))</f>
        <v/>
      </c>
      <c r="J210" s="28" t="str">
        <f aca="false">IF(OR($A210="",$I210=""),"",$I210*IFERROR(INDEX(Supplies!$F$5:$F$104,MATCH($B210,Supplies!$A$5:$A$104,0)),0))</f>
        <v/>
      </c>
    </row>
    <row r="211" customFormat="false" ht="15" hidden="false" customHeight="false" outlineLevel="0" collapsed="false">
      <c r="A211" s="23"/>
      <c r="B211" s="23"/>
      <c r="C211" s="27" t="str">
        <f aca="false">IF($B211="","",IFERROR(INDEX(Supplies!$B$5:$B$104,MATCH($B211,Supplies!$A$5:$A$104,0)),"?"))</f>
        <v/>
      </c>
      <c r="D211" s="32"/>
      <c r="E211" s="32"/>
      <c r="F211" s="32"/>
      <c r="G211" s="22"/>
      <c r="H211" s="27" t="str">
        <f aca="false">IF($A211="","",IF($F211="","Count it",IF($F211&lt;=$E211,"REORDER","OK")))</f>
        <v/>
      </c>
      <c r="I211" s="31" t="str">
        <f aca="false">IF(OR($A211="",$F211=""),"",MAX(0,$D211-$F211))</f>
        <v/>
      </c>
      <c r="J211" s="28" t="str">
        <f aca="false">IF(OR($A211="",$I211=""),"",$I211*IFERROR(INDEX(Supplies!$F$5:$F$104,MATCH($B211,Supplies!$A$5:$A$104,0)),0))</f>
        <v/>
      </c>
    </row>
    <row r="212" customFormat="false" ht="15" hidden="false" customHeight="false" outlineLevel="0" collapsed="false">
      <c r="A212" s="23"/>
      <c r="B212" s="23"/>
      <c r="C212" s="27" t="str">
        <f aca="false">IF($B212="","",IFERROR(INDEX(Supplies!$B$5:$B$104,MATCH($B212,Supplies!$A$5:$A$104,0)),"?"))</f>
        <v/>
      </c>
      <c r="D212" s="32"/>
      <c r="E212" s="32"/>
      <c r="F212" s="32"/>
      <c r="G212" s="22"/>
      <c r="H212" s="27" t="str">
        <f aca="false">IF($A212="","",IF($F212="","Count it",IF($F212&lt;=$E212,"REORDER","OK")))</f>
        <v/>
      </c>
      <c r="I212" s="31" t="str">
        <f aca="false">IF(OR($A212="",$F212=""),"",MAX(0,$D212-$F212))</f>
        <v/>
      </c>
      <c r="J212" s="28" t="str">
        <f aca="false">IF(OR($A212="",$I212=""),"",$I212*IFERROR(INDEX(Supplies!$F$5:$F$104,MATCH($B212,Supplies!$A$5:$A$104,0)),0))</f>
        <v/>
      </c>
    </row>
    <row r="213" customFormat="false" ht="15" hidden="false" customHeight="false" outlineLevel="0" collapsed="false">
      <c r="A213" s="23"/>
      <c r="B213" s="23"/>
      <c r="C213" s="27" t="str">
        <f aca="false">IF($B213="","",IFERROR(INDEX(Supplies!$B$5:$B$104,MATCH($B213,Supplies!$A$5:$A$104,0)),"?"))</f>
        <v/>
      </c>
      <c r="D213" s="32"/>
      <c r="E213" s="32"/>
      <c r="F213" s="32"/>
      <c r="G213" s="22"/>
      <c r="H213" s="27" t="str">
        <f aca="false">IF($A213="","",IF($F213="","Count it",IF($F213&lt;=$E213,"REORDER","OK")))</f>
        <v/>
      </c>
      <c r="I213" s="31" t="str">
        <f aca="false">IF(OR($A213="",$F213=""),"",MAX(0,$D213-$F213))</f>
        <v/>
      </c>
      <c r="J213" s="28" t="str">
        <f aca="false">IF(OR($A213="",$I213=""),"",$I213*IFERROR(INDEX(Supplies!$F$5:$F$104,MATCH($B213,Supplies!$A$5:$A$104,0)),0))</f>
        <v/>
      </c>
    </row>
    <row r="214" customFormat="false" ht="15" hidden="false" customHeight="false" outlineLevel="0" collapsed="false">
      <c r="A214" s="23"/>
      <c r="B214" s="23"/>
      <c r="C214" s="27" t="str">
        <f aca="false">IF($B214="","",IFERROR(INDEX(Supplies!$B$5:$B$104,MATCH($B214,Supplies!$A$5:$A$104,0)),"?"))</f>
        <v/>
      </c>
      <c r="D214" s="32"/>
      <c r="E214" s="32"/>
      <c r="F214" s="32"/>
      <c r="G214" s="22"/>
      <c r="H214" s="27" t="str">
        <f aca="false">IF($A214="","",IF($F214="","Count it",IF($F214&lt;=$E214,"REORDER","OK")))</f>
        <v/>
      </c>
      <c r="I214" s="31" t="str">
        <f aca="false">IF(OR($A214="",$F214=""),"",MAX(0,$D214-$F214))</f>
        <v/>
      </c>
      <c r="J214" s="28" t="str">
        <f aca="false">IF(OR($A214="",$I214=""),"",$I214*IFERROR(INDEX(Supplies!$F$5:$F$104,MATCH($B214,Supplies!$A$5:$A$104,0)),0))</f>
        <v/>
      </c>
    </row>
    <row r="215" customFormat="false" ht="15" hidden="false" customHeight="false" outlineLevel="0" collapsed="false">
      <c r="A215" s="23"/>
      <c r="B215" s="23"/>
      <c r="C215" s="27" t="str">
        <f aca="false">IF($B215="","",IFERROR(INDEX(Supplies!$B$5:$B$104,MATCH($B215,Supplies!$A$5:$A$104,0)),"?"))</f>
        <v/>
      </c>
      <c r="D215" s="32"/>
      <c r="E215" s="32"/>
      <c r="F215" s="32"/>
      <c r="G215" s="22"/>
      <c r="H215" s="27" t="str">
        <f aca="false">IF($A215="","",IF($F215="","Count it",IF($F215&lt;=$E215,"REORDER","OK")))</f>
        <v/>
      </c>
      <c r="I215" s="31" t="str">
        <f aca="false">IF(OR($A215="",$F215=""),"",MAX(0,$D215-$F215))</f>
        <v/>
      </c>
      <c r="J215" s="28" t="str">
        <f aca="false">IF(OR($A215="",$I215=""),"",$I215*IFERROR(INDEX(Supplies!$F$5:$F$104,MATCH($B215,Supplies!$A$5:$A$104,0)),0))</f>
        <v/>
      </c>
    </row>
    <row r="216" customFormat="false" ht="15" hidden="false" customHeight="false" outlineLevel="0" collapsed="false">
      <c r="A216" s="23"/>
      <c r="B216" s="23"/>
      <c r="C216" s="27" t="str">
        <f aca="false">IF($B216="","",IFERROR(INDEX(Supplies!$B$5:$B$104,MATCH($B216,Supplies!$A$5:$A$104,0)),"?"))</f>
        <v/>
      </c>
      <c r="D216" s="32"/>
      <c r="E216" s="32"/>
      <c r="F216" s="32"/>
      <c r="G216" s="22"/>
      <c r="H216" s="27" t="str">
        <f aca="false">IF($A216="","",IF($F216="","Count it",IF($F216&lt;=$E216,"REORDER","OK")))</f>
        <v/>
      </c>
      <c r="I216" s="31" t="str">
        <f aca="false">IF(OR($A216="",$F216=""),"",MAX(0,$D216-$F216))</f>
        <v/>
      </c>
      <c r="J216" s="28" t="str">
        <f aca="false">IF(OR($A216="",$I216=""),"",$I216*IFERROR(INDEX(Supplies!$F$5:$F$104,MATCH($B216,Supplies!$A$5:$A$104,0)),0))</f>
        <v/>
      </c>
    </row>
    <row r="217" customFormat="false" ht="15" hidden="false" customHeight="false" outlineLevel="0" collapsed="false">
      <c r="A217" s="23"/>
      <c r="B217" s="23"/>
      <c r="C217" s="27" t="str">
        <f aca="false">IF($B217="","",IFERROR(INDEX(Supplies!$B$5:$B$104,MATCH($B217,Supplies!$A$5:$A$104,0)),"?"))</f>
        <v/>
      </c>
      <c r="D217" s="32"/>
      <c r="E217" s="32"/>
      <c r="F217" s="32"/>
      <c r="G217" s="22"/>
      <c r="H217" s="27" t="str">
        <f aca="false">IF($A217="","",IF($F217="","Count it",IF($F217&lt;=$E217,"REORDER","OK")))</f>
        <v/>
      </c>
      <c r="I217" s="31" t="str">
        <f aca="false">IF(OR($A217="",$F217=""),"",MAX(0,$D217-$F217))</f>
        <v/>
      </c>
      <c r="J217" s="28" t="str">
        <f aca="false">IF(OR($A217="",$I217=""),"",$I217*IFERROR(INDEX(Supplies!$F$5:$F$104,MATCH($B217,Supplies!$A$5:$A$104,0)),0))</f>
        <v/>
      </c>
    </row>
    <row r="218" customFormat="false" ht="15" hidden="false" customHeight="false" outlineLevel="0" collapsed="false">
      <c r="A218" s="23"/>
      <c r="B218" s="23"/>
      <c r="C218" s="27" t="str">
        <f aca="false">IF($B218="","",IFERROR(INDEX(Supplies!$B$5:$B$104,MATCH($B218,Supplies!$A$5:$A$104,0)),"?"))</f>
        <v/>
      </c>
      <c r="D218" s="32"/>
      <c r="E218" s="32"/>
      <c r="F218" s="32"/>
      <c r="G218" s="22"/>
      <c r="H218" s="27" t="str">
        <f aca="false">IF($A218="","",IF($F218="","Count it",IF($F218&lt;=$E218,"REORDER","OK")))</f>
        <v/>
      </c>
      <c r="I218" s="31" t="str">
        <f aca="false">IF(OR($A218="",$F218=""),"",MAX(0,$D218-$F218))</f>
        <v/>
      </c>
      <c r="J218" s="28" t="str">
        <f aca="false">IF(OR($A218="",$I218=""),"",$I218*IFERROR(INDEX(Supplies!$F$5:$F$104,MATCH($B218,Supplies!$A$5:$A$104,0)),0))</f>
        <v/>
      </c>
    </row>
    <row r="219" customFormat="false" ht="15" hidden="false" customHeight="false" outlineLevel="0" collapsed="false">
      <c r="A219" s="23"/>
      <c r="B219" s="23"/>
      <c r="C219" s="27" t="str">
        <f aca="false">IF($B219="","",IFERROR(INDEX(Supplies!$B$5:$B$104,MATCH($B219,Supplies!$A$5:$A$104,0)),"?"))</f>
        <v/>
      </c>
      <c r="D219" s="32"/>
      <c r="E219" s="32"/>
      <c r="F219" s="32"/>
      <c r="G219" s="22"/>
      <c r="H219" s="27" t="str">
        <f aca="false">IF($A219="","",IF($F219="","Count it",IF($F219&lt;=$E219,"REORDER","OK")))</f>
        <v/>
      </c>
      <c r="I219" s="31" t="str">
        <f aca="false">IF(OR($A219="",$F219=""),"",MAX(0,$D219-$F219))</f>
        <v/>
      </c>
      <c r="J219" s="28" t="str">
        <f aca="false">IF(OR($A219="",$I219=""),"",$I219*IFERROR(INDEX(Supplies!$F$5:$F$104,MATCH($B219,Supplies!$A$5:$A$104,0)),0))</f>
        <v/>
      </c>
    </row>
    <row r="220" customFormat="false" ht="15" hidden="false" customHeight="false" outlineLevel="0" collapsed="false">
      <c r="A220" s="23"/>
      <c r="B220" s="23"/>
      <c r="C220" s="27" t="str">
        <f aca="false">IF($B220="","",IFERROR(INDEX(Supplies!$B$5:$B$104,MATCH($B220,Supplies!$A$5:$A$104,0)),"?"))</f>
        <v/>
      </c>
      <c r="D220" s="32"/>
      <c r="E220" s="32"/>
      <c r="F220" s="32"/>
      <c r="G220" s="22"/>
      <c r="H220" s="27" t="str">
        <f aca="false">IF($A220="","",IF($F220="","Count it",IF($F220&lt;=$E220,"REORDER","OK")))</f>
        <v/>
      </c>
      <c r="I220" s="31" t="str">
        <f aca="false">IF(OR($A220="",$F220=""),"",MAX(0,$D220-$F220))</f>
        <v/>
      </c>
      <c r="J220" s="28" t="str">
        <f aca="false">IF(OR($A220="",$I220=""),"",$I220*IFERROR(INDEX(Supplies!$F$5:$F$104,MATCH($B220,Supplies!$A$5:$A$104,0)),0))</f>
        <v/>
      </c>
    </row>
    <row r="221" customFormat="false" ht="15" hidden="false" customHeight="false" outlineLevel="0" collapsed="false">
      <c r="A221" s="23"/>
      <c r="B221" s="23"/>
      <c r="C221" s="27" t="str">
        <f aca="false">IF($B221="","",IFERROR(INDEX(Supplies!$B$5:$B$104,MATCH($B221,Supplies!$A$5:$A$104,0)),"?"))</f>
        <v/>
      </c>
      <c r="D221" s="32"/>
      <c r="E221" s="32"/>
      <c r="F221" s="32"/>
      <c r="G221" s="22"/>
      <c r="H221" s="27" t="str">
        <f aca="false">IF($A221="","",IF($F221="","Count it",IF($F221&lt;=$E221,"REORDER","OK")))</f>
        <v/>
      </c>
      <c r="I221" s="31" t="str">
        <f aca="false">IF(OR($A221="",$F221=""),"",MAX(0,$D221-$F221))</f>
        <v/>
      </c>
      <c r="J221" s="28" t="str">
        <f aca="false">IF(OR($A221="",$I221=""),"",$I221*IFERROR(INDEX(Supplies!$F$5:$F$104,MATCH($B221,Supplies!$A$5:$A$104,0)),0))</f>
        <v/>
      </c>
    </row>
    <row r="222" customFormat="false" ht="15" hidden="false" customHeight="false" outlineLevel="0" collapsed="false">
      <c r="A222" s="23"/>
      <c r="B222" s="23"/>
      <c r="C222" s="27" t="str">
        <f aca="false">IF($B222="","",IFERROR(INDEX(Supplies!$B$5:$B$104,MATCH($B222,Supplies!$A$5:$A$104,0)),"?"))</f>
        <v/>
      </c>
      <c r="D222" s="32"/>
      <c r="E222" s="32"/>
      <c r="F222" s="32"/>
      <c r="G222" s="22"/>
      <c r="H222" s="27" t="str">
        <f aca="false">IF($A222="","",IF($F222="","Count it",IF($F222&lt;=$E222,"REORDER","OK")))</f>
        <v/>
      </c>
      <c r="I222" s="31" t="str">
        <f aca="false">IF(OR($A222="",$F222=""),"",MAX(0,$D222-$F222))</f>
        <v/>
      </c>
      <c r="J222" s="28" t="str">
        <f aca="false">IF(OR($A222="",$I222=""),"",$I222*IFERROR(INDEX(Supplies!$F$5:$F$104,MATCH($B222,Supplies!$A$5:$A$104,0)),0))</f>
        <v/>
      </c>
    </row>
    <row r="223" customFormat="false" ht="15" hidden="false" customHeight="false" outlineLevel="0" collapsed="false">
      <c r="A223" s="23"/>
      <c r="B223" s="23"/>
      <c r="C223" s="27" t="str">
        <f aca="false">IF($B223="","",IFERROR(INDEX(Supplies!$B$5:$B$104,MATCH($B223,Supplies!$A$5:$A$104,0)),"?"))</f>
        <v/>
      </c>
      <c r="D223" s="32"/>
      <c r="E223" s="32"/>
      <c r="F223" s="32"/>
      <c r="G223" s="22"/>
      <c r="H223" s="27" t="str">
        <f aca="false">IF($A223="","",IF($F223="","Count it",IF($F223&lt;=$E223,"REORDER","OK")))</f>
        <v/>
      </c>
      <c r="I223" s="31" t="str">
        <f aca="false">IF(OR($A223="",$F223=""),"",MAX(0,$D223-$F223))</f>
        <v/>
      </c>
      <c r="J223" s="28" t="str">
        <f aca="false">IF(OR($A223="",$I223=""),"",$I223*IFERROR(INDEX(Supplies!$F$5:$F$104,MATCH($B223,Supplies!$A$5:$A$104,0)),0))</f>
        <v/>
      </c>
    </row>
    <row r="224" customFormat="false" ht="15" hidden="false" customHeight="false" outlineLevel="0" collapsed="false">
      <c r="A224" s="23"/>
      <c r="B224" s="23"/>
      <c r="C224" s="27" t="str">
        <f aca="false">IF($B224="","",IFERROR(INDEX(Supplies!$B$5:$B$104,MATCH($B224,Supplies!$A$5:$A$104,0)),"?"))</f>
        <v/>
      </c>
      <c r="D224" s="32"/>
      <c r="E224" s="32"/>
      <c r="F224" s="32"/>
      <c r="G224" s="22"/>
      <c r="H224" s="27" t="str">
        <f aca="false">IF($A224="","",IF($F224="","Count it",IF($F224&lt;=$E224,"REORDER","OK")))</f>
        <v/>
      </c>
      <c r="I224" s="31" t="str">
        <f aca="false">IF(OR($A224="",$F224=""),"",MAX(0,$D224-$F224))</f>
        <v/>
      </c>
      <c r="J224" s="28" t="str">
        <f aca="false">IF(OR($A224="",$I224=""),"",$I224*IFERROR(INDEX(Supplies!$F$5:$F$104,MATCH($B224,Supplies!$A$5:$A$104,0)),0))</f>
        <v/>
      </c>
    </row>
    <row r="225" customFormat="false" ht="15" hidden="false" customHeight="false" outlineLevel="0" collapsed="false">
      <c r="A225" s="23"/>
      <c r="B225" s="23"/>
      <c r="C225" s="27" t="str">
        <f aca="false">IF($B225="","",IFERROR(INDEX(Supplies!$B$5:$B$104,MATCH($B225,Supplies!$A$5:$A$104,0)),"?"))</f>
        <v/>
      </c>
      <c r="D225" s="32"/>
      <c r="E225" s="32"/>
      <c r="F225" s="32"/>
      <c r="G225" s="22"/>
      <c r="H225" s="27" t="str">
        <f aca="false">IF($A225="","",IF($F225="","Count it",IF($F225&lt;=$E225,"REORDER","OK")))</f>
        <v/>
      </c>
      <c r="I225" s="31" t="str">
        <f aca="false">IF(OR($A225="",$F225=""),"",MAX(0,$D225-$F225))</f>
        <v/>
      </c>
      <c r="J225" s="28" t="str">
        <f aca="false">IF(OR($A225="",$I225=""),"",$I225*IFERROR(INDEX(Supplies!$F$5:$F$104,MATCH($B225,Supplies!$A$5:$A$104,0)),0))</f>
        <v/>
      </c>
    </row>
    <row r="226" customFormat="false" ht="15" hidden="false" customHeight="false" outlineLevel="0" collapsed="false">
      <c r="A226" s="23"/>
      <c r="B226" s="23"/>
      <c r="C226" s="27" t="str">
        <f aca="false">IF($B226="","",IFERROR(INDEX(Supplies!$B$5:$B$104,MATCH($B226,Supplies!$A$5:$A$104,0)),"?"))</f>
        <v/>
      </c>
      <c r="D226" s="32"/>
      <c r="E226" s="32"/>
      <c r="F226" s="32"/>
      <c r="G226" s="22"/>
      <c r="H226" s="27" t="str">
        <f aca="false">IF($A226="","",IF($F226="","Count it",IF($F226&lt;=$E226,"REORDER","OK")))</f>
        <v/>
      </c>
      <c r="I226" s="31" t="str">
        <f aca="false">IF(OR($A226="",$F226=""),"",MAX(0,$D226-$F226))</f>
        <v/>
      </c>
      <c r="J226" s="28" t="str">
        <f aca="false">IF(OR($A226="",$I226=""),"",$I226*IFERROR(INDEX(Supplies!$F$5:$F$104,MATCH($B226,Supplies!$A$5:$A$104,0)),0))</f>
        <v/>
      </c>
    </row>
    <row r="227" customFormat="false" ht="15" hidden="false" customHeight="false" outlineLevel="0" collapsed="false">
      <c r="A227" s="23"/>
      <c r="B227" s="23"/>
      <c r="C227" s="27" t="str">
        <f aca="false">IF($B227="","",IFERROR(INDEX(Supplies!$B$5:$B$104,MATCH($B227,Supplies!$A$5:$A$104,0)),"?"))</f>
        <v/>
      </c>
      <c r="D227" s="32"/>
      <c r="E227" s="32"/>
      <c r="F227" s="32"/>
      <c r="G227" s="22"/>
      <c r="H227" s="27" t="str">
        <f aca="false">IF($A227="","",IF($F227="","Count it",IF($F227&lt;=$E227,"REORDER","OK")))</f>
        <v/>
      </c>
      <c r="I227" s="31" t="str">
        <f aca="false">IF(OR($A227="",$F227=""),"",MAX(0,$D227-$F227))</f>
        <v/>
      </c>
      <c r="J227" s="28" t="str">
        <f aca="false">IF(OR($A227="",$I227=""),"",$I227*IFERROR(INDEX(Supplies!$F$5:$F$104,MATCH($B227,Supplies!$A$5:$A$104,0)),0))</f>
        <v/>
      </c>
    </row>
    <row r="228" customFormat="false" ht="15" hidden="false" customHeight="false" outlineLevel="0" collapsed="false">
      <c r="A228" s="23"/>
      <c r="B228" s="23"/>
      <c r="C228" s="27" t="str">
        <f aca="false">IF($B228="","",IFERROR(INDEX(Supplies!$B$5:$B$104,MATCH($B228,Supplies!$A$5:$A$104,0)),"?"))</f>
        <v/>
      </c>
      <c r="D228" s="32"/>
      <c r="E228" s="32"/>
      <c r="F228" s="32"/>
      <c r="G228" s="22"/>
      <c r="H228" s="27" t="str">
        <f aca="false">IF($A228="","",IF($F228="","Count it",IF($F228&lt;=$E228,"REORDER","OK")))</f>
        <v/>
      </c>
      <c r="I228" s="31" t="str">
        <f aca="false">IF(OR($A228="",$F228=""),"",MAX(0,$D228-$F228))</f>
        <v/>
      </c>
      <c r="J228" s="28" t="str">
        <f aca="false">IF(OR($A228="",$I228=""),"",$I228*IFERROR(INDEX(Supplies!$F$5:$F$104,MATCH($B228,Supplies!$A$5:$A$104,0)),0))</f>
        <v/>
      </c>
    </row>
    <row r="229" customFormat="false" ht="15" hidden="false" customHeight="false" outlineLevel="0" collapsed="false">
      <c r="A229" s="23"/>
      <c r="B229" s="23"/>
      <c r="C229" s="27" t="str">
        <f aca="false">IF($B229="","",IFERROR(INDEX(Supplies!$B$5:$B$104,MATCH($B229,Supplies!$A$5:$A$104,0)),"?"))</f>
        <v/>
      </c>
      <c r="D229" s="32"/>
      <c r="E229" s="32"/>
      <c r="F229" s="32"/>
      <c r="G229" s="22"/>
      <c r="H229" s="27" t="str">
        <f aca="false">IF($A229="","",IF($F229="","Count it",IF($F229&lt;=$E229,"REORDER","OK")))</f>
        <v/>
      </c>
      <c r="I229" s="31" t="str">
        <f aca="false">IF(OR($A229="",$F229=""),"",MAX(0,$D229-$F229))</f>
        <v/>
      </c>
      <c r="J229" s="28" t="str">
        <f aca="false">IF(OR($A229="",$I229=""),"",$I229*IFERROR(INDEX(Supplies!$F$5:$F$104,MATCH($B229,Supplies!$A$5:$A$104,0)),0))</f>
        <v/>
      </c>
    </row>
    <row r="230" customFormat="false" ht="15" hidden="false" customHeight="false" outlineLevel="0" collapsed="false">
      <c r="A230" s="23"/>
      <c r="B230" s="23"/>
      <c r="C230" s="27" t="str">
        <f aca="false">IF($B230="","",IFERROR(INDEX(Supplies!$B$5:$B$104,MATCH($B230,Supplies!$A$5:$A$104,0)),"?"))</f>
        <v/>
      </c>
      <c r="D230" s="32"/>
      <c r="E230" s="32"/>
      <c r="F230" s="32"/>
      <c r="G230" s="22"/>
      <c r="H230" s="27" t="str">
        <f aca="false">IF($A230="","",IF($F230="","Count it",IF($F230&lt;=$E230,"REORDER","OK")))</f>
        <v/>
      </c>
      <c r="I230" s="31" t="str">
        <f aca="false">IF(OR($A230="",$F230=""),"",MAX(0,$D230-$F230))</f>
        <v/>
      </c>
      <c r="J230" s="28" t="str">
        <f aca="false">IF(OR($A230="",$I230=""),"",$I230*IFERROR(INDEX(Supplies!$F$5:$F$104,MATCH($B230,Supplies!$A$5:$A$104,0)),0))</f>
        <v/>
      </c>
    </row>
    <row r="231" customFormat="false" ht="15" hidden="false" customHeight="false" outlineLevel="0" collapsed="false">
      <c r="A231" s="23"/>
      <c r="B231" s="23"/>
      <c r="C231" s="27" t="str">
        <f aca="false">IF($B231="","",IFERROR(INDEX(Supplies!$B$5:$B$104,MATCH($B231,Supplies!$A$5:$A$104,0)),"?"))</f>
        <v/>
      </c>
      <c r="D231" s="32"/>
      <c r="E231" s="32"/>
      <c r="F231" s="32"/>
      <c r="G231" s="22"/>
      <c r="H231" s="27" t="str">
        <f aca="false">IF($A231="","",IF($F231="","Count it",IF($F231&lt;=$E231,"REORDER","OK")))</f>
        <v/>
      </c>
      <c r="I231" s="31" t="str">
        <f aca="false">IF(OR($A231="",$F231=""),"",MAX(0,$D231-$F231))</f>
        <v/>
      </c>
      <c r="J231" s="28" t="str">
        <f aca="false">IF(OR($A231="",$I231=""),"",$I231*IFERROR(INDEX(Supplies!$F$5:$F$104,MATCH($B231,Supplies!$A$5:$A$104,0)),0))</f>
        <v/>
      </c>
    </row>
    <row r="232" customFormat="false" ht="15" hidden="false" customHeight="false" outlineLevel="0" collapsed="false">
      <c r="A232" s="23"/>
      <c r="B232" s="23"/>
      <c r="C232" s="27" t="str">
        <f aca="false">IF($B232="","",IFERROR(INDEX(Supplies!$B$5:$B$104,MATCH($B232,Supplies!$A$5:$A$104,0)),"?"))</f>
        <v/>
      </c>
      <c r="D232" s="32"/>
      <c r="E232" s="32"/>
      <c r="F232" s="32"/>
      <c r="G232" s="22"/>
      <c r="H232" s="27" t="str">
        <f aca="false">IF($A232="","",IF($F232="","Count it",IF($F232&lt;=$E232,"REORDER","OK")))</f>
        <v/>
      </c>
      <c r="I232" s="31" t="str">
        <f aca="false">IF(OR($A232="",$F232=""),"",MAX(0,$D232-$F232))</f>
        <v/>
      </c>
      <c r="J232" s="28" t="str">
        <f aca="false">IF(OR($A232="",$I232=""),"",$I232*IFERROR(INDEX(Supplies!$F$5:$F$104,MATCH($B232,Supplies!$A$5:$A$104,0)),0))</f>
        <v/>
      </c>
    </row>
    <row r="233" customFormat="false" ht="15" hidden="false" customHeight="false" outlineLevel="0" collapsed="false">
      <c r="A233" s="23"/>
      <c r="B233" s="23"/>
      <c r="C233" s="27" t="str">
        <f aca="false">IF($B233="","",IFERROR(INDEX(Supplies!$B$5:$B$104,MATCH($B233,Supplies!$A$5:$A$104,0)),"?"))</f>
        <v/>
      </c>
      <c r="D233" s="32"/>
      <c r="E233" s="32"/>
      <c r="F233" s="32"/>
      <c r="G233" s="22"/>
      <c r="H233" s="27" t="str">
        <f aca="false">IF($A233="","",IF($F233="","Count it",IF($F233&lt;=$E233,"REORDER","OK")))</f>
        <v/>
      </c>
      <c r="I233" s="31" t="str">
        <f aca="false">IF(OR($A233="",$F233=""),"",MAX(0,$D233-$F233))</f>
        <v/>
      </c>
      <c r="J233" s="28" t="str">
        <f aca="false">IF(OR($A233="",$I233=""),"",$I233*IFERROR(INDEX(Supplies!$F$5:$F$104,MATCH($B233,Supplies!$A$5:$A$104,0)),0))</f>
        <v/>
      </c>
    </row>
    <row r="234" customFormat="false" ht="15" hidden="false" customHeight="false" outlineLevel="0" collapsed="false">
      <c r="A234" s="23"/>
      <c r="B234" s="23"/>
      <c r="C234" s="27" t="str">
        <f aca="false">IF($B234="","",IFERROR(INDEX(Supplies!$B$5:$B$104,MATCH($B234,Supplies!$A$5:$A$104,0)),"?"))</f>
        <v/>
      </c>
      <c r="D234" s="32"/>
      <c r="E234" s="32"/>
      <c r="F234" s="32"/>
      <c r="G234" s="22"/>
      <c r="H234" s="27" t="str">
        <f aca="false">IF($A234="","",IF($F234="","Count it",IF($F234&lt;=$E234,"REORDER","OK")))</f>
        <v/>
      </c>
      <c r="I234" s="31" t="str">
        <f aca="false">IF(OR($A234="",$F234=""),"",MAX(0,$D234-$F234))</f>
        <v/>
      </c>
      <c r="J234" s="28" t="str">
        <f aca="false">IF(OR($A234="",$I234=""),"",$I234*IFERROR(INDEX(Supplies!$F$5:$F$104,MATCH($B234,Supplies!$A$5:$A$104,0)),0))</f>
        <v/>
      </c>
    </row>
    <row r="235" customFormat="false" ht="15" hidden="false" customHeight="false" outlineLevel="0" collapsed="false">
      <c r="A235" s="23"/>
      <c r="B235" s="23"/>
      <c r="C235" s="27" t="str">
        <f aca="false">IF($B235="","",IFERROR(INDEX(Supplies!$B$5:$B$104,MATCH($B235,Supplies!$A$5:$A$104,0)),"?"))</f>
        <v/>
      </c>
      <c r="D235" s="32"/>
      <c r="E235" s="32"/>
      <c r="F235" s="32"/>
      <c r="G235" s="22"/>
      <c r="H235" s="27" t="str">
        <f aca="false">IF($A235="","",IF($F235="","Count it",IF($F235&lt;=$E235,"REORDER","OK")))</f>
        <v/>
      </c>
      <c r="I235" s="31" t="str">
        <f aca="false">IF(OR($A235="",$F235=""),"",MAX(0,$D235-$F235))</f>
        <v/>
      </c>
      <c r="J235" s="28" t="str">
        <f aca="false">IF(OR($A235="",$I235=""),"",$I235*IFERROR(INDEX(Supplies!$F$5:$F$104,MATCH($B235,Supplies!$A$5:$A$104,0)),0))</f>
        <v/>
      </c>
    </row>
    <row r="236" customFormat="false" ht="15" hidden="false" customHeight="false" outlineLevel="0" collapsed="false">
      <c r="A236" s="23"/>
      <c r="B236" s="23"/>
      <c r="C236" s="27" t="str">
        <f aca="false">IF($B236="","",IFERROR(INDEX(Supplies!$B$5:$B$104,MATCH($B236,Supplies!$A$5:$A$104,0)),"?"))</f>
        <v/>
      </c>
      <c r="D236" s="32"/>
      <c r="E236" s="32"/>
      <c r="F236" s="32"/>
      <c r="G236" s="22"/>
      <c r="H236" s="27" t="str">
        <f aca="false">IF($A236="","",IF($F236="","Count it",IF($F236&lt;=$E236,"REORDER","OK")))</f>
        <v/>
      </c>
      <c r="I236" s="31" t="str">
        <f aca="false">IF(OR($A236="",$F236=""),"",MAX(0,$D236-$F236))</f>
        <v/>
      </c>
      <c r="J236" s="28" t="str">
        <f aca="false">IF(OR($A236="",$I236=""),"",$I236*IFERROR(INDEX(Supplies!$F$5:$F$104,MATCH($B236,Supplies!$A$5:$A$104,0)),0))</f>
        <v/>
      </c>
    </row>
    <row r="237" customFormat="false" ht="15" hidden="false" customHeight="false" outlineLevel="0" collapsed="false">
      <c r="A237" s="23"/>
      <c r="B237" s="23"/>
      <c r="C237" s="27" t="str">
        <f aca="false">IF($B237="","",IFERROR(INDEX(Supplies!$B$5:$B$104,MATCH($B237,Supplies!$A$5:$A$104,0)),"?"))</f>
        <v/>
      </c>
      <c r="D237" s="32"/>
      <c r="E237" s="32"/>
      <c r="F237" s="32"/>
      <c r="G237" s="22"/>
      <c r="H237" s="27" t="str">
        <f aca="false">IF($A237="","",IF($F237="","Count it",IF($F237&lt;=$E237,"REORDER","OK")))</f>
        <v/>
      </c>
      <c r="I237" s="31" t="str">
        <f aca="false">IF(OR($A237="",$F237=""),"",MAX(0,$D237-$F237))</f>
        <v/>
      </c>
      <c r="J237" s="28" t="str">
        <f aca="false">IF(OR($A237="",$I237=""),"",$I237*IFERROR(INDEX(Supplies!$F$5:$F$104,MATCH($B237,Supplies!$A$5:$A$104,0)),0))</f>
        <v/>
      </c>
    </row>
    <row r="238" customFormat="false" ht="15" hidden="false" customHeight="false" outlineLevel="0" collapsed="false">
      <c r="A238" s="23"/>
      <c r="B238" s="23"/>
      <c r="C238" s="27" t="str">
        <f aca="false">IF($B238="","",IFERROR(INDEX(Supplies!$B$5:$B$104,MATCH($B238,Supplies!$A$5:$A$104,0)),"?"))</f>
        <v/>
      </c>
      <c r="D238" s="32"/>
      <c r="E238" s="32"/>
      <c r="F238" s="32"/>
      <c r="G238" s="22"/>
      <c r="H238" s="27" t="str">
        <f aca="false">IF($A238="","",IF($F238="","Count it",IF($F238&lt;=$E238,"REORDER","OK")))</f>
        <v/>
      </c>
      <c r="I238" s="31" t="str">
        <f aca="false">IF(OR($A238="",$F238=""),"",MAX(0,$D238-$F238))</f>
        <v/>
      </c>
      <c r="J238" s="28" t="str">
        <f aca="false">IF(OR($A238="",$I238=""),"",$I238*IFERROR(INDEX(Supplies!$F$5:$F$104,MATCH($B238,Supplies!$A$5:$A$104,0)),0))</f>
        <v/>
      </c>
    </row>
    <row r="239" customFormat="false" ht="15" hidden="false" customHeight="false" outlineLevel="0" collapsed="false">
      <c r="A239" s="23"/>
      <c r="B239" s="23"/>
      <c r="C239" s="27" t="str">
        <f aca="false">IF($B239="","",IFERROR(INDEX(Supplies!$B$5:$B$104,MATCH($B239,Supplies!$A$5:$A$104,0)),"?"))</f>
        <v/>
      </c>
      <c r="D239" s="32"/>
      <c r="E239" s="32"/>
      <c r="F239" s="32"/>
      <c r="G239" s="22"/>
      <c r="H239" s="27" t="str">
        <f aca="false">IF($A239="","",IF($F239="","Count it",IF($F239&lt;=$E239,"REORDER","OK")))</f>
        <v/>
      </c>
      <c r="I239" s="31" t="str">
        <f aca="false">IF(OR($A239="",$F239=""),"",MAX(0,$D239-$F239))</f>
        <v/>
      </c>
      <c r="J239" s="28" t="str">
        <f aca="false">IF(OR($A239="",$I239=""),"",$I239*IFERROR(INDEX(Supplies!$F$5:$F$104,MATCH($B239,Supplies!$A$5:$A$104,0)),0))</f>
        <v/>
      </c>
    </row>
    <row r="240" customFormat="false" ht="15" hidden="false" customHeight="false" outlineLevel="0" collapsed="false">
      <c r="A240" s="23"/>
      <c r="B240" s="23"/>
      <c r="C240" s="27" t="str">
        <f aca="false">IF($B240="","",IFERROR(INDEX(Supplies!$B$5:$B$104,MATCH($B240,Supplies!$A$5:$A$104,0)),"?"))</f>
        <v/>
      </c>
      <c r="D240" s="32"/>
      <c r="E240" s="32"/>
      <c r="F240" s="32"/>
      <c r="G240" s="22"/>
      <c r="H240" s="27" t="str">
        <f aca="false">IF($A240="","",IF($F240="","Count it",IF($F240&lt;=$E240,"REORDER","OK")))</f>
        <v/>
      </c>
      <c r="I240" s="31" t="str">
        <f aca="false">IF(OR($A240="",$F240=""),"",MAX(0,$D240-$F240))</f>
        <v/>
      </c>
      <c r="J240" s="28" t="str">
        <f aca="false">IF(OR($A240="",$I240=""),"",$I240*IFERROR(INDEX(Supplies!$F$5:$F$104,MATCH($B240,Supplies!$A$5:$A$104,0)),0))</f>
        <v/>
      </c>
    </row>
    <row r="241" customFormat="false" ht="15" hidden="false" customHeight="false" outlineLevel="0" collapsed="false">
      <c r="A241" s="23"/>
      <c r="B241" s="23"/>
      <c r="C241" s="27" t="str">
        <f aca="false">IF($B241="","",IFERROR(INDEX(Supplies!$B$5:$B$104,MATCH($B241,Supplies!$A$5:$A$104,0)),"?"))</f>
        <v/>
      </c>
      <c r="D241" s="32"/>
      <c r="E241" s="32"/>
      <c r="F241" s="32"/>
      <c r="G241" s="22"/>
      <c r="H241" s="27" t="str">
        <f aca="false">IF($A241="","",IF($F241="","Count it",IF($F241&lt;=$E241,"REORDER","OK")))</f>
        <v/>
      </c>
      <c r="I241" s="31" t="str">
        <f aca="false">IF(OR($A241="",$F241=""),"",MAX(0,$D241-$F241))</f>
        <v/>
      </c>
      <c r="J241" s="28" t="str">
        <f aca="false">IF(OR($A241="",$I241=""),"",$I241*IFERROR(INDEX(Supplies!$F$5:$F$104,MATCH($B241,Supplies!$A$5:$A$104,0)),0))</f>
        <v/>
      </c>
    </row>
    <row r="242" customFormat="false" ht="15" hidden="false" customHeight="false" outlineLevel="0" collapsed="false">
      <c r="A242" s="23"/>
      <c r="B242" s="23"/>
      <c r="C242" s="27" t="str">
        <f aca="false">IF($B242="","",IFERROR(INDEX(Supplies!$B$5:$B$104,MATCH($B242,Supplies!$A$5:$A$104,0)),"?"))</f>
        <v/>
      </c>
      <c r="D242" s="32"/>
      <c r="E242" s="32"/>
      <c r="F242" s="32"/>
      <c r="G242" s="22"/>
      <c r="H242" s="27" t="str">
        <f aca="false">IF($A242="","",IF($F242="","Count it",IF($F242&lt;=$E242,"REORDER","OK")))</f>
        <v/>
      </c>
      <c r="I242" s="31" t="str">
        <f aca="false">IF(OR($A242="",$F242=""),"",MAX(0,$D242-$F242))</f>
        <v/>
      </c>
      <c r="J242" s="28" t="str">
        <f aca="false">IF(OR($A242="",$I242=""),"",$I242*IFERROR(INDEX(Supplies!$F$5:$F$104,MATCH($B242,Supplies!$A$5:$A$104,0)),0))</f>
        <v/>
      </c>
    </row>
    <row r="243" customFormat="false" ht="15" hidden="false" customHeight="false" outlineLevel="0" collapsed="false">
      <c r="A243" s="23"/>
      <c r="B243" s="23"/>
      <c r="C243" s="27" t="str">
        <f aca="false">IF($B243="","",IFERROR(INDEX(Supplies!$B$5:$B$104,MATCH($B243,Supplies!$A$5:$A$104,0)),"?"))</f>
        <v/>
      </c>
      <c r="D243" s="32"/>
      <c r="E243" s="32"/>
      <c r="F243" s="32"/>
      <c r="G243" s="22"/>
      <c r="H243" s="27" t="str">
        <f aca="false">IF($A243="","",IF($F243="","Count it",IF($F243&lt;=$E243,"REORDER","OK")))</f>
        <v/>
      </c>
      <c r="I243" s="31" t="str">
        <f aca="false">IF(OR($A243="",$F243=""),"",MAX(0,$D243-$F243))</f>
        <v/>
      </c>
      <c r="J243" s="28" t="str">
        <f aca="false">IF(OR($A243="",$I243=""),"",$I243*IFERROR(INDEX(Supplies!$F$5:$F$104,MATCH($B243,Supplies!$A$5:$A$104,0)),0))</f>
        <v/>
      </c>
    </row>
    <row r="244" customFormat="false" ht="15" hidden="false" customHeight="false" outlineLevel="0" collapsed="false">
      <c r="A244" s="23"/>
      <c r="B244" s="23"/>
      <c r="C244" s="27" t="str">
        <f aca="false">IF($B244="","",IFERROR(INDEX(Supplies!$B$5:$B$104,MATCH($B244,Supplies!$A$5:$A$104,0)),"?"))</f>
        <v/>
      </c>
      <c r="D244" s="32"/>
      <c r="E244" s="32"/>
      <c r="F244" s="32"/>
      <c r="G244" s="22"/>
      <c r="H244" s="27" t="str">
        <f aca="false">IF($A244="","",IF($F244="","Count it",IF($F244&lt;=$E244,"REORDER","OK")))</f>
        <v/>
      </c>
      <c r="I244" s="31" t="str">
        <f aca="false">IF(OR($A244="",$F244=""),"",MAX(0,$D244-$F244))</f>
        <v/>
      </c>
      <c r="J244" s="28" t="str">
        <f aca="false">IF(OR($A244="",$I244=""),"",$I244*IFERROR(INDEX(Supplies!$F$5:$F$104,MATCH($B244,Supplies!$A$5:$A$104,0)),0))</f>
        <v/>
      </c>
    </row>
    <row r="245" customFormat="false" ht="15" hidden="false" customHeight="false" outlineLevel="0" collapsed="false">
      <c r="A245" s="23"/>
      <c r="B245" s="23"/>
      <c r="C245" s="27" t="str">
        <f aca="false">IF($B245="","",IFERROR(INDEX(Supplies!$B$5:$B$104,MATCH($B245,Supplies!$A$5:$A$104,0)),"?"))</f>
        <v/>
      </c>
      <c r="D245" s="32"/>
      <c r="E245" s="32"/>
      <c r="F245" s="32"/>
      <c r="G245" s="22"/>
      <c r="H245" s="27" t="str">
        <f aca="false">IF($A245="","",IF($F245="","Count it",IF($F245&lt;=$E245,"REORDER","OK")))</f>
        <v/>
      </c>
      <c r="I245" s="31" t="str">
        <f aca="false">IF(OR($A245="",$F245=""),"",MAX(0,$D245-$F245))</f>
        <v/>
      </c>
      <c r="J245" s="28" t="str">
        <f aca="false">IF(OR($A245="",$I245=""),"",$I245*IFERROR(INDEX(Supplies!$F$5:$F$104,MATCH($B245,Supplies!$A$5:$A$104,0)),0))</f>
        <v/>
      </c>
    </row>
    <row r="246" customFormat="false" ht="15" hidden="false" customHeight="false" outlineLevel="0" collapsed="false">
      <c r="A246" s="23"/>
      <c r="B246" s="23"/>
      <c r="C246" s="27" t="str">
        <f aca="false">IF($B246="","",IFERROR(INDEX(Supplies!$B$5:$B$104,MATCH($B246,Supplies!$A$5:$A$104,0)),"?"))</f>
        <v/>
      </c>
      <c r="D246" s="32"/>
      <c r="E246" s="32"/>
      <c r="F246" s="32"/>
      <c r="G246" s="22"/>
      <c r="H246" s="27" t="str">
        <f aca="false">IF($A246="","",IF($F246="","Count it",IF($F246&lt;=$E246,"REORDER","OK")))</f>
        <v/>
      </c>
      <c r="I246" s="31" t="str">
        <f aca="false">IF(OR($A246="",$F246=""),"",MAX(0,$D246-$F246))</f>
        <v/>
      </c>
      <c r="J246" s="28" t="str">
        <f aca="false">IF(OR($A246="",$I246=""),"",$I246*IFERROR(INDEX(Supplies!$F$5:$F$104,MATCH($B246,Supplies!$A$5:$A$104,0)),0))</f>
        <v/>
      </c>
    </row>
    <row r="247" customFormat="false" ht="15" hidden="false" customHeight="false" outlineLevel="0" collapsed="false">
      <c r="A247" s="23"/>
      <c r="B247" s="23"/>
      <c r="C247" s="27" t="str">
        <f aca="false">IF($B247="","",IFERROR(INDEX(Supplies!$B$5:$B$104,MATCH($B247,Supplies!$A$5:$A$104,0)),"?"))</f>
        <v/>
      </c>
      <c r="D247" s="32"/>
      <c r="E247" s="32"/>
      <c r="F247" s="32"/>
      <c r="G247" s="22"/>
      <c r="H247" s="27" t="str">
        <f aca="false">IF($A247="","",IF($F247="","Count it",IF($F247&lt;=$E247,"REORDER","OK")))</f>
        <v/>
      </c>
      <c r="I247" s="31" t="str">
        <f aca="false">IF(OR($A247="",$F247=""),"",MAX(0,$D247-$F247))</f>
        <v/>
      </c>
      <c r="J247" s="28" t="str">
        <f aca="false">IF(OR($A247="",$I247=""),"",$I247*IFERROR(INDEX(Supplies!$F$5:$F$104,MATCH($B247,Supplies!$A$5:$A$104,0)),0))</f>
        <v/>
      </c>
    </row>
    <row r="248" customFormat="false" ht="15" hidden="false" customHeight="false" outlineLevel="0" collapsed="false">
      <c r="A248" s="23"/>
      <c r="B248" s="23"/>
      <c r="C248" s="27" t="str">
        <f aca="false">IF($B248="","",IFERROR(INDEX(Supplies!$B$5:$B$104,MATCH($B248,Supplies!$A$5:$A$104,0)),"?"))</f>
        <v/>
      </c>
      <c r="D248" s="32"/>
      <c r="E248" s="32"/>
      <c r="F248" s="32"/>
      <c r="G248" s="22"/>
      <c r="H248" s="27" t="str">
        <f aca="false">IF($A248="","",IF($F248="","Count it",IF($F248&lt;=$E248,"REORDER","OK")))</f>
        <v/>
      </c>
      <c r="I248" s="31" t="str">
        <f aca="false">IF(OR($A248="",$F248=""),"",MAX(0,$D248-$F248))</f>
        <v/>
      </c>
      <c r="J248" s="28" t="str">
        <f aca="false">IF(OR($A248="",$I248=""),"",$I248*IFERROR(INDEX(Supplies!$F$5:$F$104,MATCH($B248,Supplies!$A$5:$A$104,0)),0))</f>
        <v/>
      </c>
    </row>
    <row r="249" customFormat="false" ht="15" hidden="false" customHeight="false" outlineLevel="0" collapsed="false">
      <c r="A249" s="23"/>
      <c r="B249" s="23"/>
      <c r="C249" s="27" t="str">
        <f aca="false">IF($B249="","",IFERROR(INDEX(Supplies!$B$5:$B$104,MATCH($B249,Supplies!$A$5:$A$104,0)),"?"))</f>
        <v/>
      </c>
      <c r="D249" s="32"/>
      <c r="E249" s="32"/>
      <c r="F249" s="32"/>
      <c r="G249" s="22"/>
      <c r="H249" s="27" t="str">
        <f aca="false">IF($A249="","",IF($F249="","Count it",IF($F249&lt;=$E249,"REORDER","OK")))</f>
        <v/>
      </c>
      <c r="I249" s="31" t="str">
        <f aca="false">IF(OR($A249="",$F249=""),"",MAX(0,$D249-$F249))</f>
        <v/>
      </c>
      <c r="J249" s="28" t="str">
        <f aca="false">IF(OR($A249="",$I249=""),"",$I249*IFERROR(INDEX(Supplies!$F$5:$F$104,MATCH($B249,Supplies!$A$5:$A$104,0)),0))</f>
        <v/>
      </c>
    </row>
    <row r="250" customFormat="false" ht="15" hidden="false" customHeight="false" outlineLevel="0" collapsed="false">
      <c r="A250" s="23"/>
      <c r="B250" s="23"/>
      <c r="C250" s="27" t="str">
        <f aca="false">IF($B250="","",IFERROR(INDEX(Supplies!$B$5:$B$104,MATCH($B250,Supplies!$A$5:$A$104,0)),"?"))</f>
        <v/>
      </c>
      <c r="D250" s="32"/>
      <c r="E250" s="32"/>
      <c r="F250" s="32"/>
      <c r="G250" s="22"/>
      <c r="H250" s="27" t="str">
        <f aca="false">IF($A250="","",IF($F250="","Count it",IF($F250&lt;=$E250,"REORDER","OK")))</f>
        <v/>
      </c>
      <c r="I250" s="31" t="str">
        <f aca="false">IF(OR($A250="",$F250=""),"",MAX(0,$D250-$F250))</f>
        <v/>
      </c>
      <c r="J250" s="28" t="str">
        <f aca="false">IF(OR($A250="",$I250=""),"",$I250*IFERROR(INDEX(Supplies!$F$5:$F$104,MATCH($B250,Supplies!$A$5:$A$104,0)),0))</f>
        <v/>
      </c>
    </row>
    <row r="251" customFormat="false" ht="15" hidden="false" customHeight="false" outlineLevel="0" collapsed="false">
      <c r="A251" s="23"/>
      <c r="B251" s="23"/>
      <c r="C251" s="27" t="str">
        <f aca="false">IF($B251="","",IFERROR(INDEX(Supplies!$B$5:$B$104,MATCH($B251,Supplies!$A$5:$A$104,0)),"?"))</f>
        <v/>
      </c>
      <c r="D251" s="32"/>
      <c r="E251" s="32"/>
      <c r="F251" s="32"/>
      <c r="G251" s="22"/>
      <c r="H251" s="27" t="str">
        <f aca="false">IF($A251="","",IF($F251="","Count it",IF($F251&lt;=$E251,"REORDER","OK")))</f>
        <v/>
      </c>
      <c r="I251" s="31" t="str">
        <f aca="false">IF(OR($A251="",$F251=""),"",MAX(0,$D251-$F251))</f>
        <v/>
      </c>
      <c r="J251" s="28" t="str">
        <f aca="false">IF(OR($A251="",$I251=""),"",$I251*IFERROR(INDEX(Supplies!$F$5:$F$104,MATCH($B251,Supplies!$A$5:$A$104,0)),0))</f>
        <v/>
      </c>
    </row>
    <row r="252" customFormat="false" ht="15" hidden="false" customHeight="false" outlineLevel="0" collapsed="false">
      <c r="A252" s="23"/>
      <c r="B252" s="23"/>
      <c r="C252" s="27" t="str">
        <f aca="false">IF($B252="","",IFERROR(INDEX(Supplies!$B$5:$B$104,MATCH($B252,Supplies!$A$5:$A$104,0)),"?"))</f>
        <v/>
      </c>
      <c r="D252" s="32"/>
      <c r="E252" s="32"/>
      <c r="F252" s="32"/>
      <c r="G252" s="22"/>
      <c r="H252" s="27" t="str">
        <f aca="false">IF($A252="","",IF($F252="","Count it",IF($F252&lt;=$E252,"REORDER","OK")))</f>
        <v/>
      </c>
      <c r="I252" s="31" t="str">
        <f aca="false">IF(OR($A252="",$F252=""),"",MAX(0,$D252-$F252))</f>
        <v/>
      </c>
      <c r="J252" s="28" t="str">
        <f aca="false">IF(OR($A252="",$I252=""),"",$I252*IFERROR(INDEX(Supplies!$F$5:$F$104,MATCH($B252,Supplies!$A$5:$A$104,0)),0))</f>
        <v/>
      </c>
    </row>
    <row r="253" customFormat="false" ht="15" hidden="false" customHeight="false" outlineLevel="0" collapsed="false">
      <c r="A253" s="23"/>
      <c r="B253" s="23"/>
      <c r="C253" s="27" t="str">
        <f aca="false">IF($B253="","",IFERROR(INDEX(Supplies!$B$5:$B$104,MATCH($B253,Supplies!$A$5:$A$104,0)),"?"))</f>
        <v/>
      </c>
      <c r="D253" s="32"/>
      <c r="E253" s="32"/>
      <c r="F253" s="32"/>
      <c r="G253" s="22"/>
      <c r="H253" s="27" t="str">
        <f aca="false">IF($A253="","",IF($F253="","Count it",IF($F253&lt;=$E253,"REORDER","OK")))</f>
        <v/>
      </c>
      <c r="I253" s="31" t="str">
        <f aca="false">IF(OR($A253="",$F253=""),"",MAX(0,$D253-$F253))</f>
        <v/>
      </c>
      <c r="J253" s="28" t="str">
        <f aca="false">IF(OR($A253="",$I253=""),"",$I253*IFERROR(INDEX(Supplies!$F$5:$F$104,MATCH($B253,Supplies!$A$5:$A$104,0)),0))</f>
        <v/>
      </c>
    </row>
    <row r="254" customFormat="false" ht="15" hidden="false" customHeight="false" outlineLevel="0" collapsed="false">
      <c r="A254" s="23"/>
      <c r="B254" s="23"/>
      <c r="C254" s="27" t="str">
        <f aca="false">IF($B254="","",IFERROR(INDEX(Supplies!$B$5:$B$104,MATCH($B254,Supplies!$A$5:$A$104,0)),"?"))</f>
        <v/>
      </c>
      <c r="D254" s="32"/>
      <c r="E254" s="32"/>
      <c r="F254" s="32"/>
      <c r="G254" s="22"/>
      <c r="H254" s="27" t="str">
        <f aca="false">IF($A254="","",IF($F254="","Count it",IF($F254&lt;=$E254,"REORDER","OK")))</f>
        <v/>
      </c>
      <c r="I254" s="31" t="str">
        <f aca="false">IF(OR($A254="",$F254=""),"",MAX(0,$D254-$F254))</f>
        <v/>
      </c>
      <c r="J254" s="28" t="str">
        <f aca="false">IF(OR($A254="",$I254=""),"",$I254*IFERROR(INDEX(Supplies!$F$5:$F$104,MATCH($B254,Supplies!$A$5:$A$104,0)),0))</f>
        <v/>
      </c>
    </row>
    <row r="255" customFormat="false" ht="15" hidden="false" customHeight="false" outlineLevel="0" collapsed="false">
      <c r="A255" s="23"/>
      <c r="B255" s="23"/>
      <c r="C255" s="27" t="str">
        <f aca="false">IF($B255="","",IFERROR(INDEX(Supplies!$B$5:$B$104,MATCH($B255,Supplies!$A$5:$A$104,0)),"?"))</f>
        <v/>
      </c>
      <c r="D255" s="32"/>
      <c r="E255" s="32"/>
      <c r="F255" s="32"/>
      <c r="G255" s="22"/>
      <c r="H255" s="27" t="str">
        <f aca="false">IF($A255="","",IF($F255="","Count it",IF($F255&lt;=$E255,"REORDER","OK")))</f>
        <v/>
      </c>
      <c r="I255" s="31" t="str">
        <f aca="false">IF(OR($A255="",$F255=""),"",MAX(0,$D255-$F255))</f>
        <v/>
      </c>
      <c r="J255" s="28" t="str">
        <f aca="false">IF(OR($A255="",$I255=""),"",$I255*IFERROR(INDEX(Supplies!$F$5:$F$104,MATCH($B255,Supplies!$A$5:$A$104,0)),0))</f>
        <v/>
      </c>
    </row>
    <row r="256" customFormat="false" ht="15" hidden="false" customHeight="false" outlineLevel="0" collapsed="false">
      <c r="A256" s="23"/>
      <c r="B256" s="23"/>
      <c r="C256" s="27" t="str">
        <f aca="false">IF($B256="","",IFERROR(INDEX(Supplies!$B$5:$B$104,MATCH($B256,Supplies!$A$5:$A$104,0)),"?"))</f>
        <v/>
      </c>
      <c r="D256" s="32"/>
      <c r="E256" s="32"/>
      <c r="F256" s="32"/>
      <c r="G256" s="22"/>
      <c r="H256" s="27" t="str">
        <f aca="false">IF($A256="","",IF($F256="","Count it",IF($F256&lt;=$E256,"REORDER","OK")))</f>
        <v/>
      </c>
      <c r="I256" s="31" t="str">
        <f aca="false">IF(OR($A256="",$F256=""),"",MAX(0,$D256-$F256))</f>
        <v/>
      </c>
      <c r="J256" s="28" t="str">
        <f aca="false">IF(OR($A256="",$I256=""),"",$I256*IFERROR(INDEX(Supplies!$F$5:$F$104,MATCH($B256,Supplies!$A$5:$A$104,0)),0))</f>
        <v/>
      </c>
    </row>
    <row r="257" customFormat="false" ht="15" hidden="false" customHeight="false" outlineLevel="0" collapsed="false">
      <c r="A257" s="23"/>
      <c r="B257" s="23"/>
      <c r="C257" s="27" t="str">
        <f aca="false">IF($B257="","",IFERROR(INDEX(Supplies!$B$5:$B$104,MATCH($B257,Supplies!$A$5:$A$104,0)),"?"))</f>
        <v/>
      </c>
      <c r="D257" s="32"/>
      <c r="E257" s="32"/>
      <c r="F257" s="32"/>
      <c r="G257" s="22"/>
      <c r="H257" s="27" t="str">
        <f aca="false">IF($A257="","",IF($F257="","Count it",IF($F257&lt;=$E257,"REORDER","OK")))</f>
        <v/>
      </c>
      <c r="I257" s="31" t="str">
        <f aca="false">IF(OR($A257="",$F257=""),"",MAX(0,$D257-$F257))</f>
        <v/>
      </c>
      <c r="J257" s="28" t="str">
        <f aca="false">IF(OR($A257="",$I257=""),"",$I257*IFERROR(INDEX(Supplies!$F$5:$F$104,MATCH($B257,Supplies!$A$5:$A$104,0)),0))</f>
        <v/>
      </c>
    </row>
    <row r="258" customFormat="false" ht="15" hidden="false" customHeight="false" outlineLevel="0" collapsed="false">
      <c r="A258" s="23"/>
      <c r="B258" s="23"/>
      <c r="C258" s="27" t="str">
        <f aca="false">IF($B258="","",IFERROR(INDEX(Supplies!$B$5:$B$104,MATCH($B258,Supplies!$A$5:$A$104,0)),"?"))</f>
        <v/>
      </c>
      <c r="D258" s="32"/>
      <c r="E258" s="32"/>
      <c r="F258" s="32"/>
      <c r="G258" s="22"/>
      <c r="H258" s="27" t="str">
        <f aca="false">IF($A258="","",IF($F258="","Count it",IF($F258&lt;=$E258,"REORDER","OK")))</f>
        <v/>
      </c>
      <c r="I258" s="31" t="str">
        <f aca="false">IF(OR($A258="",$F258=""),"",MAX(0,$D258-$F258))</f>
        <v/>
      </c>
      <c r="J258" s="28" t="str">
        <f aca="false">IF(OR($A258="",$I258=""),"",$I258*IFERROR(INDEX(Supplies!$F$5:$F$104,MATCH($B258,Supplies!$A$5:$A$104,0)),0))</f>
        <v/>
      </c>
    </row>
    <row r="259" customFormat="false" ht="15" hidden="false" customHeight="false" outlineLevel="0" collapsed="false">
      <c r="A259" s="23"/>
      <c r="B259" s="23"/>
      <c r="C259" s="27" t="str">
        <f aca="false">IF($B259="","",IFERROR(INDEX(Supplies!$B$5:$B$104,MATCH($B259,Supplies!$A$5:$A$104,0)),"?"))</f>
        <v/>
      </c>
      <c r="D259" s="32"/>
      <c r="E259" s="32"/>
      <c r="F259" s="32"/>
      <c r="G259" s="22"/>
      <c r="H259" s="27" t="str">
        <f aca="false">IF($A259="","",IF($F259="","Count it",IF($F259&lt;=$E259,"REORDER","OK")))</f>
        <v/>
      </c>
      <c r="I259" s="31" t="str">
        <f aca="false">IF(OR($A259="",$F259=""),"",MAX(0,$D259-$F259))</f>
        <v/>
      </c>
      <c r="J259" s="28" t="str">
        <f aca="false">IF(OR($A259="",$I259=""),"",$I259*IFERROR(INDEX(Supplies!$F$5:$F$104,MATCH($B259,Supplies!$A$5:$A$104,0)),0))</f>
        <v/>
      </c>
    </row>
    <row r="260" customFormat="false" ht="15" hidden="false" customHeight="false" outlineLevel="0" collapsed="false">
      <c r="A260" s="23"/>
      <c r="B260" s="23"/>
      <c r="C260" s="27" t="str">
        <f aca="false">IF($B260="","",IFERROR(INDEX(Supplies!$B$5:$B$104,MATCH($B260,Supplies!$A$5:$A$104,0)),"?"))</f>
        <v/>
      </c>
      <c r="D260" s="32"/>
      <c r="E260" s="32"/>
      <c r="F260" s="32"/>
      <c r="G260" s="22"/>
      <c r="H260" s="27" t="str">
        <f aca="false">IF($A260="","",IF($F260="","Count it",IF($F260&lt;=$E260,"REORDER","OK")))</f>
        <v/>
      </c>
      <c r="I260" s="31" t="str">
        <f aca="false">IF(OR($A260="",$F260=""),"",MAX(0,$D260-$F260))</f>
        <v/>
      </c>
      <c r="J260" s="28" t="str">
        <f aca="false">IF(OR($A260="",$I260=""),"",$I260*IFERROR(INDEX(Supplies!$F$5:$F$104,MATCH($B260,Supplies!$A$5:$A$104,0)),0))</f>
        <v/>
      </c>
    </row>
    <row r="261" customFormat="false" ht="15" hidden="false" customHeight="false" outlineLevel="0" collapsed="false">
      <c r="A261" s="23"/>
      <c r="B261" s="23"/>
      <c r="C261" s="27" t="str">
        <f aca="false">IF($B261="","",IFERROR(INDEX(Supplies!$B$5:$B$104,MATCH($B261,Supplies!$A$5:$A$104,0)),"?"))</f>
        <v/>
      </c>
      <c r="D261" s="32"/>
      <c r="E261" s="32"/>
      <c r="F261" s="32"/>
      <c r="G261" s="22"/>
      <c r="H261" s="27" t="str">
        <f aca="false">IF($A261="","",IF($F261="","Count it",IF($F261&lt;=$E261,"REORDER","OK")))</f>
        <v/>
      </c>
      <c r="I261" s="31" t="str">
        <f aca="false">IF(OR($A261="",$F261=""),"",MAX(0,$D261-$F261))</f>
        <v/>
      </c>
      <c r="J261" s="28" t="str">
        <f aca="false">IF(OR($A261="",$I261=""),"",$I261*IFERROR(INDEX(Supplies!$F$5:$F$104,MATCH($B261,Supplies!$A$5:$A$104,0)),0))</f>
        <v/>
      </c>
    </row>
    <row r="262" customFormat="false" ht="15" hidden="false" customHeight="false" outlineLevel="0" collapsed="false">
      <c r="A262" s="23"/>
      <c r="B262" s="23"/>
      <c r="C262" s="27" t="str">
        <f aca="false">IF($B262="","",IFERROR(INDEX(Supplies!$B$5:$B$104,MATCH($B262,Supplies!$A$5:$A$104,0)),"?"))</f>
        <v/>
      </c>
      <c r="D262" s="32"/>
      <c r="E262" s="32"/>
      <c r="F262" s="32"/>
      <c r="G262" s="22"/>
      <c r="H262" s="27" t="str">
        <f aca="false">IF($A262="","",IF($F262="","Count it",IF($F262&lt;=$E262,"REORDER","OK")))</f>
        <v/>
      </c>
      <c r="I262" s="31" t="str">
        <f aca="false">IF(OR($A262="",$F262=""),"",MAX(0,$D262-$F262))</f>
        <v/>
      </c>
      <c r="J262" s="28" t="str">
        <f aca="false">IF(OR($A262="",$I262=""),"",$I262*IFERROR(INDEX(Supplies!$F$5:$F$104,MATCH($B262,Supplies!$A$5:$A$104,0)),0))</f>
        <v/>
      </c>
    </row>
    <row r="263" customFormat="false" ht="15" hidden="false" customHeight="false" outlineLevel="0" collapsed="false">
      <c r="A263" s="23"/>
      <c r="B263" s="23"/>
      <c r="C263" s="27" t="str">
        <f aca="false">IF($B263="","",IFERROR(INDEX(Supplies!$B$5:$B$104,MATCH($B263,Supplies!$A$5:$A$104,0)),"?"))</f>
        <v/>
      </c>
      <c r="D263" s="32"/>
      <c r="E263" s="32"/>
      <c r="F263" s="32"/>
      <c r="G263" s="22"/>
      <c r="H263" s="27" t="str">
        <f aca="false">IF($A263="","",IF($F263="","Count it",IF($F263&lt;=$E263,"REORDER","OK")))</f>
        <v/>
      </c>
      <c r="I263" s="31" t="str">
        <f aca="false">IF(OR($A263="",$F263=""),"",MAX(0,$D263-$F263))</f>
        <v/>
      </c>
      <c r="J263" s="28" t="str">
        <f aca="false">IF(OR($A263="",$I263=""),"",$I263*IFERROR(INDEX(Supplies!$F$5:$F$104,MATCH($B263,Supplies!$A$5:$A$104,0)),0))</f>
        <v/>
      </c>
    </row>
    <row r="264" customFormat="false" ht="15" hidden="false" customHeight="false" outlineLevel="0" collapsed="false">
      <c r="A264" s="23"/>
      <c r="B264" s="23"/>
      <c r="C264" s="27" t="str">
        <f aca="false">IF($B264="","",IFERROR(INDEX(Supplies!$B$5:$B$104,MATCH($B264,Supplies!$A$5:$A$104,0)),"?"))</f>
        <v/>
      </c>
      <c r="D264" s="32"/>
      <c r="E264" s="32"/>
      <c r="F264" s="32"/>
      <c r="G264" s="22"/>
      <c r="H264" s="27" t="str">
        <f aca="false">IF($A264="","",IF($F264="","Count it",IF($F264&lt;=$E264,"REORDER","OK")))</f>
        <v/>
      </c>
      <c r="I264" s="31" t="str">
        <f aca="false">IF(OR($A264="",$F264=""),"",MAX(0,$D264-$F264))</f>
        <v/>
      </c>
      <c r="J264" s="28" t="str">
        <f aca="false">IF(OR($A264="",$I264=""),"",$I264*IFERROR(INDEX(Supplies!$F$5:$F$104,MATCH($B264,Supplies!$A$5:$A$104,0)),0))</f>
        <v/>
      </c>
    </row>
    <row r="265" customFormat="false" ht="15" hidden="false" customHeight="false" outlineLevel="0" collapsed="false">
      <c r="A265" s="23"/>
      <c r="B265" s="23"/>
      <c r="C265" s="27" t="str">
        <f aca="false">IF($B265="","",IFERROR(INDEX(Supplies!$B$5:$B$104,MATCH($B265,Supplies!$A$5:$A$104,0)),"?"))</f>
        <v/>
      </c>
      <c r="D265" s="32"/>
      <c r="E265" s="32"/>
      <c r="F265" s="32"/>
      <c r="G265" s="22"/>
      <c r="H265" s="27" t="str">
        <f aca="false">IF($A265="","",IF($F265="","Count it",IF($F265&lt;=$E265,"REORDER","OK")))</f>
        <v/>
      </c>
      <c r="I265" s="31" t="str">
        <f aca="false">IF(OR($A265="",$F265=""),"",MAX(0,$D265-$F265))</f>
        <v/>
      </c>
      <c r="J265" s="28" t="str">
        <f aca="false">IF(OR($A265="",$I265=""),"",$I265*IFERROR(INDEX(Supplies!$F$5:$F$104,MATCH($B265,Supplies!$A$5:$A$104,0)),0))</f>
        <v/>
      </c>
    </row>
    <row r="266" customFormat="false" ht="15" hidden="false" customHeight="false" outlineLevel="0" collapsed="false">
      <c r="A266" s="23"/>
      <c r="B266" s="23"/>
      <c r="C266" s="27" t="str">
        <f aca="false">IF($B266="","",IFERROR(INDEX(Supplies!$B$5:$B$104,MATCH($B266,Supplies!$A$5:$A$104,0)),"?"))</f>
        <v/>
      </c>
      <c r="D266" s="32"/>
      <c r="E266" s="32"/>
      <c r="F266" s="32"/>
      <c r="G266" s="22"/>
      <c r="H266" s="27" t="str">
        <f aca="false">IF($A266="","",IF($F266="","Count it",IF($F266&lt;=$E266,"REORDER","OK")))</f>
        <v/>
      </c>
      <c r="I266" s="31" t="str">
        <f aca="false">IF(OR($A266="",$F266=""),"",MAX(0,$D266-$F266))</f>
        <v/>
      </c>
      <c r="J266" s="28" t="str">
        <f aca="false">IF(OR($A266="",$I266=""),"",$I266*IFERROR(INDEX(Supplies!$F$5:$F$104,MATCH($B266,Supplies!$A$5:$A$104,0)),0))</f>
        <v/>
      </c>
    </row>
    <row r="267" customFormat="false" ht="15" hidden="false" customHeight="false" outlineLevel="0" collapsed="false">
      <c r="A267" s="23"/>
      <c r="B267" s="23"/>
      <c r="C267" s="27" t="str">
        <f aca="false">IF($B267="","",IFERROR(INDEX(Supplies!$B$5:$B$104,MATCH($B267,Supplies!$A$5:$A$104,0)),"?"))</f>
        <v/>
      </c>
      <c r="D267" s="32"/>
      <c r="E267" s="32"/>
      <c r="F267" s="32"/>
      <c r="G267" s="22"/>
      <c r="H267" s="27" t="str">
        <f aca="false">IF($A267="","",IF($F267="","Count it",IF($F267&lt;=$E267,"REORDER","OK")))</f>
        <v/>
      </c>
      <c r="I267" s="31" t="str">
        <f aca="false">IF(OR($A267="",$F267=""),"",MAX(0,$D267-$F267))</f>
        <v/>
      </c>
      <c r="J267" s="28" t="str">
        <f aca="false">IF(OR($A267="",$I267=""),"",$I267*IFERROR(INDEX(Supplies!$F$5:$F$104,MATCH($B267,Supplies!$A$5:$A$104,0)),0))</f>
        <v/>
      </c>
    </row>
    <row r="268" customFormat="false" ht="15" hidden="false" customHeight="false" outlineLevel="0" collapsed="false">
      <c r="A268" s="23"/>
      <c r="B268" s="23"/>
      <c r="C268" s="27" t="str">
        <f aca="false">IF($B268="","",IFERROR(INDEX(Supplies!$B$5:$B$104,MATCH($B268,Supplies!$A$5:$A$104,0)),"?"))</f>
        <v/>
      </c>
      <c r="D268" s="32"/>
      <c r="E268" s="32"/>
      <c r="F268" s="32"/>
      <c r="G268" s="22"/>
      <c r="H268" s="27" t="str">
        <f aca="false">IF($A268="","",IF($F268="","Count it",IF($F268&lt;=$E268,"REORDER","OK")))</f>
        <v/>
      </c>
      <c r="I268" s="31" t="str">
        <f aca="false">IF(OR($A268="",$F268=""),"",MAX(0,$D268-$F268))</f>
        <v/>
      </c>
      <c r="J268" s="28" t="str">
        <f aca="false">IF(OR($A268="",$I268=""),"",$I268*IFERROR(INDEX(Supplies!$F$5:$F$104,MATCH($B268,Supplies!$A$5:$A$104,0)),0))</f>
        <v/>
      </c>
    </row>
    <row r="269" customFormat="false" ht="15" hidden="false" customHeight="false" outlineLevel="0" collapsed="false">
      <c r="A269" s="23"/>
      <c r="B269" s="23"/>
      <c r="C269" s="27" t="str">
        <f aca="false">IF($B269="","",IFERROR(INDEX(Supplies!$B$5:$B$104,MATCH($B269,Supplies!$A$5:$A$104,0)),"?"))</f>
        <v/>
      </c>
      <c r="D269" s="32"/>
      <c r="E269" s="32"/>
      <c r="F269" s="32"/>
      <c r="G269" s="22"/>
      <c r="H269" s="27" t="str">
        <f aca="false">IF($A269="","",IF($F269="","Count it",IF($F269&lt;=$E269,"REORDER","OK")))</f>
        <v/>
      </c>
      <c r="I269" s="31" t="str">
        <f aca="false">IF(OR($A269="",$F269=""),"",MAX(0,$D269-$F269))</f>
        <v/>
      </c>
      <c r="J269" s="28" t="str">
        <f aca="false">IF(OR($A269="",$I269=""),"",$I269*IFERROR(INDEX(Supplies!$F$5:$F$104,MATCH($B269,Supplies!$A$5:$A$104,0)),0))</f>
        <v/>
      </c>
    </row>
    <row r="270" customFormat="false" ht="15" hidden="false" customHeight="false" outlineLevel="0" collapsed="false">
      <c r="A270" s="23"/>
      <c r="B270" s="23"/>
      <c r="C270" s="27" t="str">
        <f aca="false">IF($B270="","",IFERROR(INDEX(Supplies!$B$5:$B$104,MATCH($B270,Supplies!$A$5:$A$104,0)),"?"))</f>
        <v/>
      </c>
      <c r="D270" s="32"/>
      <c r="E270" s="32"/>
      <c r="F270" s="32"/>
      <c r="G270" s="22"/>
      <c r="H270" s="27" t="str">
        <f aca="false">IF($A270="","",IF($F270="","Count it",IF($F270&lt;=$E270,"REORDER","OK")))</f>
        <v/>
      </c>
      <c r="I270" s="31" t="str">
        <f aca="false">IF(OR($A270="",$F270=""),"",MAX(0,$D270-$F270))</f>
        <v/>
      </c>
      <c r="J270" s="28" t="str">
        <f aca="false">IF(OR($A270="",$I270=""),"",$I270*IFERROR(INDEX(Supplies!$F$5:$F$104,MATCH($B270,Supplies!$A$5:$A$104,0)),0))</f>
        <v/>
      </c>
    </row>
    <row r="271" customFormat="false" ht="15" hidden="false" customHeight="false" outlineLevel="0" collapsed="false">
      <c r="A271" s="23"/>
      <c r="B271" s="23"/>
      <c r="C271" s="27" t="str">
        <f aca="false">IF($B271="","",IFERROR(INDEX(Supplies!$B$5:$B$104,MATCH($B271,Supplies!$A$5:$A$104,0)),"?"))</f>
        <v/>
      </c>
      <c r="D271" s="32"/>
      <c r="E271" s="32"/>
      <c r="F271" s="32"/>
      <c r="G271" s="22"/>
      <c r="H271" s="27" t="str">
        <f aca="false">IF($A271="","",IF($F271="","Count it",IF($F271&lt;=$E271,"REORDER","OK")))</f>
        <v/>
      </c>
      <c r="I271" s="31" t="str">
        <f aca="false">IF(OR($A271="",$F271=""),"",MAX(0,$D271-$F271))</f>
        <v/>
      </c>
      <c r="J271" s="28" t="str">
        <f aca="false">IF(OR($A271="",$I271=""),"",$I271*IFERROR(INDEX(Supplies!$F$5:$F$104,MATCH($B271,Supplies!$A$5:$A$104,0)),0))</f>
        <v/>
      </c>
    </row>
    <row r="272" customFormat="false" ht="15" hidden="false" customHeight="false" outlineLevel="0" collapsed="false">
      <c r="A272" s="23"/>
      <c r="B272" s="23"/>
      <c r="C272" s="27" t="str">
        <f aca="false">IF($B272="","",IFERROR(INDEX(Supplies!$B$5:$B$104,MATCH($B272,Supplies!$A$5:$A$104,0)),"?"))</f>
        <v/>
      </c>
      <c r="D272" s="32"/>
      <c r="E272" s="32"/>
      <c r="F272" s="32"/>
      <c r="G272" s="22"/>
      <c r="H272" s="27" t="str">
        <f aca="false">IF($A272="","",IF($F272="","Count it",IF($F272&lt;=$E272,"REORDER","OK")))</f>
        <v/>
      </c>
      <c r="I272" s="31" t="str">
        <f aca="false">IF(OR($A272="",$F272=""),"",MAX(0,$D272-$F272))</f>
        <v/>
      </c>
      <c r="J272" s="28" t="str">
        <f aca="false">IF(OR($A272="",$I272=""),"",$I272*IFERROR(INDEX(Supplies!$F$5:$F$104,MATCH($B272,Supplies!$A$5:$A$104,0)),0))</f>
        <v/>
      </c>
    </row>
    <row r="273" customFormat="false" ht="15" hidden="false" customHeight="false" outlineLevel="0" collapsed="false">
      <c r="A273" s="23"/>
      <c r="B273" s="23"/>
      <c r="C273" s="27" t="str">
        <f aca="false">IF($B273="","",IFERROR(INDEX(Supplies!$B$5:$B$104,MATCH($B273,Supplies!$A$5:$A$104,0)),"?"))</f>
        <v/>
      </c>
      <c r="D273" s="32"/>
      <c r="E273" s="32"/>
      <c r="F273" s="32"/>
      <c r="G273" s="22"/>
      <c r="H273" s="27" t="str">
        <f aca="false">IF($A273="","",IF($F273="","Count it",IF($F273&lt;=$E273,"REORDER","OK")))</f>
        <v/>
      </c>
      <c r="I273" s="31" t="str">
        <f aca="false">IF(OR($A273="",$F273=""),"",MAX(0,$D273-$F273))</f>
        <v/>
      </c>
      <c r="J273" s="28" t="str">
        <f aca="false">IF(OR($A273="",$I273=""),"",$I273*IFERROR(INDEX(Supplies!$F$5:$F$104,MATCH($B273,Supplies!$A$5:$A$104,0)),0))</f>
        <v/>
      </c>
    </row>
    <row r="274" customFormat="false" ht="15" hidden="false" customHeight="false" outlineLevel="0" collapsed="false">
      <c r="A274" s="23"/>
      <c r="B274" s="23"/>
      <c r="C274" s="27" t="str">
        <f aca="false">IF($B274="","",IFERROR(INDEX(Supplies!$B$5:$B$104,MATCH($B274,Supplies!$A$5:$A$104,0)),"?"))</f>
        <v/>
      </c>
      <c r="D274" s="32"/>
      <c r="E274" s="32"/>
      <c r="F274" s="32"/>
      <c r="G274" s="22"/>
      <c r="H274" s="27" t="str">
        <f aca="false">IF($A274="","",IF($F274="","Count it",IF($F274&lt;=$E274,"REORDER","OK")))</f>
        <v/>
      </c>
      <c r="I274" s="31" t="str">
        <f aca="false">IF(OR($A274="",$F274=""),"",MAX(0,$D274-$F274))</f>
        <v/>
      </c>
      <c r="J274" s="28" t="str">
        <f aca="false">IF(OR($A274="",$I274=""),"",$I274*IFERROR(INDEX(Supplies!$F$5:$F$104,MATCH($B274,Supplies!$A$5:$A$104,0)),0))</f>
        <v/>
      </c>
    </row>
    <row r="275" customFormat="false" ht="15" hidden="false" customHeight="false" outlineLevel="0" collapsed="false">
      <c r="A275" s="23"/>
      <c r="B275" s="23"/>
      <c r="C275" s="27" t="str">
        <f aca="false">IF($B275="","",IFERROR(INDEX(Supplies!$B$5:$B$104,MATCH($B275,Supplies!$A$5:$A$104,0)),"?"))</f>
        <v/>
      </c>
      <c r="D275" s="32"/>
      <c r="E275" s="32"/>
      <c r="F275" s="32"/>
      <c r="G275" s="22"/>
      <c r="H275" s="27" t="str">
        <f aca="false">IF($A275="","",IF($F275="","Count it",IF($F275&lt;=$E275,"REORDER","OK")))</f>
        <v/>
      </c>
      <c r="I275" s="31" t="str">
        <f aca="false">IF(OR($A275="",$F275=""),"",MAX(0,$D275-$F275))</f>
        <v/>
      </c>
      <c r="J275" s="28" t="str">
        <f aca="false">IF(OR($A275="",$I275=""),"",$I275*IFERROR(INDEX(Supplies!$F$5:$F$104,MATCH($B275,Supplies!$A$5:$A$104,0)),0))</f>
        <v/>
      </c>
    </row>
    <row r="276" customFormat="false" ht="15" hidden="false" customHeight="false" outlineLevel="0" collapsed="false">
      <c r="A276" s="23"/>
      <c r="B276" s="23"/>
      <c r="C276" s="27" t="str">
        <f aca="false">IF($B276="","",IFERROR(INDEX(Supplies!$B$5:$B$104,MATCH($B276,Supplies!$A$5:$A$104,0)),"?"))</f>
        <v/>
      </c>
      <c r="D276" s="32"/>
      <c r="E276" s="32"/>
      <c r="F276" s="32"/>
      <c r="G276" s="22"/>
      <c r="H276" s="27" t="str">
        <f aca="false">IF($A276="","",IF($F276="","Count it",IF($F276&lt;=$E276,"REORDER","OK")))</f>
        <v/>
      </c>
      <c r="I276" s="31" t="str">
        <f aca="false">IF(OR($A276="",$F276=""),"",MAX(0,$D276-$F276))</f>
        <v/>
      </c>
      <c r="J276" s="28" t="str">
        <f aca="false">IF(OR($A276="",$I276=""),"",$I276*IFERROR(INDEX(Supplies!$F$5:$F$104,MATCH($B276,Supplies!$A$5:$A$104,0)),0))</f>
        <v/>
      </c>
    </row>
    <row r="277" customFormat="false" ht="15" hidden="false" customHeight="false" outlineLevel="0" collapsed="false">
      <c r="A277" s="23"/>
      <c r="B277" s="23"/>
      <c r="C277" s="27" t="str">
        <f aca="false">IF($B277="","",IFERROR(INDEX(Supplies!$B$5:$B$104,MATCH($B277,Supplies!$A$5:$A$104,0)),"?"))</f>
        <v/>
      </c>
      <c r="D277" s="32"/>
      <c r="E277" s="32"/>
      <c r="F277" s="32"/>
      <c r="G277" s="22"/>
      <c r="H277" s="27" t="str">
        <f aca="false">IF($A277="","",IF($F277="","Count it",IF($F277&lt;=$E277,"REORDER","OK")))</f>
        <v/>
      </c>
      <c r="I277" s="31" t="str">
        <f aca="false">IF(OR($A277="",$F277=""),"",MAX(0,$D277-$F277))</f>
        <v/>
      </c>
      <c r="J277" s="28" t="str">
        <f aca="false">IF(OR($A277="",$I277=""),"",$I277*IFERROR(INDEX(Supplies!$F$5:$F$104,MATCH($B277,Supplies!$A$5:$A$104,0)),0))</f>
        <v/>
      </c>
    </row>
    <row r="278" customFormat="false" ht="15" hidden="false" customHeight="false" outlineLevel="0" collapsed="false">
      <c r="A278" s="23"/>
      <c r="B278" s="23"/>
      <c r="C278" s="27" t="str">
        <f aca="false">IF($B278="","",IFERROR(INDEX(Supplies!$B$5:$B$104,MATCH($B278,Supplies!$A$5:$A$104,0)),"?"))</f>
        <v/>
      </c>
      <c r="D278" s="32"/>
      <c r="E278" s="32"/>
      <c r="F278" s="32"/>
      <c r="G278" s="22"/>
      <c r="H278" s="27" t="str">
        <f aca="false">IF($A278="","",IF($F278="","Count it",IF($F278&lt;=$E278,"REORDER","OK")))</f>
        <v/>
      </c>
      <c r="I278" s="31" t="str">
        <f aca="false">IF(OR($A278="",$F278=""),"",MAX(0,$D278-$F278))</f>
        <v/>
      </c>
      <c r="J278" s="28" t="str">
        <f aca="false">IF(OR($A278="",$I278=""),"",$I278*IFERROR(INDEX(Supplies!$F$5:$F$104,MATCH($B278,Supplies!$A$5:$A$104,0)),0))</f>
        <v/>
      </c>
    </row>
    <row r="279" customFormat="false" ht="15" hidden="false" customHeight="false" outlineLevel="0" collapsed="false">
      <c r="A279" s="23"/>
      <c r="B279" s="23"/>
      <c r="C279" s="27" t="str">
        <f aca="false">IF($B279="","",IFERROR(INDEX(Supplies!$B$5:$B$104,MATCH($B279,Supplies!$A$5:$A$104,0)),"?"))</f>
        <v/>
      </c>
      <c r="D279" s="32"/>
      <c r="E279" s="32"/>
      <c r="F279" s="32"/>
      <c r="G279" s="22"/>
      <c r="H279" s="27" t="str">
        <f aca="false">IF($A279="","",IF($F279="","Count it",IF($F279&lt;=$E279,"REORDER","OK")))</f>
        <v/>
      </c>
      <c r="I279" s="31" t="str">
        <f aca="false">IF(OR($A279="",$F279=""),"",MAX(0,$D279-$F279))</f>
        <v/>
      </c>
      <c r="J279" s="28" t="str">
        <f aca="false">IF(OR($A279="",$I279=""),"",$I279*IFERROR(INDEX(Supplies!$F$5:$F$104,MATCH($B279,Supplies!$A$5:$A$104,0)),0))</f>
        <v/>
      </c>
    </row>
    <row r="280" customFormat="false" ht="15" hidden="false" customHeight="false" outlineLevel="0" collapsed="false">
      <c r="A280" s="23"/>
      <c r="B280" s="23"/>
      <c r="C280" s="27" t="str">
        <f aca="false">IF($B280="","",IFERROR(INDEX(Supplies!$B$5:$B$104,MATCH($B280,Supplies!$A$5:$A$104,0)),"?"))</f>
        <v/>
      </c>
      <c r="D280" s="32"/>
      <c r="E280" s="32"/>
      <c r="F280" s="32"/>
      <c r="G280" s="22"/>
      <c r="H280" s="27" t="str">
        <f aca="false">IF($A280="","",IF($F280="","Count it",IF($F280&lt;=$E280,"REORDER","OK")))</f>
        <v/>
      </c>
      <c r="I280" s="31" t="str">
        <f aca="false">IF(OR($A280="",$F280=""),"",MAX(0,$D280-$F280))</f>
        <v/>
      </c>
      <c r="J280" s="28" t="str">
        <f aca="false">IF(OR($A280="",$I280=""),"",$I280*IFERROR(INDEX(Supplies!$F$5:$F$104,MATCH($B280,Supplies!$A$5:$A$104,0)),0))</f>
        <v/>
      </c>
    </row>
    <row r="281" customFormat="false" ht="15" hidden="false" customHeight="false" outlineLevel="0" collapsed="false">
      <c r="A281" s="23"/>
      <c r="B281" s="23"/>
      <c r="C281" s="27" t="str">
        <f aca="false">IF($B281="","",IFERROR(INDEX(Supplies!$B$5:$B$104,MATCH($B281,Supplies!$A$5:$A$104,0)),"?"))</f>
        <v/>
      </c>
      <c r="D281" s="32"/>
      <c r="E281" s="32"/>
      <c r="F281" s="32"/>
      <c r="G281" s="22"/>
      <c r="H281" s="27" t="str">
        <f aca="false">IF($A281="","",IF($F281="","Count it",IF($F281&lt;=$E281,"REORDER","OK")))</f>
        <v/>
      </c>
      <c r="I281" s="31" t="str">
        <f aca="false">IF(OR($A281="",$F281=""),"",MAX(0,$D281-$F281))</f>
        <v/>
      </c>
      <c r="J281" s="28" t="str">
        <f aca="false">IF(OR($A281="",$I281=""),"",$I281*IFERROR(INDEX(Supplies!$F$5:$F$104,MATCH($B281,Supplies!$A$5:$A$104,0)),0))</f>
        <v/>
      </c>
    </row>
    <row r="282" customFormat="false" ht="15" hidden="false" customHeight="false" outlineLevel="0" collapsed="false">
      <c r="A282" s="23"/>
      <c r="B282" s="23"/>
      <c r="C282" s="27" t="str">
        <f aca="false">IF($B282="","",IFERROR(INDEX(Supplies!$B$5:$B$104,MATCH($B282,Supplies!$A$5:$A$104,0)),"?"))</f>
        <v/>
      </c>
      <c r="D282" s="32"/>
      <c r="E282" s="32"/>
      <c r="F282" s="32"/>
      <c r="G282" s="22"/>
      <c r="H282" s="27" t="str">
        <f aca="false">IF($A282="","",IF($F282="","Count it",IF($F282&lt;=$E282,"REORDER","OK")))</f>
        <v/>
      </c>
      <c r="I282" s="31" t="str">
        <f aca="false">IF(OR($A282="",$F282=""),"",MAX(0,$D282-$F282))</f>
        <v/>
      </c>
      <c r="J282" s="28" t="str">
        <f aca="false">IF(OR($A282="",$I282=""),"",$I282*IFERROR(INDEX(Supplies!$F$5:$F$104,MATCH($B282,Supplies!$A$5:$A$104,0)),0))</f>
        <v/>
      </c>
    </row>
    <row r="283" customFormat="false" ht="15" hidden="false" customHeight="false" outlineLevel="0" collapsed="false">
      <c r="A283" s="23"/>
      <c r="B283" s="23"/>
      <c r="C283" s="27" t="str">
        <f aca="false">IF($B283="","",IFERROR(INDEX(Supplies!$B$5:$B$104,MATCH($B283,Supplies!$A$5:$A$104,0)),"?"))</f>
        <v/>
      </c>
      <c r="D283" s="32"/>
      <c r="E283" s="32"/>
      <c r="F283" s="32"/>
      <c r="G283" s="22"/>
      <c r="H283" s="27" t="str">
        <f aca="false">IF($A283="","",IF($F283="","Count it",IF($F283&lt;=$E283,"REORDER","OK")))</f>
        <v/>
      </c>
      <c r="I283" s="31" t="str">
        <f aca="false">IF(OR($A283="",$F283=""),"",MAX(0,$D283-$F283))</f>
        <v/>
      </c>
      <c r="J283" s="28" t="str">
        <f aca="false">IF(OR($A283="",$I283=""),"",$I283*IFERROR(INDEX(Supplies!$F$5:$F$104,MATCH($B283,Supplies!$A$5:$A$104,0)),0))</f>
        <v/>
      </c>
    </row>
    <row r="284" customFormat="false" ht="15" hidden="false" customHeight="false" outlineLevel="0" collapsed="false">
      <c r="A284" s="23"/>
      <c r="B284" s="23"/>
      <c r="C284" s="27" t="str">
        <f aca="false">IF($B284="","",IFERROR(INDEX(Supplies!$B$5:$B$104,MATCH($B284,Supplies!$A$5:$A$104,0)),"?"))</f>
        <v/>
      </c>
      <c r="D284" s="32"/>
      <c r="E284" s="32"/>
      <c r="F284" s="32"/>
      <c r="G284" s="22"/>
      <c r="H284" s="27" t="str">
        <f aca="false">IF($A284="","",IF($F284="","Count it",IF($F284&lt;=$E284,"REORDER","OK")))</f>
        <v/>
      </c>
      <c r="I284" s="31" t="str">
        <f aca="false">IF(OR($A284="",$F284=""),"",MAX(0,$D284-$F284))</f>
        <v/>
      </c>
      <c r="J284" s="28" t="str">
        <f aca="false">IF(OR($A284="",$I284=""),"",$I284*IFERROR(INDEX(Supplies!$F$5:$F$104,MATCH($B284,Supplies!$A$5:$A$104,0)),0))</f>
        <v/>
      </c>
    </row>
    <row r="285" customFormat="false" ht="15" hidden="false" customHeight="false" outlineLevel="0" collapsed="false">
      <c r="A285" s="23"/>
      <c r="B285" s="23"/>
      <c r="C285" s="27" t="str">
        <f aca="false">IF($B285="","",IFERROR(INDEX(Supplies!$B$5:$B$104,MATCH($B285,Supplies!$A$5:$A$104,0)),"?"))</f>
        <v/>
      </c>
      <c r="D285" s="32"/>
      <c r="E285" s="32"/>
      <c r="F285" s="32"/>
      <c r="G285" s="22"/>
      <c r="H285" s="27" t="str">
        <f aca="false">IF($A285="","",IF($F285="","Count it",IF($F285&lt;=$E285,"REORDER","OK")))</f>
        <v/>
      </c>
      <c r="I285" s="31" t="str">
        <f aca="false">IF(OR($A285="",$F285=""),"",MAX(0,$D285-$F285))</f>
        <v/>
      </c>
      <c r="J285" s="28" t="str">
        <f aca="false">IF(OR($A285="",$I285=""),"",$I285*IFERROR(INDEX(Supplies!$F$5:$F$104,MATCH($B285,Supplies!$A$5:$A$104,0)),0))</f>
        <v/>
      </c>
    </row>
    <row r="286" customFormat="false" ht="15" hidden="false" customHeight="false" outlineLevel="0" collapsed="false">
      <c r="A286" s="23"/>
      <c r="B286" s="23"/>
      <c r="C286" s="27" t="str">
        <f aca="false">IF($B286="","",IFERROR(INDEX(Supplies!$B$5:$B$104,MATCH($B286,Supplies!$A$5:$A$104,0)),"?"))</f>
        <v/>
      </c>
      <c r="D286" s="32"/>
      <c r="E286" s="32"/>
      <c r="F286" s="32"/>
      <c r="G286" s="22"/>
      <c r="H286" s="27" t="str">
        <f aca="false">IF($A286="","",IF($F286="","Count it",IF($F286&lt;=$E286,"REORDER","OK")))</f>
        <v/>
      </c>
      <c r="I286" s="31" t="str">
        <f aca="false">IF(OR($A286="",$F286=""),"",MAX(0,$D286-$F286))</f>
        <v/>
      </c>
      <c r="J286" s="28" t="str">
        <f aca="false">IF(OR($A286="",$I286=""),"",$I286*IFERROR(INDEX(Supplies!$F$5:$F$104,MATCH($B286,Supplies!$A$5:$A$104,0)),0))</f>
        <v/>
      </c>
    </row>
    <row r="287" customFormat="false" ht="15" hidden="false" customHeight="false" outlineLevel="0" collapsed="false">
      <c r="A287" s="23"/>
      <c r="B287" s="23"/>
      <c r="C287" s="27" t="str">
        <f aca="false">IF($B287="","",IFERROR(INDEX(Supplies!$B$5:$B$104,MATCH($B287,Supplies!$A$5:$A$104,0)),"?"))</f>
        <v/>
      </c>
      <c r="D287" s="32"/>
      <c r="E287" s="32"/>
      <c r="F287" s="32"/>
      <c r="G287" s="22"/>
      <c r="H287" s="27" t="str">
        <f aca="false">IF($A287="","",IF($F287="","Count it",IF($F287&lt;=$E287,"REORDER","OK")))</f>
        <v/>
      </c>
      <c r="I287" s="31" t="str">
        <f aca="false">IF(OR($A287="",$F287=""),"",MAX(0,$D287-$F287))</f>
        <v/>
      </c>
      <c r="J287" s="28" t="str">
        <f aca="false">IF(OR($A287="",$I287=""),"",$I287*IFERROR(INDEX(Supplies!$F$5:$F$104,MATCH($B287,Supplies!$A$5:$A$104,0)),0))</f>
        <v/>
      </c>
    </row>
    <row r="288" customFormat="false" ht="15" hidden="false" customHeight="false" outlineLevel="0" collapsed="false">
      <c r="A288" s="23"/>
      <c r="B288" s="23"/>
      <c r="C288" s="27" t="str">
        <f aca="false">IF($B288="","",IFERROR(INDEX(Supplies!$B$5:$B$104,MATCH($B288,Supplies!$A$5:$A$104,0)),"?"))</f>
        <v/>
      </c>
      <c r="D288" s="32"/>
      <c r="E288" s="32"/>
      <c r="F288" s="32"/>
      <c r="G288" s="22"/>
      <c r="H288" s="27" t="str">
        <f aca="false">IF($A288="","",IF($F288="","Count it",IF($F288&lt;=$E288,"REORDER","OK")))</f>
        <v/>
      </c>
      <c r="I288" s="31" t="str">
        <f aca="false">IF(OR($A288="",$F288=""),"",MAX(0,$D288-$F288))</f>
        <v/>
      </c>
      <c r="J288" s="28" t="str">
        <f aca="false">IF(OR($A288="",$I288=""),"",$I288*IFERROR(INDEX(Supplies!$F$5:$F$104,MATCH($B288,Supplies!$A$5:$A$104,0)),0))</f>
        <v/>
      </c>
    </row>
    <row r="289" customFormat="false" ht="15" hidden="false" customHeight="false" outlineLevel="0" collapsed="false">
      <c r="A289" s="23"/>
      <c r="B289" s="23"/>
      <c r="C289" s="27" t="str">
        <f aca="false">IF($B289="","",IFERROR(INDEX(Supplies!$B$5:$B$104,MATCH($B289,Supplies!$A$5:$A$104,0)),"?"))</f>
        <v/>
      </c>
      <c r="D289" s="32"/>
      <c r="E289" s="32"/>
      <c r="F289" s="32"/>
      <c r="G289" s="22"/>
      <c r="H289" s="27" t="str">
        <f aca="false">IF($A289="","",IF($F289="","Count it",IF($F289&lt;=$E289,"REORDER","OK")))</f>
        <v/>
      </c>
      <c r="I289" s="31" t="str">
        <f aca="false">IF(OR($A289="",$F289=""),"",MAX(0,$D289-$F289))</f>
        <v/>
      </c>
      <c r="J289" s="28" t="str">
        <f aca="false">IF(OR($A289="",$I289=""),"",$I289*IFERROR(INDEX(Supplies!$F$5:$F$104,MATCH($B289,Supplies!$A$5:$A$104,0)),0))</f>
        <v/>
      </c>
    </row>
    <row r="290" customFormat="false" ht="15" hidden="false" customHeight="false" outlineLevel="0" collapsed="false">
      <c r="A290" s="23"/>
      <c r="B290" s="23"/>
      <c r="C290" s="27" t="str">
        <f aca="false">IF($B290="","",IFERROR(INDEX(Supplies!$B$5:$B$104,MATCH($B290,Supplies!$A$5:$A$104,0)),"?"))</f>
        <v/>
      </c>
      <c r="D290" s="32"/>
      <c r="E290" s="32"/>
      <c r="F290" s="32"/>
      <c r="G290" s="22"/>
      <c r="H290" s="27" t="str">
        <f aca="false">IF($A290="","",IF($F290="","Count it",IF($F290&lt;=$E290,"REORDER","OK")))</f>
        <v/>
      </c>
      <c r="I290" s="31" t="str">
        <f aca="false">IF(OR($A290="",$F290=""),"",MAX(0,$D290-$F290))</f>
        <v/>
      </c>
      <c r="J290" s="28" t="str">
        <f aca="false">IF(OR($A290="",$I290=""),"",$I290*IFERROR(INDEX(Supplies!$F$5:$F$104,MATCH($B290,Supplies!$A$5:$A$104,0)),0))</f>
        <v/>
      </c>
    </row>
    <row r="291" customFormat="false" ht="15" hidden="false" customHeight="false" outlineLevel="0" collapsed="false">
      <c r="A291" s="23"/>
      <c r="B291" s="23"/>
      <c r="C291" s="27" t="str">
        <f aca="false">IF($B291="","",IFERROR(INDEX(Supplies!$B$5:$B$104,MATCH($B291,Supplies!$A$5:$A$104,0)),"?"))</f>
        <v/>
      </c>
      <c r="D291" s="32"/>
      <c r="E291" s="32"/>
      <c r="F291" s="32"/>
      <c r="G291" s="22"/>
      <c r="H291" s="27" t="str">
        <f aca="false">IF($A291="","",IF($F291="","Count it",IF($F291&lt;=$E291,"REORDER","OK")))</f>
        <v/>
      </c>
      <c r="I291" s="31" t="str">
        <f aca="false">IF(OR($A291="",$F291=""),"",MAX(0,$D291-$F291))</f>
        <v/>
      </c>
      <c r="J291" s="28" t="str">
        <f aca="false">IF(OR($A291="",$I291=""),"",$I291*IFERROR(INDEX(Supplies!$F$5:$F$104,MATCH($B291,Supplies!$A$5:$A$104,0)),0))</f>
        <v/>
      </c>
    </row>
    <row r="292" customFormat="false" ht="15" hidden="false" customHeight="false" outlineLevel="0" collapsed="false">
      <c r="A292" s="23"/>
      <c r="B292" s="23"/>
      <c r="C292" s="27" t="str">
        <f aca="false">IF($B292="","",IFERROR(INDEX(Supplies!$B$5:$B$104,MATCH($B292,Supplies!$A$5:$A$104,0)),"?"))</f>
        <v/>
      </c>
      <c r="D292" s="32"/>
      <c r="E292" s="32"/>
      <c r="F292" s="32"/>
      <c r="G292" s="22"/>
      <c r="H292" s="27" t="str">
        <f aca="false">IF($A292="","",IF($F292="","Count it",IF($F292&lt;=$E292,"REORDER","OK")))</f>
        <v/>
      </c>
      <c r="I292" s="31" t="str">
        <f aca="false">IF(OR($A292="",$F292=""),"",MAX(0,$D292-$F292))</f>
        <v/>
      </c>
      <c r="J292" s="28" t="str">
        <f aca="false">IF(OR($A292="",$I292=""),"",$I292*IFERROR(INDEX(Supplies!$F$5:$F$104,MATCH($B292,Supplies!$A$5:$A$104,0)),0))</f>
        <v/>
      </c>
    </row>
    <row r="293" customFormat="false" ht="15" hidden="false" customHeight="false" outlineLevel="0" collapsed="false">
      <c r="A293" s="23"/>
      <c r="B293" s="23"/>
      <c r="C293" s="27" t="str">
        <f aca="false">IF($B293="","",IFERROR(INDEX(Supplies!$B$5:$B$104,MATCH($B293,Supplies!$A$5:$A$104,0)),"?"))</f>
        <v/>
      </c>
      <c r="D293" s="32"/>
      <c r="E293" s="32"/>
      <c r="F293" s="32"/>
      <c r="G293" s="22"/>
      <c r="H293" s="27" t="str">
        <f aca="false">IF($A293="","",IF($F293="","Count it",IF($F293&lt;=$E293,"REORDER","OK")))</f>
        <v/>
      </c>
      <c r="I293" s="31" t="str">
        <f aca="false">IF(OR($A293="",$F293=""),"",MAX(0,$D293-$F293))</f>
        <v/>
      </c>
      <c r="J293" s="28" t="str">
        <f aca="false">IF(OR($A293="",$I293=""),"",$I293*IFERROR(INDEX(Supplies!$F$5:$F$104,MATCH($B293,Supplies!$A$5:$A$104,0)),0))</f>
        <v/>
      </c>
    </row>
    <row r="294" customFormat="false" ht="15" hidden="false" customHeight="false" outlineLevel="0" collapsed="false">
      <c r="A294" s="23"/>
      <c r="B294" s="23"/>
      <c r="C294" s="27" t="str">
        <f aca="false">IF($B294="","",IFERROR(INDEX(Supplies!$B$5:$B$104,MATCH($B294,Supplies!$A$5:$A$104,0)),"?"))</f>
        <v/>
      </c>
      <c r="D294" s="32"/>
      <c r="E294" s="32"/>
      <c r="F294" s="32"/>
      <c r="G294" s="22"/>
      <c r="H294" s="27" t="str">
        <f aca="false">IF($A294="","",IF($F294="","Count it",IF($F294&lt;=$E294,"REORDER","OK")))</f>
        <v/>
      </c>
      <c r="I294" s="31" t="str">
        <f aca="false">IF(OR($A294="",$F294=""),"",MAX(0,$D294-$F294))</f>
        <v/>
      </c>
      <c r="J294" s="28" t="str">
        <f aca="false">IF(OR($A294="",$I294=""),"",$I294*IFERROR(INDEX(Supplies!$F$5:$F$104,MATCH($B294,Supplies!$A$5:$A$104,0)),0))</f>
        <v/>
      </c>
    </row>
    <row r="295" customFormat="false" ht="15" hidden="false" customHeight="false" outlineLevel="0" collapsed="false">
      <c r="A295" s="23"/>
      <c r="B295" s="23"/>
      <c r="C295" s="27" t="str">
        <f aca="false">IF($B295="","",IFERROR(INDEX(Supplies!$B$5:$B$104,MATCH($B295,Supplies!$A$5:$A$104,0)),"?"))</f>
        <v/>
      </c>
      <c r="D295" s="32"/>
      <c r="E295" s="32"/>
      <c r="F295" s="32"/>
      <c r="G295" s="22"/>
      <c r="H295" s="27" t="str">
        <f aca="false">IF($A295="","",IF($F295="","Count it",IF($F295&lt;=$E295,"REORDER","OK")))</f>
        <v/>
      </c>
      <c r="I295" s="31" t="str">
        <f aca="false">IF(OR($A295="",$F295=""),"",MAX(0,$D295-$F295))</f>
        <v/>
      </c>
      <c r="J295" s="28" t="str">
        <f aca="false">IF(OR($A295="",$I295=""),"",$I295*IFERROR(INDEX(Supplies!$F$5:$F$104,MATCH($B295,Supplies!$A$5:$A$104,0)),0))</f>
        <v/>
      </c>
    </row>
    <row r="296" customFormat="false" ht="15" hidden="false" customHeight="false" outlineLevel="0" collapsed="false">
      <c r="A296" s="23"/>
      <c r="B296" s="23"/>
      <c r="C296" s="27" t="str">
        <f aca="false">IF($B296="","",IFERROR(INDEX(Supplies!$B$5:$B$104,MATCH($B296,Supplies!$A$5:$A$104,0)),"?"))</f>
        <v/>
      </c>
      <c r="D296" s="32"/>
      <c r="E296" s="32"/>
      <c r="F296" s="32"/>
      <c r="G296" s="22"/>
      <c r="H296" s="27" t="str">
        <f aca="false">IF($A296="","",IF($F296="","Count it",IF($F296&lt;=$E296,"REORDER","OK")))</f>
        <v/>
      </c>
      <c r="I296" s="31" t="str">
        <f aca="false">IF(OR($A296="",$F296=""),"",MAX(0,$D296-$F296))</f>
        <v/>
      </c>
      <c r="J296" s="28" t="str">
        <f aca="false">IF(OR($A296="",$I296=""),"",$I296*IFERROR(INDEX(Supplies!$F$5:$F$104,MATCH($B296,Supplies!$A$5:$A$104,0)),0))</f>
        <v/>
      </c>
    </row>
    <row r="297" customFormat="false" ht="15" hidden="false" customHeight="false" outlineLevel="0" collapsed="false">
      <c r="A297" s="23"/>
      <c r="B297" s="23"/>
      <c r="C297" s="27" t="str">
        <f aca="false">IF($B297="","",IFERROR(INDEX(Supplies!$B$5:$B$104,MATCH($B297,Supplies!$A$5:$A$104,0)),"?"))</f>
        <v/>
      </c>
      <c r="D297" s="32"/>
      <c r="E297" s="32"/>
      <c r="F297" s="32"/>
      <c r="G297" s="22"/>
      <c r="H297" s="27" t="str">
        <f aca="false">IF($A297="","",IF($F297="","Count it",IF($F297&lt;=$E297,"REORDER","OK")))</f>
        <v/>
      </c>
      <c r="I297" s="31" t="str">
        <f aca="false">IF(OR($A297="",$F297=""),"",MAX(0,$D297-$F297))</f>
        <v/>
      </c>
      <c r="J297" s="28" t="str">
        <f aca="false">IF(OR($A297="",$I297=""),"",$I297*IFERROR(INDEX(Supplies!$F$5:$F$104,MATCH($B297,Supplies!$A$5:$A$104,0)),0))</f>
        <v/>
      </c>
    </row>
    <row r="298" customFormat="false" ht="15" hidden="false" customHeight="false" outlineLevel="0" collapsed="false">
      <c r="A298" s="23"/>
      <c r="B298" s="23"/>
      <c r="C298" s="27" t="str">
        <f aca="false">IF($B298="","",IFERROR(INDEX(Supplies!$B$5:$B$104,MATCH($B298,Supplies!$A$5:$A$104,0)),"?"))</f>
        <v/>
      </c>
      <c r="D298" s="32"/>
      <c r="E298" s="32"/>
      <c r="F298" s="32"/>
      <c r="G298" s="22"/>
      <c r="H298" s="27" t="str">
        <f aca="false">IF($A298="","",IF($F298="","Count it",IF($F298&lt;=$E298,"REORDER","OK")))</f>
        <v/>
      </c>
      <c r="I298" s="31" t="str">
        <f aca="false">IF(OR($A298="",$F298=""),"",MAX(0,$D298-$F298))</f>
        <v/>
      </c>
      <c r="J298" s="28" t="str">
        <f aca="false">IF(OR($A298="",$I298=""),"",$I298*IFERROR(INDEX(Supplies!$F$5:$F$104,MATCH($B298,Supplies!$A$5:$A$104,0)),0))</f>
        <v/>
      </c>
    </row>
    <row r="299" customFormat="false" ht="15" hidden="false" customHeight="false" outlineLevel="0" collapsed="false">
      <c r="A299" s="23"/>
      <c r="B299" s="23"/>
      <c r="C299" s="27" t="str">
        <f aca="false">IF($B299="","",IFERROR(INDEX(Supplies!$B$5:$B$104,MATCH($B299,Supplies!$A$5:$A$104,0)),"?"))</f>
        <v/>
      </c>
      <c r="D299" s="32"/>
      <c r="E299" s="32"/>
      <c r="F299" s="32"/>
      <c r="G299" s="22"/>
      <c r="H299" s="27" t="str">
        <f aca="false">IF($A299="","",IF($F299="","Count it",IF($F299&lt;=$E299,"REORDER","OK")))</f>
        <v/>
      </c>
      <c r="I299" s="31" t="str">
        <f aca="false">IF(OR($A299="",$F299=""),"",MAX(0,$D299-$F299))</f>
        <v/>
      </c>
      <c r="J299" s="28" t="str">
        <f aca="false">IF(OR($A299="",$I299=""),"",$I299*IFERROR(INDEX(Supplies!$F$5:$F$104,MATCH($B299,Supplies!$A$5:$A$104,0)),0))</f>
        <v/>
      </c>
    </row>
    <row r="300" customFormat="false" ht="15" hidden="false" customHeight="false" outlineLevel="0" collapsed="false">
      <c r="A300" s="23"/>
      <c r="B300" s="23"/>
      <c r="C300" s="27" t="str">
        <f aca="false">IF($B300="","",IFERROR(INDEX(Supplies!$B$5:$B$104,MATCH($B300,Supplies!$A$5:$A$104,0)),"?"))</f>
        <v/>
      </c>
      <c r="D300" s="32"/>
      <c r="E300" s="32"/>
      <c r="F300" s="32"/>
      <c r="G300" s="22"/>
      <c r="H300" s="27" t="str">
        <f aca="false">IF($A300="","",IF($F300="","Count it",IF($F300&lt;=$E300,"REORDER","OK")))</f>
        <v/>
      </c>
      <c r="I300" s="31" t="str">
        <f aca="false">IF(OR($A300="",$F300=""),"",MAX(0,$D300-$F300))</f>
        <v/>
      </c>
      <c r="J300" s="28" t="str">
        <f aca="false">IF(OR($A300="",$I300=""),"",$I300*IFERROR(INDEX(Supplies!$F$5:$F$104,MATCH($B300,Supplies!$A$5:$A$104,0)),0))</f>
        <v/>
      </c>
    </row>
    <row r="301" customFormat="false" ht="15" hidden="false" customHeight="false" outlineLevel="0" collapsed="false">
      <c r="A301" s="23"/>
      <c r="B301" s="23"/>
      <c r="C301" s="27" t="str">
        <f aca="false">IF($B301="","",IFERROR(INDEX(Supplies!$B$5:$B$104,MATCH($B301,Supplies!$A$5:$A$104,0)),"?"))</f>
        <v/>
      </c>
      <c r="D301" s="32"/>
      <c r="E301" s="32"/>
      <c r="F301" s="32"/>
      <c r="G301" s="22"/>
      <c r="H301" s="27" t="str">
        <f aca="false">IF($A301="","",IF($F301="","Count it",IF($F301&lt;=$E301,"REORDER","OK")))</f>
        <v/>
      </c>
      <c r="I301" s="31" t="str">
        <f aca="false">IF(OR($A301="",$F301=""),"",MAX(0,$D301-$F301))</f>
        <v/>
      </c>
      <c r="J301" s="28" t="str">
        <f aca="false">IF(OR($A301="",$I301=""),"",$I301*IFERROR(INDEX(Supplies!$F$5:$F$104,MATCH($B301,Supplies!$A$5:$A$104,0)),0))</f>
        <v/>
      </c>
    </row>
    <row r="302" customFormat="false" ht="15" hidden="false" customHeight="false" outlineLevel="0" collapsed="false">
      <c r="A302" s="23"/>
      <c r="B302" s="23"/>
      <c r="C302" s="27" t="str">
        <f aca="false">IF($B302="","",IFERROR(INDEX(Supplies!$B$5:$B$104,MATCH($B302,Supplies!$A$5:$A$104,0)),"?"))</f>
        <v/>
      </c>
      <c r="D302" s="32"/>
      <c r="E302" s="32"/>
      <c r="F302" s="32"/>
      <c r="G302" s="22"/>
      <c r="H302" s="27" t="str">
        <f aca="false">IF($A302="","",IF($F302="","Count it",IF($F302&lt;=$E302,"REORDER","OK")))</f>
        <v/>
      </c>
      <c r="I302" s="31" t="str">
        <f aca="false">IF(OR($A302="",$F302=""),"",MAX(0,$D302-$F302))</f>
        <v/>
      </c>
      <c r="J302" s="28" t="str">
        <f aca="false">IF(OR($A302="",$I302=""),"",$I302*IFERROR(INDEX(Supplies!$F$5:$F$104,MATCH($B302,Supplies!$A$5:$A$104,0)),0))</f>
        <v/>
      </c>
    </row>
    <row r="303" customFormat="false" ht="15" hidden="false" customHeight="false" outlineLevel="0" collapsed="false">
      <c r="A303" s="23"/>
      <c r="B303" s="23"/>
      <c r="C303" s="27" t="str">
        <f aca="false">IF($B303="","",IFERROR(INDEX(Supplies!$B$5:$B$104,MATCH($B303,Supplies!$A$5:$A$104,0)),"?"))</f>
        <v/>
      </c>
      <c r="D303" s="32"/>
      <c r="E303" s="32"/>
      <c r="F303" s="32"/>
      <c r="G303" s="22"/>
      <c r="H303" s="27" t="str">
        <f aca="false">IF($A303="","",IF($F303="","Count it",IF($F303&lt;=$E303,"REORDER","OK")))</f>
        <v/>
      </c>
      <c r="I303" s="31" t="str">
        <f aca="false">IF(OR($A303="",$F303=""),"",MAX(0,$D303-$F303))</f>
        <v/>
      </c>
      <c r="J303" s="28" t="str">
        <f aca="false">IF(OR($A303="",$I303=""),"",$I303*IFERROR(INDEX(Supplies!$F$5:$F$104,MATCH($B303,Supplies!$A$5:$A$104,0)),0))</f>
        <v/>
      </c>
    </row>
    <row r="304" customFormat="false" ht="15" hidden="false" customHeight="false" outlineLevel="0" collapsed="false">
      <c r="A304" s="23"/>
      <c r="B304" s="23"/>
      <c r="C304" s="27" t="str">
        <f aca="false">IF($B304="","",IFERROR(INDEX(Supplies!$B$5:$B$104,MATCH($B304,Supplies!$A$5:$A$104,0)),"?"))</f>
        <v/>
      </c>
      <c r="D304" s="32"/>
      <c r="E304" s="32"/>
      <c r="F304" s="32"/>
      <c r="G304" s="22"/>
      <c r="H304" s="27" t="str">
        <f aca="false">IF($A304="","",IF($F304="","Count it",IF($F304&lt;=$E304,"REORDER","OK")))</f>
        <v/>
      </c>
      <c r="I304" s="31" t="str">
        <f aca="false">IF(OR($A304="",$F304=""),"",MAX(0,$D304-$F304))</f>
        <v/>
      </c>
      <c r="J304" s="28" t="str">
        <f aca="false">IF(OR($A304="",$I304=""),"",$I304*IFERROR(INDEX(Supplies!$F$5:$F$104,MATCH($B304,Supplies!$A$5:$A$104,0)),0))</f>
        <v/>
      </c>
    </row>
    <row r="305" customFormat="false" ht="15" hidden="false" customHeight="false" outlineLevel="0" collapsed="false">
      <c r="A305" s="23"/>
      <c r="B305" s="23"/>
      <c r="C305" s="27" t="str">
        <f aca="false">IF($B305="","",IFERROR(INDEX(Supplies!$B$5:$B$104,MATCH($B305,Supplies!$A$5:$A$104,0)),"?"))</f>
        <v/>
      </c>
      <c r="D305" s="32"/>
      <c r="E305" s="32"/>
      <c r="F305" s="32"/>
      <c r="G305" s="22"/>
      <c r="H305" s="27" t="str">
        <f aca="false">IF($A305="","",IF($F305="","Count it",IF($F305&lt;=$E305,"REORDER","OK")))</f>
        <v/>
      </c>
      <c r="I305" s="31" t="str">
        <f aca="false">IF(OR($A305="",$F305=""),"",MAX(0,$D305-$F305))</f>
        <v/>
      </c>
      <c r="J305" s="28" t="str">
        <f aca="false">IF(OR($A305="",$I305=""),"",$I305*IFERROR(INDEX(Supplies!$F$5:$F$104,MATCH($B305,Supplies!$A$5:$A$104,0)),0))</f>
        <v/>
      </c>
    </row>
    <row r="306" customFormat="false" ht="15" hidden="false" customHeight="false" outlineLevel="0" collapsed="false">
      <c r="A306" s="23"/>
      <c r="B306" s="23"/>
      <c r="C306" s="27" t="str">
        <f aca="false">IF($B306="","",IFERROR(INDEX(Supplies!$B$5:$B$104,MATCH($B306,Supplies!$A$5:$A$104,0)),"?"))</f>
        <v/>
      </c>
      <c r="D306" s="32"/>
      <c r="E306" s="32"/>
      <c r="F306" s="32"/>
      <c r="G306" s="22"/>
      <c r="H306" s="27" t="str">
        <f aca="false">IF($A306="","",IF($F306="","Count it",IF($F306&lt;=$E306,"REORDER","OK")))</f>
        <v/>
      </c>
      <c r="I306" s="31" t="str">
        <f aca="false">IF(OR($A306="",$F306=""),"",MAX(0,$D306-$F306))</f>
        <v/>
      </c>
      <c r="J306" s="28" t="str">
        <f aca="false">IF(OR($A306="",$I306=""),"",$I306*IFERROR(INDEX(Supplies!$F$5:$F$104,MATCH($B306,Supplies!$A$5:$A$104,0)),0))</f>
        <v/>
      </c>
    </row>
    <row r="307" customFormat="false" ht="15" hidden="false" customHeight="false" outlineLevel="0" collapsed="false">
      <c r="A307" s="23"/>
      <c r="B307" s="23"/>
      <c r="C307" s="27" t="str">
        <f aca="false">IF($B307="","",IFERROR(INDEX(Supplies!$B$5:$B$104,MATCH($B307,Supplies!$A$5:$A$104,0)),"?"))</f>
        <v/>
      </c>
      <c r="D307" s="32"/>
      <c r="E307" s="32"/>
      <c r="F307" s="32"/>
      <c r="G307" s="22"/>
      <c r="H307" s="27" t="str">
        <f aca="false">IF($A307="","",IF($F307="","Count it",IF($F307&lt;=$E307,"REORDER","OK")))</f>
        <v/>
      </c>
      <c r="I307" s="31" t="str">
        <f aca="false">IF(OR($A307="",$F307=""),"",MAX(0,$D307-$F307))</f>
        <v/>
      </c>
      <c r="J307" s="28" t="str">
        <f aca="false">IF(OR($A307="",$I307=""),"",$I307*IFERROR(INDEX(Supplies!$F$5:$F$104,MATCH($B307,Supplies!$A$5:$A$104,0)),0))</f>
        <v/>
      </c>
    </row>
    <row r="308" customFormat="false" ht="15" hidden="false" customHeight="false" outlineLevel="0" collapsed="false">
      <c r="A308" s="23"/>
      <c r="B308" s="23"/>
      <c r="C308" s="27" t="str">
        <f aca="false">IF($B308="","",IFERROR(INDEX(Supplies!$B$5:$B$104,MATCH($B308,Supplies!$A$5:$A$104,0)),"?"))</f>
        <v/>
      </c>
      <c r="D308" s="32"/>
      <c r="E308" s="32"/>
      <c r="F308" s="32"/>
      <c r="G308" s="22"/>
      <c r="H308" s="27" t="str">
        <f aca="false">IF($A308="","",IF($F308="","Count it",IF($F308&lt;=$E308,"REORDER","OK")))</f>
        <v/>
      </c>
      <c r="I308" s="31" t="str">
        <f aca="false">IF(OR($A308="",$F308=""),"",MAX(0,$D308-$F308))</f>
        <v/>
      </c>
      <c r="J308" s="28" t="str">
        <f aca="false">IF(OR($A308="",$I308=""),"",$I308*IFERROR(INDEX(Supplies!$F$5:$F$104,MATCH($B308,Supplies!$A$5:$A$104,0)),0))</f>
        <v/>
      </c>
    </row>
    <row r="309" customFormat="false" ht="15" hidden="false" customHeight="false" outlineLevel="0" collapsed="false">
      <c r="A309" s="23"/>
      <c r="B309" s="23"/>
      <c r="C309" s="27" t="str">
        <f aca="false">IF($B309="","",IFERROR(INDEX(Supplies!$B$5:$B$104,MATCH($B309,Supplies!$A$5:$A$104,0)),"?"))</f>
        <v/>
      </c>
      <c r="D309" s="32"/>
      <c r="E309" s="32"/>
      <c r="F309" s="32"/>
      <c r="G309" s="22"/>
      <c r="H309" s="27" t="str">
        <f aca="false">IF($A309="","",IF($F309="","Count it",IF($F309&lt;=$E309,"REORDER","OK")))</f>
        <v/>
      </c>
      <c r="I309" s="31" t="str">
        <f aca="false">IF(OR($A309="",$F309=""),"",MAX(0,$D309-$F309))</f>
        <v/>
      </c>
      <c r="J309" s="28" t="str">
        <f aca="false">IF(OR($A309="",$I309=""),"",$I309*IFERROR(INDEX(Supplies!$F$5:$F$104,MATCH($B309,Supplies!$A$5:$A$104,0)),0))</f>
        <v/>
      </c>
    </row>
    <row r="310" customFormat="false" ht="15" hidden="false" customHeight="false" outlineLevel="0" collapsed="false">
      <c r="A310" s="23"/>
      <c r="B310" s="23"/>
      <c r="C310" s="27" t="str">
        <f aca="false">IF($B310="","",IFERROR(INDEX(Supplies!$B$5:$B$104,MATCH($B310,Supplies!$A$5:$A$104,0)),"?"))</f>
        <v/>
      </c>
      <c r="D310" s="32"/>
      <c r="E310" s="32"/>
      <c r="F310" s="32"/>
      <c r="G310" s="22"/>
      <c r="H310" s="27" t="str">
        <f aca="false">IF($A310="","",IF($F310="","Count it",IF($F310&lt;=$E310,"REORDER","OK")))</f>
        <v/>
      </c>
      <c r="I310" s="31" t="str">
        <f aca="false">IF(OR($A310="",$F310=""),"",MAX(0,$D310-$F310))</f>
        <v/>
      </c>
      <c r="J310" s="28" t="str">
        <f aca="false">IF(OR($A310="",$I310=""),"",$I310*IFERROR(INDEX(Supplies!$F$5:$F$104,MATCH($B310,Supplies!$A$5:$A$104,0)),0))</f>
        <v/>
      </c>
    </row>
    <row r="311" customFormat="false" ht="15" hidden="false" customHeight="false" outlineLevel="0" collapsed="false">
      <c r="A311" s="23"/>
      <c r="B311" s="23"/>
      <c r="C311" s="27" t="str">
        <f aca="false">IF($B311="","",IFERROR(INDEX(Supplies!$B$5:$B$104,MATCH($B311,Supplies!$A$5:$A$104,0)),"?"))</f>
        <v/>
      </c>
      <c r="D311" s="32"/>
      <c r="E311" s="32"/>
      <c r="F311" s="32"/>
      <c r="G311" s="22"/>
      <c r="H311" s="27" t="str">
        <f aca="false">IF($A311="","",IF($F311="","Count it",IF($F311&lt;=$E311,"REORDER","OK")))</f>
        <v/>
      </c>
      <c r="I311" s="31" t="str">
        <f aca="false">IF(OR($A311="",$F311=""),"",MAX(0,$D311-$F311))</f>
        <v/>
      </c>
      <c r="J311" s="28" t="str">
        <f aca="false">IF(OR($A311="",$I311=""),"",$I311*IFERROR(INDEX(Supplies!$F$5:$F$104,MATCH($B311,Supplies!$A$5:$A$104,0)),0))</f>
        <v/>
      </c>
    </row>
    <row r="312" customFormat="false" ht="15" hidden="false" customHeight="false" outlineLevel="0" collapsed="false">
      <c r="A312" s="23"/>
      <c r="B312" s="23"/>
      <c r="C312" s="27" t="str">
        <f aca="false">IF($B312="","",IFERROR(INDEX(Supplies!$B$5:$B$104,MATCH($B312,Supplies!$A$5:$A$104,0)),"?"))</f>
        <v/>
      </c>
      <c r="D312" s="32"/>
      <c r="E312" s="32"/>
      <c r="F312" s="32"/>
      <c r="G312" s="22"/>
      <c r="H312" s="27" t="str">
        <f aca="false">IF($A312="","",IF($F312="","Count it",IF($F312&lt;=$E312,"REORDER","OK")))</f>
        <v/>
      </c>
      <c r="I312" s="31" t="str">
        <f aca="false">IF(OR($A312="",$F312=""),"",MAX(0,$D312-$F312))</f>
        <v/>
      </c>
      <c r="J312" s="28" t="str">
        <f aca="false">IF(OR($A312="",$I312=""),"",$I312*IFERROR(INDEX(Supplies!$F$5:$F$104,MATCH($B312,Supplies!$A$5:$A$104,0)),0))</f>
        <v/>
      </c>
    </row>
    <row r="313" customFormat="false" ht="15" hidden="false" customHeight="false" outlineLevel="0" collapsed="false">
      <c r="A313" s="23"/>
      <c r="B313" s="23"/>
      <c r="C313" s="27" t="str">
        <f aca="false">IF($B313="","",IFERROR(INDEX(Supplies!$B$5:$B$104,MATCH($B313,Supplies!$A$5:$A$104,0)),"?"))</f>
        <v/>
      </c>
      <c r="D313" s="32"/>
      <c r="E313" s="32"/>
      <c r="F313" s="32"/>
      <c r="G313" s="22"/>
      <c r="H313" s="27" t="str">
        <f aca="false">IF($A313="","",IF($F313="","Count it",IF($F313&lt;=$E313,"REORDER","OK")))</f>
        <v/>
      </c>
      <c r="I313" s="31" t="str">
        <f aca="false">IF(OR($A313="",$F313=""),"",MAX(0,$D313-$F313))</f>
        <v/>
      </c>
      <c r="J313" s="28" t="str">
        <f aca="false">IF(OR($A313="",$I313=""),"",$I313*IFERROR(INDEX(Supplies!$F$5:$F$104,MATCH($B313,Supplies!$A$5:$A$104,0)),0))</f>
        <v/>
      </c>
    </row>
    <row r="314" customFormat="false" ht="15" hidden="false" customHeight="false" outlineLevel="0" collapsed="false">
      <c r="A314" s="23"/>
      <c r="B314" s="23"/>
      <c r="C314" s="27" t="str">
        <f aca="false">IF($B314="","",IFERROR(INDEX(Supplies!$B$5:$B$104,MATCH($B314,Supplies!$A$5:$A$104,0)),"?"))</f>
        <v/>
      </c>
      <c r="D314" s="32"/>
      <c r="E314" s="32"/>
      <c r="F314" s="32"/>
      <c r="G314" s="22"/>
      <c r="H314" s="27" t="str">
        <f aca="false">IF($A314="","",IF($F314="","Count it",IF($F314&lt;=$E314,"REORDER","OK")))</f>
        <v/>
      </c>
      <c r="I314" s="31" t="str">
        <f aca="false">IF(OR($A314="",$F314=""),"",MAX(0,$D314-$F314))</f>
        <v/>
      </c>
      <c r="J314" s="28" t="str">
        <f aca="false">IF(OR($A314="",$I314=""),"",$I314*IFERROR(INDEX(Supplies!$F$5:$F$104,MATCH($B314,Supplies!$A$5:$A$104,0)),0))</f>
        <v/>
      </c>
    </row>
    <row r="315" customFormat="false" ht="15" hidden="false" customHeight="false" outlineLevel="0" collapsed="false">
      <c r="A315" s="23"/>
      <c r="B315" s="23"/>
      <c r="C315" s="27" t="str">
        <f aca="false">IF($B315="","",IFERROR(INDEX(Supplies!$B$5:$B$104,MATCH($B315,Supplies!$A$5:$A$104,0)),"?"))</f>
        <v/>
      </c>
      <c r="D315" s="32"/>
      <c r="E315" s="32"/>
      <c r="F315" s="32"/>
      <c r="G315" s="22"/>
      <c r="H315" s="27" t="str">
        <f aca="false">IF($A315="","",IF($F315="","Count it",IF($F315&lt;=$E315,"REORDER","OK")))</f>
        <v/>
      </c>
      <c r="I315" s="31" t="str">
        <f aca="false">IF(OR($A315="",$F315=""),"",MAX(0,$D315-$F315))</f>
        <v/>
      </c>
      <c r="J315" s="28" t="str">
        <f aca="false">IF(OR($A315="",$I315=""),"",$I315*IFERROR(INDEX(Supplies!$F$5:$F$104,MATCH($B315,Supplies!$A$5:$A$104,0)),0))</f>
        <v/>
      </c>
    </row>
    <row r="316" customFormat="false" ht="15" hidden="false" customHeight="false" outlineLevel="0" collapsed="false">
      <c r="A316" s="23"/>
      <c r="B316" s="23"/>
      <c r="C316" s="27" t="str">
        <f aca="false">IF($B316="","",IFERROR(INDEX(Supplies!$B$5:$B$104,MATCH($B316,Supplies!$A$5:$A$104,0)),"?"))</f>
        <v/>
      </c>
      <c r="D316" s="32"/>
      <c r="E316" s="32"/>
      <c r="F316" s="32"/>
      <c r="G316" s="22"/>
      <c r="H316" s="27" t="str">
        <f aca="false">IF($A316="","",IF($F316="","Count it",IF($F316&lt;=$E316,"REORDER","OK")))</f>
        <v/>
      </c>
      <c r="I316" s="31" t="str">
        <f aca="false">IF(OR($A316="",$F316=""),"",MAX(0,$D316-$F316))</f>
        <v/>
      </c>
      <c r="J316" s="28" t="str">
        <f aca="false">IF(OR($A316="",$I316=""),"",$I316*IFERROR(INDEX(Supplies!$F$5:$F$104,MATCH($B316,Supplies!$A$5:$A$104,0)),0))</f>
        <v/>
      </c>
    </row>
    <row r="317" customFormat="false" ht="15" hidden="false" customHeight="false" outlineLevel="0" collapsed="false">
      <c r="A317" s="23"/>
      <c r="B317" s="23"/>
      <c r="C317" s="27" t="str">
        <f aca="false">IF($B317="","",IFERROR(INDEX(Supplies!$B$5:$B$104,MATCH($B317,Supplies!$A$5:$A$104,0)),"?"))</f>
        <v/>
      </c>
      <c r="D317" s="32"/>
      <c r="E317" s="32"/>
      <c r="F317" s="32"/>
      <c r="G317" s="22"/>
      <c r="H317" s="27" t="str">
        <f aca="false">IF($A317="","",IF($F317="","Count it",IF($F317&lt;=$E317,"REORDER","OK")))</f>
        <v/>
      </c>
      <c r="I317" s="31" t="str">
        <f aca="false">IF(OR($A317="",$F317=""),"",MAX(0,$D317-$F317))</f>
        <v/>
      </c>
      <c r="J317" s="28" t="str">
        <f aca="false">IF(OR($A317="",$I317=""),"",$I317*IFERROR(INDEX(Supplies!$F$5:$F$104,MATCH($B317,Supplies!$A$5:$A$104,0)),0))</f>
        <v/>
      </c>
    </row>
    <row r="318" customFormat="false" ht="15" hidden="false" customHeight="false" outlineLevel="0" collapsed="false">
      <c r="A318" s="23"/>
      <c r="B318" s="23"/>
      <c r="C318" s="27" t="str">
        <f aca="false">IF($B318="","",IFERROR(INDEX(Supplies!$B$5:$B$104,MATCH($B318,Supplies!$A$5:$A$104,0)),"?"))</f>
        <v/>
      </c>
      <c r="D318" s="32"/>
      <c r="E318" s="32"/>
      <c r="F318" s="32"/>
      <c r="G318" s="22"/>
      <c r="H318" s="27" t="str">
        <f aca="false">IF($A318="","",IF($F318="","Count it",IF($F318&lt;=$E318,"REORDER","OK")))</f>
        <v/>
      </c>
      <c r="I318" s="31" t="str">
        <f aca="false">IF(OR($A318="",$F318=""),"",MAX(0,$D318-$F318))</f>
        <v/>
      </c>
      <c r="J318" s="28" t="str">
        <f aca="false">IF(OR($A318="",$I318=""),"",$I318*IFERROR(INDEX(Supplies!$F$5:$F$104,MATCH($B318,Supplies!$A$5:$A$104,0)),0))</f>
        <v/>
      </c>
    </row>
    <row r="319" customFormat="false" ht="15" hidden="false" customHeight="false" outlineLevel="0" collapsed="false">
      <c r="A319" s="23"/>
      <c r="B319" s="23"/>
      <c r="C319" s="27" t="str">
        <f aca="false">IF($B319="","",IFERROR(INDEX(Supplies!$B$5:$B$104,MATCH($B319,Supplies!$A$5:$A$104,0)),"?"))</f>
        <v/>
      </c>
      <c r="D319" s="32"/>
      <c r="E319" s="32"/>
      <c r="F319" s="32"/>
      <c r="G319" s="22"/>
      <c r="H319" s="27" t="str">
        <f aca="false">IF($A319="","",IF($F319="","Count it",IF($F319&lt;=$E319,"REORDER","OK")))</f>
        <v/>
      </c>
      <c r="I319" s="31" t="str">
        <f aca="false">IF(OR($A319="",$F319=""),"",MAX(0,$D319-$F319))</f>
        <v/>
      </c>
      <c r="J319" s="28" t="str">
        <f aca="false">IF(OR($A319="",$I319=""),"",$I319*IFERROR(INDEX(Supplies!$F$5:$F$104,MATCH($B319,Supplies!$A$5:$A$104,0)),0))</f>
        <v/>
      </c>
    </row>
    <row r="320" customFormat="false" ht="15" hidden="false" customHeight="false" outlineLevel="0" collapsed="false">
      <c r="A320" s="23"/>
      <c r="B320" s="23"/>
      <c r="C320" s="27" t="str">
        <f aca="false">IF($B320="","",IFERROR(INDEX(Supplies!$B$5:$B$104,MATCH($B320,Supplies!$A$5:$A$104,0)),"?"))</f>
        <v/>
      </c>
      <c r="D320" s="32"/>
      <c r="E320" s="32"/>
      <c r="F320" s="32"/>
      <c r="G320" s="22"/>
      <c r="H320" s="27" t="str">
        <f aca="false">IF($A320="","",IF($F320="","Count it",IF($F320&lt;=$E320,"REORDER","OK")))</f>
        <v/>
      </c>
      <c r="I320" s="31" t="str">
        <f aca="false">IF(OR($A320="",$F320=""),"",MAX(0,$D320-$F320))</f>
        <v/>
      </c>
      <c r="J320" s="28" t="str">
        <f aca="false">IF(OR($A320="",$I320=""),"",$I320*IFERROR(INDEX(Supplies!$F$5:$F$104,MATCH($B320,Supplies!$A$5:$A$104,0)),0))</f>
        <v/>
      </c>
    </row>
    <row r="321" customFormat="false" ht="15" hidden="false" customHeight="false" outlineLevel="0" collapsed="false">
      <c r="A321" s="23"/>
      <c r="B321" s="23"/>
      <c r="C321" s="27" t="str">
        <f aca="false">IF($B321="","",IFERROR(INDEX(Supplies!$B$5:$B$104,MATCH($B321,Supplies!$A$5:$A$104,0)),"?"))</f>
        <v/>
      </c>
      <c r="D321" s="32"/>
      <c r="E321" s="32"/>
      <c r="F321" s="32"/>
      <c r="G321" s="22"/>
      <c r="H321" s="27" t="str">
        <f aca="false">IF($A321="","",IF($F321="","Count it",IF($F321&lt;=$E321,"REORDER","OK")))</f>
        <v/>
      </c>
      <c r="I321" s="31" t="str">
        <f aca="false">IF(OR($A321="",$F321=""),"",MAX(0,$D321-$F321))</f>
        <v/>
      </c>
      <c r="J321" s="28" t="str">
        <f aca="false">IF(OR($A321="",$I321=""),"",$I321*IFERROR(INDEX(Supplies!$F$5:$F$104,MATCH($B321,Supplies!$A$5:$A$104,0)),0))</f>
        <v/>
      </c>
    </row>
    <row r="322" customFormat="false" ht="15" hidden="false" customHeight="false" outlineLevel="0" collapsed="false">
      <c r="A322" s="23"/>
      <c r="B322" s="23"/>
      <c r="C322" s="27" t="str">
        <f aca="false">IF($B322="","",IFERROR(INDEX(Supplies!$B$5:$B$104,MATCH($B322,Supplies!$A$5:$A$104,0)),"?"))</f>
        <v/>
      </c>
      <c r="D322" s="32"/>
      <c r="E322" s="32"/>
      <c r="F322" s="32"/>
      <c r="G322" s="22"/>
      <c r="H322" s="27" t="str">
        <f aca="false">IF($A322="","",IF($F322="","Count it",IF($F322&lt;=$E322,"REORDER","OK")))</f>
        <v/>
      </c>
      <c r="I322" s="31" t="str">
        <f aca="false">IF(OR($A322="",$F322=""),"",MAX(0,$D322-$F322))</f>
        <v/>
      </c>
      <c r="J322" s="28" t="str">
        <f aca="false">IF(OR($A322="",$I322=""),"",$I322*IFERROR(INDEX(Supplies!$F$5:$F$104,MATCH($B322,Supplies!$A$5:$A$104,0)),0))</f>
        <v/>
      </c>
    </row>
    <row r="323" customFormat="false" ht="15" hidden="false" customHeight="false" outlineLevel="0" collapsed="false">
      <c r="A323" s="23"/>
      <c r="B323" s="23"/>
      <c r="C323" s="27" t="str">
        <f aca="false">IF($B323="","",IFERROR(INDEX(Supplies!$B$5:$B$104,MATCH($B323,Supplies!$A$5:$A$104,0)),"?"))</f>
        <v/>
      </c>
      <c r="D323" s="32"/>
      <c r="E323" s="32"/>
      <c r="F323" s="32"/>
      <c r="G323" s="22"/>
      <c r="H323" s="27" t="str">
        <f aca="false">IF($A323="","",IF($F323="","Count it",IF($F323&lt;=$E323,"REORDER","OK")))</f>
        <v/>
      </c>
      <c r="I323" s="31" t="str">
        <f aca="false">IF(OR($A323="",$F323=""),"",MAX(0,$D323-$F323))</f>
        <v/>
      </c>
      <c r="J323" s="28" t="str">
        <f aca="false">IF(OR($A323="",$I323=""),"",$I323*IFERROR(INDEX(Supplies!$F$5:$F$104,MATCH($B323,Supplies!$A$5:$A$104,0)),0))</f>
        <v/>
      </c>
    </row>
    <row r="324" customFormat="false" ht="15" hidden="false" customHeight="false" outlineLevel="0" collapsed="false">
      <c r="A324" s="23"/>
      <c r="B324" s="23"/>
      <c r="C324" s="27" t="str">
        <f aca="false">IF($B324="","",IFERROR(INDEX(Supplies!$B$5:$B$104,MATCH($B324,Supplies!$A$5:$A$104,0)),"?"))</f>
        <v/>
      </c>
      <c r="D324" s="32"/>
      <c r="E324" s="32"/>
      <c r="F324" s="32"/>
      <c r="G324" s="22"/>
      <c r="H324" s="27" t="str">
        <f aca="false">IF($A324="","",IF($F324="","Count it",IF($F324&lt;=$E324,"REORDER","OK")))</f>
        <v/>
      </c>
      <c r="I324" s="31" t="str">
        <f aca="false">IF(OR($A324="",$F324=""),"",MAX(0,$D324-$F324))</f>
        <v/>
      </c>
      <c r="J324" s="28" t="str">
        <f aca="false">IF(OR($A324="",$I324=""),"",$I324*IFERROR(INDEX(Supplies!$F$5:$F$104,MATCH($B324,Supplies!$A$5:$A$104,0)),0))</f>
        <v/>
      </c>
    </row>
    <row r="325" customFormat="false" ht="15" hidden="false" customHeight="false" outlineLevel="0" collapsed="false">
      <c r="A325" s="23"/>
      <c r="B325" s="23"/>
      <c r="C325" s="27" t="str">
        <f aca="false">IF($B325="","",IFERROR(INDEX(Supplies!$B$5:$B$104,MATCH($B325,Supplies!$A$5:$A$104,0)),"?"))</f>
        <v/>
      </c>
      <c r="D325" s="32"/>
      <c r="E325" s="32"/>
      <c r="F325" s="32"/>
      <c r="G325" s="22"/>
      <c r="H325" s="27" t="str">
        <f aca="false">IF($A325="","",IF($F325="","Count it",IF($F325&lt;=$E325,"REORDER","OK")))</f>
        <v/>
      </c>
      <c r="I325" s="31" t="str">
        <f aca="false">IF(OR($A325="",$F325=""),"",MAX(0,$D325-$F325))</f>
        <v/>
      </c>
      <c r="J325" s="28" t="str">
        <f aca="false">IF(OR($A325="",$I325=""),"",$I325*IFERROR(INDEX(Supplies!$F$5:$F$104,MATCH($B325,Supplies!$A$5:$A$104,0)),0))</f>
        <v/>
      </c>
    </row>
    <row r="326" customFormat="false" ht="15" hidden="false" customHeight="false" outlineLevel="0" collapsed="false">
      <c r="A326" s="23"/>
      <c r="B326" s="23"/>
      <c r="C326" s="27" t="str">
        <f aca="false">IF($B326="","",IFERROR(INDEX(Supplies!$B$5:$B$104,MATCH($B326,Supplies!$A$5:$A$104,0)),"?"))</f>
        <v/>
      </c>
      <c r="D326" s="32"/>
      <c r="E326" s="32"/>
      <c r="F326" s="32"/>
      <c r="G326" s="22"/>
      <c r="H326" s="27" t="str">
        <f aca="false">IF($A326="","",IF($F326="","Count it",IF($F326&lt;=$E326,"REORDER","OK")))</f>
        <v/>
      </c>
      <c r="I326" s="31" t="str">
        <f aca="false">IF(OR($A326="",$F326=""),"",MAX(0,$D326-$F326))</f>
        <v/>
      </c>
      <c r="J326" s="28" t="str">
        <f aca="false">IF(OR($A326="",$I326=""),"",$I326*IFERROR(INDEX(Supplies!$F$5:$F$104,MATCH($B326,Supplies!$A$5:$A$104,0)),0))</f>
        <v/>
      </c>
    </row>
    <row r="327" customFormat="false" ht="15" hidden="false" customHeight="false" outlineLevel="0" collapsed="false">
      <c r="A327" s="23"/>
      <c r="B327" s="23"/>
      <c r="C327" s="27" t="str">
        <f aca="false">IF($B327="","",IFERROR(INDEX(Supplies!$B$5:$B$104,MATCH($B327,Supplies!$A$5:$A$104,0)),"?"))</f>
        <v/>
      </c>
      <c r="D327" s="32"/>
      <c r="E327" s="32"/>
      <c r="F327" s="32"/>
      <c r="G327" s="22"/>
      <c r="H327" s="27" t="str">
        <f aca="false">IF($A327="","",IF($F327="","Count it",IF($F327&lt;=$E327,"REORDER","OK")))</f>
        <v/>
      </c>
      <c r="I327" s="31" t="str">
        <f aca="false">IF(OR($A327="",$F327=""),"",MAX(0,$D327-$F327))</f>
        <v/>
      </c>
      <c r="J327" s="28" t="str">
        <f aca="false">IF(OR($A327="",$I327=""),"",$I327*IFERROR(INDEX(Supplies!$F$5:$F$104,MATCH($B327,Supplies!$A$5:$A$104,0)),0))</f>
        <v/>
      </c>
    </row>
    <row r="328" customFormat="false" ht="15" hidden="false" customHeight="false" outlineLevel="0" collapsed="false">
      <c r="A328" s="23"/>
      <c r="B328" s="23"/>
      <c r="C328" s="27" t="str">
        <f aca="false">IF($B328="","",IFERROR(INDEX(Supplies!$B$5:$B$104,MATCH($B328,Supplies!$A$5:$A$104,0)),"?"))</f>
        <v/>
      </c>
      <c r="D328" s="32"/>
      <c r="E328" s="32"/>
      <c r="F328" s="32"/>
      <c r="G328" s="22"/>
      <c r="H328" s="27" t="str">
        <f aca="false">IF($A328="","",IF($F328="","Count it",IF($F328&lt;=$E328,"REORDER","OK")))</f>
        <v/>
      </c>
      <c r="I328" s="31" t="str">
        <f aca="false">IF(OR($A328="",$F328=""),"",MAX(0,$D328-$F328))</f>
        <v/>
      </c>
      <c r="J328" s="28" t="str">
        <f aca="false">IF(OR($A328="",$I328=""),"",$I328*IFERROR(INDEX(Supplies!$F$5:$F$104,MATCH($B328,Supplies!$A$5:$A$104,0)),0))</f>
        <v/>
      </c>
    </row>
    <row r="329" customFormat="false" ht="15" hidden="false" customHeight="false" outlineLevel="0" collapsed="false">
      <c r="A329" s="23"/>
      <c r="B329" s="23"/>
      <c r="C329" s="27" t="str">
        <f aca="false">IF($B329="","",IFERROR(INDEX(Supplies!$B$5:$B$104,MATCH($B329,Supplies!$A$5:$A$104,0)),"?"))</f>
        <v/>
      </c>
      <c r="D329" s="32"/>
      <c r="E329" s="32"/>
      <c r="F329" s="32"/>
      <c r="G329" s="22"/>
      <c r="H329" s="27" t="str">
        <f aca="false">IF($A329="","",IF($F329="","Count it",IF($F329&lt;=$E329,"REORDER","OK")))</f>
        <v/>
      </c>
      <c r="I329" s="31" t="str">
        <f aca="false">IF(OR($A329="",$F329=""),"",MAX(0,$D329-$F329))</f>
        <v/>
      </c>
      <c r="J329" s="28" t="str">
        <f aca="false">IF(OR($A329="",$I329=""),"",$I329*IFERROR(INDEX(Supplies!$F$5:$F$104,MATCH($B329,Supplies!$A$5:$A$104,0)),0))</f>
        <v/>
      </c>
    </row>
    <row r="330" customFormat="false" ht="15" hidden="false" customHeight="false" outlineLevel="0" collapsed="false">
      <c r="A330" s="23"/>
      <c r="B330" s="23"/>
      <c r="C330" s="27" t="str">
        <f aca="false">IF($B330="","",IFERROR(INDEX(Supplies!$B$5:$B$104,MATCH($B330,Supplies!$A$5:$A$104,0)),"?"))</f>
        <v/>
      </c>
      <c r="D330" s="32"/>
      <c r="E330" s="32"/>
      <c r="F330" s="32"/>
      <c r="G330" s="22"/>
      <c r="H330" s="27" t="str">
        <f aca="false">IF($A330="","",IF($F330="","Count it",IF($F330&lt;=$E330,"REORDER","OK")))</f>
        <v/>
      </c>
      <c r="I330" s="31" t="str">
        <f aca="false">IF(OR($A330="",$F330=""),"",MAX(0,$D330-$F330))</f>
        <v/>
      </c>
      <c r="J330" s="28" t="str">
        <f aca="false">IF(OR($A330="",$I330=""),"",$I330*IFERROR(INDEX(Supplies!$F$5:$F$104,MATCH($B330,Supplies!$A$5:$A$104,0)),0))</f>
        <v/>
      </c>
    </row>
    <row r="331" customFormat="false" ht="15" hidden="false" customHeight="false" outlineLevel="0" collapsed="false">
      <c r="A331" s="23"/>
      <c r="B331" s="23"/>
      <c r="C331" s="27" t="str">
        <f aca="false">IF($B331="","",IFERROR(INDEX(Supplies!$B$5:$B$104,MATCH($B331,Supplies!$A$5:$A$104,0)),"?"))</f>
        <v/>
      </c>
      <c r="D331" s="32"/>
      <c r="E331" s="32"/>
      <c r="F331" s="32"/>
      <c r="G331" s="22"/>
      <c r="H331" s="27" t="str">
        <f aca="false">IF($A331="","",IF($F331="","Count it",IF($F331&lt;=$E331,"REORDER","OK")))</f>
        <v/>
      </c>
      <c r="I331" s="31" t="str">
        <f aca="false">IF(OR($A331="",$F331=""),"",MAX(0,$D331-$F331))</f>
        <v/>
      </c>
      <c r="J331" s="28" t="str">
        <f aca="false">IF(OR($A331="",$I331=""),"",$I331*IFERROR(INDEX(Supplies!$F$5:$F$104,MATCH($B331,Supplies!$A$5:$A$104,0)),0))</f>
        <v/>
      </c>
    </row>
    <row r="332" customFormat="false" ht="15" hidden="false" customHeight="false" outlineLevel="0" collapsed="false">
      <c r="A332" s="23"/>
      <c r="B332" s="23"/>
      <c r="C332" s="27" t="str">
        <f aca="false">IF($B332="","",IFERROR(INDEX(Supplies!$B$5:$B$104,MATCH($B332,Supplies!$A$5:$A$104,0)),"?"))</f>
        <v/>
      </c>
      <c r="D332" s="32"/>
      <c r="E332" s="32"/>
      <c r="F332" s="32"/>
      <c r="G332" s="22"/>
      <c r="H332" s="27" t="str">
        <f aca="false">IF($A332="","",IF($F332="","Count it",IF($F332&lt;=$E332,"REORDER","OK")))</f>
        <v/>
      </c>
      <c r="I332" s="31" t="str">
        <f aca="false">IF(OR($A332="",$F332=""),"",MAX(0,$D332-$F332))</f>
        <v/>
      </c>
      <c r="J332" s="28" t="str">
        <f aca="false">IF(OR($A332="",$I332=""),"",$I332*IFERROR(INDEX(Supplies!$F$5:$F$104,MATCH($B332,Supplies!$A$5:$A$104,0)),0))</f>
        <v/>
      </c>
    </row>
    <row r="333" customFormat="false" ht="15" hidden="false" customHeight="false" outlineLevel="0" collapsed="false">
      <c r="A333" s="23"/>
      <c r="B333" s="23"/>
      <c r="C333" s="27" t="str">
        <f aca="false">IF($B333="","",IFERROR(INDEX(Supplies!$B$5:$B$104,MATCH($B333,Supplies!$A$5:$A$104,0)),"?"))</f>
        <v/>
      </c>
      <c r="D333" s="32"/>
      <c r="E333" s="32"/>
      <c r="F333" s="32"/>
      <c r="G333" s="22"/>
      <c r="H333" s="27" t="str">
        <f aca="false">IF($A333="","",IF($F333="","Count it",IF($F333&lt;=$E333,"REORDER","OK")))</f>
        <v/>
      </c>
      <c r="I333" s="31" t="str">
        <f aca="false">IF(OR($A333="",$F333=""),"",MAX(0,$D333-$F333))</f>
        <v/>
      </c>
      <c r="J333" s="28" t="str">
        <f aca="false">IF(OR($A333="",$I333=""),"",$I333*IFERROR(INDEX(Supplies!$F$5:$F$104,MATCH($B333,Supplies!$A$5:$A$104,0)),0))</f>
        <v/>
      </c>
    </row>
    <row r="334" customFormat="false" ht="15" hidden="false" customHeight="false" outlineLevel="0" collapsed="false">
      <c r="A334" s="23"/>
      <c r="B334" s="23"/>
      <c r="C334" s="27" t="str">
        <f aca="false">IF($B334="","",IFERROR(INDEX(Supplies!$B$5:$B$104,MATCH($B334,Supplies!$A$5:$A$104,0)),"?"))</f>
        <v/>
      </c>
      <c r="D334" s="32"/>
      <c r="E334" s="32"/>
      <c r="F334" s="32"/>
      <c r="G334" s="22"/>
      <c r="H334" s="27" t="str">
        <f aca="false">IF($A334="","",IF($F334="","Count it",IF($F334&lt;=$E334,"REORDER","OK")))</f>
        <v/>
      </c>
      <c r="I334" s="31" t="str">
        <f aca="false">IF(OR($A334="",$F334=""),"",MAX(0,$D334-$F334))</f>
        <v/>
      </c>
      <c r="J334" s="28" t="str">
        <f aca="false">IF(OR($A334="",$I334=""),"",$I334*IFERROR(INDEX(Supplies!$F$5:$F$104,MATCH($B334,Supplies!$A$5:$A$104,0)),0))</f>
        <v/>
      </c>
    </row>
    <row r="335" customFormat="false" ht="15" hidden="false" customHeight="false" outlineLevel="0" collapsed="false">
      <c r="A335" s="23"/>
      <c r="B335" s="23"/>
      <c r="C335" s="27" t="str">
        <f aca="false">IF($B335="","",IFERROR(INDEX(Supplies!$B$5:$B$104,MATCH($B335,Supplies!$A$5:$A$104,0)),"?"))</f>
        <v/>
      </c>
      <c r="D335" s="32"/>
      <c r="E335" s="32"/>
      <c r="F335" s="32"/>
      <c r="G335" s="22"/>
      <c r="H335" s="27" t="str">
        <f aca="false">IF($A335="","",IF($F335="","Count it",IF($F335&lt;=$E335,"REORDER","OK")))</f>
        <v/>
      </c>
      <c r="I335" s="31" t="str">
        <f aca="false">IF(OR($A335="",$F335=""),"",MAX(0,$D335-$F335))</f>
        <v/>
      </c>
      <c r="J335" s="28" t="str">
        <f aca="false">IF(OR($A335="",$I335=""),"",$I335*IFERROR(INDEX(Supplies!$F$5:$F$104,MATCH($B335,Supplies!$A$5:$A$104,0)),0))</f>
        <v/>
      </c>
    </row>
    <row r="336" customFormat="false" ht="15" hidden="false" customHeight="false" outlineLevel="0" collapsed="false">
      <c r="A336" s="23"/>
      <c r="B336" s="23"/>
      <c r="C336" s="27" t="str">
        <f aca="false">IF($B336="","",IFERROR(INDEX(Supplies!$B$5:$B$104,MATCH($B336,Supplies!$A$5:$A$104,0)),"?"))</f>
        <v/>
      </c>
      <c r="D336" s="32"/>
      <c r="E336" s="32"/>
      <c r="F336" s="32"/>
      <c r="G336" s="22"/>
      <c r="H336" s="27" t="str">
        <f aca="false">IF($A336="","",IF($F336="","Count it",IF($F336&lt;=$E336,"REORDER","OK")))</f>
        <v/>
      </c>
      <c r="I336" s="31" t="str">
        <f aca="false">IF(OR($A336="",$F336=""),"",MAX(0,$D336-$F336))</f>
        <v/>
      </c>
      <c r="J336" s="28" t="str">
        <f aca="false">IF(OR($A336="",$I336=""),"",$I336*IFERROR(INDEX(Supplies!$F$5:$F$104,MATCH($B336,Supplies!$A$5:$A$104,0)),0))</f>
        <v/>
      </c>
    </row>
    <row r="337" customFormat="false" ht="15" hidden="false" customHeight="false" outlineLevel="0" collapsed="false">
      <c r="A337" s="23"/>
      <c r="B337" s="23"/>
      <c r="C337" s="27" t="str">
        <f aca="false">IF($B337="","",IFERROR(INDEX(Supplies!$B$5:$B$104,MATCH($B337,Supplies!$A$5:$A$104,0)),"?"))</f>
        <v/>
      </c>
      <c r="D337" s="32"/>
      <c r="E337" s="32"/>
      <c r="F337" s="32"/>
      <c r="G337" s="22"/>
      <c r="H337" s="27" t="str">
        <f aca="false">IF($A337="","",IF($F337="","Count it",IF($F337&lt;=$E337,"REORDER","OK")))</f>
        <v/>
      </c>
      <c r="I337" s="31" t="str">
        <f aca="false">IF(OR($A337="",$F337=""),"",MAX(0,$D337-$F337))</f>
        <v/>
      </c>
      <c r="J337" s="28" t="str">
        <f aca="false">IF(OR($A337="",$I337=""),"",$I337*IFERROR(INDEX(Supplies!$F$5:$F$104,MATCH($B337,Supplies!$A$5:$A$104,0)),0))</f>
        <v/>
      </c>
    </row>
    <row r="338" customFormat="false" ht="15" hidden="false" customHeight="false" outlineLevel="0" collapsed="false">
      <c r="A338" s="23"/>
      <c r="B338" s="23"/>
      <c r="C338" s="27" t="str">
        <f aca="false">IF($B338="","",IFERROR(INDEX(Supplies!$B$5:$B$104,MATCH($B338,Supplies!$A$5:$A$104,0)),"?"))</f>
        <v/>
      </c>
      <c r="D338" s="32"/>
      <c r="E338" s="32"/>
      <c r="F338" s="32"/>
      <c r="G338" s="22"/>
      <c r="H338" s="27" t="str">
        <f aca="false">IF($A338="","",IF($F338="","Count it",IF($F338&lt;=$E338,"REORDER","OK")))</f>
        <v/>
      </c>
      <c r="I338" s="31" t="str">
        <f aca="false">IF(OR($A338="",$F338=""),"",MAX(0,$D338-$F338))</f>
        <v/>
      </c>
      <c r="J338" s="28" t="str">
        <f aca="false">IF(OR($A338="",$I338=""),"",$I338*IFERROR(INDEX(Supplies!$F$5:$F$104,MATCH($B338,Supplies!$A$5:$A$104,0)),0))</f>
        <v/>
      </c>
    </row>
    <row r="339" customFormat="false" ht="15" hidden="false" customHeight="false" outlineLevel="0" collapsed="false">
      <c r="A339" s="23"/>
      <c r="B339" s="23"/>
      <c r="C339" s="27" t="str">
        <f aca="false">IF($B339="","",IFERROR(INDEX(Supplies!$B$5:$B$104,MATCH($B339,Supplies!$A$5:$A$104,0)),"?"))</f>
        <v/>
      </c>
      <c r="D339" s="32"/>
      <c r="E339" s="32"/>
      <c r="F339" s="32"/>
      <c r="G339" s="22"/>
      <c r="H339" s="27" t="str">
        <f aca="false">IF($A339="","",IF($F339="","Count it",IF($F339&lt;=$E339,"REORDER","OK")))</f>
        <v/>
      </c>
      <c r="I339" s="31" t="str">
        <f aca="false">IF(OR($A339="",$F339=""),"",MAX(0,$D339-$F339))</f>
        <v/>
      </c>
      <c r="J339" s="28" t="str">
        <f aca="false">IF(OR($A339="",$I339=""),"",$I339*IFERROR(INDEX(Supplies!$F$5:$F$104,MATCH($B339,Supplies!$A$5:$A$104,0)),0))</f>
        <v/>
      </c>
    </row>
    <row r="340" customFormat="false" ht="15" hidden="false" customHeight="false" outlineLevel="0" collapsed="false">
      <c r="A340" s="23"/>
      <c r="B340" s="23"/>
      <c r="C340" s="27" t="str">
        <f aca="false">IF($B340="","",IFERROR(INDEX(Supplies!$B$5:$B$104,MATCH($B340,Supplies!$A$5:$A$104,0)),"?"))</f>
        <v/>
      </c>
      <c r="D340" s="32"/>
      <c r="E340" s="32"/>
      <c r="F340" s="32"/>
      <c r="G340" s="22"/>
      <c r="H340" s="27" t="str">
        <f aca="false">IF($A340="","",IF($F340="","Count it",IF($F340&lt;=$E340,"REORDER","OK")))</f>
        <v/>
      </c>
      <c r="I340" s="31" t="str">
        <f aca="false">IF(OR($A340="",$F340=""),"",MAX(0,$D340-$F340))</f>
        <v/>
      </c>
      <c r="J340" s="28" t="str">
        <f aca="false">IF(OR($A340="",$I340=""),"",$I340*IFERROR(INDEX(Supplies!$F$5:$F$104,MATCH($B340,Supplies!$A$5:$A$104,0)),0))</f>
        <v/>
      </c>
    </row>
    <row r="341" customFormat="false" ht="15" hidden="false" customHeight="false" outlineLevel="0" collapsed="false">
      <c r="A341" s="23"/>
      <c r="B341" s="23"/>
      <c r="C341" s="27" t="str">
        <f aca="false">IF($B341="","",IFERROR(INDEX(Supplies!$B$5:$B$104,MATCH($B341,Supplies!$A$5:$A$104,0)),"?"))</f>
        <v/>
      </c>
      <c r="D341" s="32"/>
      <c r="E341" s="32"/>
      <c r="F341" s="32"/>
      <c r="G341" s="22"/>
      <c r="H341" s="27" t="str">
        <f aca="false">IF($A341="","",IF($F341="","Count it",IF($F341&lt;=$E341,"REORDER","OK")))</f>
        <v/>
      </c>
      <c r="I341" s="31" t="str">
        <f aca="false">IF(OR($A341="",$F341=""),"",MAX(0,$D341-$F341))</f>
        <v/>
      </c>
      <c r="J341" s="28" t="str">
        <f aca="false">IF(OR($A341="",$I341=""),"",$I341*IFERROR(INDEX(Supplies!$F$5:$F$104,MATCH($B341,Supplies!$A$5:$A$104,0)),0))</f>
        <v/>
      </c>
    </row>
    <row r="342" customFormat="false" ht="15" hidden="false" customHeight="false" outlineLevel="0" collapsed="false">
      <c r="A342" s="23"/>
      <c r="B342" s="23"/>
      <c r="C342" s="27" t="str">
        <f aca="false">IF($B342="","",IFERROR(INDEX(Supplies!$B$5:$B$104,MATCH($B342,Supplies!$A$5:$A$104,0)),"?"))</f>
        <v/>
      </c>
      <c r="D342" s="32"/>
      <c r="E342" s="32"/>
      <c r="F342" s="32"/>
      <c r="G342" s="22"/>
      <c r="H342" s="27" t="str">
        <f aca="false">IF($A342="","",IF($F342="","Count it",IF($F342&lt;=$E342,"REORDER","OK")))</f>
        <v/>
      </c>
      <c r="I342" s="31" t="str">
        <f aca="false">IF(OR($A342="",$F342=""),"",MAX(0,$D342-$F342))</f>
        <v/>
      </c>
      <c r="J342" s="28" t="str">
        <f aca="false">IF(OR($A342="",$I342=""),"",$I342*IFERROR(INDEX(Supplies!$F$5:$F$104,MATCH($B342,Supplies!$A$5:$A$104,0)),0))</f>
        <v/>
      </c>
    </row>
    <row r="343" customFormat="false" ht="15" hidden="false" customHeight="false" outlineLevel="0" collapsed="false">
      <c r="A343" s="23"/>
      <c r="B343" s="23"/>
      <c r="C343" s="27" t="str">
        <f aca="false">IF($B343="","",IFERROR(INDEX(Supplies!$B$5:$B$104,MATCH($B343,Supplies!$A$5:$A$104,0)),"?"))</f>
        <v/>
      </c>
      <c r="D343" s="32"/>
      <c r="E343" s="32"/>
      <c r="F343" s="32"/>
      <c r="G343" s="22"/>
      <c r="H343" s="27" t="str">
        <f aca="false">IF($A343="","",IF($F343="","Count it",IF($F343&lt;=$E343,"REORDER","OK")))</f>
        <v/>
      </c>
      <c r="I343" s="31" t="str">
        <f aca="false">IF(OR($A343="",$F343=""),"",MAX(0,$D343-$F343))</f>
        <v/>
      </c>
      <c r="J343" s="28" t="str">
        <f aca="false">IF(OR($A343="",$I343=""),"",$I343*IFERROR(INDEX(Supplies!$F$5:$F$104,MATCH($B343,Supplies!$A$5:$A$104,0)),0))</f>
        <v/>
      </c>
    </row>
    <row r="344" customFormat="false" ht="15" hidden="false" customHeight="false" outlineLevel="0" collapsed="false">
      <c r="A344" s="23"/>
      <c r="B344" s="23"/>
      <c r="C344" s="27" t="str">
        <f aca="false">IF($B344="","",IFERROR(INDEX(Supplies!$B$5:$B$104,MATCH($B344,Supplies!$A$5:$A$104,0)),"?"))</f>
        <v/>
      </c>
      <c r="D344" s="32"/>
      <c r="E344" s="32"/>
      <c r="F344" s="32"/>
      <c r="G344" s="22"/>
      <c r="H344" s="27" t="str">
        <f aca="false">IF($A344="","",IF($F344="","Count it",IF($F344&lt;=$E344,"REORDER","OK")))</f>
        <v/>
      </c>
      <c r="I344" s="31" t="str">
        <f aca="false">IF(OR($A344="",$F344=""),"",MAX(0,$D344-$F344))</f>
        <v/>
      </c>
      <c r="J344" s="28" t="str">
        <f aca="false">IF(OR($A344="",$I344=""),"",$I344*IFERROR(INDEX(Supplies!$F$5:$F$104,MATCH($B344,Supplies!$A$5:$A$104,0)),0))</f>
        <v/>
      </c>
    </row>
    <row r="345" customFormat="false" ht="15" hidden="false" customHeight="false" outlineLevel="0" collapsed="false">
      <c r="A345" s="23"/>
      <c r="B345" s="23"/>
      <c r="C345" s="27" t="str">
        <f aca="false">IF($B345="","",IFERROR(INDEX(Supplies!$B$5:$B$104,MATCH($B345,Supplies!$A$5:$A$104,0)),"?"))</f>
        <v/>
      </c>
      <c r="D345" s="32"/>
      <c r="E345" s="32"/>
      <c r="F345" s="32"/>
      <c r="G345" s="22"/>
      <c r="H345" s="27" t="str">
        <f aca="false">IF($A345="","",IF($F345="","Count it",IF($F345&lt;=$E345,"REORDER","OK")))</f>
        <v/>
      </c>
      <c r="I345" s="31" t="str">
        <f aca="false">IF(OR($A345="",$F345=""),"",MAX(0,$D345-$F345))</f>
        <v/>
      </c>
      <c r="J345" s="28" t="str">
        <f aca="false">IF(OR($A345="",$I345=""),"",$I345*IFERROR(INDEX(Supplies!$F$5:$F$104,MATCH($B345,Supplies!$A$5:$A$104,0)),0))</f>
        <v/>
      </c>
    </row>
    <row r="346" customFormat="false" ht="15" hidden="false" customHeight="false" outlineLevel="0" collapsed="false">
      <c r="A346" s="23"/>
      <c r="B346" s="23"/>
      <c r="C346" s="27" t="str">
        <f aca="false">IF($B346="","",IFERROR(INDEX(Supplies!$B$5:$B$104,MATCH($B346,Supplies!$A$5:$A$104,0)),"?"))</f>
        <v/>
      </c>
      <c r="D346" s="32"/>
      <c r="E346" s="32"/>
      <c r="F346" s="32"/>
      <c r="G346" s="22"/>
      <c r="H346" s="27" t="str">
        <f aca="false">IF($A346="","",IF($F346="","Count it",IF($F346&lt;=$E346,"REORDER","OK")))</f>
        <v/>
      </c>
      <c r="I346" s="31" t="str">
        <f aca="false">IF(OR($A346="",$F346=""),"",MAX(0,$D346-$F346))</f>
        <v/>
      </c>
      <c r="J346" s="28" t="str">
        <f aca="false">IF(OR($A346="",$I346=""),"",$I346*IFERROR(INDEX(Supplies!$F$5:$F$104,MATCH($B346,Supplies!$A$5:$A$104,0)),0))</f>
        <v/>
      </c>
    </row>
    <row r="347" customFormat="false" ht="15" hidden="false" customHeight="false" outlineLevel="0" collapsed="false">
      <c r="A347" s="23"/>
      <c r="B347" s="23"/>
      <c r="C347" s="27" t="str">
        <f aca="false">IF($B347="","",IFERROR(INDEX(Supplies!$B$5:$B$104,MATCH($B347,Supplies!$A$5:$A$104,0)),"?"))</f>
        <v/>
      </c>
      <c r="D347" s="32"/>
      <c r="E347" s="32"/>
      <c r="F347" s="32"/>
      <c r="G347" s="22"/>
      <c r="H347" s="27" t="str">
        <f aca="false">IF($A347="","",IF($F347="","Count it",IF($F347&lt;=$E347,"REORDER","OK")))</f>
        <v/>
      </c>
      <c r="I347" s="31" t="str">
        <f aca="false">IF(OR($A347="",$F347=""),"",MAX(0,$D347-$F347))</f>
        <v/>
      </c>
      <c r="J347" s="28" t="str">
        <f aca="false">IF(OR($A347="",$I347=""),"",$I347*IFERROR(INDEX(Supplies!$F$5:$F$104,MATCH($B347,Supplies!$A$5:$A$104,0)),0))</f>
        <v/>
      </c>
    </row>
    <row r="348" customFormat="false" ht="15" hidden="false" customHeight="false" outlineLevel="0" collapsed="false">
      <c r="A348" s="23"/>
      <c r="B348" s="23"/>
      <c r="C348" s="27" t="str">
        <f aca="false">IF($B348="","",IFERROR(INDEX(Supplies!$B$5:$B$104,MATCH($B348,Supplies!$A$5:$A$104,0)),"?"))</f>
        <v/>
      </c>
      <c r="D348" s="32"/>
      <c r="E348" s="32"/>
      <c r="F348" s="32"/>
      <c r="G348" s="22"/>
      <c r="H348" s="27" t="str">
        <f aca="false">IF($A348="","",IF($F348="","Count it",IF($F348&lt;=$E348,"REORDER","OK")))</f>
        <v/>
      </c>
      <c r="I348" s="31" t="str">
        <f aca="false">IF(OR($A348="",$F348=""),"",MAX(0,$D348-$F348))</f>
        <v/>
      </c>
      <c r="J348" s="28" t="str">
        <f aca="false">IF(OR($A348="",$I348=""),"",$I348*IFERROR(INDEX(Supplies!$F$5:$F$104,MATCH($B348,Supplies!$A$5:$A$104,0)),0))</f>
        <v/>
      </c>
    </row>
    <row r="349" customFormat="false" ht="15" hidden="false" customHeight="false" outlineLevel="0" collapsed="false">
      <c r="A349" s="23"/>
      <c r="B349" s="23"/>
      <c r="C349" s="27" t="str">
        <f aca="false">IF($B349="","",IFERROR(INDEX(Supplies!$B$5:$B$104,MATCH($B349,Supplies!$A$5:$A$104,0)),"?"))</f>
        <v/>
      </c>
      <c r="D349" s="32"/>
      <c r="E349" s="32"/>
      <c r="F349" s="32"/>
      <c r="G349" s="22"/>
      <c r="H349" s="27" t="str">
        <f aca="false">IF($A349="","",IF($F349="","Count it",IF($F349&lt;=$E349,"REORDER","OK")))</f>
        <v/>
      </c>
      <c r="I349" s="31" t="str">
        <f aca="false">IF(OR($A349="",$F349=""),"",MAX(0,$D349-$F349))</f>
        <v/>
      </c>
      <c r="J349" s="28" t="str">
        <f aca="false">IF(OR($A349="",$I349=""),"",$I349*IFERROR(INDEX(Supplies!$F$5:$F$104,MATCH($B349,Supplies!$A$5:$A$104,0)),0))</f>
        <v/>
      </c>
    </row>
    <row r="350" customFormat="false" ht="15" hidden="false" customHeight="false" outlineLevel="0" collapsed="false">
      <c r="A350" s="23"/>
      <c r="B350" s="23"/>
      <c r="C350" s="27" t="str">
        <f aca="false">IF($B350="","",IFERROR(INDEX(Supplies!$B$5:$B$104,MATCH($B350,Supplies!$A$5:$A$104,0)),"?"))</f>
        <v/>
      </c>
      <c r="D350" s="32"/>
      <c r="E350" s="32"/>
      <c r="F350" s="32"/>
      <c r="G350" s="22"/>
      <c r="H350" s="27" t="str">
        <f aca="false">IF($A350="","",IF($F350="","Count it",IF($F350&lt;=$E350,"REORDER","OK")))</f>
        <v/>
      </c>
      <c r="I350" s="31" t="str">
        <f aca="false">IF(OR($A350="",$F350=""),"",MAX(0,$D350-$F350))</f>
        <v/>
      </c>
      <c r="J350" s="28" t="str">
        <f aca="false">IF(OR($A350="",$I350=""),"",$I350*IFERROR(INDEX(Supplies!$F$5:$F$104,MATCH($B350,Supplies!$A$5:$A$104,0)),0))</f>
        <v/>
      </c>
    </row>
    <row r="351" customFormat="false" ht="15" hidden="false" customHeight="false" outlineLevel="0" collapsed="false">
      <c r="A351" s="23"/>
      <c r="B351" s="23"/>
      <c r="C351" s="27" t="str">
        <f aca="false">IF($B351="","",IFERROR(INDEX(Supplies!$B$5:$B$104,MATCH($B351,Supplies!$A$5:$A$104,0)),"?"))</f>
        <v/>
      </c>
      <c r="D351" s="32"/>
      <c r="E351" s="32"/>
      <c r="F351" s="32"/>
      <c r="G351" s="22"/>
      <c r="H351" s="27" t="str">
        <f aca="false">IF($A351="","",IF($F351="","Count it",IF($F351&lt;=$E351,"REORDER","OK")))</f>
        <v/>
      </c>
      <c r="I351" s="31" t="str">
        <f aca="false">IF(OR($A351="",$F351=""),"",MAX(0,$D351-$F351))</f>
        <v/>
      </c>
      <c r="J351" s="28" t="str">
        <f aca="false">IF(OR($A351="",$I351=""),"",$I351*IFERROR(INDEX(Supplies!$F$5:$F$104,MATCH($B351,Supplies!$A$5:$A$104,0)),0))</f>
        <v/>
      </c>
    </row>
    <row r="352" customFormat="false" ht="15" hidden="false" customHeight="false" outlineLevel="0" collapsed="false">
      <c r="A352" s="23"/>
      <c r="B352" s="23"/>
      <c r="C352" s="27" t="str">
        <f aca="false">IF($B352="","",IFERROR(INDEX(Supplies!$B$5:$B$104,MATCH($B352,Supplies!$A$5:$A$104,0)),"?"))</f>
        <v/>
      </c>
      <c r="D352" s="32"/>
      <c r="E352" s="32"/>
      <c r="F352" s="32"/>
      <c r="G352" s="22"/>
      <c r="H352" s="27" t="str">
        <f aca="false">IF($A352="","",IF($F352="","Count it",IF($F352&lt;=$E352,"REORDER","OK")))</f>
        <v/>
      </c>
      <c r="I352" s="31" t="str">
        <f aca="false">IF(OR($A352="",$F352=""),"",MAX(0,$D352-$F352))</f>
        <v/>
      </c>
      <c r="J352" s="28" t="str">
        <f aca="false">IF(OR($A352="",$I352=""),"",$I352*IFERROR(INDEX(Supplies!$F$5:$F$104,MATCH($B352,Supplies!$A$5:$A$104,0)),0))</f>
        <v/>
      </c>
    </row>
    <row r="353" customFormat="false" ht="15" hidden="false" customHeight="false" outlineLevel="0" collapsed="false">
      <c r="A353" s="23"/>
      <c r="B353" s="23"/>
      <c r="C353" s="27" t="str">
        <f aca="false">IF($B353="","",IFERROR(INDEX(Supplies!$B$5:$B$104,MATCH($B353,Supplies!$A$5:$A$104,0)),"?"))</f>
        <v/>
      </c>
      <c r="D353" s="32"/>
      <c r="E353" s="32"/>
      <c r="F353" s="32"/>
      <c r="G353" s="22"/>
      <c r="H353" s="27" t="str">
        <f aca="false">IF($A353="","",IF($F353="","Count it",IF($F353&lt;=$E353,"REORDER","OK")))</f>
        <v/>
      </c>
      <c r="I353" s="31" t="str">
        <f aca="false">IF(OR($A353="",$F353=""),"",MAX(0,$D353-$F353))</f>
        <v/>
      </c>
      <c r="J353" s="28" t="str">
        <f aca="false">IF(OR($A353="",$I353=""),"",$I353*IFERROR(INDEX(Supplies!$F$5:$F$104,MATCH($B353,Supplies!$A$5:$A$104,0)),0))</f>
        <v/>
      </c>
    </row>
    <row r="354" customFormat="false" ht="15" hidden="false" customHeight="false" outlineLevel="0" collapsed="false">
      <c r="A354" s="23"/>
      <c r="B354" s="23"/>
      <c r="C354" s="27" t="str">
        <f aca="false">IF($B354="","",IFERROR(INDEX(Supplies!$B$5:$B$104,MATCH($B354,Supplies!$A$5:$A$104,0)),"?"))</f>
        <v/>
      </c>
      <c r="D354" s="32"/>
      <c r="E354" s="32"/>
      <c r="F354" s="32"/>
      <c r="G354" s="22"/>
      <c r="H354" s="27" t="str">
        <f aca="false">IF($A354="","",IF($F354="","Count it",IF($F354&lt;=$E354,"REORDER","OK")))</f>
        <v/>
      </c>
      <c r="I354" s="31" t="str">
        <f aca="false">IF(OR($A354="",$F354=""),"",MAX(0,$D354-$F354))</f>
        <v/>
      </c>
      <c r="J354" s="28" t="str">
        <f aca="false">IF(OR($A354="",$I354=""),"",$I354*IFERROR(INDEX(Supplies!$F$5:$F$104,MATCH($B354,Supplies!$A$5:$A$104,0)),0))</f>
        <v/>
      </c>
    </row>
    <row r="355" customFormat="false" ht="15" hidden="false" customHeight="false" outlineLevel="0" collapsed="false">
      <c r="A355" s="23"/>
      <c r="B355" s="23"/>
      <c r="C355" s="27" t="str">
        <f aca="false">IF($B355="","",IFERROR(INDEX(Supplies!$B$5:$B$104,MATCH($B355,Supplies!$A$5:$A$104,0)),"?"))</f>
        <v/>
      </c>
      <c r="D355" s="32"/>
      <c r="E355" s="32"/>
      <c r="F355" s="32"/>
      <c r="G355" s="22"/>
      <c r="H355" s="27" t="str">
        <f aca="false">IF($A355="","",IF($F355="","Count it",IF($F355&lt;=$E355,"REORDER","OK")))</f>
        <v/>
      </c>
      <c r="I355" s="31" t="str">
        <f aca="false">IF(OR($A355="",$F355=""),"",MAX(0,$D355-$F355))</f>
        <v/>
      </c>
      <c r="J355" s="28" t="str">
        <f aca="false">IF(OR($A355="",$I355=""),"",$I355*IFERROR(INDEX(Supplies!$F$5:$F$104,MATCH($B355,Supplies!$A$5:$A$104,0)),0))</f>
        <v/>
      </c>
    </row>
    <row r="356" customFormat="false" ht="15" hidden="false" customHeight="false" outlineLevel="0" collapsed="false">
      <c r="A356" s="23"/>
      <c r="B356" s="23"/>
      <c r="C356" s="27" t="str">
        <f aca="false">IF($B356="","",IFERROR(INDEX(Supplies!$B$5:$B$104,MATCH($B356,Supplies!$A$5:$A$104,0)),"?"))</f>
        <v/>
      </c>
      <c r="D356" s="32"/>
      <c r="E356" s="32"/>
      <c r="F356" s="32"/>
      <c r="G356" s="22"/>
      <c r="H356" s="27" t="str">
        <f aca="false">IF($A356="","",IF($F356="","Count it",IF($F356&lt;=$E356,"REORDER","OK")))</f>
        <v/>
      </c>
      <c r="I356" s="31" t="str">
        <f aca="false">IF(OR($A356="",$F356=""),"",MAX(0,$D356-$F356))</f>
        <v/>
      </c>
      <c r="J356" s="28" t="str">
        <f aca="false">IF(OR($A356="",$I356=""),"",$I356*IFERROR(INDEX(Supplies!$F$5:$F$104,MATCH($B356,Supplies!$A$5:$A$104,0)),0))</f>
        <v/>
      </c>
    </row>
    <row r="357" customFormat="false" ht="15" hidden="false" customHeight="false" outlineLevel="0" collapsed="false">
      <c r="A357" s="23"/>
      <c r="B357" s="23"/>
      <c r="C357" s="27" t="str">
        <f aca="false">IF($B357="","",IFERROR(INDEX(Supplies!$B$5:$B$104,MATCH($B357,Supplies!$A$5:$A$104,0)),"?"))</f>
        <v/>
      </c>
      <c r="D357" s="32"/>
      <c r="E357" s="32"/>
      <c r="F357" s="32"/>
      <c r="G357" s="22"/>
      <c r="H357" s="27" t="str">
        <f aca="false">IF($A357="","",IF($F357="","Count it",IF($F357&lt;=$E357,"REORDER","OK")))</f>
        <v/>
      </c>
      <c r="I357" s="31" t="str">
        <f aca="false">IF(OR($A357="",$F357=""),"",MAX(0,$D357-$F357))</f>
        <v/>
      </c>
      <c r="J357" s="28" t="str">
        <f aca="false">IF(OR($A357="",$I357=""),"",$I357*IFERROR(INDEX(Supplies!$F$5:$F$104,MATCH($B357,Supplies!$A$5:$A$104,0)),0))</f>
        <v/>
      </c>
    </row>
    <row r="358" customFormat="false" ht="15" hidden="false" customHeight="false" outlineLevel="0" collapsed="false">
      <c r="A358" s="23"/>
      <c r="B358" s="23"/>
      <c r="C358" s="27" t="str">
        <f aca="false">IF($B358="","",IFERROR(INDEX(Supplies!$B$5:$B$104,MATCH($B358,Supplies!$A$5:$A$104,0)),"?"))</f>
        <v/>
      </c>
      <c r="D358" s="32"/>
      <c r="E358" s="32"/>
      <c r="F358" s="32"/>
      <c r="G358" s="22"/>
      <c r="H358" s="27" t="str">
        <f aca="false">IF($A358="","",IF($F358="","Count it",IF($F358&lt;=$E358,"REORDER","OK")))</f>
        <v/>
      </c>
      <c r="I358" s="31" t="str">
        <f aca="false">IF(OR($A358="",$F358=""),"",MAX(0,$D358-$F358))</f>
        <v/>
      </c>
      <c r="J358" s="28" t="str">
        <f aca="false">IF(OR($A358="",$I358=""),"",$I358*IFERROR(INDEX(Supplies!$F$5:$F$104,MATCH($B358,Supplies!$A$5:$A$104,0)),0))</f>
        <v/>
      </c>
    </row>
    <row r="359" customFormat="false" ht="15" hidden="false" customHeight="false" outlineLevel="0" collapsed="false">
      <c r="A359" s="23"/>
      <c r="B359" s="23"/>
      <c r="C359" s="27" t="str">
        <f aca="false">IF($B359="","",IFERROR(INDEX(Supplies!$B$5:$B$104,MATCH($B359,Supplies!$A$5:$A$104,0)),"?"))</f>
        <v/>
      </c>
      <c r="D359" s="32"/>
      <c r="E359" s="32"/>
      <c r="F359" s="32"/>
      <c r="G359" s="22"/>
      <c r="H359" s="27" t="str">
        <f aca="false">IF($A359="","",IF($F359="","Count it",IF($F359&lt;=$E359,"REORDER","OK")))</f>
        <v/>
      </c>
      <c r="I359" s="31" t="str">
        <f aca="false">IF(OR($A359="",$F359=""),"",MAX(0,$D359-$F359))</f>
        <v/>
      </c>
      <c r="J359" s="28" t="str">
        <f aca="false">IF(OR($A359="",$I359=""),"",$I359*IFERROR(INDEX(Supplies!$F$5:$F$104,MATCH($B359,Supplies!$A$5:$A$104,0)),0))</f>
        <v/>
      </c>
    </row>
    <row r="360" customFormat="false" ht="15" hidden="false" customHeight="false" outlineLevel="0" collapsed="false">
      <c r="A360" s="23"/>
      <c r="B360" s="23"/>
      <c r="C360" s="27" t="str">
        <f aca="false">IF($B360="","",IFERROR(INDEX(Supplies!$B$5:$B$104,MATCH($B360,Supplies!$A$5:$A$104,0)),"?"))</f>
        <v/>
      </c>
      <c r="D360" s="32"/>
      <c r="E360" s="32"/>
      <c r="F360" s="32"/>
      <c r="G360" s="22"/>
      <c r="H360" s="27" t="str">
        <f aca="false">IF($A360="","",IF($F360="","Count it",IF($F360&lt;=$E360,"REORDER","OK")))</f>
        <v/>
      </c>
      <c r="I360" s="31" t="str">
        <f aca="false">IF(OR($A360="",$F360=""),"",MAX(0,$D360-$F360))</f>
        <v/>
      </c>
      <c r="J360" s="28" t="str">
        <f aca="false">IF(OR($A360="",$I360=""),"",$I360*IFERROR(INDEX(Supplies!$F$5:$F$104,MATCH($B360,Supplies!$A$5:$A$104,0)),0))</f>
        <v/>
      </c>
    </row>
    <row r="361" customFormat="false" ht="15" hidden="false" customHeight="false" outlineLevel="0" collapsed="false">
      <c r="A361" s="23"/>
      <c r="B361" s="23"/>
      <c r="C361" s="27" t="str">
        <f aca="false">IF($B361="","",IFERROR(INDEX(Supplies!$B$5:$B$104,MATCH($B361,Supplies!$A$5:$A$104,0)),"?"))</f>
        <v/>
      </c>
      <c r="D361" s="32"/>
      <c r="E361" s="32"/>
      <c r="F361" s="32"/>
      <c r="G361" s="22"/>
      <c r="H361" s="27" t="str">
        <f aca="false">IF($A361="","",IF($F361="","Count it",IF($F361&lt;=$E361,"REORDER","OK")))</f>
        <v/>
      </c>
      <c r="I361" s="31" t="str">
        <f aca="false">IF(OR($A361="",$F361=""),"",MAX(0,$D361-$F361))</f>
        <v/>
      </c>
      <c r="J361" s="28" t="str">
        <f aca="false">IF(OR($A361="",$I361=""),"",$I361*IFERROR(INDEX(Supplies!$F$5:$F$104,MATCH($B361,Supplies!$A$5:$A$104,0)),0))</f>
        <v/>
      </c>
    </row>
    <row r="362" customFormat="false" ht="15" hidden="false" customHeight="false" outlineLevel="0" collapsed="false">
      <c r="A362" s="23"/>
      <c r="B362" s="23"/>
      <c r="C362" s="27" t="str">
        <f aca="false">IF($B362="","",IFERROR(INDEX(Supplies!$B$5:$B$104,MATCH($B362,Supplies!$A$5:$A$104,0)),"?"))</f>
        <v/>
      </c>
      <c r="D362" s="32"/>
      <c r="E362" s="32"/>
      <c r="F362" s="32"/>
      <c r="G362" s="22"/>
      <c r="H362" s="27" t="str">
        <f aca="false">IF($A362="","",IF($F362="","Count it",IF($F362&lt;=$E362,"REORDER","OK")))</f>
        <v/>
      </c>
      <c r="I362" s="31" t="str">
        <f aca="false">IF(OR($A362="",$F362=""),"",MAX(0,$D362-$F362))</f>
        <v/>
      </c>
      <c r="J362" s="28" t="str">
        <f aca="false">IF(OR($A362="",$I362=""),"",$I362*IFERROR(INDEX(Supplies!$F$5:$F$104,MATCH($B362,Supplies!$A$5:$A$104,0)),0))</f>
        <v/>
      </c>
    </row>
    <row r="363" customFormat="false" ht="15" hidden="false" customHeight="false" outlineLevel="0" collapsed="false">
      <c r="A363" s="23"/>
      <c r="B363" s="23"/>
      <c r="C363" s="27" t="str">
        <f aca="false">IF($B363="","",IFERROR(INDEX(Supplies!$B$5:$B$104,MATCH($B363,Supplies!$A$5:$A$104,0)),"?"))</f>
        <v/>
      </c>
      <c r="D363" s="32"/>
      <c r="E363" s="32"/>
      <c r="F363" s="32"/>
      <c r="G363" s="22"/>
      <c r="H363" s="27" t="str">
        <f aca="false">IF($A363="","",IF($F363="","Count it",IF($F363&lt;=$E363,"REORDER","OK")))</f>
        <v/>
      </c>
      <c r="I363" s="31" t="str">
        <f aca="false">IF(OR($A363="",$F363=""),"",MAX(0,$D363-$F363))</f>
        <v/>
      </c>
      <c r="J363" s="28" t="str">
        <f aca="false">IF(OR($A363="",$I363=""),"",$I363*IFERROR(INDEX(Supplies!$F$5:$F$104,MATCH($B363,Supplies!$A$5:$A$104,0)),0))</f>
        <v/>
      </c>
    </row>
    <row r="364" customFormat="false" ht="15" hidden="false" customHeight="false" outlineLevel="0" collapsed="false">
      <c r="A364" s="23"/>
      <c r="B364" s="23"/>
      <c r="C364" s="27" t="str">
        <f aca="false">IF($B364="","",IFERROR(INDEX(Supplies!$B$5:$B$104,MATCH($B364,Supplies!$A$5:$A$104,0)),"?"))</f>
        <v/>
      </c>
      <c r="D364" s="32"/>
      <c r="E364" s="32"/>
      <c r="F364" s="32"/>
      <c r="G364" s="22"/>
      <c r="H364" s="27" t="str">
        <f aca="false">IF($A364="","",IF($F364="","Count it",IF($F364&lt;=$E364,"REORDER","OK")))</f>
        <v/>
      </c>
      <c r="I364" s="31" t="str">
        <f aca="false">IF(OR($A364="",$F364=""),"",MAX(0,$D364-$F364))</f>
        <v/>
      </c>
      <c r="J364" s="28" t="str">
        <f aca="false">IF(OR($A364="",$I364=""),"",$I364*IFERROR(INDEX(Supplies!$F$5:$F$104,MATCH($B364,Supplies!$A$5:$A$104,0)),0))</f>
        <v/>
      </c>
    </row>
    <row r="365" customFormat="false" ht="15" hidden="false" customHeight="false" outlineLevel="0" collapsed="false">
      <c r="A365" s="23"/>
      <c r="B365" s="23"/>
      <c r="C365" s="27" t="str">
        <f aca="false">IF($B365="","",IFERROR(INDEX(Supplies!$B$5:$B$104,MATCH($B365,Supplies!$A$5:$A$104,0)),"?"))</f>
        <v/>
      </c>
      <c r="D365" s="32"/>
      <c r="E365" s="32"/>
      <c r="F365" s="32"/>
      <c r="G365" s="22"/>
      <c r="H365" s="27" t="str">
        <f aca="false">IF($A365="","",IF($F365="","Count it",IF($F365&lt;=$E365,"REORDER","OK")))</f>
        <v/>
      </c>
      <c r="I365" s="31" t="str">
        <f aca="false">IF(OR($A365="",$F365=""),"",MAX(0,$D365-$F365))</f>
        <v/>
      </c>
      <c r="J365" s="28" t="str">
        <f aca="false">IF(OR($A365="",$I365=""),"",$I365*IFERROR(INDEX(Supplies!$F$5:$F$104,MATCH($B365,Supplies!$A$5:$A$104,0)),0))</f>
        <v/>
      </c>
    </row>
    <row r="366" customFormat="false" ht="15" hidden="false" customHeight="false" outlineLevel="0" collapsed="false">
      <c r="A366" s="23"/>
      <c r="B366" s="23"/>
      <c r="C366" s="27" t="str">
        <f aca="false">IF($B366="","",IFERROR(INDEX(Supplies!$B$5:$B$104,MATCH($B366,Supplies!$A$5:$A$104,0)),"?"))</f>
        <v/>
      </c>
      <c r="D366" s="32"/>
      <c r="E366" s="32"/>
      <c r="F366" s="32"/>
      <c r="G366" s="22"/>
      <c r="H366" s="27" t="str">
        <f aca="false">IF($A366="","",IF($F366="","Count it",IF($F366&lt;=$E366,"REORDER","OK")))</f>
        <v/>
      </c>
      <c r="I366" s="31" t="str">
        <f aca="false">IF(OR($A366="",$F366=""),"",MAX(0,$D366-$F366))</f>
        <v/>
      </c>
      <c r="J366" s="28" t="str">
        <f aca="false">IF(OR($A366="",$I366=""),"",$I366*IFERROR(INDEX(Supplies!$F$5:$F$104,MATCH($B366,Supplies!$A$5:$A$104,0)),0))</f>
        <v/>
      </c>
    </row>
    <row r="367" customFormat="false" ht="15" hidden="false" customHeight="false" outlineLevel="0" collapsed="false">
      <c r="A367" s="23"/>
      <c r="B367" s="23"/>
      <c r="C367" s="27" t="str">
        <f aca="false">IF($B367="","",IFERROR(INDEX(Supplies!$B$5:$B$104,MATCH($B367,Supplies!$A$5:$A$104,0)),"?"))</f>
        <v/>
      </c>
      <c r="D367" s="32"/>
      <c r="E367" s="32"/>
      <c r="F367" s="32"/>
      <c r="G367" s="22"/>
      <c r="H367" s="27" t="str">
        <f aca="false">IF($A367="","",IF($F367="","Count it",IF($F367&lt;=$E367,"REORDER","OK")))</f>
        <v/>
      </c>
      <c r="I367" s="31" t="str">
        <f aca="false">IF(OR($A367="",$F367=""),"",MAX(0,$D367-$F367))</f>
        <v/>
      </c>
      <c r="J367" s="28" t="str">
        <f aca="false">IF(OR($A367="",$I367=""),"",$I367*IFERROR(INDEX(Supplies!$F$5:$F$104,MATCH($B367,Supplies!$A$5:$A$104,0)),0))</f>
        <v/>
      </c>
    </row>
    <row r="368" customFormat="false" ht="15" hidden="false" customHeight="false" outlineLevel="0" collapsed="false">
      <c r="A368" s="23"/>
      <c r="B368" s="23"/>
      <c r="C368" s="27" t="str">
        <f aca="false">IF($B368="","",IFERROR(INDEX(Supplies!$B$5:$B$104,MATCH($B368,Supplies!$A$5:$A$104,0)),"?"))</f>
        <v/>
      </c>
      <c r="D368" s="32"/>
      <c r="E368" s="32"/>
      <c r="F368" s="32"/>
      <c r="G368" s="22"/>
      <c r="H368" s="27" t="str">
        <f aca="false">IF($A368="","",IF($F368="","Count it",IF($F368&lt;=$E368,"REORDER","OK")))</f>
        <v/>
      </c>
      <c r="I368" s="31" t="str">
        <f aca="false">IF(OR($A368="",$F368=""),"",MAX(0,$D368-$F368))</f>
        <v/>
      </c>
      <c r="J368" s="28" t="str">
        <f aca="false">IF(OR($A368="",$I368=""),"",$I368*IFERROR(INDEX(Supplies!$F$5:$F$104,MATCH($B368,Supplies!$A$5:$A$104,0)),0))</f>
        <v/>
      </c>
    </row>
    <row r="369" customFormat="false" ht="15" hidden="false" customHeight="false" outlineLevel="0" collapsed="false">
      <c r="A369" s="23"/>
      <c r="B369" s="23"/>
      <c r="C369" s="27" t="str">
        <f aca="false">IF($B369="","",IFERROR(INDEX(Supplies!$B$5:$B$104,MATCH($B369,Supplies!$A$5:$A$104,0)),"?"))</f>
        <v/>
      </c>
      <c r="D369" s="32"/>
      <c r="E369" s="32"/>
      <c r="F369" s="32"/>
      <c r="G369" s="22"/>
      <c r="H369" s="27" t="str">
        <f aca="false">IF($A369="","",IF($F369="","Count it",IF($F369&lt;=$E369,"REORDER","OK")))</f>
        <v/>
      </c>
      <c r="I369" s="31" t="str">
        <f aca="false">IF(OR($A369="",$F369=""),"",MAX(0,$D369-$F369))</f>
        <v/>
      </c>
      <c r="J369" s="28" t="str">
        <f aca="false">IF(OR($A369="",$I369=""),"",$I369*IFERROR(INDEX(Supplies!$F$5:$F$104,MATCH($B369,Supplies!$A$5:$A$104,0)),0))</f>
        <v/>
      </c>
    </row>
    <row r="370" customFormat="false" ht="15" hidden="false" customHeight="false" outlineLevel="0" collapsed="false">
      <c r="A370" s="23"/>
      <c r="B370" s="23"/>
      <c r="C370" s="27" t="str">
        <f aca="false">IF($B370="","",IFERROR(INDEX(Supplies!$B$5:$B$104,MATCH($B370,Supplies!$A$5:$A$104,0)),"?"))</f>
        <v/>
      </c>
      <c r="D370" s="32"/>
      <c r="E370" s="32"/>
      <c r="F370" s="32"/>
      <c r="G370" s="22"/>
      <c r="H370" s="27" t="str">
        <f aca="false">IF($A370="","",IF($F370="","Count it",IF($F370&lt;=$E370,"REORDER","OK")))</f>
        <v/>
      </c>
      <c r="I370" s="31" t="str">
        <f aca="false">IF(OR($A370="",$F370=""),"",MAX(0,$D370-$F370))</f>
        <v/>
      </c>
      <c r="J370" s="28" t="str">
        <f aca="false">IF(OR($A370="",$I370=""),"",$I370*IFERROR(INDEX(Supplies!$F$5:$F$104,MATCH($B370,Supplies!$A$5:$A$104,0)),0))</f>
        <v/>
      </c>
    </row>
    <row r="371" customFormat="false" ht="15" hidden="false" customHeight="false" outlineLevel="0" collapsed="false">
      <c r="A371" s="23"/>
      <c r="B371" s="23"/>
      <c r="C371" s="27" t="str">
        <f aca="false">IF($B371="","",IFERROR(INDEX(Supplies!$B$5:$B$104,MATCH($B371,Supplies!$A$5:$A$104,0)),"?"))</f>
        <v/>
      </c>
      <c r="D371" s="32"/>
      <c r="E371" s="32"/>
      <c r="F371" s="32"/>
      <c r="G371" s="22"/>
      <c r="H371" s="27" t="str">
        <f aca="false">IF($A371="","",IF($F371="","Count it",IF($F371&lt;=$E371,"REORDER","OK")))</f>
        <v/>
      </c>
      <c r="I371" s="31" t="str">
        <f aca="false">IF(OR($A371="",$F371=""),"",MAX(0,$D371-$F371))</f>
        <v/>
      </c>
      <c r="J371" s="28" t="str">
        <f aca="false">IF(OR($A371="",$I371=""),"",$I371*IFERROR(INDEX(Supplies!$F$5:$F$104,MATCH($B371,Supplies!$A$5:$A$104,0)),0))</f>
        <v/>
      </c>
    </row>
    <row r="372" customFormat="false" ht="15" hidden="false" customHeight="false" outlineLevel="0" collapsed="false">
      <c r="A372" s="23"/>
      <c r="B372" s="23"/>
      <c r="C372" s="27" t="str">
        <f aca="false">IF($B372="","",IFERROR(INDEX(Supplies!$B$5:$B$104,MATCH($B372,Supplies!$A$5:$A$104,0)),"?"))</f>
        <v/>
      </c>
      <c r="D372" s="32"/>
      <c r="E372" s="32"/>
      <c r="F372" s="32"/>
      <c r="G372" s="22"/>
      <c r="H372" s="27" t="str">
        <f aca="false">IF($A372="","",IF($F372="","Count it",IF($F372&lt;=$E372,"REORDER","OK")))</f>
        <v/>
      </c>
      <c r="I372" s="31" t="str">
        <f aca="false">IF(OR($A372="",$F372=""),"",MAX(0,$D372-$F372))</f>
        <v/>
      </c>
      <c r="J372" s="28" t="str">
        <f aca="false">IF(OR($A372="",$I372=""),"",$I372*IFERROR(INDEX(Supplies!$F$5:$F$104,MATCH($B372,Supplies!$A$5:$A$104,0)),0))</f>
        <v/>
      </c>
    </row>
    <row r="373" customFormat="false" ht="15" hidden="false" customHeight="false" outlineLevel="0" collapsed="false">
      <c r="A373" s="23"/>
      <c r="B373" s="23"/>
      <c r="C373" s="27" t="str">
        <f aca="false">IF($B373="","",IFERROR(INDEX(Supplies!$B$5:$B$104,MATCH($B373,Supplies!$A$5:$A$104,0)),"?"))</f>
        <v/>
      </c>
      <c r="D373" s="32"/>
      <c r="E373" s="32"/>
      <c r="F373" s="32"/>
      <c r="G373" s="22"/>
      <c r="H373" s="27" t="str">
        <f aca="false">IF($A373="","",IF($F373="","Count it",IF($F373&lt;=$E373,"REORDER","OK")))</f>
        <v/>
      </c>
      <c r="I373" s="31" t="str">
        <f aca="false">IF(OR($A373="",$F373=""),"",MAX(0,$D373-$F373))</f>
        <v/>
      </c>
      <c r="J373" s="28" t="str">
        <f aca="false">IF(OR($A373="",$I373=""),"",$I373*IFERROR(INDEX(Supplies!$F$5:$F$104,MATCH($B373,Supplies!$A$5:$A$104,0)),0))</f>
        <v/>
      </c>
    </row>
    <row r="374" customFormat="false" ht="15" hidden="false" customHeight="false" outlineLevel="0" collapsed="false">
      <c r="A374" s="23"/>
      <c r="B374" s="23"/>
      <c r="C374" s="27" t="str">
        <f aca="false">IF($B374="","",IFERROR(INDEX(Supplies!$B$5:$B$104,MATCH($B374,Supplies!$A$5:$A$104,0)),"?"))</f>
        <v/>
      </c>
      <c r="D374" s="32"/>
      <c r="E374" s="32"/>
      <c r="F374" s="32"/>
      <c r="G374" s="22"/>
      <c r="H374" s="27" t="str">
        <f aca="false">IF($A374="","",IF($F374="","Count it",IF($F374&lt;=$E374,"REORDER","OK")))</f>
        <v/>
      </c>
      <c r="I374" s="31" t="str">
        <f aca="false">IF(OR($A374="",$F374=""),"",MAX(0,$D374-$F374))</f>
        <v/>
      </c>
      <c r="J374" s="28" t="str">
        <f aca="false">IF(OR($A374="",$I374=""),"",$I374*IFERROR(INDEX(Supplies!$F$5:$F$104,MATCH($B374,Supplies!$A$5:$A$104,0)),0))</f>
        <v/>
      </c>
    </row>
    <row r="375" customFormat="false" ht="15" hidden="false" customHeight="false" outlineLevel="0" collapsed="false">
      <c r="A375" s="23"/>
      <c r="B375" s="23"/>
      <c r="C375" s="27" t="str">
        <f aca="false">IF($B375="","",IFERROR(INDEX(Supplies!$B$5:$B$104,MATCH($B375,Supplies!$A$5:$A$104,0)),"?"))</f>
        <v/>
      </c>
      <c r="D375" s="32"/>
      <c r="E375" s="32"/>
      <c r="F375" s="32"/>
      <c r="G375" s="22"/>
      <c r="H375" s="27" t="str">
        <f aca="false">IF($A375="","",IF($F375="","Count it",IF($F375&lt;=$E375,"REORDER","OK")))</f>
        <v/>
      </c>
      <c r="I375" s="31" t="str">
        <f aca="false">IF(OR($A375="",$F375=""),"",MAX(0,$D375-$F375))</f>
        <v/>
      </c>
      <c r="J375" s="28" t="str">
        <f aca="false">IF(OR($A375="",$I375=""),"",$I375*IFERROR(INDEX(Supplies!$F$5:$F$104,MATCH($B375,Supplies!$A$5:$A$104,0)),0))</f>
        <v/>
      </c>
    </row>
    <row r="376" customFormat="false" ht="15" hidden="false" customHeight="false" outlineLevel="0" collapsed="false">
      <c r="A376" s="23"/>
      <c r="B376" s="23"/>
      <c r="C376" s="27" t="str">
        <f aca="false">IF($B376="","",IFERROR(INDEX(Supplies!$B$5:$B$104,MATCH($B376,Supplies!$A$5:$A$104,0)),"?"))</f>
        <v/>
      </c>
      <c r="D376" s="32"/>
      <c r="E376" s="32"/>
      <c r="F376" s="32"/>
      <c r="G376" s="22"/>
      <c r="H376" s="27" t="str">
        <f aca="false">IF($A376="","",IF($F376="","Count it",IF($F376&lt;=$E376,"REORDER","OK")))</f>
        <v/>
      </c>
      <c r="I376" s="31" t="str">
        <f aca="false">IF(OR($A376="",$F376=""),"",MAX(0,$D376-$F376))</f>
        <v/>
      </c>
      <c r="J376" s="28" t="str">
        <f aca="false">IF(OR($A376="",$I376=""),"",$I376*IFERROR(INDEX(Supplies!$F$5:$F$104,MATCH($B376,Supplies!$A$5:$A$104,0)),0))</f>
        <v/>
      </c>
    </row>
    <row r="377" customFormat="false" ht="15" hidden="false" customHeight="false" outlineLevel="0" collapsed="false">
      <c r="A377" s="23"/>
      <c r="B377" s="23"/>
      <c r="C377" s="27" t="str">
        <f aca="false">IF($B377="","",IFERROR(INDEX(Supplies!$B$5:$B$104,MATCH($B377,Supplies!$A$5:$A$104,0)),"?"))</f>
        <v/>
      </c>
      <c r="D377" s="32"/>
      <c r="E377" s="32"/>
      <c r="F377" s="32"/>
      <c r="G377" s="22"/>
      <c r="H377" s="27" t="str">
        <f aca="false">IF($A377="","",IF($F377="","Count it",IF($F377&lt;=$E377,"REORDER","OK")))</f>
        <v/>
      </c>
      <c r="I377" s="31" t="str">
        <f aca="false">IF(OR($A377="",$F377=""),"",MAX(0,$D377-$F377))</f>
        <v/>
      </c>
      <c r="J377" s="28" t="str">
        <f aca="false">IF(OR($A377="",$I377=""),"",$I377*IFERROR(INDEX(Supplies!$F$5:$F$104,MATCH($B377,Supplies!$A$5:$A$104,0)),0))</f>
        <v/>
      </c>
    </row>
    <row r="378" customFormat="false" ht="15" hidden="false" customHeight="false" outlineLevel="0" collapsed="false">
      <c r="A378" s="23"/>
      <c r="B378" s="23"/>
      <c r="C378" s="27" t="str">
        <f aca="false">IF($B378="","",IFERROR(INDEX(Supplies!$B$5:$B$104,MATCH($B378,Supplies!$A$5:$A$104,0)),"?"))</f>
        <v/>
      </c>
      <c r="D378" s="32"/>
      <c r="E378" s="32"/>
      <c r="F378" s="32"/>
      <c r="G378" s="22"/>
      <c r="H378" s="27" t="str">
        <f aca="false">IF($A378="","",IF($F378="","Count it",IF($F378&lt;=$E378,"REORDER","OK")))</f>
        <v/>
      </c>
      <c r="I378" s="31" t="str">
        <f aca="false">IF(OR($A378="",$F378=""),"",MAX(0,$D378-$F378))</f>
        <v/>
      </c>
      <c r="J378" s="28" t="str">
        <f aca="false">IF(OR($A378="",$I378=""),"",$I378*IFERROR(INDEX(Supplies!$F$5:$F$104,MATCH($B378,Supplies!$A$5:$A$104,0)),0))</f>
        <v/>
      </c>
    </row>
    <row r="379" customFormat="false" ht="15" hidden="false" customHeight="false" outlineLevel="0" collapsed="false">
      <c r="A379" s="23"/>
      <c r="B379" s="23"/>
      <c r="C379" s="27" t="str">
        <f aca="false">IF($B379="","",IFERROR(INDEX(Supplies!$B$5:$B$104,MATCH($B379,Supplies!$A$5:$A$104,0)),"?"))</f>
        <v/>
      </c>
      <c r="D379" s="32"/>
      <c r="E379" s="32"/>
      <c r="F379" s="32"/>
      <c r="G379" s="22"/>
      <c r="H379" s="27" t="str">
        <f aca="false">IF($A379="","",IF($F379="","Count it",IF($F379&lt;=$E379,"REORDER","OK")))</f>
        <v/>
      </c>
      <c r="I379" s="31" t="str">
        <f aca="false">IF(OR($A379="",$F379=""),"",MAX(0,$D379-$F379))</f>
        <v/>
      </c>
      <c r="J379" s="28" t="str">
        <f aca="false">IF(OR($A379="",$I379=""),"",$I379*IFERROR(INDEX(Supplies!$F$5:$F$104,MATCH($B379,Supplies!$A$5:$A$104,0)),0))</f>
        <v/>
      </c>
    </row>
    <row r="380" customFormat="false" ht="15" hidden="false" customHeight="false" outlineLevel="0" collapsed="false">
      <c r="A380" s="23"/>
      <c r="B380" s="23"/>
      <c r="C380" s="27" t="str">
        <f aca="false">IF($B380="","",IFERROR(INDEX(Supplies!$B$5:$B$104,MATCH($B380,Supplies!$A$5:$A$104,0)),"?"))</f>
        <v/>
      </c>
      <c r="D380" s="32"/>
      <c r="E380" s="32"/>
      <c r="F380" s="32"/>
      <c r="G380" s="22"/>
      <c r="H380" s="27" t="str">
        <f aca="false">IF($A380="","",IF($F380="","Count it",IF($F380&lt;=$E380,"REORDER","OK")))</f>
        <v/>
      </c>
      <c r="I380" s="31" t="str">
        <f aca="false">IF(OR($A380="",$F380=""),"",MAX(0,$D380-$F380))</f>
        <v/>
      </c>
      <c r="J380" s="28" t="str">
        <f aca="false">IF(OR($A380="",$I380=""),"",$I380*IFERROR(INDEX(Supplies!$F$5:$F$104,MATCH($B380,Supplies!$A$5:$A$104,0)),0))</f>
        <v/>
      </c>
    </row>
    <row r="381" customFormat="false" ht="15" hidden="false" customHeight="false" outlineLevel="0" collapsed="false">
      <c r="A381" s="23"/>
      <c r="B381" s="23"/>
      <c r="C381" s="27" t="str">
        <f aca="false">IF($B381="","",IFERROR(INDEX(Supplies!$B$5:$B$104,MATCH($B381,Supplies!$A$5:$A$104,0)),"?"))</f>
        <v/>
      </c>
      <c r="D381" s="32"/>
      <c r="E381" s="32"/>
      <c r="F381" s="32"/>
      <c r="G381" s="22"/>
      <c r="H381" s="27" t="str">
        <f aca="false">IF($A381="","",IF($F381="","Count it",IF($F381&lt;=$E381,"REORDER","OK")))</f>
        <v/>
      </c>
      <c r="I381" s="31" t="str">
        <f aca="false">IF(OR($A381="",$F381=""),"",MAX(0,$D381-$F381))</f>
        <v/>
      </c>
      <c r="J381" s="28" t="str">
        <f aca="false">IF(OR($A381="",$I381=""),"",$I381*IFERROR(INDEX(Supplies!$F$5:$F$104,MATCH($B381,Supplies!$A$5:$A$104,0)),0))</f>
        <v/>
      </c>
    </row>
    <row r="382" customFormat="false" ht="15" hidden="false" customHeight="false" outlineLevel="0" collapsed="false">
      <c r="A382" s="23"/>
      <c r="B382" s="23"/>
      <c r="C382" s="27" t="str">
        <f aca="false">IF($B382="","",IFERROR(INDEX(Supplies!$B$5:$B$104,MATCH($B382,Supplies!$A$5:$A$104,0)),"?"))</f>
        <v/>
      </c>
      <c r="D382" s="32"/>
      <c r="E382" s="32"/>
      <c r="F382" s="32"/>
      <c r="G382" s="22"/>
      <c r="H382" s="27" t="str">
        <f aca="false">IF($A382="","",IF($F382="","Count it",IF($F382&lt;=$E382,"REORDER","OK")))</f>
        <v/>
      </c>
      <c r="I382" s="31" t="str">
        <f aca="false">IF(OR($A382="",$F382=""),"",MAX(0,$D382-$F382))</f>
        <v/>
      </c>
      <c r="J382" s="28" t="str">
        <f aca="false">IF(OR($A382="",$I382=""),"",$I382*IFERROR(INDEX(Supplies!$F$5:$F$104,MATCH($B382,Supplies!$A$5:$A$104,0)),0))</f>
        <v/>
      </c>
    </row>
    <row r="383" customFormat="false" ht="15" hidden="false" customHeight="false" outlineLevel="0" collapsed="false">
      <c r="A383" s="23"/>
      <c r="B383" s="23"/>
      <c r="C383" s="27" t="str">
        <f aca="false">IF($B383="","",IFERROR(INDEX(Supplies!$B$5:$B$104,MATCH($B383,Supplies!$A$5:$A$104,0)),"?"))</f>
        <v/>
      </c>
      <c r="D383" s="32"/>
      <c r="E383" s="32"/>
      <c r="F383" s="32"/>
      <c r="G383" s="22"/>
      <c r="H383" s="27" t="str">
        <f aca="false">IF($A383="","",IF($F383="","Count it",IF($F383&lt;=$E383,"REORDER","OK")))</f>
        <v/>
      </c>
      <c r="I383" s="31" t="str">
        <f aca="false">IF(OR($A383="",$F383=""),"",MAX(0,$D383-$F383))</f>
        <v/>
      </c>
      <c r="J383" s="28" t="str">
        <f aca="false">IF(OR($A383="",$I383=""),"",$I383*IFERROR(INDEX(Supplies!$F$5:$F$104,MATCH($B383,Supplies!$A$5:$A$104,0)),0))</f>
        <v/>
      </c>
    </row>
    <row r="384" customFormat="false" ht="15" hidden="false" customHeight="false" outlineLevel="0" collapsed="false">
      <c r="A384" s="23"/>
      <c r="B384" s="23"/>
      <c r="C384" s="27" t="str">
        <f aca="false">IF($B384="","",IFERROR(INDEX(Supplies!$B$5:$B$104,MATCH($B384,Supplies!$A$5:$A$104,0)),"?"))</f>
        <v/>
      </c>
      <c r="D384" s="32"/>
      <c r="E384" s="32"/>
      <c r="F384" s="32"/>
      <c r="G384" s="22"/>
      <c r="H384" s="27" t="str">
        <f aca="false">IF($A384="","",IF($F384="","Count it",IF($F384&lt;=$E384,"REORDER","OK")))</f>
        <v/>
      </c>
      <c r="I384" s="31" t="str">
        <f aca="false">IF(OR($A384="",$F384=""),"",MAX(0,$D384-$F384))</f>
        <v/>
      </c>
      <c r="J384" s="28" t="str">
        <f aca="false">IF(OR($A384="",$I384=""),"",$I384*IFERROR(INDEX(Supplies!$F$5:$F$104,MATCH($B384,Supplies!$A$5:$A$104,0)),0))</f>
        <v/>
      </c>
    </row>
    <row r="385" customFormat="false" ht="15" hidden="false" customHeight="false" outlineLevel="0" collapsed="false">
      <c r="A385" s="23"/>
      <c r="B385" s="23"/>
      <c r="C385" s="27" t="str">
        <f aca="false">IF($B385="","",IFERROR(INDEX(Supplies!$B$5:$B$104,MATCH($B385,Supplies!$A$5:$A$104,0)),"?"))</f>
        <v/>
      </c>
      <c r="D385" s="32"/>
      <c r="E385" s="32"/>
      <c r="F385" s="32"/>
      <c r="G385" s="22"/>
      <c r="H385" s="27" t="str">
        <f aca="false">IF($A385="","",IF($F385="","Count it",IF($F385&lt;=$E385,"REORDER","OK")))</f>
        <v/>
      </c>
      <c r="I385" s="31" t="str">
        <f aca="false">IF(OR($A385="",$F385=""),"",MAX(0,$D385-$F385))</f>
        <v/>
      </c>
      <c r="J385" s="28" t="str">
        <f aca="false">IF(OR($A385="",$I385=""),"",$I385*IFERROR(INDEX(Supplies!$F$5:$F$104,MATCH($B385,Supplies!$A$5:$A$104,0)),0))</f>
        <v/>
      </c>
    </row>
    <row r="386" customFormat="false" ht="15" hidden="false" customHeight="false" outlineLevel="0" collapsed="false">
      <c r="A386" s="23"/>
      <c r="B386" s="23"/>
      <c r="C386" s="27" t="str">
        <f aca="false">IF($B386="","",IFERROR(INDEX(Supplies!$B$5:$B$104,MATCH($B386,Supplies!$A$5:$A$104,0)),"?"))</f>
        <v/>
      </c>
      <c r="D386" s="32"/>
      <c r="E386" s="32"/>
      <c r="F386" s="32"/>
      <c r="G386" s="22"/>
      <c r="H386" s="27" t="str">
        <f aca="false">IF($A386="","",IF($F386="","Count it",IF($F386&lt;=$E386,"REORDER","OK")))</f>
        <v/>
      </c>
      <c r="I386" s="31" t="str">
        <f aca="false">IF(OR($A386="",$F386=""),"",MAX(0,$D386-$F386))</f>
        <v/>
      </c>
      <c r="J386" s="28" t="str">
        <f aca="false">IF(OR($A386="",$I386=""),"",$I386*IFERROR(INDEX(Supplies!$F$5:$F$104,MATCH($B386,Supplies!$A$5:$A$104,0)),0))</f>
        <v/>
      </c>
    </row>
    <row r="387" customFormat="false" ht="15" hidden="false" customHeight="false" outlineLevel="0" collapsed="false">
      <c r="A387" s="23"/>
      <c r="B387" s="23"/>
      <c r="C387" s="27" t="str">
        <f aca="false">IF($B387="","",IFERROR(INDEX(Supplies!$B$5:$B$104,MATCH($B387,Supplies!$A$5:$A$104,0)),"?"))</f>
        <v/>
      </c>
      <c r="D387" s="32"/>
      <c r="E387" s="32"/>
      <c r="F387" s="32"/>
      <c r="G387" s="22"/>
      <c r="H387" s="27" t="str">
        <f aca="false">IF($A387="","",IF($F387="","Count it",IF($F387&lt;=$E387,"REORDER","OK")))</f>
        <v/>
      </c>
      <c r="I387" s="31" t="str">
        <f aca="false">IF(OR($A387="",$F387=""),"",MAX(0,$D387-$F387))</f>
        <v/>
      </c>
      <c r="J387" s="28" t="str">
        <f aca="false">IF(OR($A387="",$I387=""),"",$I387*IFERROR(INDEX(Supplies!$F$5:$F$104,MATCH($B387,Supplies!$A$5:$A$104,0)),0))</f>
        <v/>
      </c>
    </row>
    <row r="388" customFormat="false" ht="15" hidden="false" customHeight="false" outlineLevel="0" collapsed="false">
      <c r="A388" s="23"/>
      <c r="B388" s="23"/>
      <c r="C388" s="27" t="str">
        <f aca="false">IF($B388="","",IFERROR(INDEX(Supplies!$B$5:$B$104,MATCH($B388,Supplies!$A$5:$A$104,0)),"?"))</f>
        <v/>
      </c>
      <c r="D388" s="32"/>
      <c r="E388" s="32"/>
      <c r="F388" s="32"/>
      <c r="G388" s="22"/>
      <c r="H388" s="27" t="str">
        <f aca="false">IF($A388="","",IF($F388="","Count it",IF($F388&lt;=$E388,"REORDER","OK")))</f>
        <v/>
      </c>
      <c r="I388" s="31" t="str">
        <f aca="false">IF(OR($A388="",$F388=""),"",MAX(0,$D388-$F388))</f>
        <v/>
      </c>
      <c r="J388" s="28" t="str">
        <f aca="false">IF(OR($A388="",$I388=""),"",$I388*IFERROR(INDEX(Supplies!$F$5:$F$104,MATCH($B388,Supplies!$A$5:$A$104,0)),0))</f>
        <v/>
      </c>
    </row>
    <row r="389" customFormat="false" ht="15" hidden="false" customHeight="false" outlineLevel="0" collapsed="false">
      <c r="A389" s="23"/>
      <c r="B389" s="23"/>
      <c r="C389" s="27" t="str">
        <f aca="false">IF($B389="","",IFERROR(INDEX(Supplies!$B$5:$B$104,MATCH($B389,Supplies!$A$5:$A$104,0)),"?"))</f>
        <v/>
      </c>
      <c r="D389" s="32"/>
      <c r="E389" s="32"/>
      <c r="F389" s="32"/>
      <c r="G389" s="22"/>
      <c r="H389" s="27" t="str">
        <f aca="false">IF($A389="","",IF($F389="","Count it",IF($F389&lt;=$E389,"REORDER","OK")))</f>
        <v/>
      </c>
      <c r="I389" s="31" t="str">
        <f aca="false">IF(OR($A389="",$F389=""),"",MAX(0,$D389-$F389))</f>
        <v/>
      </c>
      <c r="J389" s="28" t="str">
        <f aca="false">IF(OR($A389="",$I389=""),"",$I389*IFERROR(INDEX(Supplies!$F$5:$F$104,MATCH($B389,Supplies!$A$5:$A$104,0)),0))</f>
        <v/>
      </c>
    </row>
    <row r="390" customFormat="false" ht="15" hidden="false" customHeight="false" outlineLevel="0" collapsed="false">
      <c r="A390" s="23"/>
      <c r="B390" s="23"/>
      <c r="C390" s="27" t="str">
        <f aca="false">IF($B390="","",IFERROR(INDEX(Supplies!$B$5:$B$104,MATCH($B390,Supplies!$A$5:$A$104,0)),"?"))</f>
        <v/>
      </c>
      <c r="D390" s="32"/>
      <c r="E390" s="32"/>
      <c r="F390" s="32"/>
      <c r="G390" s="22"/>
      <c r="H390" s="27" t="str">
        <f aca="false">IF($A390="","",IF($F390="","Count it",IF($F390&lt;=$E390,"REORDER","OK")))</f>
        <v/>
      </c>
      <c r="I390" s="31" t="str">
        <f aca="false">IF(OR($A390="",$F390=""),"",MAX(0,$D390-$F390))</f>
        <v/>
      </c>
      <c r="J390" s="28" t="str">
        <f aca="false">IF(OR($A390="",$I390=""),"",$I390*IFERROR(INDEX(Supplies!$F$5:$F$104,MATCH($B390,Supplies!$A$5:$A$104,0)),0))</f>
        <v/>
      </c>
    </row>
    <row r="391" customFormat="false" ht="15" hidden="false" customHeight="false" outlineLevel="0" collapsed="false">
      <c r="A391" s="23"/>
      <c r="B391" s="23"/>
      <c r="C391" s="27" t="str">
        <f aca="false">IF($B391="","",IFERROR(INDEX(Supplies!$B$5:$B$104,MATCH($B391,Supplies!$A$5:$A$104,0)),"?"))</f>
        <v/>
      </c>
      <c r="D391" s="32"/>
      <c r="E391" s="32"/>
      <c r="F391" s="32"/>
      <c r="G391" s="22"/>
      <c r="H391" s="27" t="str">
        <f aca="false">IF($A391="","",IF($F391="","Count it",IF($F391&lt;=$E391,"REORDER","OK")))</f>
        <v/>
      </c>
      <c r="I391" s="31" t="str">
        <f aca="false">IF(OR($A391="",$F391=""),"",MAX(0,$D391-$F391))</f>
        <v/>
      </c>
      <c r="J391" s="28" t="str">
        <f aca="false">IF(OR($A391="",$I391=""),"",$I391*IFERROR(INDEX(Supplies!$F$5:$F$104,MATCH($B391,Supplies!$A$5:$A$104,0)),0))</f>
        <v/>
      </c>
    </row>
    <row r="392" customFormat="false" ht="15" hidden="false" customHeight="false" outlineLevel="0" collapsed="false">
      <c r="A392" s="23"/>
      <c r="B392" s="23"/>
      <c r="C392" s="27" t="str">
        <f aca="false">IF($B392="","",IFERROR(INDEX(Supplies!$B$5:$B$104,MATCH($B392,Supplies!$A$5:$A$104,0)),"?"))</f>
        <v/>
      </c>
      <c r="D392" s="32"/>
      <c r="E392" s="32"/>
      <c r="F392" s="32"/>
      <c r="G392" s="22"/>
      <c r="H392" s="27" t="str">
        <f aca="false">IF($A392="","",IF($F392="","Count it",IF($F392&lt;=$E392,"REORDER","OK")))</f>
        <v/>
      </c>
      <c r="I392" s="31" t="str">
        <f aca="false">IF(OR($A392="",$F392=""),"",MAX(0,$D392-$F392))</f>
        <v/>
      </c>
      <c r="J392" s="28" t="str">
        <f aca="false">IF(OR($A392="",$I392=""),"",$I392*IFERROR(INDEX(Supplies!$F$5:$F$104,MATCH($B392,Supplies!$A$5:$A$104,0)),0))</f>
        <v/>
      </c>
    </row>
    <row r="393" customFormat="false" ht="15" hidden="false" customHeight="false" outlineLevel="0" collapsed="false">
      <c r="A393" s="23"/>
      <c r="B393" s="23"/>
      <c r="C393" s="27" t="str">
        <f aca="false">IF($B393="","",IFERROR(INDEX(Supplies!$B$5:$B$104,MATCH($B393,Supplies!$A$5:$A$104,0)),"?"))</f>
        <v/>
      </c>
      <c r="D393" s="32"/>
      <c r="E393" s="32"/>
      <c r="F393" s="32"/>
      <c r="G393" s="22"/>
      <c r="H393" s="27" t="str">
        <f aca="false">IF($A393="","",IF($F393="","Count it",IF($F393&lt;=$E393,"REORDER","OK")))</f>
        <v/>
      </c>
      <c r="I393" s="31" t="str">
        <f aca="false">IF(OR($A393="",$F393=""),"",MAX(0,$D393-$F393))</f>
        <v/>
      </c>
      <c r="J393" s="28" t="str">
        <f aca="false">IF(OR($A393="",$I393=""),"",$I393*IFERROR(INDEX(Supplies!$F$5:$F$104,MATCH($B393,Supplies!$A$5:$A$104,0)),0))</f>
        <v/>
      </c>
    </row>
    <row r="394" customFormat="false" ht="15" hidden="false" customHeight="false" outlineLevel="0" collapsed="false">
      <c r="A394" s="23"/>
      <c r="B394" s="23"/>
      <c r="C394" s="27" t="str">
        <f aca="false">IF($B394="","",IFERROR(INDEX(Supplies!$B$5:$B$104,MATCH($B394,Supplies!$A$5:$A$104,0)),"?"))</f>
        <v/>
      </c>
      <c r="D394" s="32"/>
      <c r="E394" s="32"/>
      <c r="F394" s="32"/>
      <c r="G394" s="22"/>
      <c r="H394" s="27" t="str">
        <f aca="false">IF($A394="","",IF($F394="","Count it",IF($F394&lt;=$E394,"REORDER","OK")))</f>
        <v/>
      </c>
      <c r="I394" s="31" t="str">
        <f aca="false">IF(OR($A394="",$F394=""),"",MAX(0,$D394-$F394))</f>
        <v/>
      </c>
      <c r="J394" s="28" t="str">
        <f aca="false">IF(OR($A394="",$I394=""),"",$I394*IFERROR(INDEX(Supplies!$F$5:$F$104,MATCH($B394,Supplies!$A$5:$A$104,0)),0))</f>
        <v/>
      </c>
    </row>
    <row r="395" customFormat="false" ht="15" hidden="false" customHeight="false" outlineLevel="0" collapsed="false">
      <c r="A395" s="23"/>
      <c r="B395" s="23"/>
      <c r="C395" s="27" t="str">
        <f aca="false">IF($B395="","",IFERROR(INDEX(Supplies!$B$5:$B$104,MATCH($B395,Supplies!$A$5:$A$104,0)),"?"))</f>
        <v/>
      </c>
      <c r="D395" s="32"/>
      <c r="E395" s="32"/>
      <c r="F395" s="32"/>
      <c r="G395" s="22"/>
      <c r="H395" s="27" t="str">
        <f aca="false">IF($A395="","",IF($F395="","Count it",IF($F395&lt;=$E395,"REORDER","OK")))</f>
        <v/>
      </c>
      <c r="I395" s="31" t="str">
        <f aca="false">IF(OR($A395="",$F395=""),"",MAX(0,$D395-$F395))</f>
        <v/>
      </c>
      <c r="J395" s="28" t="str">
        <f aca="false">IF(OR($A395="",$I395=""),"",$I395*IFERROR(INDEX(Supplies!$F$5:$F$104,MATCH($B395,Supplies!$A$5:$A$104,0)),0))</f>
        <v/>
      </c>
    </row>
    <row r="396" customFormat="false" ht="15" hidden="false" customHeight="false" outlineLevel="0" collapsed="false">
      <c r="A396" s="23"/>
      <c r="B396" s="23"/>
      <c r="C396" s="27" t="str">
        <f aca="false">IF($B396="","",IFERROR(INDEX(Supplies!$B$5:$B$104,MATCH($B396,Supplies!$A$5:$A$104,0)),"?"))</f>
        <v/>
      </c>
      <c r="D396" s="32"/>
      <c r="E396" s="32"/>
      <c r="F396" s="32"/>
      <c r="G396" s="22"/>
      <c r="H396" s="27" t="str">
        <f aca="false">IF($A396="","",IF($F396="","Count it",IF($F396&lt;=$E396,"REORDER","OK")))</f>
        <v/>
      </c>
      <c r="I396" s="31" t="str">
        <f aca="false">IF(OR($A396="",$F396=""),"",MAX(0,$D396-$F396))</f>
        <v/>
      </c>
      <c r="J396" s="28" t="str">
        <f aca="false">IF(OR($A396="",$I396=""),"",$I396*IFERROR(INDEX(Supplies!$F$5:$F$104,MATCH($B396,Supplies!$A$5:$A$104,0)),0))</f>
        <v/>
      </c>
    </row>
    <row r="397" customFormat="false" ht="15" hidden="false" customHeight="false" outlineLevel="0" collapsed="false">
      <c r="A397" s="23"/>
      <c r="B397" s="23"/>
      <c r="C397" s="27" t="str">
        <f aca="false">IF($B397="","",IFERROR(INDEX(Supplies!$B$5:$B$104,MATCH($B397,Supplies!$A$5:$A$104,0)),"?"))</f>
        <v/>
      </c>
      <c r="D397" s="32"/>
      <c r="E397" s="32"/>
      <c r="F397" s="32"/>
      <c r="G397" s="22"/>
      <c r="H397" s="27" t="str">
        <f aca="false">IF($A397="","",IF($F397="","Count it",IF($F397&lt;=$E397,"REORDER","OK")))</f>
        <v/>
      </c>
      <c r="I397" s="31" t="str">
        <f aca="false">IF(OR($A397="",$F397=""),"",MAX(0,$D397-$F397))</f>
        <v/>
      </c>
      <c r="J397" s="28" t="str">
        <f aca="false">IF(OR($A397="",$I397=""),"",$I397*IFERROR(INDEX(Supplies!$F$5:$F$104,MATCH($B397,Supplies!$A$5:$A$104,0)),0))</f>
        <v/>
      </c>
    </row>
    <row r="398" customFormat="false" ht="15" hidden="false" customHeight="false" outlineLevel="0" collapsed="false">
      <c r="A398" s="23"/>
      <c r="B398" s="23"/>
      <c r="C398" s="27" t="str">
        <f aca="false">IF($B398="","",IFERROR(INDEX(Supplies!$B$5:$B$104,MATCH($B398,Supplies!$A$5:$A$104,0)),"?"))</f>
        <v/>
      </c>
      <c r="D398" s="32"/>
      <c r="E398" s="32"/>
      <c r="F398" s="32"/>
      <c r="G398" s="22"/>
      <c r="H398" s="27" t="str">
        <f aca="false">IF($A398="","",IF($F398="","Count it",IF($F398&lt;=$E398,"REORDER","OK")))</f>
        <v/>
      </c>
      <c r="I398" s="31" t="str">
        <f aca="false">IF(OR($A398="",$F398=""),"",MAX(0,$D398-$F398))</f>
        <v/>
      </c>
      <c r="J398" s="28" t="str">
        <f aca="false">IF(OR($A398="",$I398=""),"",$I398*IFERROR(INDEX(Supplies!$F$5:$F$104,MATCH($B398,Supplies!$A$5:$A$104,0)),0))</f>
        <v/>
      </c>
    </row>
    <row r="399" customFormat="false" ht="15" hidden="false" customHeight="false" outlineLevel="0" collapsed="false">
      <c r="A399" s="23"/>
      <c r="B399" s="23"/>
      <c r="C399" s="27" t="str">
        <f aca="false">IF($B399="","",IFERROR(INDEX(Supplies!$B$5:$B$104,MATCH($B399,Supplies!$A$5:$A$104,0)),"?"))</f>
        <v/>
      </c>
      <c r="D399" s="32"/>
      <c r="E399" s="32"/>
      <c r="F399" s="32"/>
      <c r="G399" s="22"/>
      <c r="H399" s="27" t="str">
        <f aca="false">IF($A399="","",IF($F399="","Count it",IF($F399&lt;=$E399,"REORDER","OK")))</f>
        <v/>
      </c>
      <c r="I399" s="31" t="str">
        <f aca="false">IF(OR($A399="",$F399=""),"",MAX(0,$D399-$F399))</f>
        <v/>
      </c>
      <c r="J399" s="28" t="str">
        <f aca="false">IF(OR($A399="",$I399=""),"",$I399*IFERROR(INDEX(Supplies!$F$5:$F$104,MATCH($B399,Supplies!$A$5:$A$104,0)),0))</f>
        <v/>
      </c>
    </row>
    <row r="400" customFormat="false" ht="15" hidden="false" customHeight="false" outlineLevel="0" collapsed="false">
      <c r="A400" s="23"/>
      <c r="B400" s="23"/>
      <c r="C400" s="27" t="str">
        <f aca="false">IF($B400="","",IFERROR(INDEX(Supplies!$B$5:$B$104,MATCH($B400,Supplies!$A$5:$A$104,0)),"?"))</f>
        <v/>
      </c>
      <c r="D400" s="32"/>
      <c r="E400" s="32"/>
      <c r="F400" s="32"/>
      <c r="G400" s="22"/>
      <c r="H400" s="27" t="str">
        <f aca="false">IF($A400="","",IF($F400="","Count it",IF($F400&lt;=$E400,"REORDER","OK")))</f>
        <v/>
      </c>
      <c r="I400" s="31" t="str">
        <f aca="false">IF(OR($A400="",$F400=""),"",MAX(0,$D400-$F400))</f>
        <v/>
      </c>
      <c r="J400" s="28" t="str">
        <f aca="false">IF(OR($A400="",$I400=""),"",$I400*IFERROR(INDEX(Supplies!$F$5:$F$104,MATCH($B400,Supplies!$A$5:$A$104,0)),0))</f>
        <v/>
      </c>
    </row>
    <row r="401" customFormat="false" ht="15" hidden="false" customHeight="false" outlineLevel="0" collapsed="false">
      <c r="A401" s="23"/>
      <c r="B401" s="23"/>
      <c r="C401" s="27" t="str">
        <f aca="false">IF($B401="","",IFERROR(INDEX(Supplies!$B$5:$B$104,MATCH($B401,Supplies!$A$5:$A$104,0)),"?"))</f>
        <v/>
      </c>
      <c r="D401" s="32"/>
      <c r="E401" s="32"/>
      <c r="F401" s="32"/>
      <c r="G401" s="22"/>
      <c r="H401" s="27" t="str">
        <f aca="false">IF($A401="","",IF($F401="","Count it",IF($F401&lt;=$E401,"REORDER","OK")))</f>
        <v/>
      </c>
      <c r="I401" s="31" t="str">
        <f aca="false">IF(OR($A401="",$F401=""),"",MAX(0,$D401-$F401))</f>
        <v/>
      </c>
      <c r="J401" s="28" t="str">
        <f aca="false">IF(OR($A401="",$I401=""),"",$I401*IFERROR(INDEX(Supplies!$F$5:$F$104,MATCH($B401,Supplies!$A$5:$A$104,0)),0))</f>
        <v/>
      </c>
    </row>
    <row r="402" customFormat="false" ht="15" hidden="false" customHeight="false" outlineLevel="0" collapsed="false">
      <c r="A402" s="23"/>
      <c r="B402" s="23"/>
      <c r="C402" s="27" t="str">
        <f aca="false">IF($B402="","",IFERROR(INDEX(Supplies!$B$5:$B$104,MATCH($B402,Supplies!$A$5:$A$104,0)),"?"))</f>
        <v/>
      </c>
      <c r="D402" s="32"/>
      <c r="E402" s="32"/>
      <c r="F402" s="32"/>
      <c r="G402" s="22"/>
      <c r="H402" s="27" t="str">
        <f aca="false">IF($A402="","",IF($F402="","Count it",IF($F402&lt;=$E402,"REORDER","OK")))</f>
        <v/>
      </c>
      <c r="I402" s="31" t="str">
        <f aca="false">IF(OR($A402="",$F402=""),"",MAX(0,$D402-$F402))</f>
        <v/>
      </c>
      <c r="J402" s="28" t="str">
        <f aca="false">IF(OR($A402="",$I402=""),"",$I402*IFERROR(INDEX(Supplies!$F$5:$F$104,MATCH($B402,Supplies!$A$5:$A$104,0)),0))</f>
        <v/>
      </c>
    </row>
    <row r="403" customFormat="false" ht="15" hidden="false" customHeight="false" outlineLevel="0" collapsed="false">
      <c r="A403" s="23"/>
      <c r="B403" s="23"/>
      <c r="C403" s="27" t="str">
        <f aca="false">IF($B403="","",IFERROR(INDEX(Supplies!$B$5:$B$104,MATCH($B403,Supplies!$A$5:$A$104,0)),"?"))</f>
        <v/>
      </c>
      <c r="D403" s="32"/>
      <c r="E403" s="32"/>
      <c r="F403" s="32"/>
      <c r="G403" s="22"/>
      <c r="H403" s="27" t="str">
        <f aca="false">IF($A403="","",IF($F403="","Count it",IF($F403&lt;=$E403,"REORDER","OK")))</f>
        <v/>
      </c>
      <c r="I403" s="31" t="str">
        <f aca="false">IF(OR($A403="",$F403=""),"",MAX(0,$D403-$F403))</f>
        <v/>
      </c>
      <c r="J403" s="28" t="str">
        <f aca="false">IF(OR($A403="",$I403=""),"",$I403*IFERROR(INDEX(Supplies!$F$5:$F$104,MATCH($B403,Supplies!$A$5:$A$104,0)),0))</f>
        <v/>
      </c>
    </row>
    <row r="404" customFormat="false" ht="15" hidden="false" customHeight="false" outlineLevel="0" collapsed="false">
      <c r="A404" s="23"/>
      <c r="B404" s="23"/>
      <c r="C404" s="27" t="str">
        <f aca="false">IF($B404="","",IFERROR(INDEX(Supplies!$B$5:$B$104,MATCH($B404,Supplies!$A$5:$A$104,0)),"?"))</f>
        <v/>
      </c>
      <c r="D404" s="32"/>
      <c r="E404" s="32"/>
      <c r="F404" s="32"/>
      <c r="G404" s="22"/>
      <c r="H404" s="27" t="str">
        <f aca="false">IF($A404="","",IF($F404="","Count it",IF($F404&lt;=$E404,"REORDER","OK")))</f>
        <v/>
      </c>
      <c r="I404" s="31" t="str">
        <f aca="false">IF(OR($A404="",$F404=""),"",MAX(0,$D404-$F404))</f>
        <v/>
      </c>
      <c r="J404" s="28" t="str">
        <f aca="false">IF(OR($A404="",$I404=""),"",$I404*IFERROR(INDEX(Supplies!$F$5:$F$104,MATCH($B404,Supplies!$A$5:$A$104,0)),0))</f>
        <v/>
      </c>
    </row>
    <row r="405" customFormat="false" ht="15" hidden="false" customHeight="false" outlineLevel="0" collapsed="false">
      <c r="A405" s="23"/>
      <c r="B405" s="23"/>
      <c r="C405" s="27" t="str">
        <f aca="false">IF($B405="","",IFERROR(INDEX(Supplies!$B$5:$B$104,MATCH($B405,Supplies!$A$5:$A$104,0)),"?"))</f>
        <v/>
      </c>
      <c r="D405" s="32"/>
      <c r="E405" s="32"/>
      <c r="F405" s="32"/>
      <c r="G405" s="22"/>
      <c r="H405" s="27" t="str">
        <f aca="false">IF($A405="","",IF($F405="","Count it",IF($F405&lt;=$E405,"REORDER","OK")))</f>
        <v/>
      </c>
      <c r="I405" s="31" t="str">
        <f aca="false">IF(OR($A405="",$F405=""),"",MAX(0,$D405-$F405))</f>
        <v/>
      </c>
      <c r="J405" s="28" t="str">
        <f aca="false">IF(OR($A405="",$I405=""),"",$I405*IFERROR(INDEX(Supplies!$F$5:$F$104,MATCH($B405,Supplies!$A$5:$A$104,0)),0))</f>
        <v/>
      </c>
    </row>
    <row r="406" customFormat="false" ht="15" hidden="false" customHeight="false" outlineLevel="0" collapsed="false">
      <c r="A406" s="23"/>
      <c r="B406" s="23"/>
      <c r="C406" s="27" t="str">
        <f aca="false">IF($B406="","",IFERROR(INDEX(Supplies!$B$5:$B$104,MATCH($B406,Supplies!$A$5:$A$104,0)),"?"))</f>
        <v/>
      </c>
      <c r="D406" s="32"/>
      <c r="E406" s="32"/>
      <c r="F406" s="32"/>
      <c r="G406" s="22"/>
      <c r="H406" s="27" t="str">
        <f aca="false">IF($A406="","",IF($F406="","Count it",IF($F406&lt;=$E406,"REORDER","OK")))</f>
        <v/>
      </c>
      <c r="I406" s="31" t="str">
        <f aca="false">IF(OR($A406="",$F406=""),"",MAX(0,$D406-$F406))</f>
        <v/>
      </c>
      <c r="J406" s="28" t="str">
        <f aca="false">IF(OR($A406="",$I406=""),"",$I406*IFERROR(INDEX(Supplies!$F$5:$F$104,MATCH($B406,Supplies!$A$5:$A$104,0)),0))</f>
        <v/>
      </c>
    </row>
    <row r="407" customFormat="false" ht="15" hidden="false" customHeight="false" outlineLevel="0" collapsed="false">
      <c r="A407" s="23"/>
      <c r="B407" s="23"/>
      <c r="C407" s="27" t="str">
        <f aca="false">IF($B407="","",IFERROR(INDEX(Supplies!$B$5:$B$104,MATCH($B407,Supplies!$A$5:$A$104,0)),"?"))</f>
        <v/>
      </c>
      <c r="D407" s="32"/>
      <c r="E407" s="32"/>
      <c r="F407" s="32"/>
      <c r="G407" s="22"/>
      <c r="H407" s="27" t="str">
        <f aca="false">IF($A407="","",IF($F407="","Count it",IF($F407&lt;=$E407,"REORDER","OK")))</f>
        <v/>
      </c>
      <c r="I407" s="31" t="str">
        <f aca="false">IF(OR($A407="",$F407=""),"",MAX(0,$D407-$F407))</f>
        <v/>
      </c>
      <c r="J407" s="28" t="str">
        <f aca="false">IF(OR($A407="",$I407=""),"",$I407*IFERROR(INDEX(Supplies!$F$5:$F$104,MATCH($B407,Supplies!$A$5:$A$104,0)),0))</f>
        <v/>
      </c>
    </row>
    <row r="408" customFormat="false" ht="15" hidden="false" customHeight="false" outlineLevel="0" collapsed="false">
      <c r="A408" s="23"/>
      <c r="B408" s="23"/>
      <c r="C408" s="27" t="str">
        <f aca="false">IF($B408="","",IFERROR(INDEX(Supplies!$B$5:$B$104,MATCH($B408,Supplies!$A$5:$A$104,0)),"?"))</f>
        <v/>
      </c>
      <c r="D408" s="32"/>
      <c r="E408" s="32"/>
      <c r="F408" s="32"/>
      <c r="G408" s="22"/>
      <c r="H408" s="27" t="str">
        <f aca="false">IF($A408="","",IF($F408="","Count it",IF($F408&lt;=$E408,"REORDER","OK")))</f>
        <v/>
      </c>
      <c r="I408" s="31" t="str">
        <f aca="false">IF(OR($A408="",$F408=""),"",MAX(0,$D408-$F408))</f>
        <v/>
      </c>
      <c r="J408" s="28" t="str">
        <f aca="false">IF(OR($A408="",$I408=""),"",$I408*IFERROR(INDEX(Supplies!$F$5:$F$104,MATCH($B408,Supplies!$A$5:$A$104,0)),0))</f>
        <v/>
      </c>
    </row>
    <row r="409" customFormat="false" ht="15" hidden="false" customHeight="false" outlineLevel="0" collapsed="false">
      <c r="A409" s="23"/>
      <c r="B409" s="23"/>
      <c r="C409" s="27" t="str">
        <f aca="false">IF($B409="","",IFERROR(INDEX(Supplies!$B$5:$B$104,MATCH($B409,Supplies!$A$5:$A$104,0)),"?"))</f>
        <v/>
      </c>
      <c r="D409" s="32"/>
      <c r="E409" s="32"/>
      <c r="F409" s="32"/>
      <c r="G409" s="22"/>
      <c r="H409" s="27" t="str">
        <f aca="false">IF($A409="","",IF($F409="","Count it",IF($F409&lt;=$E409,"REORDER","OK")))</f>
        <v/>
      </c>
      <c r="I409" s="31" t="str">
        <f aca="false">IF(OR($A409="",$F409=""),"",MAX(0,$D409-$F409))</f>
        <v/>
      </c>
      <c r="J409" s="28" t="str">
        <f aca="false">IF(OR($A409="",$I409=""),"",$I409*IFERROR(INDEX(Supplies!$F$5:$F$104,MATCH($B409,Supplies!$A$5:$A$104,0)),0))</f>
        <v/>
      </c>
    </row>
    <row r="410" customFormat="false" ht="15" hidden="false" customHeight="false" outlineLevel="0" collapsed="false">
      <c r="A410" s="23"/>
      <c r="B410" s="23"/>
      <c r="C410" s="27" t="str">
        <f aca="false">IF($B410="","",IFERROR(INDEX(Supplies!$B$5:$B$104,MATCH($B410,Supplies!$A$5:$A$104,0)),"?"))</f>
        <v/>
      </c>
      <c r="D410" s="32"/>
      <c r="E410" s="32"/>
      <c r="F410" s="32"/>
      <c r="G410" s="22"/>
      <c r="H410" s="27" t="str">
        <f aca="false">IF($A410="","",IF($F410="","Count it",IF($F410&lt;=$E410,"REORDER","OK")))</f>
        <v/>
      </c>
      <c r="I410" s="31" t="str">
        <f aca="false">IF(OR($A410="",$F410=""),"",MAX(0,$D410-$F410))</f>
        <v/>
      </c>
      <c r="J410" s="28" t="str">
        <f aca="false">IF(OR($A410="",$I410=""),"",$I410*IFERROR(INDEX(Supplies!$F$5:$F$104,MATCH($B410,Supplies!$A$5:$A$104,0)),0))</f>
        <v/>
      </c>
    </row>
    <row r="411" customFormat="false" ht="15" hidden="false" customHeight="false" outlineLevel="0" collapsed="false">
      <c r="A411" s="23"/>
      <c r="B411" s="23"/>
      <c r="C411" s="27" t="str">
        <f aca="false">IF($B411="","",IFERROR(INDEX(Supplies!$B$5:$B$104,MATCH($B411,Supplies!$A$5:$A$104,0)),"?"))</f>
        <v/>
      </c>
      <c r="D411" s="32"/>
      <c r="E411" s="32"/>
      <c r="F411" s="32"/>
      <c r="G411" s="22"/>
      <c r="H411" s="27" t="str">
        <f aca="false">IF($A411="","",IF($F411="","Count it",IF($F411&lt;=$E411,"REORDER","OK")))</f>
        <v/>
      </c>
      <c r="I411" s="31" t="str">
        <f aca="false">IF(OR($A411="",$F411=""),"",MAX(0,$D411-$F411))</f>
        <v/>
      </c>
      <c r="J411" s="28" t="str">
        <f aca="false">IF(OR($A411="",$I411=""),"",$I411*IFERROR(INDEX(Supplies!$F$5:$F$104,MATCH($B411,Supplies!$A$5:$A$104,0)),0))</f>
        <v/>
      </c>
    </row>
    <row r="412" customFormat="false" ht="15" hidden="false" customHeight="false" outlineLevel="0" collapsed="false">
      <c r="A412" s="23"/>
      <c r="B412" s="23"/>
      <c r="C412" s="27" t="str">
        <f aca="false">IF($B412="","",IFERROR(INDEX(Supplies!$B$5:$B$104,MATCH($B412,Supplies!$A$5:$A$104,0)),"?"))</f>
        <v/>
      </c>
      <c r="D412" s="32"/>
      <c r="E412" s="32"/>
      <c r="F412" s="32"/>
      <c r="G412" s="22"/>
      <c r="H412" s="27" t="str">
        <f aca="false">IF($A412="","",IF($F412="","Count it",IF($F412&lt;=$E412,"REORDER","OK")))</f>
        <v/>
      </c>
      <c r="I412" s="31" t="str">
        <f aca="false">IF(OR($A412="",$F412=""),"",MAX(0,$D412-$F412))</f>
        <v/>
      </c>
      <c r="J412" s="28" t="str">
        <f aca="false">IF(OR($A412="",$I412=""),"",$I412*IFERROR(INDEX(Supplies!$F$5:$F$104,MATCH($B412,Supplies!$A$5:$A$104,0)),0))</f>
        <v/>
      </c>
    </row>
    <row r="413" customFormat="false" ht="15" hidden="false" customHeight="false" outlineLevel="0" collapsed="false">
      <c r="A413" s="23"/>
      <c r="B413" s="23"/>
      <c r="C413" s="27" t="str">
        <f aca="false">IF($B413="","",IFERROR(INDEX(Supplies!$B$5:$B$104,MATCH($B413,Supplies!$A$5:$A$104,0)),"?"))</f>
        <v/>
      </c>
      <c r="D413" s="32"/>
      <c r="E413" s="32"/>
      <c r="F413" s="32"/>
      <c r="G413" s="22"/>
      <c r="H413" s="27" t="str">
        <f aca="false">IF($A413="","",IF($F413="","Count it",IF($F413&lt;=$E413,"REORDER","OK")))</f>
        <v/>
      </c>
      <c r="I413" s="31" t="str">
        <f aca="false">IF(OR($A413="",$F413=""),"",MAX(0,$D413-$F413))</f>
        <v/>
      </c>
      <c r="J413" s="28" t="str">
        <f aca="false">IF(OR($A413="",$I413=""),"",$I413*IFERROR(INDEX(Supplies!$F$5:$F$104,MATCH($B413,Supplies!$A$5:$A$104,0)),0))</f>
        <v/>
      </c>
    </row>
    <row r="414" customFormat="false" ht="15" hidden="false" customHeight="false" outlineLevel="0" collapsed="false">
      <c r="A414" s="23"/>
      <c r="B414" s="23"/>
      <c r="C414" s="27" t="str">
        <f aca="false">IF($B414="","",IFERROR(INDEX(Supplies!$B$5:$B$104,MATCH($B414,Supplies!$A$5:$A$104,0)),"?"))</f>
        <v/>
      </c>
      <c r="D414" s="32"/>
      <c r="E414" s="32"/>
      <c r="F414" s="32"/>
      <c r="G414" s="22"/>
      <c r="H414" s="27" t="str">
        <f aca="false">IF($A414="","",IF($F414="","Count it",IF($F414&lt;=$E414,"REORDER","OK")))</f>
        <v/>
      </c>
      <c r="I414" s="31" t="str">
        <f aca="false">IF(OR($A414="",$F414=""),"",MAX(0,$D414-$F414))</f>
        <v/>
      </c>
      <c r="J414" s="28" t="str">
        <f aca="false">IF(OR($A414="",$I414=""),"",$I414*IFERROR(INDEX(Supplies!$F$5:$F$104,MATCH($B414,Supplies!$A$5:$A$104,0)),0))</f>
        <v/>
      </c>
    </row>
    <row r="415" customFormat="false" ht="15" hidden="false" customHeight="false" outlineLevel="0" collapsed="false">
      <c r="A415" s="23"/>
      <c r="B415" s="23"/>
      <c r="C415" s="27" t="str">
        <f aca="false">IF($B415="","",IFERROR(INDEX(Supplies!$B$5:$B$104,MATCH($B415,Supplies!$A$5:$A$104,0)),"?"))</f>
        <v/>
      </c>
      <c r="D415" s="32"/>
      <c r="E415" s="32"/>
      <c r="F415" s="32"/>
      <c r="G415" s="22"/>
      <c r="H415" s="27" t="str">
        <f aca="false">IF($A415="","",IF($F415="","Count it",IF($F415&lt;=$E415,"REORDER","OK")))</f>
        <v/>
      </c>
      <c r="I415" s="31" t="str">
        <f aca="false">IF(OR($A415="",$F415=""),"",MAX(0,$D415-$F415))</f>
        <v/>
      </c>
      <c r="J415" s="28" t="str">
        <f aca="false">IF(OR($A415="",$I415=""),"",$I415*IFERROR(INDEX(Supplies!$F$5:$F$104,MATCH($B415,Supplies!$A$5:$A$104,0)),0))</f>
        <v/>
      </c>
    </row>
    <row r="416" customFormat="false" ht="15" hidden="false" customHeight="false" outlineLevel="0" collapsed="false">
      <c r="A416" s="23"/>
      <c r="B416" s="23"/>
      <c r="C416" s="27" t="str">
        <f aca="false">IF($B416="","",IFERROR(INDEX(Supplies!$B$5:$B$104,MATCH($B416,Supplies!$A$5:$A$104,0)),"?"))</f>
        <v/>
      </c>
      <c r="D416" s="32"/>
      <c r="E416" s="32"/>
      <c r="F416" s="32"/>
      <c r="G416" s="22"/>
      <c r="H416" s="27" t="str">
        <f aca="false">IF($A416="","",IF($F416="","Count it",IF($F416&lt;=$E416,"REORDER","OK")))</f>
        <v/>
      </c>
      <c r="I416" s="31" t="str">
        <f aca="false">IF(OR($A416="",$F416=""),"",MAX(0,$D416-$F416))</f>
        <v/>
      </c>
      <c r="J416" s="28" t="str">
        <f aca="false">IF(OR($A416="",$I416=""),"",$I416*IFERROR(INDEX(Supplies!$F$5:$F$104,MATCH($B416,Supplies!$A$5:$A$104,0)),0))</f>
        <v/>
      </c>
    </row>
    <row r="417" customFormat="false" ht="15" hidden="false" customHeight="false" outlineLevel="0" collapsed="false">
      <c r="A417" s="23"/>
      <c r="B417" s="23"/>
      <c r="C417" s="27" t="str">
        <f aca="false">IF($B417="","",IFERROR(INDEX(Supplies!$B$5:$B$104,MATCH($B417,Supplies!$A$5:$A$104,0)),"?"))</f>
        <v/>
      </c>
      <c r="D417" s="32"/>
      <c r="E417" s="32"/>
      <c r="F417" s="32"/>
      <c r="G417" s="22"/>
      <c r="H417" s="27" t="str">
        <f aca="false">IF($A417="","",IF($F417="","Count it",IF($F417&lt;=$E417,"REORDER","OK")))</f>
        <v/>
      </c>
      <c r="I417" s="31" t="str">
        <f aca="false">IF(OR($A417="",$F417=""),"",MAX(0,$D417-$F417))</f>
        <v/>
      </c>
      <c r="J417" s="28" t="str">
        <f aca="false">IF(OR($A417="",$I417=""),"",$I417*IFERROR(INDEX(Supplies!$F$5:$F$104,MATCH($B417,Supplies!$A$5:$A$104,0)),0))</f>
        <v/>
      </c>
    </row>
    <row r="418" customFormat="false" ht="15" hidden="false" customHeight="false" outlineLevel="0" collapsed="false">
      <c r="A418" s="23"/>
      <c r="B418" s="23"/>
      <c r="C418" s="27" t="str">
        <f aca="false">IF($B418="","",IFERROR(INDEX(Supplies!$B$5:$B$104,MATCH($B418,Supplies!$A$5:$A$104,0)),"?"))</f>
        <v/>
      </c>
      <c r="D418" s="32"/>
      <c r="E418" s="32"/>
      <c r="F418" s="32"/>
      <c r="G418" s="22"/>
      <c r="H418" s="27" t="str">
        <f aca="false">IF($A418="","",IF($F418="","Count it",IF($F418&lt;=$E418,"REORDER","OK")))</f>
        <v/>
      </c>
      <c r="I418" s="31" t="str">
        <f aca="false">IF(OR($A418="",$F418=""),"",MAX(0,$D418-$F418))</f>
        <v/>
      </c>
      <c r="J418" s="28" t="str">
        <f aca="false">IF(OR($A418="",$I418=""),"",$I418*IFERROR(INDEX(Supplies!$F$5:$F$104,MATCH($B418,Supplies!$A$5:$A$104,0)),0))</f>
        <v/>
      </c>
    </row>
    <row r="419" customFormat="false" ht="15" hidden="false" customHeight="false" outlineLevel="0" collapsed="false">
      <c r="A419" s="23"/>
      <c r="B419" s="23"/>
      <c r="C419" s="27" t="str">
        <f aca="false">IF($B419="","",IFERROR(INDEX(Supplies!$B$5:$B$104,MATCH($B419,Supplies!$A$5:$A$104,0)),"?"))</f>
        <v/>
      </c>
      <c r="D419" s="32"/>
      <c r="E419" s="32"/>
      <c r="F419" s="32"/>
      <c r="G419" s="22"/>
      <c r="H419" s="27" t="str">
        <f aca="false">IF($A419="","",IF($F419="","Count it",IF($F419&lt;=$E419,"REORDER","OK")))</f>
        <v/>
      </c>
      <c r="I419" s="31" t="str">
        <f aca="false">IF(OR($A419="",$F419=""),"",MAX(0,$D419-$F419))</f>
        <v/>
      </c>
      <c r="J419" s="28" t="str">
        <f aca="false">IF(OR($A419="",$I419=""),"",$I419*IFERROR(INDEX(Supplies!$F$5:$F$104,MATCH($B419,Supplies!$A$5:$A$104,0)),0))</f>
        <v/>
      </c>
    </row>
    <row r="420" customFormat="false" ht="15" hidden="false" customHeight="false" outlineLevel="0" collapsed="false">
      <c r="A420" s="23"/>
      <c r="B420" s="23"/>
      <c r="C420" s="27" t="str">
        <f aca="false">IF($B420="","",IFERROR(INDEX(Supplies!$B$5:$B$104,MATCH($B420,Supplies!$A$5:$A$104,0)),"?"))</f>
        <v/>
      </c>
      <c r="D420" s="32"/>
      <c r="E420" s="32"/>
      <c r="F420" s="32"/>
      <c r="G420" s="22"/>
      <c r="H420" s="27" t="str">
        <f aca="false">IF($A420="","",IF($F420="","Count it",IF($F420&lt;=$E420,"REORDER","OK")))</f>
        <v/>
      </c>
      <c r="I420" s="31" t="str">
        <f aca="false">IF(OR($A420="",$F420=""),"",MAX(0,$D420-$F420))</f>
        <v/>
      </c>
      <c r="J420" s="28" t="str">
        <f aca="false">IF(OR($A420="",$I420=""),"",$I420*IFERROR(INDEX(Supplies!$F$5:$F$104,MATCH($B420,Supplies!$A$5:$A$104,0)),0))</f>
        <v/>
      </c>
    </row>
    <row r="421" customFormat="false" ht="15" hidden="false" customHeight="false" outlineLevel="0" collapsed="false">
      <c r="A421" s="23"/>
      <c r="B421" s="23"/>
      <c r="C421" s="27" t="str">
        <f aca="false">IF($B421="","",IFERROR(INDEX(Supplies!$B$5:$B$104,MATCH($B421,Supplies!$A$5:$A$104,0)),"?"))</f>
        <v/>
      </c>
      <c r="D421" s="32"/>
      <c r="E421" s="32"/>
      <c r="F421" s="32"/>
      <c r="G421" s="22"/>
      <c r="H421" s="27" t="str">
        <f aca="false">IF($A421="","",IF($F421="","Count it",IF($F421&lt;=$E421,"REORDER","OK")))</f>
        <v/>
      </c>
      <c r="I421" s="31" t="str">
        <f aca="false">IF(OR($A421="",$F421=""),"",MAX(0,$D421-$F421))</f>
        <v/>
      </c>
      <c r="J421" s="28" t="str">
        <f aca="false">IF(OR($A421="",$I421=""),"",$I421*IFERROR(INDEX(Supplies!$F$5:$F$104,MATCH($B421,Supplies!$A$5:$A$104,0)),0))</f>
        <v/>
      </c>
    </row>
    <row r="422" customFormat="false" ht="15" hidden="false" customHeight="false" outlineLevel="0" collapsed="false">
      <c r="A422" s="23"/>
      <c r="B422" s="23"/>
      <c r="C422" s="27" t="str">
        <f aca="false">IF($B422="","",IFERROR(INDEX(Supplies!$B$5:$B$104,MATCH($B422,Supplies!$A$5:$A$104,0)),"?"))</f>
        <v/>
      </c>
      <c r="D422" s="32"/>
      <c r="E422" s="32"/>
      <c r="F422" s="32"/>
      <c r="G422" s="22"/>
      <c r="H422" s="27" t="str">
        <f aca="false">IF($A422="","",IF($F422="","Count it",IF($F422&lt;=$E422,"REORDER","OK")))</f>
        <v/>
      </c>
      <c r="I422" s="31" t="str">
        <f aca="false">IF(OR($A422="",$F422=""),"",MAX(0,$D422-$F422))</f>
        <v/>
      </c>
      <c r="J422" s="28" t="str">
        <f aca="false">IF(OR($A422="",$I422=""),"",$I422*IFERROR(INDEX(Supplies!$F$5:$F$104,MATCH($B422,Supplies!$A$5:$A$104,0)),0))</f>
        <v/>
      </c>
    </row>
    <row r="423" customFormat="false" ht="15" hidden="false" customHeight="false" outlineLevel="0" collapsed="false">
      <c r="A423" s="23"/>
      <c r="B423" s="23"/>
      <c r="C423" s="27" t="str">
        <f aca="false">IF($B423="","",IFERROR(INDEX(Supplies!$B$5:$B$104,MATCH($B423,Supplies!$A$5:$A$104,0)),"?"))</f>
        <v/>
      </c>
      <c r="D423" s="32"/>
      <c r="E423" s="32"/>
      <c r="F423" s="32"/>
      <c r="G423" s="22"/>
      <c r="H423" s="27" t="str">
        <f aca="false">IF($A423="","",IF($F423="","Count it",IF($F423&lt;=$E423,"REORDER","OK")))</f>
        <v/>
      </c>
      <c r="I423" s="31" t="str">
        <f aca="false">IF(OR($A423="",$F423=""),"",MAX(0,$D423-$F423))</f>
        <v/>
      </c>
      <c r="J423" s="28" t="str">
        <f aca="false">IF(OR($A423="",$I423=""),"",$I423*IFERROR(INDEX(Supplies!$F$5:$F$104,MATCH($B423,Supplies!$A$5:$A$104,0)),0))</f>
        <v/>
      </c>
    </row>
    <row r="424" customFormat="false" ht="15" hidden="false" customHeight="false" outlineLevel="0" collapsed="false">
      <c r="A424" s="23"/>
      <c r="B424" s="23"/>
      <c r="C424" s="27" t="str">
        <f aca="false">IF($B424="","",IFERROR(INDEX(Supplies!$B$5:$B$104,MATCH($B424,Supplies!$A$5:$A$104,0)),"?"))</f>
        <v/>
      </c>
      <c r="D424" s="32"/>
      <c r="E424" s="32"/>
      <c r="F424" s="32"/>
      <c r="G424" s="22"/>
      <c r="H424" s="27" t="str">
        <f aca="false">IF($A424="","",IF($F424="","Count it",IF($F424&lt;=$E424,"REORDER","OK")))</f>
        <v/>
      </c>
      <c r="I424" s="31" t="str">
        <f aca="false">IF(OR($A424="",$F424=""),"",MAX(0,$D424-$F424))</f>
        <v/>
      </c>
      <c r="J424" s="28" t="str">
        <f aca="false">IF(OR($A424="",$I424=""),"",$I424*IFERROR(INDEX(Supplies!$F$5:$F$104,MATCH($B424,Supplies!$A$5:$A$104,0)),0))</f>
        <v/>
      </c>
    </row>
    <row r="425" customFormat="false" ht="15" hidden="false" customHeight="false" outlineLevel="0" collapsed="false">
      <c r="A425" s="23"/>
      <c r="B425" s="23"/>
      <c r="C425" s="27" t="str">
        <f aca="false">IF($B425="","",IFERROR(INDEX(Supplies!$B$5:$B$104,MATCH($B425,Supplies!$A$5:$A$104,0)),"?"))</f>
        <v/>
      </c>
      <c r="D425" s="32"/>
      <c r="E425" s="32"/>
      <c r="F425" s="32"/>
      <c r="G425" s="22"/>
      <c r="H425" s="27" t="str">
        <f aca="false">IF($A425="","",IF($F425="","Count it",IF($F425&lt;=$E425,"REORDER","OK")))</f>
        <v/>
      </c>
      <c r="I425" s="31" t="str">
        <f aca="false">IF(OR($A425="",$F425=""),"",MAX(0,$D425-$F425))</f>
        <v/>
      </c>
      <c r="J425" s="28" t="str">
        <f aca="false">IF(OR($A425="",$I425=""),"",$I425*IFERROR(INDEX(Supplies!$F$5:$F$104,MATCH($B425,Supplies!$A$5:$A$104,0)),0))</f>
        <v/>
      </c>
    </row>
    <row r="426" customFormat="false" ht="15" hidden="false" customHeight="false" outlineLevel="0" collapsed="false">
      <c r="A426" s="23"/>
      <c r="B426" s="23"/>
      <c r="C426" s="27" t="str">
        <f aca="false">IF($B426="","",IFERROR(INDEX(Supplies!$B$5:$B$104,MATCH($B426,Supplies!$A$5:$A$104,0)),"?"))</f>
        <v/>
      </c>
      <c r="D426" s="32"/>
      <c r="E426" s="32"/>
      <c r="F426" s="32"/>
      <c r="G426" s="22"/>
      <c r="H426" s="27" t="str">
        <f aca="false">IF($A426="","",IF($F426="","Count it",IF($F426&lt;=$E426,"REORDER","OK")))</f>
        <v/>
      </c>
      <c r="I426" s="31" t="str">
        <f aca="false">IF(OR($A426="",$F426=""),"",MAX(0,$D426-$F426))</f>
        <v/>
      </c>
      <c r="J426" s="28" t="str">
        <f aca="false">IF(OR($A426="",$I426=""),"",$I426*IFERROR(INDEX(Supplies!$F$5:$F$104,MATCH($B426,Supplies!$A$5:$A$104,0)),0))</f>
        <v/>
      </c>
    </row>
    <row r="427" customFormat="false" ht="15" hidden="false" customHeight="false" outlineLevel="0" collapsed="false">
      <c r="A427" s="23"/>
      <c r="B427" s="23"/>
      <c r="C427" s="27" t="str">
        <f aca="false">IF($B427="","",IFERROR(INDEX(Supplies!$B$5:$B$104,MATCH($B427,Supplies!$A$5:$A$104,0)),"?"))</f>
        <v/>
      </c>
      <c r="D427" s="32"/>
      <c r="E427" s="32"/>
      <c r="F427" s="32"/>
      <c r="G427" s="22"/>
      <c r="H427" s="27" t="str">
        <f aca="false">IF($A427="","",IF($F427="","Count it",IF($F427&lt;=$E427,"REORDER","OK")))</f>
        <v/>
      </c>
      <c r="I427" s="31" t="str">
        <f aca="false">IF(OR($A427="",$F427=""),"",MAX(0,$D427-$F427))</f>
        <v/>
      </c>
      <c r="J427" s="28" t="str">
        <f aca="false">IF(OR($A427="",$I427=""),"",$I427*IFERROR(INDEX(Supplies!$F$5:$F$104,MATCH($B427,Supplies!$A$5:$A$104,0)),0))</f>
        <v/>
      </c>
    </row>
    <row r="428" customFormat="false" ht="15" hidden="false" customHeight="false" outlineLevel="0" collapsed="false">
      <c r="A428" s="23"/>
      <c r="B428" s="23"/>
      <c r="C428" s="27" t="str">
        <f aca="false">IF($B428="","",IFERROR(INDEX(Supplies!$B$5:$B$104,MATCH($B428,Supplies!$A$5:$A$104,0)),"?"))</f>
        <v/>
      </c>
      <c r="D428" s="32"/>
      <c r="E428" s="32"/>
      <c r="F428" s="32"/>
      <c r="G428" s="22"/>
      <c r="H428" s="27" t="str">
        <f aca="false">IF($A428="","",IF($F428="","Count it",IF($F428&lt;=$E428,"REORDER","OK")))</f>
        <v/>
      </c>
      <c r="I428" s="31" t="str">
        <f aca="false">IF(OR($A428="",$F428=""),"",MAX(0,$D428-$F428))</f>
        <v/>
      </c>
      <c r="J428" s="28" t="str">
        <f aca="false">IF(OR($A428="",$I428=""),"",$I428*IFERROR(INDEX(Supplies!$F$5:$F$104,MATCH($B428,Supplies!$A$5:$A$104,0)),0))</f>
        <v/>
      </c>
    </row>
    <row r="429" customFormat="false" ht="15" hidden="false" customHeight="false" outlineLevel="0" collapsed="false">
      <c r="A429" s="23"/>
      <c r="B429" s="23"/>
      <c r="C429" s="27" t="str">
        <f aca="false">IF($B429="","",IFERROR(INDEX(Supplies!$B$5:$B$104,MATCH($B429,Supplies!$A$5:$A$104,0)),"?"))</f>
        <v/>
      </c>
      <c r="D429" s="32"/>
      <c r="E429" s="32"/>
      <c r="F429" s="32"/>
      <c r="G429" s="22"/>
      <c r="H429" s="27" t="str">
        <f aca="false">IF($A429="","",IF($F429="","Count it",IF($F429&lt;=$E429,"REORDER","OK")))</f>
        <v/>
      </c>
      <c r="I429" s="31" t="str">
        <f aca="false">IF(OR($A429="",$F429=""),"",MAX(0,$D429-$F429))</f>
        <v/>
      </c>
      <c r="J429" s="28" t="str">
        <f aca="false">IF(OR($A429="",$I429=""),"",$I429*IFERROR(INDEX(Supplies!$F$5:$F$104,MATCH($B429,Supplies!$A$5:$A$104,0)),0))</f>
        <v/>
      </c>
    </row>
    <row r="430" customFormat="false" ht="15" hidden="false" customHeight="false" outlineLevel="0" collapsed="false">
      <c r="A430" s="23"/>
      <c r="B430" s="23"/>
      <c r="C430" s="27" t="str">
        <f aca="false">IF($B430="","",IFERROR(INDEX(Supplies!$B$5:$B$104,MATCH($B430,Supplies!$A$5:$A$104,0)),"?"))</f>
        <v/>
      </c>
      <c r="D430" s="32"/>
      <c r="E430" s="32"/>
      <c r="F430" s="32"/>
      <c r="G430" s="22"/>
      <c r="H430" s="27" t="str">
        <f aca="false">IF($A430="","",IF($F430="","Count it",IF($F430&lt;=$E430,"REORDER","OK")))</f>
        <v/>
      </c>
      <c r="I430" s="31" t="str">
        <f aca="false">IF(OR($A430="",$F430=""),"",MAX(0,$D430-$F430))</f>
        <v/>
      </c>
      <c r="J430" s="28" t="str">
        <f aca="false">IF(OR($A430="",$I430=""),"",$I430*IFERROR(INDEX(Supplies!$F$5:$F$104,MATCH($B430,Supplies!$A$5:$A$104,0)),0))</f>
        <v/>
      </c>
    </row>
    <row r="431" customFormat="false" ht="15" hidden="false" customHeight="false" outlineLevel="0" collapsed="false">
      <c r="A431" s="23"/>
      <c r="B431" s="23"/>
      <c r="C431" s="27" t="str">
        <f aca="false">IF($B431="","",IFERROR(INDEX(Supplies!$B$5:$B$104,MATCH($B431,Supplies!$A$5:$A$104,0)),"?"))</f>
        <v/>
      </c>
      <c r="D431" s="32"/>
      <c r="E431" s="32"/>
      <c r="F431" s="32"/>
      <c r="G431" s="22"/>
      <c r="H431" s="27" t="str">
        <f aca="false">IF($A431="","",IF($F431="","Count it",IF($F431&lt;=$E431,"REORDER","OK")))</f>
        <v/>
      </c>
      <c r="I431" s="31" t="str">
        <f aca="false">IF(OR($A431="",$F431=""),"",MAX(0,$D431-$F431))</f>
        <v/>
      </c>
      <c r="J431" s="28" t="str">
        <f aca="false">IF(OR($A431="",$I431=""),"",$I431*IFERROR(INDEX(Supplies!$F$5:$F$104,MATCH($B431,Supplies!$A$5:$A$104,0)),0))</f>
        <v/>
      </c>
    </row>
    <row r="432" customFormat="false" ht="15" hidden="false" customHeight="false" outlineLevel="0" collapsed="false">
      <c r="A432" s="23"/>
      <c r="B432" s="23"/>
      <c r="C432" s="27" t="str">
        <f aca="false">IF($B432="","",IFERROR(INDEX(Supplies!$B$5:$B$104,MATCH($B432,Supplies!$A$5:$A$104,0)),"?"))</f>
        <v/>
      </c>
      <c r="D432" s="32"/>
      <c r="E432" s="32"/>
      <c r="F432" s="32"/>
      <c r="G432" s="22"/>
      <c r="H432" s="27" t="str">
        <f aca="false">IF($A432="","",IF($F432="","Count it",IF($F432&lt;=$E432,"REORDER","OK")))</f>
        <v/>
      </c>
      <c r="I432" s="31" t="str">
        <f aca="false">IF(OR($A432="",$F432=""),"",MAX(0,$D432-$F432))</f>
        <v/>
      </c>
      <c r="J432" s="28" t="str">
        <f aca="false">IF(OR($A432="",$I432=""),"",$I432*IFERROR(INDEX(Supplies!$F$5:$F$104,MATCH($B432,Supplies!$A$5:$A$104,0)),0))</f>
        <v/>
      </c>
    </row>
    <row r="433" customFormat="false" ht="15" hidden="false" customHeight="false" outlineLevel="0" collapsed="false">
      <c r="A433" s="23"/>
      <c r="B433" s="23"/>
      <c r="C433" s="27" t="str">
        <f aca="false">IF($B433="","",IFERROR(INDEX(Supplies!$B$5:$B$104,MATCH($B433,Supplies!$A$5:$A$104,0)),"?"))</f>
        <v/>
      </c>
      <c r="D433" s="32"/>
      <c r="E433" s="32"/>
      <c r="F433" s="32"/>
      <c r="G433" s="22"/>
      <c r="H433" s="27" t="str">
        <f aca="false">IF($A433="","",IF($F433="","Count it",IF($F433&lt;=$E433,"REORDER","OK")))</f>
        <v/>
      </c>
      <c r="I433" s="31" t="str">
        <f aca="false">IF(OR($A433="",$F433=""),"",MAX(0,$D433-$F433))</f>
        <v/>
      </c>
      <c r="J433" s="28" t="str">
        <f aca="false">IF(OR($A433="",$I433=""),"",$I433*IFERROR(INDEX(Supplies!$F$5:$F$104,MATCH($B433,Supplies!$A$5:$A$104,0)),0))</f>
        <v/>
      </c>
    </row>
    <row r="434" customFormat="false" ht="15" hidden="false" customHeight="false" outlineLevel="0" collapsed="false">
      <c r="A434" s="23"/>
      <c r="B434" s="23"/>
      <c r="C434" s="27" t="str">
        <f aca="false">IF($B434="","",IFERROR(INDEX(Supplies!$B$5:$B$104,MATCH($B434,Supplies!$A$5:$A$104,0)),"?"))</f>
        <v/>
      </c>
      <c r="D434" s="32"/>
      <c r="E434" s="32"/>
      <c r="F434" s="32"/>
      <c r="G434" s="22"/>
      <c r="H434" s="27" t="str">
        <f aca="false">IF($A434="","",IF($F434="","Count it",IF($F434&lt;=$E434,"REORDER","OK")))</f>
        <v/>
      </c>
      <c r="I434" s="31" t="str">
        <f aca="false">IF(OR($A434="",$F434=""),"",MAX(0,$D434-$F434))</f>
        <v/>
      </c>
      <c r="J434" s="28" t="str">
        <f aca="false">IF(OR($A434="",$I434=""),"",$I434*IFERROR(INDEX(Supplies!$F$5:$F$104,MATCH($B434,Supplies!$A$5:$A$104,0)),0))</f>
        <v/>
      </c>
    </row>
    <row r="435" customFormat="false" ht="15" hidden="false" customHeight="false" outlineLevel="0" collapsed="false">
      <c r="A435" s="23"/>
      <c r="B435" s="23"/>
      <c r="C435" s="27" t="str">
        <f aca="false">IF($B435="","",IFERROR(INDEX(Supplies!$B$5:$B$104,MATCH($B435,Supplies!$A$5:$A$104,0)),"?"))</f>
        <v/>
      </c>
      <c r="D435" s="32"/>
      <c r="E435" s="32"/>
      <c r="F435" s="32"/>
      <c r="G435" s="22"/>
      <c r="H435" s="27" t="str">
        <f aca="false">IF($A435="","",IF($F435="","Count it",IF($F435&lt;=$E435,"REORDER","OK")))</f>
        <v/>
      </c>
      <c r="I435" s="31" t="str">
        <f aca="false">IF(OR($A435="",$F435=""),"",MAX(0,$D435-$F435))</f>
        <v/>
      </c>
      <c r="J435" s="28" t="str">
        <f aca="false">IF(OR($A435="",$I435=""),"",$I435*IFERROR(INDEX(Supplies!$F$5:$F$104,MATCH($B435,Supplies!$A$5:$A$104,0)),0))</f>
        <v/>
      </c>
    </row>
    <row r="436" customFormat="false" ht="15" hidden="false" customHeight="false" outlineLevel="0" collapsed="false">
      <c r="A436" s="23"/>
      <c r="B436" s="23"/>
      <c r="C436" s="27" t="str">
        <f aca="false">IF($B436="","",IFERROR(INDEX(Supplies!$B$5:$B$104,MATCH($B436,Supplies!$A$5:$A$104,0)),"?"))</f>
        <v/>
      </c>
      <c r="D436" s="32"/>
      <c r="E436" s="32"/>
      <c r="F436" s="32"/>
      <c r="G436" s="22"/>
      <c r="H436" s="27" t="str">
        <f aca="false">IF($A436="","",IF($F436="","Count it",IF($F436&lt;=$E436,"REORDER","OK")))</f>
        <v/>
      </c>
      <c r="I436" s="31" t="str">
        <f aca="false">IF(OR($A436="",$F436=""),"",MAX(0,$D436-$F436))</f>
        <v/>
      </c>
      <c r="J436" s="28" t="str">
        <f aca="false">IF(OR($A436="",$I436=""),"",$I436*IFERROR(INDEX(Supplies!$F$5:$F$104,MATCH($B436,Supplies!$A$5:$A$104,0)),0))</f>
        <v/>
      </c>
    </row>
    <row r="437" customFormat="false" ht="15" hidden="false" customHeight="false" outlineLevel="0" collapsed="false">
      <c r="A437" s="23"/>
      <c r="B437" s="23"/>
      <c r="C437" s="27" t="str">
        <f aca="false">IF($B437="","",IFERROR(INDEX(Supplies!$B$5:$B$104,MATCH($B437,Supplies!$A$5:$A$104,0)),"?"))</f>
        <v/>
      </c>
      <c r="D437" s="32"/>
      <c r="E437" s="32"/>
      <c r="F437" s="32"/>
      <c r="G437" s="22"/>
      <c r="H437" s="27" t="str">
        <f aca="false">IF($A437="","",IF($F437="","Count it",IF($F437&lt;=$E437,"REORDER","OK")))</f>
        <v/>
      </c>
      <c r="I437" s="31" t="str">
        <f aca="false">IF(OR($A437="",$F437=""),"",MAX(0,$D437-$F437))</f>
        <v/>
      </c>
      <c r="J437" s="28" t="str">
        <f aca="false">IF(OR($A437="",$I437=""),"",$I437*IFERROR(INDEX(Supplies!$F$5:$F$104,MATCH($B437,Supplies!$A$5:$A$104,0)),0))</f>
        <v/>
      </c>
    </row>
    <row r="438" customFormat="false" ht="15" hidden="false" customHeight="false" outlineLevel="0" collapsed="false">
      <c r="A438" s="23"/>
      <c r="B438" s="23"/>
      <c r="C438" s="27" t="str">
        <f aca="false">IF($B438="","",IFERROR(INDEX(Supplies!$B$5:$B$104,MATCH($B438,Supplies!$A$5:$A$104,0)),"?"))</f>
        <v/>
      </c>
      <c r="D438" s="32"/>
      <c r="E438" s="32"/>
      <c r="F438" s="32"/>
      <c r="G438" s="22"/>
      <c r="H438" s="27" t="str">
        <f aca="false">IF($A438="","",IF($F438="","Count it",IF($F438&lt;=$E438,"REORDER","OK")))</f>
        <v/>
      </c>
      <c r="I438" s="31" t="str">
        <f aca="false">IF(OR($A438="",$F438=""),"",MAX(0,$D438-$F438))</f>
        <v/>
      </c>
      <c r="J438" s="28" t="str">
        <f aca="false">IF(OR($A438="",$I438=""),"",$I438*IFERROR(INDEX(Supplies!$F$5:$F$104,MATCH($B438,Supplies!$A$5:$A$104,0)),0))</f>
        <v/>
      </c>
    </row>
    <row r="439" customFormat="false" ht="15" hidden="false" customHeight="false" outlineLevel="0" collapsed="false">
      <c r="A439" s="23"/>
      <c r="B439" s="23"/>
      <c r="C439" s="27" t="str">
        <f aca="false">IF($B439="","",IFERROR(INDEX(Supplies!$B$5:$B$104,MATCH($B439,Supplies!$A$5:$A$104,0)),"?"))</f>
        <v/>
      </c>
      <c r="D439" s="32"/>
      <c r="E439" s="32"/>
      <c r="F439" s="32"/>
      <c r="G439" s="22"/>
      <c r="H439" s="27" t="str">
        <f aca="false">IF($A439="","",IF($F439="","Count it",IF($F439&lt;=$E439,"REORDER","OK")))</f>
        <v/>
      </c>
      <c r="I439" s="31" t="str">
        <f aca="false">IF(OR($A439="",$F439=""),"",MAX(0,$D439-$F439))</f>
        <v/>
      </c>
      <c r="J439" s="28" t="str">
        <f aca="false">IF(OR($A439="",$I439=""),"",$I439*IFERROR(INDEX(Supplies!$F$5:$F$104,MATCH($B439,Supplies!$A$5:$A$104,0)),0))</f>
        <v/>
      </c>
    </row>
    <row r="440" customFormat="false" ht="15" hidden="false" customHeight="false" outlineLevel="0" collapsed="false">
      <c r="A440" s="23"/>
      <c r="B440" s="23"/>
      <c r="C440" s="27" t="str">
        <f aca="false">IF($B440="","",IFERROR(INDEX(Supplies!$B$5:$B$104,MATCH($B440,Supplies!$A$5:$A$104,0)),"?"))</f>
        <v/>
      </c>
      <c r="D440" s="32"/>
      <c r="E440" s="32"/>
      <c r="F440" s="32"/>
      <c r="G440" s="22"/>
      <c r="H440" s="27" t="str">
        <f aca="false">IF($A440="","",IF($F440="","Count it",IF($F440&lt;=$E440,"REORDER","OK")))</f>
        <v/>
      </c>
      <c r="I440" s="31" t="str">
        <f aca="false">IF(OR($A440="",$F440=""),"",MAX(0,$D440-$F440))</f>
        <v/>
      </c>
      <c r="J440" s="28" t="str">
        <f aca="false">IF(OR($A440="",$I440=""),"",$I440*IFERROR(INDEX(Supplies!$F$5:$F$104,MATCH($B440,Supplies!$A$5:$A$104,0)),0))</f>
        <v/>
      </c>
    </row>
    <row r="441" customFormat="false" ht="15" hidden="false" customHeight="false" outlineLevel="0" collapsed="false">
      <c r="A441" s="23"/>
      <c r="B441" s="23"/>
      <c r="C441" s="27" t="str">
        <f aca="false">IF($B441="","",IFERROR(INDEX(Supplies!$B$5:$B$104,MATCH($B441,Supplies!$A$5:$A$104,0)),"?"))</f>
        <v/>
      </c>
      <c r="D441" s="32"/>
      <c r="E441" s="32"/>
      <c r="F441" s="32"/>
      <c r="G441" s="22"/>
      <c r="H441" s="27" t="str">
        <f aca="false">IF($A441="","",IF($F441="","Count it",IF($F441&lt;=$E441,"REORDER","OK")))</f>
        <v/>
      </c>
      <c r="I441" s="31" t="str">
        <f aca="false">IF(OR($A441="",$F441=""),"",MAX(0,$D441-$F441))</f>
        <v/>
      </c>
      <c r="J441" s="28" t="str">
        <f aca="false">IF(OR($A441="",$I441=""),"",$I441*IFERROR(INDEX(Supplies!$F$5:$F$104,MATCH($B441,Supplies!$A$5:$A$104,0)),0))</f>
        <v/>
      </c>
    </row>
    <row r="442" customFormat="false" ht="15" hidden="false" customHeight="false" outlineLevel="0" collapsed="false">
      <c r="A442" s="23"/>
      <c r="B442" s="23"/>
      <c r="C442" s="27" t="str">
        <f aca="false">IF($B442="","",IFERROR(INDEX(Supplies!$B$5:$B$104,MATCH($B442,Supplies!$A$5:$A$104,0)),"?"))</f>
        <v/>
      </c>
      <c r="D442" s="32"/>
      <c r="E442" s="32"/>
      <c r="F442" s="32"/>
      <c r="G442" s="22"/>
      <c r="H442" s="27" t="str">
        <f aca="false">IF($A442="","",IF($F442="","Count it",IF($F442&lt;=$E442,"REORDER","OK")))</f>
        <v/>
      </c>
      <c r="I442" s="31" t="str">
        <f aca="false">IF(OR($A442="",$F442=""),"",MAX(0,$D442-$F442))</f>
        <v/>
      </c>
      <c r="J442" s="28" t="str">
        <f aca="false">IF(OR($A442="",$I442=""),"",$I442*IFERROR(INDEX(Supplies!$F$5:$F$104,MATCH($B442,Supplies!$A$5:$A$104,0)),0))</f>
        <v/>
      </c>
    </row>
    <row r="443" customFormat="false" ht="15" hidden="false" customHeight="false" outlineLevel="0" collapsed="false">
      <c r="A443" s="23"/>
      <c r="B443" s="23"/>
      <c r="C443" s="27" t="str">
        <f aca="false">IF($B443="","",IFERROR(INDEX(Supplies!$B$5:$B$104,MATCH($B443,Supplies!$A$5:$A$104,0)),"?"))</f>
        <v/>
      </c>
      <c r="D443" s="32"/>
      <c r="E443" s="32"/>
      <c r="F443" s="32"/>
      <c r="G443" s="22"/>
      <c r="H443" s="27" t="str">
        <f aca="false">IF($A443="","",IF($F443="","Count it",IF($F443&lt;=$E443,"REORDER","OK")))</f>
        <v/>
      </c>
      <c r="I443" s="31" t="str">
        <f aca="false">IF(OR($A443="",$F443=""),"",MAX(0,$D443-$F443))</f>
        <v/>
      </c>
      <c r="J443" s="28" t="str">
        <f aca="false">IF(OR($A443="",$I443=""),"",$I443*IFERROR(INDEX(Supplies!$F$5:$F$104,MATCH($B443,Supplies!$A$5:$A$104,0)),0))</f>
        <v/>
      </c>
    </row>
    <row r="444" customFormat="false" ht="15" hidden="false" customHeight="false" outlineLevel="0" collapsed="false">
      <c r="A444" s="23"/>
      <c r="B444" s="23"/>
      <c r="C444" s="27" t="str">
        <f aca="false">IF($B444="","",IFERROR(INDEX(Supplies!$B$5:$B$104,MATCH($B444,Supplies!$A$5:$A$104,0)),"?"))</f>
        <v/>
      </c>
      <c r="D444" s="32"/>
      <c r="E444" s="32"/>
      <c r="F444" s="32"/>
      <c r="G444" s="22"/>
      <c r="H444" s="27" t="str">
        <f aca="false">IF($A444="","",IF($F444="","Count it",IF($F444&lt;=$E444,"REORDER","OK")))</f>
        <v/>
      </c>
      <c r="I444" s="31" t="str">
        <f aca="false">IF(OR($A444="",$F444=""),"",MAX(0,$D444-$F444))</f>
        <v/>
      </c>
      <c r="J444" s="28" t="str">
        <f aca="false">IF(OR($A444="",$I444=""),"",$I444*IFERROR(INDEX(Supplies!$F$5:$F$104,MATCH($B444,Supplies!$A$5:$A$104,0)),0))</f>
        <v/>
      </c>
    </row>
    <row r="445" customFormat="false" ht="15" hidden="false" customHeight="false" outlineLevel="0" collapsed="false">
      <c r="A445" s="23"/>
      <c r="B445" s="23"/>
      <c r="C445" s="27" t="str">
        <f aca="false">IF($B445="","",IFERROR(INDEX(Supplies!$B$5:$B$104,MATCH($B445,Supplies!$A$5:$A$104,0)),"?"))</f>
        <v/>
      </c>
      <c r="D445" s="32"/>
      <c r="E445" s="32"/>
      <c r="F445" s="32"/>
      <c r="G445" s="22"/>
      <c r="H445" s="27" t="str">
        <f aca="false">IF($A445="","",IF($F445="","Count it",IF($F445&lt;=$E445,"REORDER","OK")))</f>
        <v/>
      </c>
      <c r="I445" s="31" t="str">
        <f aca="false">IF(OR($A445="",$F445=""),"",MAX(0,$D445-$F445))</f>
        <v/>
      </c>
      <c r="J445" s="28" t="str">
        <f aca="false">IF(OR($A445="",$I445=""),"",$I445*IFERROR(INDEX(Supplies!$F$5:$F$104,MATCH($B445,Supplies!$A$5:$A$104,0)),0))</f>
        <v/>
      </c>
    </row>
    <row r="446" customFormat="false" ht="15" hidden="false" customHeight="false" outlineLevel="0" collapsed="false">
      <c r="A446" s="23"/>
      <c r="B446" s="23"/>
      <c r="C446" s="27" t="str">
        <f aca="false">IF($B446="","",IFERROR(INDEX(Supplies!$B$5:$B$104,MATCH($B446,Supplies!$A$5:$A$104,0)),"?"))</f>
        <v/>
      </c>
      <c r="D446" s="32"/>
      <c r="E446" s="32"/>
      <c r="F446" s="32"/>
      <c r="G446" s="22"/>
      <c r="H446" s="27" t="str">
        <f aca="false">IF($A446="","",IF($F446="","Count it",IF($F446&lt;=$E446,"REORDER","OK")))</f>
        <v/>
      </c>
      <c r="I446" s="31" t="str">
        <f aca="false">IF(OR($A446="",$F446=""),"",MAX(0,$D446-$F446))</f>
        <v/>
      </c>
      <c r="J446" s="28" t="str">
        <f aca="false">IF(OR($A446="",$I446=""),"",$I446*IFERROR(INDEX(Supplies!$F$5:$F$104,MATCH($B446,Supplies!$A$5:$A$104,0)),0))</f>
        <v/>
      </c>
    </row>
    <row r="447" customFormat="false" ht="15" hidden="false" customHeight="false" outlineLevel="0" collapsed="false">
      <c r="A447" s="23"/>
      <c r="B447" s="23"/>
      <c r="C447" s="27" t="str">
        <f aca="false">IF($B447="","",IFERROR(INDEX(Supplies!$B$5:$B$104,MATCH($B447,Supplies!$A$5:$A$104,0)),"?"))</f>
        <v/>
      </c>
      <c r="D447" s="32"/>
      <c r="E447" s="32"/>
      <c r="F447" s="32"/>
      <c r="G447" s="22"/>
      <c r="H447" s="27" t="str">
        <f aca="false">IF($A447="","",IF($F447="","Count it",IF($F447&lt;=$E447,"REORDER","OK")))</f>
        <v/>
      </c>
      <c r="I447" s="31" t="str">
        <f aca="false">IF(OR($A447="",$F447=""),"",MAX(0,$D447-$F447))</f>
        <v/>
      </c>
      <c r="J447" s="28" t="str">
        <f aca="false">IF(OR($A447="",$I447=""),"",$I447*IFERROR(INDEX(Supplies!$F$5:$F$104,MATCH($B447,Supplies!$A$5:$A$104,0)),0))</f>
        <v/>
      </c>
    </row>
    <row r="448" customFormat="false" ht="15" hidden="false" customHeight="false" outlineLevel="0" collapsed="false">
      <c r="A448" s="23"/>
      <c r="B448" s="23"/>
      <c r="C448" s="27" t="str">
        <f aca="false">IF($B448="","",IFERROR(INDEX(Supplies!$B$5:$B$104,MATCH($B448,Supplies!$A$5:$A$104,0)),"?"))</f>
        <v/>
      </c>
      <c r="D448" s="32"/>
      <c r="E448" s="32"/>
      <c r="F448" s="32"/>
      <c r="G448" s="22"/>
      <c r="H448" s="27" t="str">
        <f aca="false">IF($A448="","",IF($F448="","Count it",IF($F448&lt;=$E448,"REORDER","OK")))</f>
        <v/>
      </c>
      <c r="I448" s="31" t="str">
        <f aca="false">IF(OR($A448="",$F448=""),"",MAX(0,$D448-$F448))</f>
        <v/>
      </c>
      <c r="J448" s="28" t="str">
        <f aca="false">IF(OR($A448="",$I448=""),"",$I448*IFERROR(INDEX(Supplies!$F$5:$F$104,MATCH($B448,Supplies!$A$5:$A$104,0)),0))</f>
        <v/>
      </c>
    </row>
    <row r="449" customFormat="false" ht="15" hidden="false" customHeight="false" outlineLevel="0" collapsed="false">
      <c r="A449" s="23"/>
      <c r="B449" s="23"/>
      <c r="C449" s="27" t="str">
        <f aca="false">IF($B449="","",IFERROR(INDEX(Supplies!$B$5:$B$104,MATCH($B449,Supplies!$A$5:$A$104,0)),"?"))</f>
        <v/>
      </c>
      <c r="D449" s="32"/>
      <c r="E449" s="32"/>
      <c r="F449" s="32"/>
      <c r="G449" s="22"/>
      <c r="H449" s="27" t="str">
        <f aca="false">IF($A449="","",IF($F449="","Count it",IF($F449&lt;=$E449,"REORDER","OK")))</f>
        <v/>
      </c>
      <c r="I449" s="31" t="str">
        <f aca="false">IF(OR($A449="",$F449=""),"",MAX(0,$D449-$F449))</f>
        <v/>
      </c>
      <c r="J449" s="28" t="str">
        <f aca="false">IF(OR($A449="",$I449=""),"",$I449*IFERROR(INDEX(Supplies!$F$5:$F$104,MATCH($B449,Supplies!$A$5:$A$104,0)),0))</f>
        <v/>
      </c>
    </row>
    <row r="450" customFormat="false" ht="15" hidden="false" customHeight="false" outlineLevel="0" collapsed="false">
      <c r="A450" s="23"/>
      <c r="B450" s="23"/>
      <c r="C450" s="27" t="str">
        <f aca="false">IF($B450="","",IFERROR(INDEX(Supplies!$B$5:$B$104,MATCH($B450,Supplies!$A$5:$A$104,0)),"?"))</f>
        <v/>
      </c>
      <c r="D450" s="32"/>
      <c r="E450" s="32"/>
      <c r="F450" s="32"/>
      <c r="G450" s="22"/>
      <c r="H450" s="27" t="str">
        <f aca="false">IF($A450="","",IF($F450="","Count it",IF($F450&lt;=$E450,"REORDER","OK")))</f>
        <v/>
      </c>
      <c r="I450" s="31" t="str">
        <f aca="false">IF(OR($A450="",$F450=""),"",MAX(0,$D450-$F450))</f>
        <v/>
      </c>
      <c r="J450" s="28" t="str">
        <f aca="false">IF(OR($A450="",$I450=""),"",$I450*IFERROR(INDEX(Supplies!$F$5:$F$104,MATCH($B450,Supplies!$A$5:$A$104,0)),0))</f>
        <v/>
      </c>
    </row>
    <row r="451" customFormat="false" ht="15" hidden="false" customHeight="false" outlineLevel="0" collapsed="false">
      <c r="A451" s="23"/>
      <c r="B451" s="23"/>
      <c r="C451" s="27" t="str">
        <f aca="false">IF($B451="","",IFERROR(INDEX(Supplies!$B$5:$B$104,MATCH($B451,Supplies!$A$5:$A$104,0)),"?"))</f>
        <v/>
      </c>
      <c r="D451" s="32"/>
      <c r="E451" s="32"/>
      <c r="F451" s="32"/>
      <c r="G451" s="22"/>
      <c r="H451" s="27" t="str">
        <f aca="false">IF($A451="","",IF($F451="","Count it",IF($F451&lt;=$E451,"REORDER","OK")))</f>
        <v/>
      </c>
      <c r="I451" s="31" t="str">
        <f aca="false">IF(OR($A451="",$F451=""),"",MAX(0,$D451-$F451))</f>
        <v/>
      </c>
      <c r="J451" s="28" t="str">
        <f aca="false">IF(OR($A451="",$I451=""),"",$I451*IFERROR(INDEX(Supplies!$F$5:$F$104,MATCH($B451,Supplies!$A$5:$A$104,0)),0))</f>
        <v/>
      </c>
    </row>
    <row r="452" customFormat="false" ht="15" hidden="false" customHeight="false" outlineLevel="0" collapsed="false">
      <c r="A452" s="23"/>
      <c r="B452" s="23"/>
      <c r="C452" s="27" t="str">
        <f aca="false">IF($B452="","",IFERROR(INDEX(Supplies!$B$5:$B$104,MATCH($B452,Supplies!$A$5:$A$104,0)),"?"))</f>
        <v/>
      </c>
      <c r="D452" s="32"/>
      <c r="E452" s="32"/>
      <c r="F452" s="32"/>
      <c r="G452" s="22"/>
      <c r="H452" s="27" t="str">
        <f aca="false">IF($A452="","",IF($F452="","Count it",IF($F452&lt;=$E452,"REORDER","OK")))</f>
        <v/>
      </c>
      <c r="I452" s="31" t="str">
        <f aca="false">IF(OR($A452="",$F452=""),"",MAX(0,$D452-$F452))</f>
        <v/>
      </c>
      <c r="J452" s="28" t="str">
        <f aca="false">IF(OR($A452="",$I452=""),"",$I452*IFERROR(INDEX(Supplies!$F$5:$F$104,MATCH($B452,Supplies!$A$5:$A$104,0)),0))</f>
        <v/>
      </c>
    </row>
    <row r="453" customFormat="false" ht="15" hidden="false" customHeight="false" outlineLevel="0" collapsed="false">
      <c r="A453" s="23"/>
      <c r="B453" s="23"/>
      <c r="C453" s="27" t="str">
        <f aca="false">IF($B453="","",IFERROR(INDEX(Supplies!$B$5:$B$104,MATCH($B453,Supplies!$A$5:$A$104,0)),"?"))</f>
        <v/>
      </c>
      <c r="D453" s="32"/>
      <c r="E453" s="32"/>
      <c r="F453" s="32"/>
      <c r="G453" s="22"/>
      <c r="H453" s="27" t="str">
        <f aca="false">IF($A453="","",IF($F453="","Count it",IF($F453&lt;=$E453,"REORDER","OK")))</f>
        <v/>
      </c>
      <c r="I453" s="31" t="str">
        <f aca="false">IF(OR($A453="",$F453=""),"",MAX(0,$D453-$F453))</f>
        <v/>
      </c>
      <c r="J453" s="28" t="str">
        <f aca="false">IF(OR($A453="",$I453=""),"",$I453*IFERROR(INDEX(Supplies!$F$5:$F$104,MATCH($B453,Supplies!$A$5:$A$104,0)),0))</f>
        <v/>
      </c>
    </row>
    <row r="454" customFormat="false" ht="15" hidden="false" customHeight="false" outlineLevel="0" collapsed="false">
      <c r="A454" s="23"/>
      <c r="B454" s="23"/>
      <c r="C454" s="27" t="str">
        <f aca="false">IF($B454="","",IFERROR(INDEX(Supplies!$B$5:$B$104,MATCH($B454,Supplies!$A$5:$A$104,0)),"?"))</f>
        <v/>
      </c>
      <c r="D454" s="32"/>
      <c r="E454" s="32"/>
      <c r="F454" s="32"/>
      <c r="G454" s="22"/>
      <c r="H454" s="27" t="str">
        <f aca="false">IF($A454="","",IF($F454="","Count it",IF($F454&lt;=$E454,"REORDER","OK")))</f>
        <v/>
      </c>
      <c r="I454" s="31" t="str">
        <f aca="false">IF(OR($A454="",$F454=""),"",MAX(0,$D454-$F454))</f>
        <v/>
      </c>
      <c r="J454" s="28" t="str">
        <f aca="false">IF(OR($A454="",$I454=""),"",$I454*IFERROR(INDEX(Supplies!$F$5:$F$104,MATCH($B454,Supplies!$A$5:$A$104,0)),0))</f>
        <v/>
      </c>
    </row>
    <row r="455" customFormat="false" ht="15" hidden="false" customHeight="false" outlineLevel="0" collapsed="false">
      <c r="A455" s="23"/>
      <c r="B455" s="23"/>
      <c r="C455" s="27" t="str">
        <f aca="false">IF($B455="","",IFERROR(INDEX(Supplies!$B$5:$B$104,MATCH($B455,Supplies!$A$5:$A$104,0)),"?"))</f>
        <v/>
      </c>
      <c r="D455" s="32"/>
      <c r="E455" s="32"/>
      <c r="F455" s="32"/>
      <c r="G455" s="22"/>
      <c r="H455" s="27" t="str">
        <f aca="false">IF($A455="","",IF($F455="","Count it",IF($F455&lt;=$E455,"REORDER","OK")))</f>
        <v/>
      </c>
      <c r="I455" s="31" t="str">
        <f aca="false">IF(OR($A455="",$F455=""),"",MAX(0,$D455-$F455))</f>
        <v/>
      </c>
      <c r="J455" s="28" t="str">
        <f aca="false">IF(OR($A455="",$I455=""),"",$I455*IFERROR(INDEX(Supplies!$F$5:$F$104,MATCH($B455,Supplies!$A$5:$A$104,0)),0))</f>
        <v/>
      </c>
    </row>
    <row r="456" customFormat="false" ht="15" hidden="false" customHeight="false" outlineLevel="0" collapsed="false">
      <c r="A456" s="23"/>
      <c r="B456" s="23"/>
      <c r="C456" s="27" t="str">
        <f aca="false">IF($B456="","",IFERROR(INDEX(Supplies!$B$5:$B$104,MATCH($B456,Supplies!$A$5:$A$104,0)),"?"))</f>
        <v/>
      </c>
      <c r="D456" s="32"/>
      <c r="E456" s="32"/>
      <c r="F456" s="32"/>
      <c r="G456" s="22"/>
      <c r="H456" s="27" t="str">
        <f aca="false">IF($A456="","",IF($F456="","Count it",IF($F456&lt;=$E456,"REORDER","OK")))</f>
        <v/>
      </c>
      <c r="I456" s="31" t="str">
        <f aca="false">IF(OR($A456="",$F456=""),"",MAX(0,$D456-$F456))</f>
        <v/>
      </c>
      <c r="J456" s="28" t="str">
        <f aca="false">IF(OR($A456="",$I456=""),"",$I456*IFERROR(INDEX(Supplies!$F$5:$F$104,MATCH($B456,Supplies!$A$5:$A$104,0)),0))</f>
        <v/>
      </c>
    </row>
    <row r="457" customFormat="false" ht="15" hidden="false" customHeight="false" outlineLevel="0" collapsed="false">
      <c r="A457" s="23"/>
      <c r="B457" s="23"/>
      <c r="C457" s="27" t="str">
        <f aca="false">IF($B457="","",IFERROR(INDEX(Supplies!$B$5:$B$104,MATCH($B457,Supplies!$A$5:$A$104,0)),"?"))</f>
        <v/>
      </c>
      <c r="D457" s="32"/>
      <c r="E457" s="32"/>
      <c r="F457" s="32"/>
      <c r="G457" s="22"/>
      <c r="H457" s="27" t="str">
        <f aca="false">IF($A457="","",IF($F457="","Count it",IF($F457&lt;=$E457,"REORDER","OK")))</f>
        <v/>
      </c>
      <c r="I457" s="31" t="str">
        <f aca="false">IF(OR($A457="",$F457=""),"",MAX(0,$D457-$F457))</f>
        <v/>
      </c>
      <c r="J457" s="28" t="str">
        <f aca="false">IF(OR($A457="",$I457=""),"",$I457*IFERROR(INDEX(Supplies!$F$5:$F$104,MATCH($B457,Supplies!$A$5:$A$104,0)),0))</f>
        <v/>
      </c>
    </row>
    <row r="458" customFormat="false" ht="15" hidden="false" customHeight="false" outlineLevel="0" collapsed="false">
      <c r="A458" s="23"/>
      <c r="B458" s="23"/>
      <c r="C458" s="27" t="str">
        <f aca="false">IF($B458="","",IFERROR(INDEX(Supplies!$B$5:$B$104,MATCH($B458,Supplies!$A$5:$A$104,0)),"?"))</f>
        <v/>
      </c>
      <c r="D458" s="32"/>
      <c r="E458" s="32"/>
      <c r="F458" s="32"/>
      <c r="G458" s="22"/>
      <c r="H458" s="27" t="str">
        <f aca="false">IF($A458="","",IF($F458="","Count it",IF($F458&lt;=$E458,"REORDER","OK")))</f>
        <v/>
      </c>
      <c r="I458" s="31" t="str">
        <f aca="false">IF(OR($A458="",$F458=""),"",MAX(0,$D458-$F458))</f>
        <v/>
      </c>
      <c r="J458" s="28" t="str">
        <f aca="false">IF(OR($A458="",$I458=""),"",$I458*IFERROR(INDEX(Supplies!$F$5:$F$104,MATCH($B458,Supplies!$A$5:$A$104,0)),0))</f>
        <v/>
      </c>
    </row>
    <row r="459" customFormat="false" ht="15" hidden="false" customHeight="false" outlineLevel="0" collapsed="false">
      <c r="A459" s="23"/>
      <c r="B459" s="23"/>
      <c r="C459" s="27" t="str">
        <f aca="false">IF($B459="","",IFERROR(INDEX(Supplies!$B$5:$B$104,MATCH($B459,Supplies!$A$5:$A$104,0)),"?"))</f>
        <v/>
      </c>
      <c r="D459" s="32"/>
      <c r="E459" s="32"/>
      <c r="F459" s="32"/>
      <c r="G459" s="22"/>
      <c r="H459" s="27" t="str">
        <f aca="false">IF($A459="","",IF($F459="","Count it",IF($F459&lt;=$E459,"REORDER","OK")))</f>
        <v/>
      </c>
      <c r="I459" s="31" t="str">
        <f aca="false">IF(OR($A459="",$F459=""),"",MAX(0,$D459-$F459))</f>
        <v/>
      </c>
      <c r="J459" s="28" t="str">
        <f aca="false">IF(OR($A459="",$I459=""),"",$I459*IFERROR(INDEX(Supplies!$F$5:$F$104,MATCH($B459,Supplies!$A$5:$A$104,0)),0))</f>
        <v/>
      </c>
    </row>
    <row r="460" customFormat="false" ht="15" hidden="false" customHeight="false" outlineLevel="0" collapsed="false">
      <c r="A460" s="23"/>
      <c r="B460" s="23"/>
      <c r="C460" s="27" t="str">
        <f aca="false">IF($B460="","",IFERROR(INDEX(Supplies!$B$5:$B$104,MATCH($B460,Supplies!$A$5:$A$104,0)),"?"))</f>
        <v/>
      </c>
      <c r="D460" s="32"/>
      <c r="E460" s="32"/>
      <c r="F460" s="32"/>
      <c r="G460" s="22"/>
      <c r="H460" s="27" t="str">
        <f aca="false">IF($A460="","",IF($F460="","Count it",IF($F460&lt;=$E460,"REORDER","OK")))</f>
        <v/>
      </c>
      <c r="I460" s="31" t="str">
        <f aca="false">IF(OR($A460="",$F460=""),"",MAX(0,$D460-$F460))</f>
        <v/>
      </c>
      <c r="J460" s="28" t="str">
        <f aca="false">IF(OR($A460="",$I460=""),"",$I460*IFERROR(INDEX(Supplies!$F$5:$F$104,MATCH($B460,Supplies!$A$5:$A$104,0)),0))</f>
        <v/>
      </c>
    </row>
    <row r="461" customFormat="false" ht="15" hidden="false" customHeight="false" outlineLevel="0" collapsed="false">
      <c r="A461" s="23"/>
      <c r="B461" s="23"/>
      <c r="C461" s="27" t="str">
        <f aca="false">IF($B461="","",IFERROR(INDEX(Supplies!$B$5:$B$104,MATCH($B461,Supplies!$A$5:$A$104,0)),"?"))</f>
        <v/>
      </c>
      <c r="D461" s="32"/>
      <c r="E461" s="32"/>
      <c r="F461" s="32"/>
      <c r="G461" s="22"/>
      <c r="H461" s="27" t="str">
        <f aca="false">IF($A461="","",IF($F461="","Count it",IF($F461&lt;=$E461,"REORDER","OK")))</f>
        <v/>
      </c>
      <c r="I461" s="31" t="str">
        <f aca="false">IF(OR($A461="",$F461=""),"",MAX(0,$D461-$F461))</f>
        <v/>
      </c>
      <c r="J461" s="28" t="str">
        <f aca="false">IF(OR($A461="",$I461=""),"",$I461*IFERROR(INDEX(Supplies!$F$5:$F$104,MATCH($B461,Supplies!$A$5:$A$104,0)),0))</f>
        <v/>
      </c>
    </row>
    <row r="462" customFormat="false" ht="15" hidden="false" customHeight="false" outlineLevel="0" collapsed="false">
      <c r="A462" s="23"/>
      <c r="B462" s="23"/>
      <c r="C462" s="27" t="str">
        <f aca="false">IF($B462="","",IFERROR(INDEX(Supplies!$B$5:$B$104,MATCH($B462,Supplies!$A$5:$A$104,0)),"?"))</f>
        <v/>
      </c>
      <c r="D462" s="32"/>
      <c r="E462" s="32"/>
      <c r="F462" s="32"/>
      <c r="G462" s="22"/>
      <c r="H462" s="27" t="str">
        <f aca="false">IF($A462="","",IF($F462="","Count it",IF($F462&lt;=$E462,"REORDER","OK")))</f>
        <v/>
      </c>
      <c r="I462" s="31" t="str">
        <f aca="false">IF(OR($A462="",$F462=""),"",MAX(0,$D462-$F462))</f>
        <v/>
      </c>
      <c r="J462" s="28" t="str">
        <f aca="false">IF(OR($A462="",$I462=""),"",$I462*IFERROR(INDEX(Supplies!$F$5:$F$104,MATCH($B462,Supplies!$A$5:$A$104,0)),0))</f>
        <v/>
      </c>
    </row>
    <row r="463" customFormat="false" ht="15" hidden="false" customHeight="false" outlineLevel="0" collapsed="false">
      <c r="A463" s="23"/>
      <c r="B463" s="23"/>
      <c r="C463" s="27" t="str">
        <f aca="false">IF($B463="","",IFERROR(INDEX(Supplies!$B$5:$B$104,MATCH($B463,Supplies!$A$5:$A$104,0)),"?"))</f>
        <v/>
      </c>
      <c r="D463" s="32"/>
      <c r="E463" s="32"/>
      <c r="F463" s="32"/>
      <c r="G463" s="22"/>
      <c r="H463" s="27" t="str">
        <f aca="false">IF($A463="","",IF($F463="","Count it",IF($F463&lt;=$E463,"REORDER","OK")))</f>
        <v/>
      </c>
      <c r="I463" s="31" t="str">
        <f aca="false">IF(OR($A463="",$F463=""),"",MAX(0,$D463-$F463))</f>
        <v/>
      </c>
      <c r="J463" s="28" t="str">
        <f aca="false">IF(OR($A463="",$I463=""),"",$I463*IFERROR(INDEX(Supplies!$F$5:$F$104,MATCH($B463,Supplies!$A$5:$A$104,0)),0))</f>
        <v/>
      </c>
    </row>
    <row r="464" customFormat="false" ht="15" hidden="false" customHeight="false" outlineLevel="0" collapsed="false">
      <c r="A464" s="23"/>
      <c r="B464" s="23"/>
      <c r="C464" s="27" t="str">
        <f aca="false">IF($B464="","",IFERROR(INDEX(Supplies!$B$5:$B$104,MATCH($B464,Supplies!$A$5:$A$104,0)),"?"))</f>
        <v/>
      </c>
      <c r="D464" s="32"/>
      <c r="E464" s="32"/>
      <c r="F464" s="32"/>
      <c r="G464" s="22"/>
      <c r="H464" s="27" t="str">
        <f aca="false">IF($A464="","",IF($F464="","Count it",IF($F464&lt;=$E464,"REORDER","OK")))</f>
        <v/>
      </c>
      <c r="I464" s="31" t="str">
        <f aca="false">IF(OR($A464="",$F464=""),"",MAX(0,$D464-$F464))</f>
        <v/>
      </c>
      <c r="J464" s="28" t="str">
        <f aca="false">IF(OR($A464="",$I464=""),"",$I464*IFERROR(INDEX(Supplies!$F$5:$F$104,MATCH($B464,Supplies!$A$5:$A$104,0)),0))</f>
        <v/>
      </c>
    </row>
    <row r="465" customFormat="false" ht="15" hidden="false" customHeight="false" outlineLevel="0" collapsed="false">
      <c r="A465" s="23"/>
      <c r="B465" s="23"/>
      <c r="C465" s="27" t="str">
        <f aca="false">IF($B465="","",IFERROR(INDEX(Supplies!$B$5:$B$104,MATCH($B465,Supplies!$A$5:$A$104,0)),"?"))</f>
        <v/>
      </c>
      <c r="D465" s="32"/>
      <c r="E465" s="32"/>
      <c r="F465" s="32"/>
      <c r="G465" s="22"/>
      <c r="H465" s="27" t="str">
        <f aca="false">IF($A465="","",IF($F465="","Count it",IF($F465&lt;=$E465,"REORDER","OK")))</f>
        <v/>
      </c>
      <c r="I465" s="31" t="str">
        <f aca="false">IF(OR($A465="",$F465=""),"",MAX(0,$D465-$F465))</f>
        <v/>
      </c>
      <c r="J465" s="28" t="str">
        <f aca="false">IF(OR($A465="",$I465=""),"",$I465*IFERROR(INDEX(Supplies!$F$5:$F$104,MATCH($B465,Supplies!$A$5:$A$104,0)),0))</f>
        <v/>
      </c>
    </row>
    <row r="466" customFormat="false" ht="15" hidden="false" customHeight="false" outlineLevel="0" collapsed="false">
      <c r="A466" s="23"/>
      <c r="B466" s="23"/>
      <c r="C466" s="27" t="str">
        <f aca="false">IF($B466="","",IFERROR(INDEX(Supplies!$B$5:$B$104,MATCH($B466,Supplies!$A$5:$A$104,0)),"?"))</f>
        <v/>
      </c>
      <c r="D466" s="32"/>
      <c r="E466" s="32"/>
      <c r="F466" s="32"/>
      <c r="G466" s="22"/>
      <c r="H466" s="27" t="str">
        <f aca="false">IF($A466="","",IF($F466="","Count it",IF($F466&lt;=$E466,"REORDER","OK")))</f>
        <v/>
      </c>
      <c r="I466" s="31" t="str">
        <f aca="false">IF(OR($A466="",$F466=""),"",MAX(0,$D466-$F466))</f>
        <v/>
      </c>
      <c r="J466" s="28" t="str">
        <f aca="false">IF(OR($A466="",$I466=""),"",$I466*IFERROR(INDEX(Supplies!$F$5:$F$104,MATCH($B466,Supplies!$A$5:$A$104,0)),0))</f>
        <v/>
      </c>
    </row>
    <row r="467" customFormat="false" ht="15" hidden="false" customHeight="false" outlineLevel="0" collapsed="false">
      <c r="A467" s="23"/>
      <c r="B467" s="23"/>
      <c r="C467" s="27" t="str">
        <f aca="false">IF($B467="","",IFERROR(INDEX(Supplies!$B$5:$B$104,MATCH($B467,Supplies!$A$5:$A$104,0)),"?"))</f>
        <v/>
      </c>
      <c r="D467" s="32"/>
      <c r="E467" s="32"/>
      <c r="F467" s="32"/>
      <c r="G467" s="22"/>
      <c r="H467" s="27" t="str">
        <f aca="false">IF($A467="","",IF($F467="","Count it",IF($F467&lt;=$E467,"REORDER","OK")))</f>
        <v/>
      </c>
      <c r="I467" s="31" t="str">
        <f aca="false">IF(OR($A467="",$F467=""),"",MAX(0,$D467-$F467))</f>
        <v/>
      </c>
      <c r="J467" s="28" t="str">
        <f aca="false">IF(OR($A467="",$I467=""),"",$I467*IFERROR(INDEX(Supplies!$F$5:$F$104,MATCH($B467,Supplies!$A$5:$A$104,0)),0))</f>
        <v/>
      </c>
    </row>
    <row r="468" customFormat="false" ht="15" hidden="false" customHeight="false" outlineLevel="0" collapsed="false">
      <c r="A468" s="23"/>
      <c r="B468" s="23"/>
      <c r="C468" s="27" t="str">
        <f aca="false">IF($B468="","",IFERROR(INDEX(Supplies!$B$5:$B$104,MATCH($B468,Supplies!$A$5:$A$104,0)),"?"))</f>
        <v/>
      </c>
      <c r="D468" s="32"/>
      <c r="E468" s="32"/>
      <c r="F468" s="32"/>
      <c r="G468" s="22"/>
      <c r="H468" s="27" t="str">
        <f aca="false">IF($A468="","",IF($F468="","Count it",IF($F468&lt;=$E468,"REORDER","OK")))</f>
        <v/>
      </c>
      <c r="I468" s="31" t="str">
        <f aca="false">IF(OR($A468="",$F468=""),"",MAX(0,$D468-$F468))</f>
        <v/>
      </c>
      <c r="J468" s="28" t="str">
        <f aca="false">IF(OR($A468="",$I468=""),"",$I468*IFERROR(INDEX(Supplies!$F$5:$F$104,MATCH($B468,Supplies!$A$5:$A$104,0)),0))</f>
        <v/>
      </c>
    </row>
    <row r="469" customFormat="false" ht="15" hidden="false" customHeight="false" outlineLevel="0" collapsed="false">
      <c r="A469" s="23"/>
      <c r="B469" s="23"/>
      <c r="C469" s="27" t="str">
        <f aca="false">IF($B469="","",IFERROR(INDEX(Supplies!$B$5:$B$104,MATCH($B469,Supplies!$A$5:$A$104,0)),"?"))</f>
        <v/>
      </c>
      <c r="D469" s="32"/>
      <c r="E469" s="32"/>
      <c r="F469" s="32"/>
      <c r="G469" s="22"/>
      <c r="H469" s="27" t="str">
        <f aca="false">IF($A469="","",IF($F469="","Count it",IF($F469&lt;=$E469,"REORDER","OK")))</f>
        <v/>
      </c>
      <c r="I469" s="31" t="str">
        <f aca="false">IF(OR($A469="",$F469=""),"",MAX(0,$D469-$F469))</f>
        <v/>
      </c>
      <c r="J469" s="28" t="str">
        <f aca="false">IF(OR($A469="",$I469=""),"",$I469*IFERROR(INDEX(Supplies!$F$5:$F$104,MATCH($B469,Supplies!$A$5:$A$104,0)),0))</f>
        <v/>
      </c>
    </row>
    <row r="470" customFormat="false" ht="15" hidden="false" customHeight="false" outlineLevel="0" collapsed="false">
      <c r="A470" s="23"/>
      <c r="B470" s="23"/>
      <c r="C470" s="27" t="str">
        <f aca="false">IF($B470="","",IFERROR(INDEX(Supplies!$B$5:$B$104,MATCH($B470,Supplies!$A$5:$A$104,0)),"?"))</f>
        <v/>
      </c>
      <c r="D470" s="32"/>
      <c r="E470" s="32"/>
      <c r="F470" s="32"/>
      <c r="G470" s="22"/>
      <c r="H470" s="27" t="str">
        <f aca="false">IF($A470="","",IF($F470="","Count it",IF($F470&lt;=$E470,"REORDER","OK")))</f>
        <v/>
      </c>
      <c r="I470" s="31" t="str">
        <f aca="false">IF(OR($A470="",$F470=""),"",MAX(0,$D470-$F470))</f>
        <v/>
      </c>
      <c r="J470" s="28" t="str">
        <f aca="false">IF(OR($A470="",$I470=""),"",$I470*IFERROR(INDEX(Supplies!$F$5:$F$104,MATCH($B470,Supplies!$A$5:$A$104,0)),0))</f>
        <v/>
      </c>
    </row>
    <row r="471" customFormat="false" ht="15" hidden="false" customHeight="false" outlineLevel="0" collapsed="false">
      <c r="A471" s="23"/>
      <c r="B471" s="23"/>
      <c r="C471" s="27" t="str">
        <f aca="false">IF($B471="","",IFERROR(INDEX(Supplies!$B$5:$B$104,MATCH($B471,Supplies!$A$5:$A$104,0)),"?"))</f>
        <v/>
      </c>
      <c r="D471" s="32"/>
      <c r="E471" s="32"/>
      <c r="F471" s="32"/>
      <c r="G471" s="22"/>
      <c r="H471" s="27" t="str">
        <f aca="false">IF($A471="","",IF($F471="","Count it",IF($F471&lt;=$E471,"REORDER","OK")))</f>
        <v/>
      </c>
      <c r="I471" s="31" t="str">
        <f aca="false">IF(OR($A471="",$F471=""),"",MAX(0,$D471-$F471))</f>
        <v/>
      </c>
      <c r="J471" s="28" t="str">
        <f aca="false">IF(OR($A471="",$I471=""),"",$I471*IFERROR(INDEX(Supplies!$F$5:$F$104,MATCH($B471,Supplies!$A$5:$A$104,0)),0))</f>
        <v/>
      </c>
    </row>
    <row r="472" customFormat="false" ht="15" hidden="false" customHeight="false" outlineLevel="0" collapsed="false">
      <c r="A472" s="23"/>
      <c r="B472" s="23"/>
      <c r="C472" s="27" t="str">
        <f aca="false">IF($B472="","",IFERROR(INDEX(Supplies!$B$5:$B$104,MATCH($B472,Supplies!$A$5:$A$104,0)),"?"))</f>
        <v/>
      </c>
      <c r="D472" s="32"/>
      <c r="E472" s="32"/>
      <c r="F472" s="32"/>
      <c r="G472" s="22"/>
      <c r="H472" s="27" t="str">
        <f aca="false">IF($A472="","",IF($F472="","Count it",IF($F472&lt;=$E472,"REORDER","OK")))</f>
        <v/>
      </c>
      <c r="I472" s="31" t="str">
        <f aca="false">IF(OR($A472="",$F472=""),"",MAX(0,$D472-$F472))</f>
        <v/>
      </c>
      <c r="J472" s="28" t="str">
        <f aca="false">IF(OR($A472="",$I472=""),"",$I472*IFERROR(INDEX(Supplies!$F$5:$F$104,MATCH($B472,Supplies!$A$5:$A$104,0)),0))</f>
        <v/>
      </c>
    </row>
    <row r="473" customFormat="false" ht="15" hidden="false" customHeight="false" outlineLevel="0" collapsed="false">
      <c r="A473" s="23"/>
      <c r="B473" s="23"/>
      <c r="C473" s="27" t="str">
        <f aca="false">IF($B473="","",IFERROR(INDEX(Supplies!$B$5:$B$104,MATCH($B473,Supplies!$A$5:$A$104,0)),"?"))</f>
        <v/>
      </c>
      <c r="D473" s="32"/>
      <c r="E473" s="32"/>
      <c r="F473" s="32"/>
      <c r="G473" s="22"/>
      <c r="H473" s="27" t="str">
        <f aca="false">IF($A473="","",IF($F473="","Count it",IF($F473&lt;=$E473,"REORDER","OK")))</f>
        <v/>
      </c>
      <c r="I473" s="31" t="str">
        <f aca="false">IF(OR($A473="",$F473=""),"",MAX(0,$D473-$F473))</f>
        <v/>
      </c>
      <c r="J473" s="28" t="str">
        <f aca="false">IF(OR($A473="",$I473=""),"",$I473*IFERROR(INDEX(Supplies!$F$5:$F$104,MATCH($B473,Supplies!$A$5:$A$104,0)),0))</f>
        <v/>
      </c>
    </row>
    <row r="474" customFormat="false" ht="15" hidden="false" customHeight="false" outlineLevel="0" collapsed="false">
      <c r="A474" s="23"/>
      <c r="B474" s="23"/>
      <c r="C474" s="27" t="str">
        <f aca="false">IF($B474="","",IFERROR(INDEX(Supplies!$B$5:$B$104,MATCH($B474,Supplies!$A$5:$A$104,0)),"?"))</f>
        <v/>
      </c>
      <c r="D474" s="32"/>
      <c r="E474" s="32"/>
      <c r="F474" s="32"/>
      <c r="G474" s="22"/>
      <c r="H474" s="27" t="str">
        <f aca="false">IF($A474="","",IF($F474="","Count it",IF($F474&lt;=$E474,"REORDER","OK")))</f>
        <v/>
      </c>
      <c r="I474" s="31" t="str">
        <f aca="false">IF(OR($A474="",$F474=""),"",MAX(0,$D474-$F474))</f>
        <v/>
      </c>
      <c r="J474" s="28" t="str">
        <f aca="false">IF(OR($A474="",$I474=""),"",$I474*IFERROR(INDEX(Supplies!$F$5:$F$104,MATCH($B474,Supplies!$A$5:$A$104,0)),0))</f>
        <v/>
      </c>
    </row>
    <row r="475" customFormat="false" ht="15" hidden="false" customHeight="false" outlineLevel="0" collapsed="false">
      <c r="A475" s="23"/>
      <c r="B475" s="23"/>
      <c r="C475" s="27" t="str">
        <f aca="false">IF($B475="","",IFERROR(INDEX(Supplies!$B$5:$B$104,MATCH($B475,Supplies!$A$5:$A$104,0)),"?"))</f>
        <v/>
      </c>
      <c r="D475" s="32"/>
      <c r="E475" s="32"/>
      <c r="F475" s="32"/>
      <c r="G475" s="22"/>
      <c r="H475" s="27" t="str">
        <f aca="false">IF($A475="","",IF($F475="","Count it",IF($F475&lt;=$E475,"REORDER","OK")))</f>
        <v/>
      </c>
      <c r="I475" s="31" t="str">
        <f aca="false">IF(OR($A475="",$F475=""),"",MAX(0,$D475-$F475))</f>
        <v/>
      </c>
      <c r="J475" s="28" t="str">
        <f aca="false">IF(OR($A475="",$I475=""),"",$I475*IFERROR(INDEX(Supplies!$F$5:$F$104,MATCH($B475,Supplies!$A$5:$A$104,0)),0))</f>
        <v/>
      </c>
    </row>
    <row r="476" customFormat="false" ht="15" hidden="false" customHeight="false" outlineLevel="0" collapsed="false">
      <c r="A476" s="23"/>
      <c r="B476" s="23"/>
      <c r="C476" s="27" t="str">
        <f aca="false">IF($B476="","",IFERROR(INDEX(Supplies!$B$5:$B$104,MATCH($B476,Supplies!$A$5:$A$104,0)),"?"))</f>
        <v/>
      </c>
      <c r="D476" s="32"/>
      <c r="E476" s="32"/>
      <c r="F476" s="32"/>
      <c r="G476" s="22"/>
      <c r="H476" s="27" t="str">
        <f aca="false">IF($A476="","",IF($F476="","Count it",IF($F476&lt;=$E476,"REORDER","OK")))</f>
        <v/>
      </c>
      <c r="I476" s="31" t="str">
        <f aca="false">IF(OR($A476="",$F476=""),"",MAX(0,$D476-$F476))</f>
        <v/>
      </c>
      <c r="J476" s="28" t="str">
        <f aca="false">IF(OR($A476="",$I476=""),"",$I476*IFERROR(INDEX(Supplies!$F$5:$F$104,MATCH($B476,Supplies!$A$5:$A$104,0)),0))</f>
        <v/>
      </c>
    </row>
    <row r="477" customFormat="false" ht="15" hidden="false" customHeight="false" outlineLevel="0" collapsed="false">
      <c r="A477" s="23"/>
      <c r="B477" s="23"/>
      <c r="C477" s="27" t="str">
        <f aca="false">IF($B477="","",IFERROR(INDEX(Supplies!$B$5:$B$104,MATCH($B477,Supplies!$A$5:$A$104,0)),"?"))</f>
        <v/>
      </c>
      <c r="D477" s="32"/>
      <c r="E477" s="32"/>
      <c r="F477" s="32"/>
      <c r="G477" s="22"/>
      <c r="H477" s="27" t="str">
        <f aca="false">IF($A477="","",IF($F477="","Count it",IF($F477&lt;=$E477,"REORDER","OK")))</f>
        <v/>
      </c>
      <c r="I477" s="31" t="str">
        <f aca="false">IF(OR($A477="",$F477=""),"",MAX(0,$D477-$F477))</f>
        <v/>
      </c>
      <c r="J477" s="28" t="str">
        <f aca="false">IF(OR($A477="",$I477=""),"",$I477*IFERROR(INDEX(Supplies!$F$5:$F$104,MATCH($B477,Supplies!$A$5:$A$104,0)),0))</f>
        <v/>
      </c>
    </row>
    <row r="478" customFormat="false" ht="15" hidden="false" customHeight="false" outlineLevel="0" collapsed="false">
      <c r="A478" s="23"/>
      <c r="B478" s="23"/>
      <c r="C478" s="27" t="str">
        <f aca="false">IF($B478="","",IFERROR(INDEX(Supplies!$B$5:$B$104,MATCH($B478,Supplies!$A$5:$A$104,0)),"?"))</f>
        <v/>
      </c>
      <c r="D478" s="32"/>
      <c r="E478" s="32"/>
      <c r="F478" s="32"/>
      <c r="G478" s="22"/>
      <c r="H478" s="27" t="str">
        <f aca="false">IF($A478="","",IF($F478="","Count it",IF($F478&lt;=$E478,"REORDER","OK")))</f>
        <v/>
      </c>
      <c r="I478" s="31" t="str">
        <f aca="false">IF(OR($A478="",$F478=""),"",MAX(0,$D478-$F478))</f>
        <v/>
      </c>
      <c r="J478" s="28" t="str">
        <f aca="false">IF(OR($A478="",$I478=""),"",$I478*IFERROR(INDEX(Supplies!$F$5:$F$104,MATCH($B478,Supplies!$A$5:$A$104,0)),0))</f>
        <v/>
      </c>
    </row>
    <row r="479" customFormat="false" ht="15" hidden="false" customHeight="false" outlineLevel="0" collapsed="false">
      <c r="A479" s="23"/>
      <c r="B479" s="23"/>
      <c r="C479" s="27" t="str">
        <f aca="false">IF($B479="","",IFERROR(INDEX(Supplies!$B$5:$B$104,MATCH($B479,Supplies!$A$5:$A$104,0)),"?"))</f>
        <v/>
      </c>
      <c r="D479" s="32"/>
      <c r="E479" s="32"/>
      <c r="F479" s="32"/>
      <c r="G479" s="22"/>
      <c r="H479" s="27" t="str">
        <f aca="false">IF($A479="","",IF($F479="","Count it",IF($F479&lt;=$E479,"REORDER","OK")))</f>
        <v/>
      </c>
      <c r="I479" s="31" t="str">
        <f aca="false">IF(OR($A479="",$F479=""),"",MAX(0,$D479-$F479))</f>
        <v/>
      </c>
      <c r="J479" s="28" t="str">
        <f aca="false">IF(OR($A479="",$I479=""),"",$I479*IFERROR(INDEX(Supplies!$F$5:$F$104,MATCH($B479,Supplies!$A$5:$A$104,0)),0))</f>
        <v/>
      </c>
    </row>
    <row r="480" customFormat="false" ht="15" hidden="false" customHeight="false" outlineLevel="0" collapsed="false">
      <c r="A480" s="23"/>
      <c r="B480" s="23"/>
      <c r="C480" s="27" t="str">
        <f aca="false">IF($B480="","",IFERROR(INDEX(Supplies!$B$5:$B$104,MATCH($B480,Supplies!$A$5:$A$104,0)),"?"))</f>
        <v/>
      </c>
      <c r="D480" s="32"/>
      <c r="E480" s="32"/>
      <c r="F480" s="32"/>
      <c r="G480" s="22"/>
      <c r="H480" s="27" t="str">
        <f aca="false">IF($A480="","",IF($F480="","Count it",IF($F480&lt;=$E480,"REORDER","OK")))</f>
        <v/>
      </c>
      <c r="I480" s="31" t="str">
        <f aca="false">IF(OR($A480="",$F480=""),"",MAX(0,$D480-$F480))</f>
        <v/>
      </c>
      <c r="J480" s="28" t="str">
        <f aca="false">IF(OR($A480="",$I480=""),"",$I480*IFERROR(INDEX(Supplies!$F$5:$F$104,MATCH($B480,Supplies!$A$5:$A$104,0)),0))</f>
        <v/>
      </c>
    </row>
    <row r="481" customFormat="false" ht="15" hidden="false" customHeight="false" outlineLevel="0" collapsed="false">
      <c r="A481" s="23"/>
      <c r="B481" s="23"/>
      <c r="C481" s="27" t="str">
        <f aca="false">IF($B481="","",IFERROR(INDEX(Supplies!$B$5:$B$104,MATCH($B481,Supplies!$A$5:$A$104,0)),"?"))</f>
        <v/>
      </c>
      <c r="D481" s="32"/>
      <c r="E481" s="32"/>
      <c r="F481" s="32"/>
      <c r="G481" s="22"/>
      <c r="H481" s="27" t="str">
        <f aca="false">IF($A481="","",IF($F481="","Count it",IF($F481&lt;=$E481,"REORDER","OK")))</f>
        <v/>
      </c>
      <c r="I481" s="31" t="str">
        <f aca="false">IF(OR($A481="",$F481=""),"",MAX(0,$D481-$F481))</f>
        <v/>
      </c>
      <c r="J481" s="28" t="str">
        <f aca="false">IF(OR($A481="",$I481=""),"",$I481*IFERROR(INDEX(Supplies!$F$5:$F$104,MATCH($B481,Supplies!$A$5:$A$104,0)),0))</f>
        <v/>
      </c>
    </row>
    <row r="482" customFormat="false" ht="15" hidden="false" customHeight="false" outlineLevel="0" collapsed="false">
      <c r="A482" s="23"/>
      <c r="B482" s="23"/>
      <c r="C482" s="27" t="str">
        <f aca="false">IF($B482="","",IFERROR(INDEX(Supplies!$B$5:$B$104,MATCH($B482,Supplies!$A$5:$A$104,0)),"?"))</f>
        <v/>
      </c>
      <c r="D482" s="32"/>
      <c r="E482" s="32"/>
      <c r="F482" s="32"/>
      <c r="G482" s="22"/>
      <c r="H482" s="27" t="str">
        <f aca="false">IF($A482="","",IF($F482="","Count it",IF($F482&lt;=$E482,"REORDER","OK")))</f>
        <v/>
      </c>
      <c r="I482" s="31" t="str">
        <f aca="false">IF(OR($A482="",$F482=""),"",MAX(0,$D482-$F482))</f>
        <v/>
      </c>
      <c r="J482" s="28" t="str">
        <f aca="false">IF(OR($A482="",$I482=""),"",$I482*IFERROR(INDEX(Supplies!$F$5:$F$104,MATCH($B482,Supplies!$A$5:$A$104,0)),0))</f>
        <v/>
      </c>
    </row>
    <row r="483" customFormat="false" ht="15" hidden="false" customHeight="false" outlineLevel="0" collapsed="false">
      <c r="A483" s="23"/>
      <c r="B483" s="23"/>
      <c r="C483" s="27" t="str">
        <f aca="false">IF($B483="","",IFERROR(INDEX(Supplies!$B$5:$B$104,MATCH($B483,Supplies!$A$5:$A$104,0)),"?"))</f>
        <v/>
      </c>
      <c r="D483" s="32"/>
      <c r="E483" s="32"/>
      <c r="F483" s="32"/>
      <c r="G483" s="22"/>
      <c r="H483" s="27" t="str">
        <f aca="false">IF($A483="","",IF($F483="","Count it",IF($F483&lt;=$E483,"REORDER","OK")))</f>
        <v/>
      </c>
      <c r="I483" s="31" t="str">
        <f aca="false">IF(OR($A483="",$F483=""),"",MAX(0,$D483-$F483))</f>
        <v/>
      </c>
      <c r="J483" s="28" t="str">
        <f aca="false">IF(OR($A483="",$I483=""),"",$I483*IFERROR(INDEX(Supplies!$F$5:$F$104,MATCH($B483,Supplies!$A$5:$A$104,0)),0))</f>
        <v/>
      </c>
    </row>
    <row r="484" customFormat="false" ht="15" hidden="false" customHeight="false" outlineLevel="0" collapsed="false">
      <c r="A484" s="23"/>
      <c r="B484" s="23"/>
      <c r="C484" s="27" t="str">
        <f aca="false">IF($B484="","",IFERROR(INDEX(Supplies!$B$5:$B$104,MATCH($B484,Supplies!$A$5:$A$104,0)),"?"))</f>
        <v/>
      </c>
      <c r="D484" s="32"/>
      <c r="E484" s="32"/>
      <c r="F484" s="32"/>
      <c r="G484" s="22"/>
      <c r="H484" s="27" t="str">
        <f aca="false">IF($A484="","",IF($F484="","Count it",IF($F484&lt;=$E484,"REORDER","OK")))</f>
        <v/>
      </c>
      <c r="I484" s="31" t="str">
        <f aca="false">IF(OR($A484="",$F484=""),"",MAX(0,$D484-$F484))</f>
        <v/>
      </c>
      <c r="J484" s="28" t="str">
        <f aca="false">IF(OR($A484="",$I484=""),"",$I484*IFERROR(INDEX(Supplies!$F$5:$F$104,MATCH($B484,Supplies!$A$5:$A$104,0)),0))</f>
        <v/>
      </c>
    </row>
    <row r="485" customFormat="false" ht="15" hidden="false" customHeight="false" outlineLevel="0" collapsed="false">
      <c r="A485" s="23"/>
      <c r="B485" s="23"/>
      <c r="C485" s="27" t="str">
        <f aca="false">IF($B485="","",IFERROR(INDEX(Supplies!$B$5:$B$104,MATCH($B485,Supplies!$A$5:$A$104,0)),"?"))</f>
        <v/>
      </c>
      <c r="D485" s="32"/>
      <c r="E485" s="32"/>
      <c r="F485" s="32"/>
      <c r="G485" s="22"/>
      <c r="H485" s="27" t="str">
        <f aca="false">IF($A485="","",IF($F485="","Count it",IF($F485&lt;=$E485,"REORDER","OK")))</f>
        <v/>
      </c>
      <c r="I485" s="31" t="str">
        <f aca="false">IF(OR($A485="",$F485=""),"",MAX(0,$D485-$F485))</f>
        <v/>
      </c>
      <c r="J485" s="28" t="str">
        <f aca="false">IF(OR($A485="",$I485=""),"",$I485*IFERROR(INDEX(Supplies!$F$5:$F$104,MATCH($B485,Supplies!$A$5:$A$104,0)),0))</f>
        <v/>
      </c>
    </row>
    <row r="486" customFormat="false" ht="15" hidden="false" customHeight="false" outlineLevel="0" collapsed="false">
      <c r="A486" s="23"/>
      <c r="B486" s="23"/>
      <c r="C486" s="27" t="str">
        <f aca="false">IF($B486="","",IFERROR(INDEX(Supplies!$B$5:$B$104,MATCH($B486,Supplies!$A$5:$A$104,0)),"?"))</f>
        <v/>
      </c>
      <c r="D486" s="32"/>
      <c r="E486" s="32"/>
      <c r="F486" s="32"/>
      <c r="G486" s="22"/>
      <c r="H486" s="27" t="str">
        <f aca="false">IF($A486="","",IF($F486="","Count it",IF($F486&lt;=$E486,"REORDER","OK")))</f>
        <v/>
      </c>
      <c r="I486" s="31" t="str">
        <f aca="false">IF(OR($A486="",$F486=""),"",MAX(0,$D486-$F486))</f>
        <v/>
      </c>
      <c r="J486" s="28" t="str">
        <f aca="false">IF(OR($A486="",$I486=""),"",$I486*IFERROR(INDEX(Supplies!$F$5:$F$104,MATCH($B486,Supplies!$A$5:$A$104,0)),0))</f>
        <v/>
      </c>
    </row>
    <row r="487" customFormat="false" ht="15" hidden="false" customHeight="false" outlineLevel="0" collapsed="false">
      <c r="A487" s="23"/>
      <c r="B487" s="23"/>
      <c r="C487" s="27" t="str">
        <f aca="false">IF($B487="","",IFERROR(INDEX(Supplies!$B$5:$B$104,MATCH($B487,Supplies!$A$5:$A$104,0)),"?"))</f>
        <v/>
      </c>
      <c r="D487" s="32"/>
      <c r="E487" s="32"/>
      <c r="F487" s="32"/>
      <c r="G487" s="22"/>
      <c r="H487" s="27" t="str">
        <f aca="false">IF($A487="","",IF($F487="","Count it",IF($F487&lt;=$E487,"REORDER","OK")))</f>
        <v/>
      </c>
      <c r="I487" s="31" t="str">
        <f aca="false">IF(OR($A487="",$F487=""),"",MAX(0,$D487-$F487))</f>
        <v/>
      </c>
      <c r="J487" s="28" t="str">
        <f aca="false">IF(OR($A487="",$I487=""),"",$I487*IFERROR(INDEX(Supplies!$F$5:$F$104,MATCH($B487,Supplies!$A$5:$A$104,0)),0))</f>
        <v/>
      </c>
    </row>
    <row r="488" customFormat="false" ht="15" hidden="false" customHeight="false" outlineLevel="0" collapsed="false">
      <c r="A488" s="23"/>
      <c r="B488" s="23"/>
      <c r="C488" s="27" t="str">
        <f aca="false">IF($B488="","",IFERROR(INDEX(Supplies!$B$5:$B$104,MATCH($B488,Supplies!$A$5:$A$104,0)),"?"))</f>
        <v/>
      </c>
      <c r="D488" s="32"/>
      <c r="E488" s="32"/>
      <c r="F488" s="32"/>
      <c r="G488" s="22"/>
      <c r="H488" s="27" t="str">
        <f aca="false">IF($A488="","",IF($F488="","Count it",IF($F488&lt;=$E488,"REORDER","OK")))</f>
        <v/>
      </c>
      <c r="I488" s="31" t="str">
        <f aca="false">IF(OR($A488="",$F488=""),"",MAX(0,$D488-$F488))</f>
        <v/>
      </c>
      <c r="J488" s="28" t="str">
        <f aca="false">IF(OR($A488="",$I488=""),"",$I488*IFERROR(INDEX(Supplies!$F$5:$F$104,MATCH($B488,Supplies!$A$5:$A$104,0)),0))</f>
        <v/>
      </c>
    </row>
    <row r="489" customFormat="false" ht="15" hidden="false" customHeight="false" outlineLevel="0" collapsed="false">
      <c r="A489" s="23"/>
      <c r="B489" s="23"/>
      <c r="C489" s="27" t="str">
        <f aca="false">IF($B489="","",IFERROR(INDEX(Supplies!$B$5:$B$104,MATCH($B489,Supplies!$A$5:$A$104,0)),"?"))</f>
        <v/>
      </c>
      <c r="D489" s="32"/>
      <c r="E489" s="32"/>
      <c r="F489" s="32"/>
      <c r="G489" s="22"/>
      <c r="H489" s="27" t="str">
        <f aca="false">IF($A489="","",IF($F489="","Count it",IF($F489&lt;=$E489,"REORDER","OK")))</f>
        <v/>
      </c>
      <c r="I489" s="31" t="str">
        <f aca="false">IF(OR($A489="",$F489=""),"",MAX(0,$D489-$F489))</f>
        <v/>
      </c>
      <c r="J489" s="28" t="str">
        <f aca="false">IF(OR($A489="",$I489=""),"",$I489*IFERROR(INDEX(Supplies!$F$5:$F$104,MATCH($B489,Supplies!$A$5:$A$104,0)),0))</f>
        <v/>
      </c>
    </row>
    <row r="490" customFormat="false" ht="15" hidden="false" customHeight="false" outlineLevel="0" collapsed="false">
      <c r="A490" s="23"/>
      <c r="B490" s="23"/>
      <c r="C490" s="27" t="str">
        <f aca="false">IF($B490="","",IFERROR(INDEX(Supplies!$B$5:$B$104,MATCH($B490,Supplies!$A$5:$A$104,0)),"?"))</f>
        <v/>
      </c>
      <c r="D490" s="32"/>
      <c r="E490" s="32"/>
      <c r="F490" s="32"/>
      <c r="G490" s="22"/>
      <c r="H490" s="27" t="str">
        <f aca="false">IF($A490="","",IF($F490="","Count it",IF($F490&lt;=$E490,"REORDER","OK")))</f>
        <v/>
      </c>
      <c r="I490" s="31" t="str">
        <f aca="false">IF(OR($A490="",$F490=""),"",MAX(0,$D490-$F490))</f>
        <v/>
      </c>
      <c r="J490" s="28" t="str">
        <f aca="false">IF(OR($A490="",$I490=""),"",$I490*IFERROR(INDEX(Supplies!$F$5:$F$104,MATCH($B490,Supplies!$A$5:$A$104,0)),0))</f>
        <v/>
      </c>
    </row>
    <row r="491" customFormat="false" ht="15" hidden="false" customHeight="false" outlineLevel="0" collapsed="false">
      <c r="A491" s="23"/>
      <c r="B491" s="23"/>
      <c r="C491" s="27" t="str">
        <f aca="false">IF($B491="","",IFERROR(INDEX(Supplies!$B$5:$B$104,MATCH($B491,Supplies!$A$5:$A$104,0)),"?"))</f>
        <v/>
      </c>
      <c r="D491" s="32"/>
      <c r="E491" s="32"/>
      <c r="F491" s="32"/>
      <c r="G491" s="22"/>
      <c r="H491" s="27" t="str">
        <f aca="false">IF($A491="","",IF($F491="","Count it",IF($F491&lt;=$E491,"REORDER","OK")))</f>
        <v/>
      </c>
      <c r="I491" s="31" t="str">
        <f aca="false">IF(OR($A491="",$F491=""),"",MAX(0,$D491-$F491))</f>
        <v/>
      </c>
      <c r="J491" s="28" t="str">
        <f aca="false">IF(OR($A491="",$I491=""),"",$I491*IFERROR(INDEX(Supplies!$F$5:$F$104,MATCH($B491,Supplies!$A$5:$A$104,0)),0))</f>
        <v/>
      </c>
    </row>
    <row r="492" customFormat="false" ht="15" hidden="false" customHeight="false" outlineLevel="0" collapsed="false">
      <c r="A492" s="23"/>
      <c r="B492" s="23"/>
      <c r="C492" s="27" t="str">
        <f aca="false">IF($B492="","",IFERROR(INDEX(Supplies!$B$5:$B$104,MATCH($B492,Supplies!$A$5:$A$104,0)),"?"))</f>
        <v/>
      </c>
      <c r="D492" s="32"/>
      <c r="E492" s="32"/>
      <c r="F492" s="32"/>
      <c r="G492" s="22"/>
      <c r="H492" s="27" t="str">
        <f aca="false">IF($A492="","",IF($F492="","Count it",IF($F492&lt;=$E492,"REORDER","OK")))</f>
        <v/>
      </c>
      <c r="I492" s="31" t="str">
        <f aca="false">IF(OR($A492="",$F492=""),"",MAX(0,$D492-$F492))</f>
        <v/>
      </c>
      <c r="J492" s="28" t="str">
        <f aca="false">IF(OR($A492="",$I492=""),"",$I492*IFERROR(INDEX(Supplies!$F$5:$F$104,MATCH($B492,Supplies!$A$5:$A$104,0)),0))</f>
        <v/>
      </c>
    </row>
    <row r="493" customFormat="false" ht="15" hidden="false" customHeight="false" outlineLevel="0" collapsed="false">
      <c r="A493" s="23"/>
      <c r="B493" s="23"/>
      <c r="C493" s="27" t="str">
        <f aca="false">IF($B493="","",IFERROR(INDEX(Supplies!$B$5:$B$104,MATCH($B493,Supplies!$A$5:$A$104,0)),"?"))</f>
        <v/>
      </c>
      <c r="D493" s="32"/>
      <c r="E493" s="32"/>
      <c r="F493" s="32"/>
      <c r="G493" s="22"/>
      <c r="H493" s="27" t="str">
        <f aca="false">IF($A493="","",IF($F493="","Count it",IF($F493&lt;=$E493,"REORDER","OK")))</f>
        <v/>
      </c>
      <c r="I493" s="31" t="str">
        <f aca="false">IF(OR($A493="",$F493=""),"",MAX(0,$D493-$F493))</f>
        <v/>
      </c>
      <c r="J493" s="28" t="str">
        <f aca="false">IF(OR($A493="",$I493=""),"",$I493*IFERROR(INDEX(Supplies!$F$5:$F$104,MATCH($B493,Supplies!$A$5:$A$104,0)),0))</f>
        <v/>
      </c>
    </row>
    <row r="494" customFormat="false" ht="15" hidden="false" customHeight="false" outlineLevel="0" collapsed="false">
      <c r="A494" s="23"/>
      <c r="B494" s="23"/>
      <c r="C494" s="27" t="str">
        <f aca="false">IF($B494="","",IFERROR(INDEX(Supplies!$B$5:$B$104,MATCH($B494,Supplies!$A$5:$A$104,0)),"?"))</f>
        <v/>
      </c>
      <c r="D494" s="32"/>
      <c r="E494" s="32"/>
      <c r="F494" s="32"/>
      <c r="G494" s="22"/>
      <c r="H494" s="27" t="str">
        <f aca="false">IF($A494="","",IF($F494="","Count it",IF($F494&lt;=$E494,"REORDER","OK")))</f>
        <v/>
      </c>
      <c r="I494" s="31" t="str">
        <f aca="false">IF(OR($A494="",$F494=""),"",MAX(0,$D494-$F494))</f>
        <v/>
      </c>
      <c r="J494" s="28" t="str">
        <f aca="false">IF(OR($A494="",$I494=""),"",$I494*IFERROR(INDEX(Supplies!$F$5:$F$104,MATCH($B494,Supplies!$A$5:$A$104,0)),0))</f>
        <v/>
      </c>
    </row>
    <row r="495" customFormat="false" ht="15" hidden="false" customHeight="false" outlineLevel="0" collapsed="false">
      <c r="A495" s="23"/>
      <c r="B495" s="23"/>
      <c r="C495" s="27" t="str">
        <f aca="false">IF($B495="","",IFERROR(INDEX(Supplies!$B$5:$B$104,MATCH($B495,Supplies!$A$5:$A$104,0)),"?"))</f>
        <v/>
      </c>
      <c r="D495" s="32"/>
      <c r="E495" s="32"/>
      <c r="F495" s="32"/>
      <c r="G495" s="22"/>
      <c r="H495" s="27" t="str">
        <f aca="false">IF($A495="","",IF($F495="","Count it",IF($F495&lt;=$E495,"REORDER","OK")))</f>
        <v/>
      </c>
      <c r="I495" s="31" t="str">
        <f aca="false">IF(OR($A495="",$F495=""),"",MAX(0,$D495-$F495))</f>
        <v/>
      </c>
      <c r="J495" s="28" t="str">
        <f aca="false">IF(OR($A495="",$I495=""),"",$I495*IFERROR(INDEX(Supplies!$F$5:$F$104,MATCH($B495,Supplies!$A$5:$A$104,0)),0))</f>
        <v/>
      </c>
    </row>
    <row r="496" customFormat="false" ht="15" hidden="false" customHeight="false" outlineLevel="0" collapsed="false">
      <c r="A496" s="23"/>
      <c r="B496" s="23"/>
      <c r="C496" s="27" t="str">
        <f aca="false">IF($B496="","",IFERROR(INDEX(Supplies!$B$5:$B$104,MATCH($B496,Supplies!$A$5:$A$104,0)),"?"))</f>
        <v/>
      </c>
      <c r="D496" s="32"/>
      <c r="E496" s="32"/>
      <c r="F496" s="32"/>
      <c r="G496" s="22"/>
      <c r="H496" s="27" t="str">
        <f aca="false">IF($A496="","",IF($F496="","Count it",IF($F496&lt;=$E496,"REORDER","OK")))</f>
        <v/>
      </c>
      <c r="I496" s="31" t="str">
        <f aca="false">IF(OR($A496="",$F496=""),"",MAX(0,$D496-$F496))</f>
        <v/>
      </c>
      <c r="J496" s="28" t="str">
        <f aca="false">IF(OR($A496="",$I496=""),"",$I496*IFERROR(INDEX(Supplies!$F$5:$F$104,MATCH($B496,Supplies!$A$5:$A$104,0)),0))</f>
        <v/>
      </c>
    </row>
    <row r="497" customFormat="false" ht="15" hidden="false" customHeight="false" outlineLevel="0" collapsed="false">
      <c r="A497" s="23"/>
      <c r="B497" s="23"/>
      <c r="C497" s="27" t="str">
        <f aca="false">IF($B497="","",IFERROR(INDEX(Supplies!$B$5:$B$104,MATCH($B497,Supplies!$A$5:$A$104,0)),"?"))</f>
        <v/>
      </c>
      <c r="D497" s="32"/>
      <c r="E497" s="32"/>
      <c r="F497" s="32"/>
      <c r="G497" s="22"/>
      <c r="H497" s="27" t="str">
        <f aca="false">IF($A497="","",IF($F497="","Count it",IF($F497&lt;=$E497,"REORDER","OK")))</f>
        <v/>
      </c>
      <c r="I497" s="31" t="str">
        <f aca="false">IF(OR($A497="",$F497=""),"",MAX(0,$D497-$F497))</f>
        <v/>
      </c>
      <c r="J497" s="28" t="str">
        <f aca="false">IF(OR($A497="",$I497=""),"",$I497*IFERROR(INDEX(Supplies!$F$5:$F$104,MATCH($B497,Supplies!$A$5:$A$104,0)),0))</f>
        <v/>
      </c>
    </row>
    <row r="498" customFormat="false" ht="15" hidden="false" customHeight="false" outlineLevel="0" collapsed="false">
      <c r="A498" s="23"/>
      <c r="B498" s="23"/>
      <c r="C498" s="27" t="str">
        <f aca="false">IF($B498="","",IFERROR(INDEX(Supplies!$B$5:$B$104,MATCH($B498,Supplies!$A$5:$A$104,0)),"?"))</f>
        <v/>
      </c>
      <c r="D498" s="32"/>
      <c r="E498" s="32"/>
      <c r="F498" s="32"/>
      <c r="G498" s="22"/>
      <c r="H498" s="27" t="str">
        <f aca="false">IF($A498="","",IF($F498="","Count it",IF($F498&lt;=$E498,"REORDER","OK")))</f>
        <v/>
      </c>
      <c r="I498" s="31" t="str">
        <f aca="false">IF(OR($A498="",$F498=""),"",MAX(0,$D498-$F498))</f>
        <v/>
      </c>
      <c r="J498" s="28" t="str">
        <f aca="false">IF(OR($A498="",$I498=""),"",$I498*IFERROR(INDEX(Supplies!$F$5:$F$104,MATCH($B498,Supplies!$A$5:$A$104,0)),0))</f>
        <v/>
      </c>
    </row>
    <row r="499" customFormat="false" ht="15" hidden="false" customHeight="false" outlineLevel="0" collapsed="false">
      <c r="A499" s="23"/>
      <c r="B499" s="23"/>
      <c r="C499" s="27" t="str">
        <f aca="false">IF($B499="","",IFERROR(INDEX(Supplies!$B$5:$B$104,MATCH($B499,Supplies!$A$5:$A$104,0)),"?"))</f>
        <v/>
      </c>
      <c r="D499" s="32"/>
      <c r="E499" s="32"/>
      <c r="F499" s="32"/>
      <c r="G499" s="22"/>
      <c r="H499" s="27" t="str">
        <f aca="false">IF($A499="","",IF($F499="","Count it",IF($F499&lt;=$E499,"REORDER","OK")))</f>
        <v/>
      </c>
      <c r="I499" s="31" t="str">
        <f aca="false">IF(OR($A499="",$F499=""),"",MAX(0,$D499-$F499))</f>
        <v/>
      </c>
      <c r="J499" s="28" t="str">
        <f aca="false">IF(OR($A499="",$I499=""),"",$I499*IFERROR(INDEX(Supplies!$F$5:$F$104,MATCH($B499,Supplies!$A$5:$A$104,0)),0))</f>
        <v/>
      </c>
    </row>
    <row r="500" customFormat="false" ht="15" hidden="false" customHeight="false" outlineLevel="0" collapsed="false">
      <c r="A500" s="23"/>
      <c r="B500" s="23"/>
      <c r="C500" s="27" t="str">
        <f aca="false">IF($B500="","",IFERROR(INDEX(Supplies!$B$5:$B$104,MATCH($B500,Supplies!$A$5:$A$104,0)),"?"))</f>
        <v/>
      </c>
      <c r="D500" s="32"/>
      <c r="E500" s="32"/>
      <c r="F500" s="32"/>
      <c r="G500" s="22"/>
      <c r="H500" s="27" t="str">
        <f aca="false">IF($A500="","",IF($F500="","Count it",IF($F500&lt;=$E500,"REORDER","OK")))</f>
        <v/>
      </c>
      <c r="I500" s="31" t="str">
        <f aca="false">IF(OR($A500="",$F500=""),"",MAX(0,$D500-$F500))</f>
        <v/>
      </c>
      <c r="J500" s="28" t="str">
        <f aca="false">IF(OR($A500="",$I500=""),"",$I500*IFERROR(INDEX(Supplies!$F$5:$F$104,MATCH($B500,Supplies!$A$5:$A$104,0)),0))</f>
        <v/>
      </c>
    </row>
    <row r="501" customFormat="false" ht="15" hidden="false" customHeight="false" outlineLevel="0" collapsed="false">
      <c r="A501" s="23"/>
      <c r="B501" s="23"/>
      <c r="C501" s="27" t="str">
        <f aca="false">IF($B501="","",IFERROR(INDEX(Supplies!$B$5:$B$104,MATCH($B501,Supplies!$A$5:$A$104,0)),"?"))</f>
        <v/>
      </c>
      <c r="D501" s="32"/>
      <c r="E501" s="32"/>
      <c r="F501" s="32"/>
      <c r="G501" s="22"/>
      <c r="H501" s="27" t="str">
        <f aca="false">IF($A501="","",IF($F501="","Count it",IF($F501&lt;=$E501,"REORDER","OK")))</f>
        <v/>
      </c>
      <c r="I501" s="31" t="str">
        <f aca="false">IF(OR($A501="",$F501=""),"",MAX(0,$D501-$F501))</f>
        <v/>
      </c>
      <c r="J501" s="28" t="str">
        <f aca="false">IF(OR($A501="",$I501=""),"",$I501*IFERROR(INDEX(Supplies!$F$5:$F$104,MATCH($B501,Supplies!$A$5:$A$104,0)),0))</f>
        <v/>
      </c>
    </row>
    <row r="502" customFormat="false" ht="15" hidden="false" customHeight="false" outlineLevel="0" collapsed="false">
      <c r="A502" s="23"/>
      <c r="B502" s="23"/>
      <c r="C502" s="27" t="str">
        <f aca="false">IF($B502="","",IFERROR(INDEX(Supplies!$B$5:$B$104,MATCH($B502,Supplies!$A$5:$A$104,0)),"?"))</f>
        <v/>
      </c>
      <c r="D502" s="32"/>
      <c r="E502" s="32"/>
      <c r="F502" s="32"/>
      <c r="G502" s="22"/>
      <c r="H502" s="27" t="str">
        <f aca="false">IF($A502="","",IF($F502="","Count it",IF($F502&lt;=$E502,"REORDER","OK")))</f>
        <v/>
      </c>
      <c r="I502" s="31" t="str">
        <f aca="false">IF(OR($A502="",$F502=""),"",MAX(0,$D502-$F502))</f>
        <v/>
      </c>
      <c r="J502" s="28" t="str">
        <f aca="false">IF(OR($A502="",$I502=""),"",$I502*IFERROR(INDEX(Supplies!$F$5:$F$104,MATCH($B502,Supplies!$A$5:$A$104,0)),0))</f>
        <v/>
      </c>
    </row>
    <row r="503" customFormat="false" ht="15" hidden="false" customHeight="false" outlineLevel="0" collapsed="false">
      <c r="A503" s="23"/>
      <c r="B503" s="23"/>
      <c r="C503" s="27" t="str">
        <f aca="false">IF($B503="","",IFERROR(INDEX(Supplies!$B$5:$B$104,MATCH($B503,Supplies!$A$5:$A$104,0)),"?"))</f>
        <v/>
      </c>
      <c r="D503" s="32"/>
      <c r="E503" s="32"/>
      <c r="F503" s="32"/>
      <c r="G503" s="22"/>
      <c r="H503" s="27" t="str">
        <f aca="false">IF($A503="","",IF($F503="","Count it",IF($F503&lt;=$E503,"REORDER","OK")))</f>
        <v/>
      </c>
      <c r="I503" s="31" t="str">
        <f aca="false">IF(OR($A503="",$F503=""),"",MAX(0,$D503-$F503))</f>
        <v/>
      </c>
      <c r="J503" s="28" t="str">
        <f aca="false">IF(OR($A503="",$I503=""),"",$I503*IFERROR(INDEX(Supplies!$F$5:$F$104,MATCH($B503,Supplies!$A$5:$A$104,0)),0))</f>
        <v/>
      </c>
    </row>
    <row r="504" customFormat="false" ht="15" hidden="false" customHeight="false" outlineLevel="0" collapsed="false">
      <c r="A504" s="23"/>
      <c r="B504" s="23"/>
      <c r="C504" s="27" t="str">
        <f aca="false">IF($B504="","",IFERROR(INDEX(Supplies!$B$5:$B$104,MATCH($B504,Supplies!$A$5:$A$104,0)),"?"))</f>
        <v/>
      </c>
      <c r="D504" s="32"/>
      <c r="E504" s="32"/>
      <c r="F504" s="32"/>
      <c r="G504" s="22"/>
      <c r="H504" s="27" t="str">
        <f aca="false">IF($A504="","",IF($F504="","Count it",IF($F504&lt;=$E504,"REORDER","OK")))</f>
        <v/>
      </c>
      <c r="I504" s="31" t="str">
        <f aca="false">IF(OR($A504="",$F504=""),"",MAX(0,$D504-$F504))</f>
        <v/>
      </c>
      <c r="J504" s="28" t="str">
        <f aca="false">IF(OR($A504="",$I504=""),"",$I504*IFERROR(INDEX(Supplies!$F$5:$F$104,MATCH($B504,Supplies!$A$5:$A$104,0)),0))</f>
        <v/>
      </c>
    </row>
  </sheetData>
  <conditionalFormatting sqref="H5:H504">
    <cfRule type="expression" priority="2" aboveAverage="0" equalAverage="0" bottom="0" percent="0" rank="0" text="" dxfId="2">
      <formula>H5="REORDER"</formula>
    </cfRule>
    <cfRule type="expression" priority="3" aboveAverage="0" equalAverage="0" bottom="0" percent="0" rank="0" text="" dxfId="1">
      <formula>H5="Count it"</formula>
    </cfRule>
    <cfRule type="expression" priority="4" aboveAverage="0" equalAverage="0" bottom="0" percent="0" rank="0" text="" dxfId="3">
      <formula>H5="OK"</formula>
    </cfRule>
  </conditionalFormatting>
  <dataValidations count="2">
    <dataValidation allowBlank="true" errorStyle="stop" operator="between" showDropDown="false" showErrorMessage="false" showInputMessage="false" sqref="A5:A504" type="list">
      <formula1>Properties!$A$5:$A$104</formula1>
      <formula2>0</formula2>
    </dataValidation>
    <dataValidation allowBlank="true" errorStyle="stop" operator="between" showDropDown="false" showErrorMessage="false" showInputMessage="false" sqref="B5:B504" type="list">
      <formula1>Supplies!$A$5:$A$104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890F"/>
    <pageSetUpPr fitToPage="false"/>
  </sheetPr>
  <dimension ref="A1:R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4" min="4" style="0" width="28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10" min="8" style="0" width="9"/>
    <col collapsed="false" customWidth="true" hidden="false" outlineLevel="0" max="11" min="11" style="0" width="28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20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9"/>
  </cols>
  <sheetData>
    <row r="1" customFormat="false" ht="19.7" hidden="false" customHeight="false" outlineLevel="0" collapsed="false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3" t="s">
        <v>155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31.5" hidden="false" customHeight="true" outlineLevel="0" collapsed="false">
      <c r="A4" s="20" t="s">
        <v>98</v>
      </c>
      <c r="B4" s="20" t="s">
        <v>99</v>
      </c>
      <c r="C4" s="20" t="s">
        <v>156</v>
      </c>
      <c r="D4" s="20" t="s">
        <v>157</v>
      </c>
      <c r="E4" s="20" t="s">
        <v>158</v>
      </c>
      <c r="F4" s="20" t="s">
        <v>159</v>
      </c>
      <c r="G4" s="20" t="s">
        <v>160</v>
      </c>
      <c r="H4" s="20" t="s">
        <v>161</v>
      </c>
      <c r="I4" s="20" t="s">
        <v>162</v>
      </c>
      <c r="J4" s="20" t="s">
        <v>163</v>
      </c>
      <c r="K4" s="20" t="s">
        <v>164</v>
      </c>
      <c r="L4" s="21" t="s">
        <v>110</v>
      </c>
      <c r="M4" s="21" t="s">
        <v>165</v>
      </c>
      <c r="N4" s="21" t="s">
        <v>111</v>
      </c>
      <c r="O4" s="21" t="s">
        <v>166</v>
      </c>
      <c r="P4" s="21" t="s">
        <v>61</v>
      </c>
      <c r="Q4" s="21" t="s">
        <v>114</v>
      </c>
      <c r="R4" s="21" t="s">
        <v>62</v>
      </c>
    </row>
    <row r="5" customFormat="false" ht="15" hidden="false" customHeight="false" outlineLevel="0" collapsed="false">
      <c r="A5" s="22" t="n">
        <v>46304</v>
      </c>
      <c r="B5" s="23" t="s">
        <v>115</v>
      </c>
      <c r="C5" s="23" t="s">
        <v>152</v>
      </c>
      <c r="D5" s="23" t="s">
        <v>167</v>
      </c>
      <c r="E5" s="32" t="n">
        <v>1</v>
      </c>
      <c r="F5" s="25" t="n">
        <v>1.5</v>
      </c>
      <c r="G5" s="23" t="s">
        <v>168</v>
      </c>
      <c r="H5" s="23" t="s">
        <v>119</v>
      </c>
      <c r="I5" s="23"/>
      <c r="J5" s="23" t="s">
        <v>119</v>
      </c>
      <c r="K5" s="23" t="s">
        <v>169</v>
      </c>
      <c r="L5" s="27" t="str">
        <f aca="false">IF($B5="","",IFERROR(INDEX(Properties!$D$5:$D$104,MATCH($B5,Properties!$A$5:$A$104,0)),"-"))</f>
        <v>H001</v>
      </c>
      <c r="M5" s="28" t="n">
        <f aca="false">IF(OR($A5="",N($E5)=0),"",$F5/$E5)</f>
        <v>1.5</v>
      </c>
      <c r="N5" s="28" t="n">
        <f aca="false">IF($A5="","",IF($H5="Y",$F5*(1+Settings!$B$3),0))</f>
        <v>1.65</v>
      </c>
      <c r="O5" s="27" t="str">
        <f aca="false">IF($A5="","",IF(AND($H5="Y",$G5&lt;&gt;"Restock",N($M5)&gt;Settings!$B$4,$I5&lt;&gt;"Y"),"Get host OK",IF(AND($H5="Y",$F5&gt;Settings!$B$5,$I5&lt;&gt;"Y"),"Host should pay upfront",IF($J5&lt;&gt;"Y","Save receipt","OK"))))</f>
        <v>OK</v>
      </c>
      <c r="P5" s="29" t="n">
        <f aca="false">IF($A5="","",DATE(YEAR($A5),MONTH($A5),1))</f>
        <v>46296</v>
      </c>
      <c r="Q5" s="31" t="n">
        <f aca="false">IF($A5="","",IF(AND($L5='Invoice Builder'!$C$5,$P5='Invoice Builder'!$C$6,N($N5)&gt;0),COUNTIFS($L$5:$L5,'Invoice Builder'!$C$5,$P$5:$P5,'Invoice Builder'!$C$6,$N$5:$N5,"&gt;0"),""))</f>
        <v>1</v>
      </c>
      <c r="R5" s="27" t="str">
        <f aca="false">IF($A5="","",IF($A5&gt;=DATE(YEAR($A5),4,6),YEAR($A5)&amp;"/"&amp;RIGHT(YEAR($A5)+1,2),YEAR($A5)-1&amp;"/"&amp;RIGHT(YEAR($A5),2)))</f>
        <v>2026/27</v>
      </c>
    </row>
    <row r="6" customFormat="false" ht="15" hidden="false" customHeight="false" outlineLevel="0" collapsed="false">
      <c r="A6" s="22" t="n">
        <v>46320</v>
      </c>
      <c r="B6" s="23" t="s">
        <v>115</v>
      </c>
      <c r="C6" s="23" t="s">
        <v>150</v>
      </c>
      <c r="D6" s="23" t="s">
        <v>170</v>
      </c>
      <c r="E6" s="32" t="n">
        <v>12</v>
      </c>
      <c r="F6" s="25" t="n">
        <v>0.9</v>
      </c>
      <c r="G6" s="23" t="s">
        <v>171</v>
      </c>
      <c r="H6" s="23" t="s">
        <v>119</v>
      </c>
      <c r="I6" s="23"/>
      <c r="J6" s="23" t="s">
        <v>119</v>
      </c>
      <c r="K6" s="23" t="s">
        <v>120</v>
      </c>
      <c r="L6" s="27" t="str">
        <f aca="false">IF($B6="","",IFERROR(INDEX(Properties!$D$5:$D$104,MATCH($B6,Properties!$A$5:$A$104,0)),"-"))</f>
        <v>H001</v>
      </c>
      <c r="M6" s="28" t="n">
        <f aca="false">IF(OR($A6="",N($E6)=0),"",$F6/$E6)</f>
        <v>0.075</v>
      </c>
      <c r="N6" s="28" t="n">
        <f aca="false">IF($A6="","",IF($H6="Y",$F6*(1+Settings!$B$3),0))</f>
        <v>0.99</v>
      </c>
      <c r="O6" s="27" t="str">
        <f aca="false">IF($A6="","",IF(AND($H6="Y",$G6&lt;&gt;"Restock",N($M6)&gt;Settings!$B$4,$I6&lt;&gt;"Y"),"Get host OK",IF(AND($H6="Y",$F6&gt;Settings!$B$5,$I6&lt;&gt;"Y"),"Host should pay upfront",IF($J6&lt;&gt;"Y","Save receipt","OK"))))</f>
        <v>OK</v>
      </c>
      <c r="P6" s="29" t="n">
        <f aca="false">IF($A6="","",DATE(YEAR($A6),MONTH($A6),1))</f>
        <v>46296</v>
      </c>
      <c r="Q6" s="31" t="n">
        <f aca="false">IF($A6="","",IF(AND($L6='Invoice Builder'!$C$5,$P6='Invoice Builder'!$C$6,N($N6)&gt;0),COUNTIFS($L$5:$L6,'Invoice Builder'!$C$5,$P$5:$P6,'Invoice Builder'!$C$6,$N$5:$N6,"&gt;0"),""))</f>
        <v>2</v>
      </c>
      <c r="R6" s="27" t="str">
        <f aca="false">IF($A6="","",IF($A6&gt;=DATE(YEAR($A6),4,6),YEAR($A6)&amp;"/"&amp;RIGHT(YEAR($A6)+1,2),YEAR($A6)-1&amp;"/"&amp;RIGHT(YEAR($A6),2)))</f>
        <v>2026/27</v>
      </c>
    </row>
    <row r="7" customFormat="false" ht="15" hidden="false" customHeight="false" outlineLevel="0" collapsed="false">
      <c r="A7" s="22" t="n">
        <v>46320</v>
      </c>
      <c r="B7" s="23" t="s">
        <v>115</v>
      </c>
      <c r="C7" s="23" t="s">
        <v>172</v>
      </c>
      <c r="D7" s="23" t="s">
        <v>173</v>
      </c>
      <c r="E7" s="32" t="n">
        <v>2</v>
      </c>
      <c r="F7" s="25" t="n">
        <v>4</v>
      </c>
      <c r="G7" s="23" t="s">
        <v>174</v>
      </c>
      <c r="H7" s="23" t="s">
        <v>119</v>
      </c>
      <c r="I7" s="23" t="s">
        <v>119</v>
      </c>
      <c r="J7" s="23" t="s">
        <v>119</v>
      </c>
      <c r="K7" s="23" t="s">
        <v>175</v>
      </c>
      <c r="L7" s="27" t="str">
        <f aca="false">IF($B7="","",IFERROR(INDEX(Properties!$D$5:$D$104,MATCH($B7,Properties!$A$5:$A$104,0)),"-"))</f>
        <v>H001</v>
      </c>
      <c r="M7" s="28" t="n">
        <f aca="false">IF(OR($A7="",N($E7)=0),"",$F7/$E7)</f>
        <v>2</v>
      </c>
      <c r="N7" s="28" t="n">
        <f aca="false">IF($A7="","",IF($H7="Y",$F7*(1+Settings!$B$3),0))</f>
        <v>4.4</v>
      </c>
      <c r="O7" s="27" t="str">
        <f aca="false">IF($A7="","",IF(AND($H7="Y",$G7&lt;&gt;"Restock",N($M7)&gt;Settings!$B$4,$I7&lt;&gt;"Y"),"Get host OK",IF(AND($H7="Y",$F7&gt;Settings!$B$5,$I7&lt;&gt;"Y"),"Host should pay upfront",IF($J7&lt;&gt;"Y","Save receipt","OK"))))</f>
        <v>OK</v>
      </c>
      <c r="P7" s="29" t="n">
        <f aca="false">IF($A7="","",DATE(YEAR($A7),MONTH($A7),1))</f>
        <v>46296</v>
      </c>
      <c r="Q7" s="31" t="n">
        <f aca="false">IF($A7="","",IF(AND($L7='Invoice Builder'!$C$5,$P7='Invoice Builder'!$C$6,N($N7)&gt;0),COUNTIFS($L$5:$L7,'Invoice Builder'!$C$5,$P$5:$P7,'Invoice Builder'!$C$6,$N$5:$N7,"&gt;0"),""))</f>
        <v>3</v>
      </c>
      <c r="R7" s="27" t="str">
        <f aca="false">IF($A7="","",IF($A7&gt;=DATE(YEAR($A7),4,6),YEAR($A7)&amp;"/"&amp;RIGHT(YEAR($A7)+1,2),YEAR($A7)-1&amp;"/"&amp;RIGHT(YEAR($A7),2)))</f>
        <v>2026/27</v>
      </c>
    </row>
    <row r="8" customFormat="false" ht="15" hidden="false" customHeight="false" outlineLevel="0" collapsed="false">
      <c r="A8" s="22"/>
      <c r="B8" s="23"/>
      <c r="C8" s="23"/>
      <c r="D8" s="23"/>
      <c r="E8" s="32"/>
      <c r="F8" s="25"/>
      <c r="G8" s="23"/>
      <c r="H8" s="23"/>
      <c r="I8" s="23"/>
      <c r="J8" s="23"/>
      <c r="K8" s="23"/>
      <c r="L8" s="27" t="str">
        <f aca="false">IF($B8="","",IFERROR(INDEX(Properties!$D$5:$D$104,MATCH($B8,Properties!$A$5:$A$104,0)),"-"))</f>
        <v/>
      </c>
      <c r="M8" s="28" t="str">
        <f aca="false">IF(OR($A8="",N($E8)=0),"",$F8/$E8)</f>
        <v/>
      </c>
      <c r="N8" s="28" t="str">
        <f aca="false">IF($A8="","",IF($H8="Y",$F8*(1+Settings!$B$3),0))</f>
        <v/>
      </c>
      <c r="O8" s="27" t="str">
        <f aca="false">IF($A8="","",IF(AND($H8="Y",$G8&lt;&gt;"Restock",N($M8)&gt;Settings!$B$4,$I8&lt;&gt;"Y"),"Get host OK",IF(AND($H8="Y",$F8&gt;Settings!$B$5,$I8&lt;&gt;"Y"),"Host should pay upfront",IF($J8&lt;&gt;"Y","Save receipt","OK"))))</f>
        <v/>
      </c>
      <c r="P8" s="29" t="str">
        <f aca="false">IF($A8="","",DATE(YEAR($A8),MONTH($A8),1))</f>
        <v/>
      </c>
      <c r="Q8" s="31" t="str">
        <f aca="false">IF($A8="","",IF(AND($L8='Invoice Builder'!$C$5,$P8='Invoice Builder'!$C$6,N($N8)&gt;0),COUNTIFS($L$5:$L8,'Invoice Builder'!$C$5,$P$5:$P8,'Invoice Builder'!$C$6,$N$5:$N8,"&gt;0"),""))</f>
        <v/>
      </c>
      <c r="R8" s="27" t="str">
        <f aca="false">IF($A8="","",IF($A8&gt;=DATE(YEAR($A8),4,6),YEAR($A8)&amp;"/"&amp;RIGHT(YEAR($A8)+1,2),YEAR($A8)-1&amp;"/"&amp;RIGHT(YEAR($A8),2)))</f>
        <v/>
      </c>
    </row>
    <row r="9" customFormat="false" ht="15" hidden="false" customHeight="false" outlineLevel="0" collapsed="false">
      <c r="A9" s="22"/>
      <c r="B9" s="23"/>
      <c r="C9" s="23"/>
      <c r="D9" s="23"/>
      <c r="E9" s="32"/>
      <c r="F9" s="25"/>
      <c r="G9" s="23"/>
      <c r="H9" s="23"/>
      <c r="I9" s="23"/>
      <c r="J9" s="23"/>
      <c r="K9" s="23"/>
      <c r="L9" s="27" t="str">
        <f aca="false">IF($B9="","",IFERROR(INDEX(Properties!$D$5:$D$104,MATCH($B9,Properties!$A$5:$A$104,0)),"-"))</f>
        <v/>
      </c>
      <c r="M9" s="28" t="str">
        <f aca="false">IF(OR($A9="",N($E9)=0),"",$F9/$E9)</f>
        <v/>
      </c>
      <c r="N9" s="28" t="str">
        <f aca="false">IF($A9="","",IF($H9="Y",$F9*(1+Settings!$B$3),0))</f>
        <v/>
      </c>
      <c r="O9" s="27" t="str">
        <f aca="false">IF($A9="","",IF(AND($H9="Y",$G9&lt;&gt;"Restock",N($M9)&gt;Settings!$B$4,$I9&lt;&gt;"Y"),"Get host OK",IF(AND($H9="Y",$F9&gt;Settings!$B$5,$I9&lt;&gt;"Y"),"Host should pay upfront",IF($J9&lt;&gt;"Y","Save receipt","OK"))))</f>
        <v/>
      </c>
      <c r="P9" s="29" t="str">
        <f aca="false">IF($A9="","",DATE(YEAR($A9),MONTH($A9),1))</f>
        <v/>
      </c>
      <c r="Q9" s="31" t="str">
        <f aca="false">IF($A9="","",IF(AND($L9='Invoice Builder'!$C$5,$P9='Invoice Builder'!$C$6,N($N9)&gt;0),COUNTIFS($L$5:$L9,'Invoice Builder'!$C$5,$P$5:$P9,'Invoice Builder'!$C$6,$N$5:$N9,"&gt;0"),""))</f>
        <v/>
      </c>
      <c r="R9" s="27" t="str">
        <f aca="false">IF($A9="","",IF($A9&gt;=DATE(YEAR($A9),4,6),YEAR($A9)&amp;"/"&amp;RIGHT(YEAR($A9)+1,2),YEAR($A9)-1&amp;"/"&amp;RIGHT(YEAR($A9),2)))</f>
        <v/>
      </c>
    </row>
    <row r="10" customFormat="false" ht="15" hidden="false" customHeight="false" outlineLevel="0" collapsed="false">
      <c r="A10" s="22"/>
      <c r="B10" s="23"/>
      <c r="C10" s="23"/>
      <c r="D10" s="23"/>
      <c r="E10" s="32"/>
      <c r="F10" s="25"/>
      <c r="G10" s="23"/>
      <c r="H10" s="23"/>
      <c r="I10" s="23"/>
      <c r="J10" s="23"/>
      <c r="K10" s="23"/>
      <c r="L10" s="27" t="str">
        <f aca="false">IF($B10="","",IFERROR(INDEX(Properties!$D$5:$D$104,MATCH($B10,Properties!$A$5:$A$104,0)),"-"))</f>
        <v/>
      </c>
      <c r="M10" s="28" t="str">
        <f aca="false">IF(OR($A10="",N($E10)=0),"",$F10/$E10)</f>
        <v/>
      </c>
      <c r="N10" s="28" t="str">
        <f aca="false">IF($A10="","",IF($H10="Y",$F10*(1+Settings!$B$3),0))</f>
        <v/>
      </c>
      <c r="O10" s="27" t="str">
        <f aca="false">IF($A10="","",IF(AND($H10="Y",$G10&lt;&gt;"Restock",N($M10)&gt;Settings!$B$4,$I10&lt;&gt;"Y"),"Get host OK",IF(AND($H10="Y",$F10&gt;Settings!$B$5,$I10&lt;&gt;"Y"),"Host should pay upfront",IF($J10&lt;&gt;"Y","Save receipt","OK"))))</f>
        <v/>
      </c>
      <c r="P10" s="29" t="str">
        <f aca="false">IF($A10="","",DATE(YEAR($A10),MONTH($A10),1))</f>
        <v/>
      </c>
      <c r="Q10" s="31" t="str">
        <f aca="false">IF($A10="","",IF(AND($L10='Invoice Builder'!$C$5,$P10='Invoice Builder'!$C$6,N($N10)&gt;0),COUNTIFS($L$5:$L10,'Invoice Builder'!$C$5,$P$5:$P10,'Invoice Builder'!$C$6,$N$5:$N10,"&gt;0"),""))</f>
        <v/>
      </c>
      <c r="R10" s="27" t="str">
        <f aca="false">IF($A10="","",IF($A10&gt;=DATE(YEAR($A10),4,6),YEAR($A10)&amp;"/"&amp;RIGHT(YEAR($A10)+1,2),YEAR($A10)-1&amp;"/"&amp;RIGHT(YEAR($A10),2)))</f>
        <v/>
      </c>
    </row>
    <row r="11" customFormat="false" ht="15" hidden="false" customHeight="false" outlineLevel="0" collapsed="false">
      <c r="A11" s="22"/>
      <c r="B11" s="23"/>
      <c r="C11" s="23"/>
      <c r="D11" s="23"/>
      <c r="E11" s="32"/>
      <c r="F11" s="25"/>
      <c r="G11" s="23"/>
      <c r="H11" s="23"/>
      <c r="I11" s="23"/>
      <c r="J11" s="23"/>
      <c r="K11" s="23"/>
      <c r="L11" s="27" t="str">
        <f aca="false">IF($B11="","",IFERROR(INDEX(Properties!$D$5:$D$104,MATCH($B11,Properties!$A$5:$A$104,0)),"-"))</f>
        <v/>
      </c>
      <c r="M11" s="28" t="str">
        <f aca="false">IF(OR($A11="",N($E11)=0),"",$F11/$E11)</f>
        <v/>
      </c>
      <c r="N11" s="28" t="str">
        <f aca="false">IF($A11="","",IF($H11="Y",$F11*(1+Settings!$B$3),0))</f>
        <v/>
      </c>
      <c r="O11" s="27" t="str">
        <f aca="false">IF($A11="","",IF(AND($H11="Y",$G11&lt;&gt;"Restock",N($M11)&gt;Settings!$B$4,$I11&lt;&gt;"Y"),"Get host OK",IF(AND($H11="Y",$F11&gt;Settings!$B$5,$I11&lt;&gt;"Y"),"Host should pay upfront",IF($J11&lt;&gt;"Y","Save receipt","OK"))))</f>
        <v/>
      </c>
      <c r="P11" s="29" t="str">
        <f aca="false">IF($A11="","",DATE(YEAR($A11),MONTH($A11),1))</f>
        <v/>
      </c>
      <c r="Q11" s="31" t="str">
        <f aca="false">IF($A11="","",IF(AND($L11='Invoice Builder'!$C$5,$P11='Invoice Builder'!$C$6,N($N11)&gt;0),COUNTIFS($L$5:$L11,'Invoice Builder'!$C$5,$P$5:$P11,'Invoice Builder'!$C$6,$N$5:$N11,"&gt;0"),""))</f>
        <v/>
      </c>
      <c r="R11" s="27" t="str">
        <f aca="false">IF($A11="","",IF($A11&gt;=DATE(YEAR($A11),4,6),YEAR($A11)&amp;"/"&amp;RIGHT(YEAR($A11)+1,2),YEAR($A11)-1&amp;"/"&amp;RIGHT(YEAR($A11),2)))</f>
        <v/>
      </c>
    </row>
    <row r="12" customFormat="false" ht="15" hidden="false" customHeight="false" outlineLevel="0" collapsed="false">
      <c r="A12" s="22"/>
      <c r="B12" s="23"/>
      <c r="C12" s="23"/>
      <c r="D12" s="23"/>
      <c r="E12" s="32"/>
      <c r="F12" s="25"/>
      <c r="G12" s="23"/>
      <c r="H12" s="23"/>
      <c r="I12" s="23"/>
      <c r="J12" s="23"/>
      <c r="K12" s="23"/>
      <c r="L12" s="27" t="str">
        <f aca="false">IF($B12="","",IFERROR(INDEX(Properties!$D$5:$D$104,MATCH($B12,Properties!$A$5:$A$104,0)),"-"))</f>
        <v/>
      </c>
      <c r="M12" s="28" t="str">
        <f aca="false">IF(OR($A12="",N($E12)=0),"",$F12/$E12)</f>
        <v/>
      </c>
      <c r="N12" s="28" t="str">
        <f aca="false">IF($A12="","",IF($H12="Y",$F12*(1+Settings!$B$3),0))</f>
        <v/>
      </c>
      <c r="O12" s="27" t="str">
        <f aca="false">IF($A12="","",IF(AND($H12="Y",$G12&lt;&gt;"Restock",N($M12)&gt;Settings!$B$4,$I12&lt;&gt;"Y"),"Get host OK",IF(AND($H12="Y",$F12&gt;Settings!$B$5,$I12&lt;&gt;"Y"),"Host should pay upfront",IF($J12&lt;&gt;"Y","Save receipt","OK"))))</f>
        <v/>
      </c>
      <c r="P12" s="29" t="str">
        <f aca="false">IF($A12="","",DATE(YEAR($A12),MONTH($A12),1))</f>
        <v/>
      </c>
      <c r="Q12" s="31" t="str">
        <f aca="false">IF($A12="","",IF(AND($L12='Invoice Builder'!$C$5,$P12='Invoice Builder'!$C$6,N($N12)&gt;0),COUNTIFS($L$5:$L12,'Invoice Builder'!$C$5,$P$5:$P12,'Invoice Builder'!$C$6,$N$5:$N12,"&gt;0"),""))</f>
        <v/>
      </c>
      <c r="R12" s="27" t="str">
        <f aca="false">IF($A12="","",IF($A12&gt;=DATE(YEAR($A12),4,6),YEAR($A12)&amp;"/"&amp;RIGHT(YEAR($A12)+1,2),YEAR($A12)-1&amp;"/"&amp;RIGHT(YEAR($A12),2)))</f>
        <v/>
      </c>
    </row>
    <row r="13" customFormat="false" ht="15" hidden="false" customHeight="false" outlineLevel="0" collapsed="false">
      <c r="A13" s="22"/>
      <c r="B13" s="23"/>
      <c r="C13" s="23"/>
      <c r="D13" s="23"/>
      <c r="E13" s="32"/>
      <c r="F13" s="25"/>
      <c r="G13" s="23"/>
      <c r="H13" s="23"/>
      <c r="I13" s="23"/>
      <c r="J13" s="23"/>
      <c r="K13" s="23"/>
      <c r="L13" s="27" t="str">
        <f aca="false">IF($B13="","",IFERROR(INDEX(Properties!$D$5:$D$104,MATCH($B13,Properties!$A$5:$A$104,0)),"-"))</f>
        <v/>
      </c>
      <c r="M13" s="28" t="str">
        <f aca="false">IF(OR($A13="",N($E13)=0),"",$F13/$E13)</f>
        <v/>
      </c>
      <c r="N13" s="28" t="str">
        <f aca="false">IF($A13="","",IF($H13="Y",$F13*(1+Settings!$B$3),0))</f>
        <v/>
      </c>
      <c r="O13" s="27" t="str">
        <f aca="false">IF($A13="","",IF(AND($H13="Y",$G13&lt;&gt;"Restock",N($M13)&gt;Settings!$B$4,$I13&lt;&gt;"Y"),"Get host OK",IF(AND($H13="Y",$F13&gt;Settings!$B$5,$I13&lt;&gt;"Y"),"Host should pay upfront",IF($J13&lt;&gt;"Y","Save receipt","OK"))))</f>
        <v/>
      </c>
      <c r="P13" s="29" t="str">
        <f aca="false">IF($A13="","",DATE(YEAR($A13),MONTH($A13),1))</f>
        <v/>
      </c>
      <c r="Q13" s="31" t="str">
        <f aca="false">IF($A13="","",IF(AND($L13='Invoice Builder'!$C$5,$P13='Invoice Builder'!$C$6,N($N13)&gt;0),COUNTIFS($L$5:$L13,'Invoice Builder'!$C$5,$P$5:$P13,'Invoice Builder'!$C$6,$N$5:$N13,"&gt;0"),""))</f>
        <v/>
      </c>
      <c r="R13" s="27" t="str">
        <f aca="false">IF($A13="","",IF($A13&gt;=DATE(YEAR($A13),4,6),YEAR($A13)&amp;"/"&amp;RIGHT(YEAR($A13)+1,2),YEAR($A13)-1&amp;"/"&amp;RIGHT(YEAR($A13),2)))</f>
        <v/>
      </c>
    </row>
    <row r="14" customFormat="false" ht="15" hidden="false" customHeight="false" outlineLevel="0" collapsed="false">
      <c r="A14" s="22"/>
      <c r="B14" s="23"/>
      <c r="C14" s="23"/>
      <c r="D14" s="23"/>
      <c r="E14" s="32"/>
      <c r="F14" s="25"/>
      <c r="G14" s="23"/>
      <c r="H14" s="23"/>
      <c r="I14" s="23"/>
      <c r="J14" s="23"/>
      <c r="K14" s="23"/>
      <c r="L14" s="27" t="str">
        <f aca="false">IF($B14="","",IFERROR(INDEX(Properties!$D$5:$D$104,MATCH($B14,Properties!$A$5:$A$104,0)),"-"))</f>
        <v/>
      </c>
      <c r="M14" s="28" t="str">
        <f aca="false">IF(OR($A14="",N($E14)=0),"",$F14/$E14)</f>
        <v/>
      </c>
      <c r="N14" s="28" t="str">
        <f aca="false">IF($A14="","",IF($H14="Y",$F14*(1+Settings!$B$3),0))</f>
        <v/>
      </c>
      <c r="O14" s="27" t="str">
        <f aca="false">IF($A14="","",IF(AND($H14="Y",$G14&lt;&gt;"Restock",N($M14)&gt;Settings!$B$4,$I14&lt;&gt;"Y"),"Get host OK",IF(AND($H14="Y",$F14&gt;Settings!$B$5,$I14&lt;&gt;"Y"),"Host should pay upfront",IF($J14&lt;&gt;"Y","Save receipt","OK"))))</f>
        <v/>
      </c>
      <c r="P14" s="29" t="str">
        <f aca="false">IF($A14="","",DATE(YEAR($A14),MONTH($A14),1))</f>
        <v/>
      </c>
      <c r="Q14" s="31" t="str">
        <f aca="false">IF($A14="","",IF(AND($L14='Invoice Builder'!$C$5,$P14='Invoice Builder'!$C$6,N($N14)&gt;0),COUNTIFS($L$5:$L14,'Invoice Builder'!$C$5,$P$5:$P14,'Invoice Builder'!$C$6,$N$5:$N14,"&gt;0"),""))</f>
        <v/>
      </c>
      <c r="R14" s="27" t="str">
        <f aca="false">IF($A14="","",IF($A14&gt;=DATE(YEAR($A14),4,6),YEAR($A14)&amp;"/"&amp;RIGHT(YEAR($A14)+1,2),YEAR($A14)-1&amp;"/"&amp;RIGHT(YEAR($A14),2)))</f>
        <v/>
      </c>
    </row>
    <row r="15" customFormat="false" ht="15" hidden="false" customHeight="false" outlineLevel="0" collapsed="false">
      <c r="A15" s="22"/>
      <c r="B15" s="23"/>
      <c r="C15" s="23"/>
      <c r="D15" s="23"/>
      <c r="E15" s="32"/>
      <c r="F15" s="25"/>
      <c r="G15" s="23"/>
      <c r="H15" s="23"/>
      <c r="I15" s="23"/>
      <c r="J15" s="23"/>
      <c r="K15" s="23"/>
      <c r="L15" s="27" t="str">
        <f aca="false">IF($B15="","",IFERROR(INDEX(Properties!$D$5:$D$104,MATCH($B15,Properties!$A$5:$A$104,0)),"-"))</f>
        <v/>
      </c>
      <c r="M15" s="28" t="str">
        <f aca="false">IF(OR($A15="",N($E15)=0),"",$F15/$E15)</f>
        <v/>
      </c>
      <c r="N15" s="28" t="str">
        <f aca="false">IF($A15="","",IF($H15="Y",$F15*(1+Settings!$B$3),0))</f>
        <v/>
      </c>
      <c r="O15" s="27" t="str">
        <f aca="false">IF($A15="","",IF(AND($H15="Y",$G15&lt;&gt;"Restock",N($M15)&gt;Settings!$B$4,$I15&lt;&gt;"Y"),"Get host OK",IF(AND($H15="Y",$F15&gt;Settings!$B$5,$I15&lt;&gt;"Y"),"Host should pay upfront",IF($J15&lt;&gt;"Y","Save receipt","OK"))))</f>
        <v/>
      </c>
      <c r="P15" s="29" t="str">
        <f aca="false">IF($A15="","",DATE(YEAR($A15),MONTH($A15),1))</f>
        <v/>
      </c>
      <c r="Q15" s="31" t="str">
        <f aca="false">IF($A15="","",IF(AND($L15='Invoice Builder'!$C$5,$P15='Invoice Builder'!$C$6,N($N15)&gt;0),COUNTIFS($L$5:$L15,'Invoice Builder'!$C$5,$P$5:$P15,'Invoice Builder'!$C$6,$N$5:$N15,"&gt;0"),""))</f>
        <v/>
      </c>
      <c r="R15" s="27" t="str">
        <f aca="false">IF($A15="","",IF($A15&gt;=DATE(YEAR($A15),4,6),YEAR($A15)&amp;"/"&amp;RIGHT(YEAR($A15)+1,2),YEAR($A15)-1&amp;"/"&amp;RIGHT(YEAR($A15),2)))</f>
        <v/>
      </c>
    </row>
    <row r="16" customFormat="false" ht="15" hidden="false" customHeight="false" outlineLevel="0" collapsed="false">
      <c r="A16" s="22"/>
      <c r="B16" s="23"/>
      <c r="C16" s="23"/>
      <c r="D16" s="23"/>
      <c r="E16" s="32"/>
      <c r="F16" s="25"/>
      <c r="G16" s="23"/>
      <c r="H16" s="23"/>
      <c r="I16" s="23"/>
      <c r="J16" s="23"/>
      <c r="K16" s="23"/>
      <c r="L16" s="27" t="str">
        <f aca="false">IF($B16="","",IFERROR(INDEX(Properties!$D$5:$D$104,MATCH($B16,Properties!$A$5:$A$104,0)),"-"))</f>
        <v/>
      </c>
      <c r="M16" s="28" t="str">
        <f aca="false">IF(OR($A16="",N($E16)=0),"",$F16/$E16)</f>
        <v/>
      </c>
      <c r="N16" s="28" t="str">
        <f aca="false">IF($A16="","",IF($H16="Y",$F16*(1+Settings!$B$3),0))</f>
        <v/>
      </c>
      <c r="O16" s="27" t="str">
        <f aca="false">IF($A16="","",IF(AND($H16="Y",$G16&lt;&gt;"Restock",N($M16)&gt;Settings!$B$4,$I16&lt;&gt;"Y"),"Get host OK",IF(AND($H16="Y",$F16&gt;Settings!$B$5,$I16&lt;&gt;"Y"),"Host should pay upfront",IF($J16&lt;&gt;"Y","Save receipt","OK"))))</f>
        <v/>
      </c>
      <c r="P16" s="29" t="str">
        <f aca="false">IF($A16="","",DATE(YEAR($A16),MONTH($A16),1))</f>
        <v/>
      </c>
      <c r="Q16" s="31" t="str">
        <f aca="false">IF($A16="","",IF(AND($L16='Invoice Builder'!$C$5,$P16='Invoice Builder'!$C$6,N($N16)&gt;0),COUNTIFS($L$5:$L16,'Invoice Builder'!$C$5,$P$5:$P16,'Invoice Builder'!$C$6,$N$5:$N16,"&gt;0"),""))</f>
        <v/>
      </c>
      <c r="R16" s="27" t="str">
        <f aca="false">IF($A16="","",IF($A16&gt;=DATE(YEAR($A16),4,6),YEAR($A16)&amp;"/"&amp;RIGHT(YEAR($A16)+1,2),YEAR($A16)-1&amp;"/"&amp;RIGHT(YEAR($A16),2)))</f>
        <v/>
      </c>
    </row>
    <row r="17" customFormat="false" ht="15" hidden="false" customHeight="false" outlineLevel="0" collapsed="false">
      <c r="A17" s="22"/>
      <c r="B17" s="23"/>
      <c r="C17" s="23"/>
      <c r="D17" s="23"/>
      <c r="E17" s="32"/>
      <c r="F17" s="25"/>
      <c r="G17" s="23"/>
      <c r="H17" s="23"/>
      <c r="I17" s="23"/>
      <c r="J17" s="23"/>
      <c r="K17" s="23"/>
      <c r="L17" s="27" t="str">
        <f aca="false">IF($B17="","",IFERROR(INDEX(Properties!$D$5:$D$104,MATCH($B17,Properties!$A$5:$A$104,0)),"-"))</f>
        <v/>
      </c>
      <c r="M17" s="28" t="str">
        <f aca="false">IF(OR($A17="",N($E17)=0),"",$F17/$E17)</f>
        <v/>
      </c>
      <c r="N17" s="28" t="str">
        <f aca="false">IF($A17="","",IF($H17="Y",$F17*(1+Settings!$B$3),0))</f>
        <v/>
      </c>
      <c r="O17" s="27" t="str">
        <f aca="false">IF($A17="","",IF(AND($H17="Y",$G17&lt;&gt;"Restock",N($M17)&gt;Settings!$B$4,$I17&lt;&gt;"Y"),"Get host OK",IF(AND($H17="Y",$F17&gt;Settings!$B$5,$I17&lt;&gt;"Y"),"Host should pay upfront",IF($J17&lt;&gt;"Y","Save receipt","OK"))))</f>
        <v/>
      </c>
      <c r="P17" s="29" t="str">
        <f aca="false">IF($A17="","",DATE(YEAR($A17),MONTH($A17),1))</f>
        <v/>
      </c>
      <c r="Q17" s="31" t="str">
        <f aca="false">IF($A17="","",IF(AND($L17='Invoice Builder'!$C$5,$P17='Invoice Builder'!$C$6,N($N17)&gt;0),COUNTIFS($L$5:$L17,'Invoice Builder'!$C$5,$P$5:$P17,'Invoice Builder'!$C$6,$N$5:$N17,"&gt;0"),""))</f>
        <v/>
      </c>
      <c r="R17" s="27" t="str">
        <f aca="false">IF($A17="","",IF($A17&gt;=DATE(YEAR($A17),4,6),YEAR($A17)&amp;"/"&amp;RIGHT(YEAR($A17)+1,2),YEAR($A17)-1&amp;"/"&amp;RIGHT(YEAR($A17),2)))</f>
        <v/>
      </c>
    </row>
    <row r="18" customFormat="false" ht="15" hidden="false" customHeight="false" outlineLevel="0" collapsed="false">
      <c r="A18" s="22"/>
      <c r="B18" s="23"/>
      <c r="C18" s="23"/>
      <c r="D18" s="23"/>
      <c r="E18" s="32"/>
      <c r="F18" s="25"/>
      <c r="G18" s="23"/>
      <c r="H18" s="23"/>
      <c r="I18" s="23"/>
      <c r="J18" s="23"/>
      <c r="K18" s="23"/>
      <c r="L18" s="27" t="str">
        <f aca="false">IF($B18="","",IFERROR(INDEX(Properties!$D$5:$D$104,MATCH($B18,Properties!$A$5:$A$104,0)),"-"))</f>
        <v/>
      </c>
      <c r="M18" s="28" t="str">
        <f aca="false">IF(OR($A18="",N($E18)=0),"",$F18/$E18)</f>
        <v/>
      </c>
      <c r="N18" s="28" t="str">
        <f aca="false">IF($A18="","",IF($H18="Y",$F18*(1+Settings!$B$3),0))</f>
        <v/>
      </c>
      <c r="O18" s="27" t="str">
        <f aca="false">IF($A18="","",IF(AND($H18="Y",$G18&lt;&gt;"Restock",N($M18)&gt;Settings!$B$4,$I18&lt;&gt;"Y"),"Get host OK",IF(AND($H18="Y",$F18&gt;Settings!$B$5,$I18&lt;&gt;"Y"),"Host should pay upfront",IF($J18&lt;&gt;"Y","Save receipt","OK"))))</f>
        <v/>
      </c>
      <c r="P18" s="29" t="str">
        <f aca="false">IF($A18="","",DATE(YEAR($A18),MONTH($A18),1))</f>
        <v/>
      </c>
      <c r="Q18" s="31" t="str">
        <f aca="false">IF($A18="","",IF(AND($L18='Invoice Builder'!$C$5,$P18='Invoice Builder'!$C$6,N($N18)&gt;0),COUNTIFS($L$5:$L18,'Invoice Builder'!$C$5,$P$5:$P18,'Invoice Builder'!$C$6,$N$5:$N18,"&gt;0"),""))</f>
        <v/>
      </c>
      <c r="R18" s="27" t="str">
        <f aca="false">IF($A18="","",IF($A18&gt;=DATE(YEAR($A18),4,6),YEAR($A18)&amp;"/"&amp;RIGHT(YEAR($A18)+1,2),YEAR($A18)-1&amp;"/"&amp;RIGHT(YEAR($A18),2)))</f>
        <v/>
      </c>
    </row>
    <row r="19" customFormat="false" ht="15" hidden="false" customHeight="false" outlineLevel="0" collapsed="false">
      <c r="A19" s="22"/>
      <c r="B19" s="23"/>
      <c r="C19" s="23"/>
      <c r="D19" s="23"/>
      <c r="E19" s="32"/>
      <c r="F19" s="25"/>
      <c r="G19" s="23"/>
      <c r="H19" s="23"/>
      <c r="I19" s="23"/>
      <c r="J19" s="23"/>
      <c r="K19" s="23"/>
      <c r="L19" s="27" t="str">
        <f aca="false">IF($B19="","",IFERROR(INDEX(Properties!$D$5:$D$104,MATCH($B19,Properties!$A$5:$A$104,0)),"-"))</f>
        <v/>
      </c>
      <c r="M19" s="28" t="str">
        <f aca="false">IF(OR($A19="",N($E19)=0),"",$F19/$E19)</f>
        <v/>
      </c>
      <c r="N19" s="28" t="str">
        <f aca="false">IF($A19="","",IF($H19="Y",$F19*(1+Settings!$B$3),0))</f>
        <v/>
      </c>
      <c r="O19" s="27" t="str">
        <f aca="false">IF($A19="","",IF(AND($H19="Y",$G19&lt;&gt;"Restock",N($M19)&gt;Settings!$B$4,$I19&lt;&gt;"Y"),"Get host OK",IF(AND($H19="Y",$F19&gt;Settings!$B$5,$I19&lt;&gt;"Y"),"Host should pay upfront",IF($J19&lt;&gt;"Y","Save receipt","OK"))))</f>
        <v/>
      </c>
      <c r="P19" s="29" t="str">
        <f aca="false">IF($A19="","",DATE(YEAR($A19),MONTH($A19),1))</f>
        <v/>
      </c>
      <c r="Q19" s="31" t="str">
        <f aca="false">IF($A19="","",IF(AND($L19='Invoice Builder'!$C$5,$P19='Invoice Builder'!$C$6,N($N19)&gt;0),COUNTIFS($L$5:$L19,'Invoice Builder'!$C$5,$P$5:$P19,'Invoice Builder'!$C$6,$N$5:$N19,"&gt;0"),""))</f>
        <v/>
      </c>
      <c r="R19" s="27" t="str">
        <f aca="false">IF($A19="","",IF($A19&gt;=DATE(YEAR($A19),4,6),YEAR($A19)&amp;"/"&amp;RIGHT(YEAR($A19)+1,2),YEAR($A19)-1&amp;"/"&amp;RIGHT(YEAR($A19),2)))</f>
        <v/>
      </c>
    </row>
    <row r="20" customFormat="false" ht="15" hidden="false" customHeight="false" outlineLevel="0" collapsed="false">
      <c r="A20" s="22"/>
      <c r="B20" s="23"/>
      <c r="C20" s="23"/>
      <c r="D20" s="23"/>
      <c r="E20" s="32"/>
      <c r="F20" s="25"/>
      <c r="G20" s="23"/>
      <c r="H20" s="23"/>
      <c r="I20" s="23"/>
      <c r="J20" s="23"/>
      <c r="K20" s="23"/>
      <c r="L20" s="27" t="str">
        <f aca="false">IF($B20="","",IFERROR(INDEX(Properties!$D$5:$D$104,MATCH($B20,Properties!$A$5:$A$104,0)),"-"))</f>
        <v/>
      </c>
      <c r="M20" s="28" t="str">
        <f aca="false">IF(OR($A20="",N($E20)=0),"",$F20/$E20)</f>
        <v/>
      </c>
      <c r="N20" s="28" t="str">
        <f aca="false">IF($A20="","",IF($H20="Y",$F20*(1+Settings!$B$3),0))</f>
        <v/>
      </c>
      <c r="O20" s="27" t="str">
        <f aca="false">IF($A20="","",IF(AND($H20="Y",$G20&lt;&gt;"Restock",N($M20)&gt;Settings!$B$4,$I20&lt;&gt;"Y"),"Get host OK",IF(AND($H20="Y",$F20&gt;Settings!$B$5,$I20&lt;&gt;"Y"),"Host should pay upfront",IF($J20&lt;&gt;"Y","Save receipt","OK"))))</f>
        <v/>
      </c>
      <c r="P20" s="29" t="str">
        <f aca="false">IF($A20="","",DATE(YEAR($A20),MONTH($A20),1))</f>
        <v/>
      </c>
      <c r="Q20" s="31" t="str">
        <f aca="false">IF($A20="","",IF(AND($L20='Invoice Builder'!$C$5,$P20='Invoice Builder'!$C$6,N($N20)&gt;0),COUNTIFS($L$5:$L20,'Invoice Builder'!$C$5,$P$5:$P20,'Invoice Builder'!$C$6,$N$5:$N20,"&gt;0"),""))</f>
        <v/>
      </c>
      <c r="R20" s="27" t="str">
        <f aca="false">IF($A20="","",IF($A20&gt;=DATE(YEAR($A20),4,6),YEAR($A20)&amp;"/"&amp;RIGHT(YEAR($A20)+1,2),YEAR($A20)-1&amp;"/"&amp;RIGHT(YEAR($A20),2)))</f>
        <v/>
      </c>
    </row>
    <row r="21" customFormat="false" ht="15" hidden="false" customHeight="false" outlineLevel="0" collapsed="false">
      <c r="A21" s="22"/>
      <c r="B21" s="23"/>
      <c r="C21" s="23"/>
      <c r="D21" s="23"/>
      <c r="E21" s="32"/>
      <c r="F21" s="25"/>
      <c r="G21" s="23"/>
      <c r="H21" s="23"/>
      <c r="I21" s="23"/>
      <c r="J21" s="23"/>
      <c r="K21" s="23"/>
      <c r="L21" s="27" t="str">
        <f aca="false">IF($B21="","",IFERROR(INDEX(Properties!$D$5:$D$104,MATCH($B21,Properties!$A$5:$A$104,0)),"-"))</f>
        <v/>
      </c>
      <c r="M21" s="28" t="str">
        <f aca="false">IF(OR($A21="",N($E21)=0),"",$F21/$E21)</f>
        <v/>
      </c>
      <c r="N21" s="28" t="str">
        <f aca="false">IF($A21="","",IF($H21="Y",$F21*(1+Settings!$B$3),0))</f>
        <v/>
      </c>
      <c r="O21" s="27" t="str">
        <f aca="false">IF($A21="","",IF(AND($H21="Y",$G21&lt;&gt;"Restock",N($M21)&gt;Settings!$B$4,$I21&lt;&gt;"Y"),"Get host OK",IF(AND($H21="Y",$F21&gt;Settings!$B$5,$I21&lt;&gt;"Y"),"Host should pay upfront",IF($J21&lt;&gt;"Y","Save receipt","OK"))))</f>
        <v/>
      </c>
      <c r="P21" s="29" t="str">
        <f aca="false">IF($A21="","",DATE(YEAR($A21),MONTH($A21),1))</f>
        <v/>
      </c>
      <c r="Q21" s="31" t="str">
        <f aca="false">IF($A21="","",IF(AND($L21='Invoice Builder'!$C$5,$P21='Invoice Builder'!$C$6,N($N21)&gt;0),COUNTIFS($L$5:$L21,'Invoice Builder'!$C$5,$P$5:$P21,'Invoice Builder'!$C$6,$N$5:$N21,"&gt;0"),""))</f>
        <v/>
      </c>
      <c r="R21" s="27" t="str">
        <f aca="false">IF($A21="","",IF($A21&gt;=DATE(YEAR($A21),4,6),YEAR($A21)&amp;"/"&amp;RIGHT(YEAR($A21)+1,2),YEAR($A21)-1&amp;"/"&amp;RIGHT(YEAR($A21),2)))</f>
        <v/>
      </c>
    </row>
    <row r="22" customFormat="false" ht="15" hidden="false" customHeight="false" outlineLevel="0" collapsed="false">
      <c r="A22" s="22"/>
      <c r="B22" s="23"/>
      <c r="C22" s="23"/>
      <c r="D22" s="23"/>
      <c r="E22" s="32"/>
      <c r="F22" s="25"/>
      <c r="G22" s="23"/>
      <c r="H22" s="23"/>
      <c r="I22" s="23"/>
      <c r="J22" s="23"/>
      <c r="K22" s="23"/>
      <c r="L22" s="27" t="str">
        <f aca="false">IF($B22="","",IFERROR(INDEX(Properties!$D$5:$D$104,MATCH($B22,Properties!$A$5:$A$104,0)),"-"))</f>
        <v/>
      </c>
      <c r="M22" s="28" t="str">
        <f aca="false">IF(OR($A22="",N($E22)=0),"",$F22/$E22)</f>
        <v/>
      </c>
      <c r="N22" s="28" t="str">
        <f aca="false">IF($A22="","",IF($H22="Y",$F22*(1+Settings!$B$3),0))</f>
        <v/>
      </c>
      <c r="O22" s="27" t="str">
        <f aca="false">IF($A22="","",IF(AND($H22="Y",$G22&lt;&gt;"Restock",N($M22)&gt;Settings!$B$4,$I22&lt;&gt;"Y"),"Get host OK",IF(AND($H22="Y",$F22&gt;Settings!$B$5,$I22&lt;&gt;"Y"),"Host should pay upfront",IF($J22&lt;&gt;"Y","Save receipt","OK"))))</f>
        <v/>
      </c>
      <c r="P22" s="29" t="str">
        <f aca="false">IF($A22="","",DATE(YEAR($A22),MONTH($A22),1))</f>
        <v/>
      </c>
      <c r="Q22" s="31" t="str">
        <f aca="false">IF($A22="","",IF(AND($L22='Invoice Builder'!$C$5,$P22='Invoice Builder'!$C$6,N($N22)&gt;0),COUNTIFS($L$5:$L22,'Invoice Builder'!$C$5,$P$5:$P22,'Invoice Builder'!$C$6,$N$5:$N22,"&gt;0"),""))</f>
        <v/>
      </c>
      <c r="R22" s="27" t="str">
        <f aca="false">IF($A22="","",IF($A22&gt;=DATE(YEAR($A22),4,6),YEAR($A22)&amp;"/"&amp;RIGHT(YEAR($A22)+1,2),YEAR($A22)-1&amp;"/"&amp;RIGHT(YEAR($A22),2)))</f>
        <v/>
      </c>
    </row>
    <row r="23" customFormat="false" ht="15" hidden="false" customHeight="false" outlineLevel="0" collapsed="false">
      <c r="A23" s="22"/>
      <c r="B23" s="23"/>
      <c r="C23" s="23"/>
      <c r="D23" s="23"/>
      <c r="E23" s="32"/>
      <c r="F23" s="25"/>
      <c r="G23" s="23"/>
      <c r="H23" s="23"/>
      <c r="I23" s="23"/>
      <c r="J23" s="23"/>
      <c r="K23" s="23"/>
      <c r="L23" s="27" t="str">
        <f aca="false">IF($B23="","",IFERROR(INDEX(Properties!$D$5:$D$104,MATCH($B23,Properties!$A$5:$A$104,0)),"-"))</f>
        <v/>
      </c>
      <c r="M23" s="28" t="str">
        <f aca="false">IF(OR($A23="",N($E23)=0),"",$F23/$E23)</f>
        <v/>
      </c>
      <c r="N23" s="28" t="str">
        <f aca="false">IF($A23="","",IF($H23="Y",$F23*(1+Settings!$B$3),0))</f>
        <v/>
      </c>
      <c r="O23" s="27" t="str">
        <f aca="false">IF($A23="","",IF(AND($H23="Y",$G23&lt;&gt;"Restock",N($M23)&gt;Settings!$B$4,$I23&lt;&gt;"Y"),"Get host OK",IF(AND($H23="Y",$F23&gt;Settings!$B$5,$I23&lt;&gt;"Y"),"Host should pay upfront",IF($J23&lt;&gt;"Y","Save receipt","OK"))))</f>
        <v/>
      </c>
      <c r="P23" s="29" t="str">
        <f aca="false">IF($A23="","",DATE(YEAR($A23),MONTH($A23),1))</f>
        <v/>
      </c>
      <c r="Q23" s="31" t="str">
        <f aca="false">IF($A23="","",IF(AND($L23='Invoice Builder'!$C$5,$P23='Invoice Builder'!$C$6,N($N23)&gt;0),COUNTIFS($L$5:$L23,'Invoice Builder'!$C$5,$P$5:$P23,'Invoice Builder'!$C$6,$N$5:$N23,"&gt;0"),""))</f>
        <v/>
      </c>
      <c r="R23" s="27" t="str">
        <f aca="false">IF($A23="","",IF($A23&gt;=DATE(YEAR($A23),4,6),YEAR($A23)&amp;"/"&amp;RIGHT(YEAR($A23)+1,2),YEAR($A23)-1&amp;"/"&amp;RIGHT(YEAR($A23),2)))</f>
        <v/>
      </c>
    </row>
    <row r="24" customFormat="false" ht="15" hidden="false" customHeight="false" outlineLevel="0" collapsed="false">
      <c r="A24" s="22"/>
      <c r="B24" s="23"/>
      <c r="C24" s="23"/>
      <c r="D24" s="23"/>
      <c r="E24" s="32"/>
      <c r="F24" s="25"/>
      <c r="G24" s="23"/>
      <c r="H24" s="23"/>
      <c r="I24" s="23"/>
      <c r="J24" s="23"/>
      <c r="K24" s="23"/>
      <c r="L24" s="27" t="str">
        <f aca="false">IF($B24="","",IFERROR(INDEX(Properties!$D$5:$D$104,MATCH($B24,Properties!$A$5:$A$104,0)),"-"))</f>
        <v/>
      </c>
      <c r="M24" s="28" t="str">
        <f aca="false">IF(OR($A24="",N($E24)=0),"",$F24/$E24)</f>
        <v/>
      </c>
      <c r="N24" s="28" t="str">
        <f aca="false">IF($A24="","",IF($H24="Y",$F24*(1+Settings!$B$3),0))</f>
        <v/>
      </c>
      <c r="O24" s="27" t="str">
        <f aca="false">IF($A24="","",IF(AND($H24="Y",$G24&lt;&gt;"Restock",N($M24)&gt;Settings!$B$4,$I24&lt;&gt;"Y"),"Get host OK",IF(AND($H24="Y",$F24&gt;Settings!$B$5,$I24&lt;&gt;"Y"),"Host should pay upfront",IF($J24&lt;&gt;"Y","Save receipt","OK"))))</f>
        <v/>
      </c>
      <c r="P24" s="29" t="str">
        <f aca="false">IF($A24="","",DATE(YEAR($A24),MONTH($A24),1))</f>
        <v/>
      </c>
      <c r="Q24" s="31" t="str">
        <f aca="false">IF($A24="","",IF(AND($L24='Invoice Builder'!$C$5,$P24='Invoice Builder'!$C$6,N($N24)&gt;0),COUNTIFS($L$5:$L24,'Invoice Builder'!$C$5,$P$5:$P24,'Invoice Builder'!$C$6,$N$5:$N24,"&gt;0"),""))</f>
        <v/>
      </c>
      <c r="R24" s="27" t="str">
        <f aca="false">IF($A24="","",IF($A24&gt;=DATE(YEAR($A24),4,6),YEAR($A24)&amp;"/"&amp;RIGHT(YEAR($A24)+1,2),YEAR($A24)-1&amp;"/"&amp;RIGHT(YEAR($A24),2)))</f>
        <v/>
      </c>
    </row>
    <row r="25" customFormat="false" ht="15" hidden="false" customHeight="false" outlineLevel="0" collapsed="false">
      <c r="A25" s="22"/>
      <c r="B25" s="23"/>
      <c r="C25" s="23"/>
      <c r="D25" s="23"/>
      <c r="E25" s="32"/>
      <c r="F25" s="25"/>
      <c r="G25" s="23"/>
      <c r="H25" s="23"/>
      <c r="I25" s="23"/>
      <c r="J25" s="23"/>
      <c r="K25" s="23"/>
      <c r="L25" s="27" t="str">
        <f aca="false">IF($B25="","",IFERROR(INDEX(Properties!$D$5:$D$104,MATCH($B25,Properties!$A$5:$A$104,0)),"-"))</f>
        <v/>
      </c>
      <c r="M25" s="28" t="str">
        <f aca="false">IF(OR($A25="",N($E25)=0),"",$F25/$E25)</f>
        <v/>
      </c>
      <c r="N25" s="28" t="str">
        <f aca="false">IF($A25="","",IF($H25="Y",$F25*(1+Settings!$B$3),0))</f>
        <v/>
      </c>
      <c r="O25" s="27" t="str">
        <f aca="false">IF($A25="","",IF(AND($H25="Y",$G25&lt;&gt;"Restock",N($M25)&gt;Settings!$B$4,$I25&lt;&gt;"Y"),"Get host OK",IF(AND($H25="Y",$F25&gt;Settings!$B$5,$I25&lt;&gt;"Y"),"Host should pay upfront",IF($J25&lt;&gt;"Y","Save receipt","OK"))))</f>
        <v/>
      </c>
      <c r="P25" s="29" t="str">
        <f aca="false">IF($A25="","",DATE(YEAR($A25),MONTH($A25),1))</f>
        <v/>
      </c>
      <c r="Q25" s="31" t="str">
        <f aca="false">IF($A25="","",IF(AND($L25='Invoice Builder'!$C$5,$P25='Invoice Builder'!$C$6,N($N25)&gt;0),COUNTIFS($L$5:$L25,'Invoice Builder'!$C$5,$P$5:$P25,'Invoice Builder'!$C$6,$N$5:$N25,"&gt;0"),""))</f>
        <v/>
      </c>
      <c r="R25" s="27" t="str">
        <f aca="false">IF($A25="","",IF($A25&gt;=DATE(YEAR($A25),4,6),YEAR($A25)&amp;"/"&amp;RIGHT(YEAR($A25)+1,2),YEAR($A25)-1&amp;"/"&amp;RIGHT(YEAR($A25),2)))</f>
        <v/>
      </c>
    </row>
    <row r="26" customFormat="false" ht="15" hidden="false" customHeight="false" outlineLevel="0" collapsed="false">
      <c r="A26" s="22"/>
      <c r="B26" s="23"/>
      <c r="C26" s="23"/>
      <c r="D26" s="23"/>
      <c r="E26" s="32"/>
      <c r="F26" s="25"/>
      <c r="G26" s="23"/>
      <c r="H26" s="23"/>
      <c r="I26" s="23"/>
      <c r="J26" s="23"/>
      <c r="K26" s="23"/>
      <c r="L26" s="27" t="str">
        <f aca="false">IF($B26="","",IFERROR(INDEX(Properties!$D$5:$D$104,MATCH($B26,Properties!$A$5:$A$104,0)),"-"))</f>
        <v/>
      </c>
      <c r="M26" s="28" t="str">
        <f aca="false">IF(OR($A26="",N($E26)=0),"",$F26/$E26)</f>
        <v/>
      </c>
      <c r="N26" s="28" t="str">
        <f aca="false">IF($A26="","",IF($H26="Y",$F26*(1+Settings!$B$3),0))</f>
        <v/>
      </c>
      <c r="O26" s="27" t="str">
        <f aca="false">IF($A26="","",IF(AND($H26="Y",$G26&lt;&gt;"Restock",N($M26)&gt;Settings!$B$4,$I26&lt;&gt;"Y"),"Get host OK",IF(AND($H26="Y",$F26&gt;Settings!$B$5,$I26&lt;&gt;"Y"),"Host should pay upfront",IF($J26&lt;&gt;"Y","Save receipt","OK"))))</f>
        <v/>
      </c>
      <c r="P26" s="29" t="str">
        <f aca="false">IF($A26="","",DATE(YEAR($A26),MONTH($A26),1))</f>
        <v/>
      </c>
      <c r="Q26" s="31" t="str">
        <f aca="false">IF($A26="","",IF(AND($L26='Invoice Builder'!$C$5,$P26='Invoice Builder'!$C$6,N($N26)&gt;0),COUNTIFS($L$5:$L26,'Invoice Builder'!$C$5,$P$5:$P26,'Invoice Builder'!$C$6,$N$5:$N26,"&gt;0"),""))</f>
        <v/>
      </c>
      <c r="R26" s="27" t="str">
        <f aca="false">IF($A26="","",IF($A26&gt;=DATE(YEAR($A26),4,6),YEAR($A26)&amp;"/"&amp;RIGHT(YEAR($A26)+1,2),YEAR($A26)-1&amp;"/"&amp;RIGHT(YEAR($A26),2)))</f>
        <v/>
      </c>
    </row>
    <row r="27" customFormat="false" ht="15" hidden="false" customHeight="false" outlineLevel="0" collapsed="false">
      <c r="A27" s="22"/>
      <c r="B27" s="23"/>
      <c r="C27" s="23"/>
      <c r="D27" s="23"/>
      <c r="E27" s="32"/>
      <c r="F27" s="25"/>
      <c r="G27" s="23"/>
      <c r="H27" s="23"/>
      <c r="I27" s="23"/>
      <c r="J27" s="23"/>
      <c r="K27" s="23"/>
      <c r="L27" s="27" t="str">
        <f aca="false">IF($B27="","",IFERROR(INDEX(Properties!$D$5:$D$104,MATCH($B27,Properties!$A$5:$A$104,0)),"-"))</f>
        <v/>
      </c>
      <c r="M27" s="28" t="str">
        <f aca="false">IF(OR($A27="",N($E27)=0),"",$F27/$E27)</f>
        <v/>
      </c>
      <c r="N27" s="28" t="str">
        <f aca="false">IF($A27="","",IF($H27="Y",$F27*(1+Settings!$B$3),0))</f>
        <v/>
      </c>
      <c r="O27" s="27" t="str">
        <f aca="false">IF($A27="","",IF(AND($H27="Y",$G27&lt;&gt;"Restock",N($M27)&gt;Settings!$B$4,$I27&lt;&gt;"Y"),"Get host OK",IF(AND($H27="Y",$F27&gt;Settings!$B$5,$I27&lt;&gt;"Y"),"Host should pay upfront",IF($J27&lt;&gt;"Y","Save receipt","OK"))))</f>
        <v/>
      </c>
      <c r="P27" s="29" t="str">
        <f aca="false">IF($A27="","",DATE(YEAR($A27),MONTH($A27),1))</f>
        <v/>
      </c>
      <c r="Q27" s="31" t="str">
        <f aca="false">IF($A27="","",IF(AND($L27='Invoice Builder'!$C$5,$P27='Invoice Builder'!$C$6,N($N27)&gt;0),COUNTIFS($L$5:$L27,'Invoice Builder'!$C$5,$P$5:$P27,'Invoice Builder'!$C$6,$N$5:$N27,"&gt;0"),""))</f>
        <v/>
      </c>
      <c r="R27" s="27" t="str">
        <f aca="false">IF($A27="","",IF($A27&gt;=DATE(YEAR($A27),4,6),YEAR($A27)&amp;"/"&amp;RIGHT(YEAR($A27)+1,2),YEAR($A27)-1&amp;"/"&amp;RIGHT(YEAR($A27),2)))</f>
        <v/>
      </c>
    </row>
    <row r="28" customFormat="false" ht="15" hidden="false" customHeight="false" outlineLevel="0" collapsed="false">
      <c r="A28" s="22"/>
      <c r="B28" s="23"/>
      <c r="C28" s="23"/>
      <c r="D28" s="23"/>
      <c r="E28" s="32"/>
      <c r="F28" s="25"/>
      <c r="G28" s="23"/>
      <c r="H28" s="23"/>
      <c r="I28" s="23"/>
      <c r="J28" s="23"/>
      <c r="K28" s="23"/>
      <c r="L28" s="27" t="str">
        <f aca="false">IF($B28="","",IFERROR(INDEX(Properties!$D$5:$D$104,MATCH($B28,Properties!$A$5:$A$104,0)),"-"))</f>
        <v/>
      </c>
      <c r="M28" s="28" t="str">
        <f aca="false">IF(OR($A28="",N($E28)=0),"",$F28/$E28)</f>
        <v/>
      </c>
      <c r="N28" s="28" t="str">
        <f aca="false">IF($A28="","",IF($H28="Y",$F28*(1+Settings!$B$3),0))</f>
        <v/>
      </c>
      <c r="O28" s="27" t="str">
        <f aca="false">IF($A28="","",IF(AND($H28="Y",$G28&lt;&gt;"Restock",N($M28)&gt;Settings!$B$4,$I28&lt;&gt;"Y"),"Get host OK",IF(AND($H28="Y",$F28&gt;Settings!$B$5,$I28&lt;&gt;"Y"),"Host should pay upfront",IF($J28&lt;&gt;"Y","Save receipt","OK"))))</f>
        <v/>
      </c>
      <c r="P28" s="29" t="str">
        <f aca="false">IF($A28="","",DATE(YEAR($A28),MONTH($A28),1))</f>
        <v/>
      </c>
      <c r="Q28" s="31" t="str">
        <f aca="false">IF($A28="","",IF(AND($L28='Invoice Builder'!$C$5,$P28='Invoice Builder'!$C$6,N($N28)&gt;0),COUNTIFS($L$5:$L28,'Invoice Builder'!$C$5,$P$5:$P28,'Invoice Builder'!$C$6,$N$5:$N28,"&gt;0"),""))</f>
        <v/>
      </c>
      <c r="R28" s="27" t="str">
        <f aca="false">IF($A28="","",IF($A28&gt;=DATE(YEAR($A28),4,6),YEAR($A28)&amp;"/"&amp;RIGHT(YEAR($A28)+1,2),YEAR($A28)-1&amp;"/"&amp;RIGHT(YEAR($A28),2)))</f>
        <v/>
      </c>
    </row>
    <row r="29" customFormat="false" ht="15" hidden="false" customHeight="false" outlineLevel="0" collapsed="false">
      <c r="A29" s="22"/>
      <c r="B29" s="23"/>
      <c r="C29" s="23"/>
      <c r="D29" s="23"/>
      <c r="E29" s="32"/>
      <c r="F29" s="25"/>
      <c r="G29" s="23"/>
      <c r="H29" s="23"/>
      <c r="I29" s="23"/>
      <c r="J29" s="23"/>
      <c r="K29" s="23"/>
      <c r="L29" s="27" t="str">
        <f aca="false">IF($B29="","",IFERROR(INDEX(Properties!$D$5:$D$104,MATCH($B29,Properties!$A$5:$A$104,0)),"-"))</f>
        <v/>
      </c>
      <c r="M29" s="28" t="str">
        <f aca="false">IF(OR($A29="",N($E29)=0),"",$F29/$E29)</f>
        <v/>
      </c>
      <c r="N29" s="28" t="str">
        <f aca="false">IF($A29="","",IF($H29="Y",$F29*(1+Settings!$B$3),0))</f>
        <v/>
      </c>
      <c r="O29" s="27" t="str">
        <f aca="false">IF($A29="","",IF(AND($H29="Y",$G29&lt;&gt;"Restock",N($M29)&gt;Settings!$B$4,$I29&lt;&gt;"Y"),"Get host OK",IF(AND($H29="Y",$F29&gt;Settings!$B$5,$I29&lt;&gt;"Y"),"Host should pay upfront",IF($J29&lt;&gt;"Y","Save receipt","OK"))))</f>
        <v/>
      </c>
      <c r="P29" s="29" t="str">
        <f aca="false">IF($A29="","",DATE(YEAR($A29),MONTH($A29),1))</f>
        <v/>
      </c>
      <c r="Q29" s="31" t="str">
        <f aca="false">IF($A29="","",IF(AND($L29='Invoice Builder'!$C$5,$P29='Invoice Builder'!$C$6,N($N29)&gt;0),COUNTIFS($L$5:$L29,'Invoice Builder'!$C$5,$P$5:$P29,'Invoice Builder'!$C$6,$N$5:$N29,"&gt;0"),""))</f>
        <v/>
      </c>
      <c r="R29" s="27" t="str">
        <f aca="false">IF($A29="","",IF($A29&gt;=DATE(YEAR($A29),4,6),YEAR($A29)&amp;"/"&amp;RIGHT(YEAR($A29)+1,2),YEAR($A29)-1&amp;"/"&amp;RIGHT(YEAR($A29),2)))</f>
        <v/>
      </c>
    </row>
    <row r="30" customFormat="false" ht="15" hidden="false" customHeight="false" outlineLevel="0" collapsed="false">
      <c r="A30" s="22"/>
      <c r="B30" s="23"/>
      <c r="C30" s="23"/>
      <c r="D30" s="23"/>
      <c r="E30" s="32"/>
      <c r="F30" s="25"/>
      <c r="G30" s="23"/>
      <c r="H30" s="23"/>
      <c r="I30" s="23"/>
      <c r="J30" s="23"/>
      <c r="K30" s="23"/>
      <c r="L30" s="27" t="str">
        <f aca="false">IF($B30="","",IFERROR(INDEX(Properties!$D$5:$D$104,MATCH($B30,Properties!$A$5:$A$104,0)),"-"))</f>
        <v/>
      </c>
      <c r="M30" s="28" t="str">
        <f aca="false">IF(OR($A30="",N($E30)=0),"",$F30/$E30)</f>
        <v/>
      </c>
      <c r="N30" s="28" t="str">
        <f aca="false">IF($A30="","",IF($H30="Y",$F30*(1+Settings!$B$3),0))</f>
        <v/>
      </c>
      <c r="O30" s="27" t="str">
        <f aca="false">IF($A30="","",IF(AND($H30="Y",$G30&lt;&gt;"Restock",N($M30)&gt;Settings!$B$4,$I30&lt;&gt;"Y"),"Get host OK",IF(AND($H30="Y",$F30&gt;Settings!$B$5,$I30&lt;&gt;"Y"),"Host should pay upfront",IF($J30&lt;&gt;"Y","Save receipt","OK"))))</f>
        <v/>
      </c>
      <c r="P30" s="29" t="str">
        <f aca="false">IF($A30="","",DATE(YEAR($A30),MONTH($A30),1))</f>
        <v/>
      </c>
      <c r="Q30" s="31" t="str">
        <f aca="false">IF($A30="","",IF(AND($L30='Invoice Builder'!$C$5,$P30='Invoice Builder'!$C$6,N($N30)&gt;0),COUNTIFS($L$5:$L30,'Invoice Builder'!$C$5,$P$5:$P30,'Invoice Builder'!$C$6,$N$5:$N30,"&gt;0"),""))</f>
        <v/>
      </c>
      <c r="R30" s="27" t="str">
        <f aca="false">IF($A30="","",IF($A30&gt;=DATE(YEAR($A30),4,6),YEAR($A30)&amp;"/"&amp;RIGHT(YEAR($A30)+1,2),YEAR($A30)-1&amp;"/"&amp;RIGHT(YEAR($A30),2)))</f>
        <v/>
      </c>
    </row>
    <row r="31" customFormat="false" ht="15" hidden="false" customHeight="false" outlineLevel="0" collapsed="false">
      <c r="A31" s="22"/>
      <c r="B31" s="23"/>
      <c r="C31" s="23"/>
      <c r="D31" s="23"/>
      <c r="E31" s="32"/>
      <c r="F31" s="25"/>
      <c r="G31" s="23"/>
      <c r="H31" s="23"/>
      <c r="I31" s="23"/>
      <c r="J31" s="23"/>
      <c r="K31" s="23"/>
      <c r="L31" s="27" t="str">
        <f aca="false">IF($B31="","",IFERROR(INDEX(Properties!$D$5:$D$104,MATCH($B31,Properties!$A$5:$A$104,0)),"-"))</f>
        <v/>
      </c>
      <c r="M31" s="28" t="str">
        <f aca="false">IF(OR($A31="",N($E31)=0),"",$F31/$E31)</f>
        <v/>
      </c>
      <c r="N31" s="28" t="str">
        <f aca="false">IF($A31="","",IF($H31="Y",$F31*(1+Settings!$B$3),0))</f>
        <v/>
      </c>
      <c r="O31" s="27" t="str">
        <f aca="false">IF($A31="","",IF(AND($H31="Y",$G31&lt;&gt;"Restock",N($M31)&gt;Settings!$B$4,$I31&lt;&gt;"Y"),"Get host OK",IF(AND($H31="Y",$F31&gt;Settings!$B$5,$I31&lt;&gt;"Y"),"Host should pay upfront",IF($J31&lt;&gt;"Y","Save receipt","OK"))))</f>
        <v/>
      </c>
      <c r="P31" s="29" t="str">
        <f aca="false">IF($A31="","",DATE(YEAR($A31),MONTH($A31),1))</f>
        <v/>
      </c>
      <c r="Q31" s="31" t="str">
        <f aca="false">IF($A31="","",IF(AND($L31='Invoice Builder'!$C$5,$P31='Invoice Builder'!$C$6,N($N31)&gt;0),COUNTIFS($L$5:$L31,'Invoice Builder'!$C$5,$P$5:$P31,'Invoice Builder'!$C$6,$N$5:$N31,"&gt;0"),""))</f>
        <v/>
      </c>
      <c r="R31" s="27" t="str">
        <f aca="false">IF($A31="","",IF($A31&gt;=DATE(YEAR($A31),4,6),YEAR($A31)&amp;"/"&amp;RIGHT(YEAR($A31)+1,2),YEAR($A31)-1&amp;"/"&amp;RIGHT(YEAR($A31),2)))</f>
        <v/>
      </c>
    </row>
    <row r="32" customFormat="false" ht="15" hidden="false" customHeight="false" outlineLevel="0" collapsed="false">
      <c r="A32" s="22"/>
      <c r="B32" s="23"/>
      <c r="C32" s="23"/>
      <c r="D32" s="23"/>
      <c r="E32" s="32"/>
      <c r="F32" s="25"/>
      <c r="G32" s="23"/>
      <c r="H32" s="23"/>
      <c r="I32" s="23"/>
      <c r="J32" s="23"/>
      <c r="K32" s="23"/>
      <c r="L32" s="27" t="str">
        <f aca="false">IF($B32="","",IFERROR(INDEX(Properties!$D$5:$D$104,MATCH($B32,Properties!$A$5:$A$104,0)),"-"))</f>
        <v/>
      </c>
      <c r="M32" s="28" t="str">
        <f aca="false">IF(OR($A32="",N($E32)=0),"",$F32/$E32)</f>
        <v/>
      </c>
      <c r="N32" s="28" t="str">
        <f aca="false">IF($A32="","",IF($H32="Y",$F32*(1+Settings!$B$3),0))</f>
        <v/>
      </c>
      <c r="O32" s="27" t="str">
        <f aca="false">IF($A32="","",IF(AND($H32="Y",$G32&lt;&gt;"Restock",N($M32)&gt;Settings!$B$4,$I32&lt;&gt;"Y"),"Get host OK",IF(AND($H32="Y",$F32&gt;Settings!$B$5,$I32&lt;&gt;"Y"),"Host should pay upfront",IF($J32&lt;&gt;"Y","Save receipt","OK"))))</f>
        <v/>
      </c>
      <c r="P32" s="29" t="str">
        <f aca="false">IF($A32="","",DATE(YEAR($A32),MONTH($A32),1))</f>
        <v/>
      </c>
      <c r="Q32" s="31" t="str">
        <f aca="false">IF($A32="","",IF(AND($L32='Invoice Builder'!$C$5,$P32='Invoice Builder'!$C$6,N($N32)&gt;0),COUNTIFS($L$5:$L32,'Invoice Builder'!$C$5,$P$5:$P32,'Invoice Builder'!$C$6,$N$5:$N32,"&gt;0"),""))</f>
        <v/>
      </c>
      <c r="R32" s="27" t="str">
        <f aca="false">IF($A32="","",IF($A32&gt;=DATE(YEAR($A32),4,6),YEAR($A32)&amp;"/"&amp;RIGHT(YEAR($A32)+1,2),YEAR($A32)-1&amp;"/"&amp;RIGHT(YEAR($A32),2)))</f>
        <v/>
      </c>
    </row>
    <row r="33" customFormat="false" ht="15" hidden="false" customHeight="false" outlineLevel="0" collapsed="false">
      <c r="A33" s="22"/>
      <c r="B33" s="23"/>
      <c r="C33" s="23"/>
      <c r="D33" s="23"/>
      <c r="E33" s="32"/>
      <c r="F33" s="25"/>
      <c r="G33" s="23"/>
      <c r="H33" s="23"/>
      <c r="I33" s="23"/>
      <c r="J33" s="23"/>
      <c r="K33" s="23"/>
      <c r="L33" s="27" t="str">
        <f aca="false">IF($B33="","",IFERROR(INDEX(Properties!$D$5:$D$104,MATCH($B33,Properties!$A$5:$A$104,0)),"-"))</f>
        <v/>
      </c>
      <c r="M33" s="28" t="str">
        <f aca="false">IF(OR($A33="",N($E33)=0),"",$F33/$E33)</f>
        <v/>
      </c>
      <c r="N33" s="28" t="str">
        <f aca="false">IF($A33="","",IF($H33="Y",$F33*(1+Settings!$B$3),0))</f>
        <v/>
      </c>
      <c r="O33" s="27" t="str">
        <f aca="false">IF($A33="","",IF(AND($H33="Y",$G33&lt;&gt;"Restock",N($M33)&gt;Settings!$B$4,$I33&lt;&gt;"Y"),"Get host OK",IF(AND($H33="Y",$F33&gt;Settings!$B$5,$I33&lt;&gt;"Y"),"Host should pay upfront",IF($J33&lt;&gt;"Y","Save receipt","OK"))))</f>
        <v/>
      </c>
      <c r="P33" s="29" t="str">
        <f aca="false">IF($A33="","",DATE(YEAR($A33),MONTH($A33),1))</f>
        <v/>
      </c>
      <c r="Q33" s="31" t="str">
        <f aca="false">IF($A33="","",IF(AND($L33='Invoice Builder'!$C$5,$P33='Invoice Builder'!$C$6,N($N33)&gt;0),COUNTIFS($L$5:$L33,'Invoice Builder'!$C$5,$P$5:$P33,'Invoice Builder'!$C$6,$N$5:$N33,"&gt;0"),""))</f>
        <v/>
      </c>
      <c r="R33" s="27" t="str">
        <f aca="false">IF($A33="","",IF($A33&gt;=DATE(YEAR($A33),4,6),YEAR($A33)&amp;"/"&amp;RIGHT(YEAR($A33)+1,2),YEAR($A33)-1&amp;"/"&amp;RIGHT(YEAR($A33),2)))</f>
        <v/>
      </c>
    </row>
    <row r="34" customFormat="false" ht="15" hidden="false" customHeight="false" outlineLevel="0" collapsed="false">
      <c r="A34" s="22"/>
      <c r="B34" s="23"/>
      <c r="C34" s="23"/>
      <c r="D34" s="23"/>
      <c r="E34" s="32"/>
      <c r="F34" s="25"/>
      <c r="G34" s="23"/>
      <c r="H34" s="23"/>
      <c r="I34" s="23"/>
      <c r="J34" s="23"/>
      <c r="K34" s="23"/>
      <c r="L34" s="27" t="str">
        <f aca="false">IF($B34="","",IFERROR(INDEX(Properties!$D$5:$D$104,MATCH($B34,Properties!$A$5:$A$104,0)),"-"))</f>
        <v/>
      </c>
      <c r="M34" s="28" t="str">
        <f aca="false">IF(OR($A34="",N($E34)=0),"",$F34/$E34)</f>
        <v/>
      </c>
      <c r="N34" s="28" t="str">
        <f aca="false">IF($A34="","",IF($H34="Y",$F34*(1+Settings!$B$3),0))</f>
        <v/>
      </c>
      <c r="O34" s="27" t="str">
        <f aca="false">IF($A34="","",IF(AND($H34="Y",$G34&lt;&gt;"Restock",N($M34)&gt;Settings!$B$4,$I34&lt;&gt;"Y"),"Get host OK",IF(AND($H34="Y",$F34&gt;Settings!$B$5,$I34&lt;&gt;"Y"),"Host should pay upfront",IF($J34&lt;&gt;"Y","Save receipt","OK"))))</f>
        <v/>
      </c>
      <c r="P34" s="29" t="str">
        <f aca="false">IF($A34="","",DATE(YEAR($A34),MONTH($A34),1))</f>
        <v/>
      </c>
      <c r="Q34" s="31" t="str">
        <f aca="false">IF($A34="","",IF(AND($L34='Invoice Builder'!$C$5,$P34='Invoice Builder'!$C$6,N($N34)&gt;0),COUNTIFS($L$5:$L34,'Invoice Builder'!$C$5,$P$5:$P34,'Invoice Builder'!$C$6,$N$5:$N34,"&gt;0"),""))</f>
        <v/>
      </c>
      <c r="R34" s="27" t="str">
        <f aca="false">IF($A34="","",IF($A34&gt;=DATE(YEAR($A34),4,6),YEAR($A34)&amp;"/"&amp;RIGHT(YEAR($A34)+1,2),YEAR($A34)-1&amp;"/"&amp;RIGHT(YEAR($A34),2)))</f>
        <v/>
      </c>
    </row>
    <row r="35" customFormat="false" ht="15" hidden="false" customHeight="false" outlineLevel="0" collapsed="false">
      <c r="A35" s="22"/>
      <c r="B35" s="23"/>
      <c r="C35" s="23"/>
      <c r="D35" s="23"/>
      <c r="E35" s="32"/>
      <c r="F35" s="25"/>
      <c r="G35" s="23"/>
      <c r="H35" s="23"/>
      <c r="I35" s="23"/>
      <c r="J35" s="23"/>
      <c r="K35" s="23"/>
      <c r="L35" s="27" t="str">
        <f aca="false">IF($B35="","",IFERROR(INDEX(Properties!$D$5:$D$104,MATCH($B35,Properties!$A$5:$A$104,0)),"-"))</f>
        <v/>
      </c>
      <c r="M35" s="28" t="str">
        <f aca="false">IF(OR($A35="",N($E35)=0),"",$F35/$E35)</f>
        <v/>
      </c>
      <c r="N35" s="28" t="str">
        <f aca="false">IF($A35="","",IF($H35="Y",$F35*(1+Settings!$B$3),0))</f>
        <v/>
      </c>
      <c r="O35" s="27" t="str">
        <f aca="false">IF($A35="","",IF(AND($H35="Y",$G35&lt;&gt;"Restock",N($M35)&gt;Settings!$B$4,$I35&lt;&gt;"Y"),"Get host OK",IF(AND($H35="Y",$F35&gt;Settings!$B$5,$I35&lt;&gt;"Y"),"Host should pay upfront",IF($J35&lt;&gt;"Y","Save receipt","OK"))))</f>
        <v/>
      </c>
      <c r="P35" s="29" t="str">
        <f aca="false">IF($A35="","",DATE(YEAR($A35),MONTH($A35),1))</f>
        <v/>
      </c>
      <c r="Q35" s="31" t="str">
        <f aca="false">IF($A35="","",IF(AND($L35='Invoice Builder'!$C$5,$P35='Invoice Builder'!$C$6,N($N35)&gt;0),COUNTIFS($L$5:$L35,'Invoice Builder'!$C$5,$P$5:$P35,'Invoice Builder'!$C$6,$N$5:$N35,"&gt;0"),""))</f>
        <v/>
      </c>
      <c r="R35" s="27" t="str">
        <f aca="false">IF($A35="","",IF($A35&gt;=DATE(YEAR($A35),4,6),YEAR($A35)&amp;"/"&amp;RIGHT(YEAR($A35)+1,2),YEAR($A35)-1&amp;"/"&amp;RIGHT(YEAR($A35),2)))</f>
        <v/>
      </c>
    </row>
    <row r="36" customFormat="false" ht="15" hidden="false" customHeight="false" outlineLevel="0" collapsed="false">
      <c r="A36" s="22"/>
      <c r="B36" s="23"/>
      <c r="C36" s="23"/>
      <c r="D36" s="23"/>
      <c r="E36" s="32"/>
      <c r="F36" s="25"/>
      <c r="G36" s="23"/>
      <c r="H36" s="23"/>
      <c r="I36" s="23"/>
      <c r="J36" s="23"/>
      <c r="K36" s="23"/>
      <c r="L36" s="27" t="str">
        <f aca="false">IF($B36="","",IFERROR(INDEX(Properties!$D$5:$D$104,MATCH($B36,Properties!$A$5:$A$104,0)),"-"))</f>
        <v/>
      </c>
      <c r="M36" s="28" t="str">
        <f aca="false">IF(OR($A36="",N($E36)=0),"",$F36/$E36)</f>
        <v/>
      </c>
      <c r="N36" s="28" t="str">
        <f aca="false">IF($A36="","",IF($H36="Y",$F36*(1+Settings!$B$3),0))</f>
        <v/>
      </c>
      <c r="O36" s="27" t="str">
        <f aca="false">IF($A36="","",IF(AND($H36="Y",$G36&lt;&gt;"Restock",N($M36)&gt;Settings!$B$4,$I36&lt;&gt;"Y"),"Get host OK",IF(AND($H36="Y",$F36&gt;Settings!$B$5,$I36&lt;&gt;"Y"),"Host should pay upfront",IF($J36&lt;&gt;"Y","Save receipt","OK"))))</f>
        <v/>
      </c>
      <c r="P36" s="29" t="str">
        <f aca="false">IF($A36="","",DATE(YEAR($A36),MONTH($A36),1))</f>
        <v/>
      </c>
      <c r="Q36" s="31" t="str">
        <f aca="false">IF($A36="","",IF(AND($L36='Invoice Builder'!$C$5,$P36='Invoice Builder'!$C$6,N($N36)&gt;0),COUNTIFS($L$5:$L36,'Invoice Builder'!$C$5,$P$5:$P36,'Invoice Builder'!$C$6,$N$5:$N36,"&gt;0"),""))</f>
        <v/>
      </c>
      <c r="R36" s="27" t="str">
        <f aca="false">IF($A36="","",IF($A36&gt;=DATE(YEAR($A36),4,6),YEAR($A36)&amp;"/"&amp;RIGHT(YEAR($A36)+1,2),YEAR($A36)-1&amp;"/"&amp;RIGHT(YEAR($A36),2)))</f>
        <v/>
      </c>
    </row>
    <row r="37" customFormat="false" ht="15" hidden="false" customHeight="false" outlineLevel="0" collapsed="false">
      <c r="A37" s="22"/>
      <c r="B37" s="23"/>
      <c r="C37" s="23"/>
      <c r="D37" s="23"/>
      <c r="E37" s="32"/>
      <c r="F37" s="25"/>
      <c r="G37" s="23"/>
      <c r="H37" s="23"/>
      <c r="I37" s="23"/>
      <c r="J37" s="23"/>
      <c r="K37" s="23"/>
      <c r="L37" s="27" t="str">
        <f aca="false">IF($B37="","",IFERROR(INDEX(Properties!$D$5:$D$104,MATCH($B37,Properties!$A$5:$A$104,0)),"-"))</f>
        <v/>
      </c>
      <c r="M37" s="28" t="str">
        <f aca="false">IF(OR($A37="",N($E37)=0),"",$F37/$E37)</f>
        <v/>
      </c>
      <c r="N37" s="28" t="str">
        <f aca="false">IF($A37="","",IF($H37="Y",$F37*(1+Settings!$B$3),0))</f>
        <v/>
      </c>
      <c r="O37" s="27" t="str">
        <f aca="false">IF($A37="","",IF(AND($H37="Y",$G37&lt;&gt;"Restock",N($M37)&gt;Settings!$B$4,$I37&lt;&gt;"Y"),"Get host OK",IF(AND($H37="Y",$F37&gt;Settings!$B$5,$I37&lt;&gt;"Y"),"Host should pay upfront",IF($J37&lt;&gt;"Y","Save receipt","OK"))))</f>
        <v/>
      </c>
      <c r="P37" s="29" t="str">
        <f aca="false">IF($A37="","",DATE(YEAR($A37),MONTH($A37),1))</f>
        <v/>
      </c>
      <c r="Q37" s="31" t="str">
        <f aca="false">IF($A37="","",IF(AND($L37='Invoice Builder'!$C$5,$P37='Invoice Builder'!$C$6,N($N37)&gt;0),COUNTIFS($L$5:$L37,'Invoice Builder'!$C$5,$P$5:$P37,'Invoice Builder'!$C$6,$N$5:$N37,"&gt;0"),""))</f>
        <v/>
      </c>
      <c r="R37" s="27" t="str">
        <f aca="false">IF($A37="","",IF($A37&gt;=DATE(YEAR($A37),4,6),YEAR($A37)&amp;"/"&amp;RIGHT(YEAR($A37)+1,2),YEAR($A37)-1&amp;"/"&amp;RIGHT(YEAR($A37),2)))</f>
        <v/>
      </c>
    </row>
    <row r="38" customFormat="false" ht="15" hidden="false" customHeight="false" outlineLevel="0" collapsed="false">
      <c r="A38" s="22"/>
      <c r="B38" s="23"/>
      <c r="C38" s="23"/>
      <c r="D38" s="23"/>
      <c r="E38" s="32"/>
      <c r="F38" s="25"/>
      <c r="G38" s="23"/>
      <c r="H38" s="23"/>
      <c r="I38" s="23"/>
      <c r="J38" s="23"/>
      <c r="K38" s="23"/>
      <c r="L38" s="27" t="str">
        <f aca="false">IF($B38="","",IFERROR(INDEX(Properties!$D$5:$D$104,MATCH($B38,Properties!$A$5:$A$104,0)),"-"))</f>
        <v/>
      </c>
      <c r="M38" s="28" t="str">
        <f aca="false">IF(OR($A38="",N($E38)=0),"",$F38/$E38)</f>
        <v/>
      </c>
      <c r="N38" s="28" t="str">
        <f aca="false">IF($A38="","",IF($H38="Y",$F38*(1+Settings!$B$3),0))</f>
        <v/>
      </c>
      <c r="O38" s="27" t="str">
        <f aca="false">IF($A38="","",IF(AND($H38="Y",$G38&lt;&gt;"Restock",N($M38)&gt;Settings!$B$4,$I38&lt;&gt;"Y"),"Get host OK",IF(AND($H38="Y",$F38&gt;Settings!$B$5,$I38&lt;&gt;"Y"),"Host should pay upfront",IF($J38&lt;&gt;"Y","Save receipt","OK"))))</f>
        <v/>
      </c>
      <c r="P38" s="29" t="str">
        <f aca="false">IF($A38="","",DATE(YEAR($A38),MONTH($A38),1))</f>
        <v/>
      </c>
      <c r="Q38" s="31" t="str">
        <f aca="false">IF($A38="","",IF(AND($L38='Invoice Builder'!$C$5,$P38='Invoice Builder'!$C$6,N($N38)&gt;0),COUNTIFS($L$5:$L38,'Invoice Builder'!$C$5,$P$5:$P38,'Invoice Builder'!$C$6,$N$5:$N38,"&gt;0"),""))</f>
        <v/>
      </c>
      <c r="R38" s="27" t="str">
        <f aca="false">IF($A38="","",IF($A38&gt;=DATE(YEAR($A38),4,6),YEAR($A38)&amp;"/"&amp;RIGHT(YEAR($A38)+1,2),YEAR($A38)-1&amp;"/"&amp;RIGHT(YEAR($A38),2)))</f>
        <v/>
      </c>
    </row>
    <row r="39" customFormat="false" ht="15" hidden="false" customHeight="false" outlineLevel="0" collapsed="false">
      <c r="A39" s="22"/>
      <c r="B39" s="23"/>
      <c r="C39" s="23"/>
      <c r="D39" s="23"/>
      <c r="E39" s="32"/>
      <c r="F39" s="25"/>
      <c r="G39" s="23"/>
      <c r="H39" s="23"/>
      <c r="I39" s="23"/>
      <c r="J39" s="23"/>
      <c r="K39" s="23"/>
      <c r="L39" s="27" t="str">
        <f aca="false">IF($B39="","",IFERROR(INDEX(Properties!$D$5:$D$104,MATCH($B39,Properties!$A$5:$A$104,0)),"-"))</f>
        <v/>
      </c>
      <c r="M39" s="28" t="str">
        <f aca="false">IF(OR($A39="",N($E39)=0),"",$F39/$E39)</f>
        <v/>
      </c>
      <c r="N39" s="28" t="str">
        <f aca="false">IF($A39="","",IF($H39="Y",$F39*(1+Settings!$B$3),0))</f>
        <v/>
      </c>
      <c r="O39" s="27" t="str">
        <f aca="false">IF($A39="","",IF(AND($H39="Y",$G39&lt;&gt;"Restock",N($M39)&gt;Settings!$B$4,$I39&lt;&gt;"Y"),"Get host OK",IF(AND($H39="Y",$F39&gt;Settings!$B$5,$I39&lt;&gt;"Y"),"Host should pay upfront",IF($J39&lt;&gt;"Y","Save receipt","OK"))))</f>
        <v/>
      </c>
      <c r="P39" s="29" t="str">
        <f aca="false">IF($A39="","",DATE(YEAR($A39),MONTH($A39),1))</f>
        <v/>
      </c>
      <c r="Q39" s="31" t="str">
        <f aca="false">IF($A39="","",IF(AND($L39='Invoice Builder'!$C$5,$P39='Invoice Builder'!$C$6,N($N39)&gt;0),COUNTIFS($L$5:$L39,'Invoice Builder'!$C$5,$P$5:$P39,'Invoice Builder'!$C$6,$N$5:$N39,"&gt;0"),""))</f>
        <v/>
      </c>
      <c r="R39" s="27" t="str">
        <f aca="false">IF($A39="","",IF($A39&gt;=DATE(YEAR($A39),4,6),YEAR($A39)&amp;"/"&amp;RIGHT(YEAR($A39)+1,2),YEAR($A39)-1&amp;"/"&amp;RIGHT(YEAR($A39),2)))</f>
        <v/>
      </c>
    </row>
    <row r="40" customFormat="false" ht="15" hidden="false" customHeight="false" outlineLevel="0" collapsed="false">
      <c r="A40" s="22"/>
      <c r="B40" s="23"/>
      <c r="C40" s="23"/>
      <c r="D40" s="23"/>
      <c r="E40" s="32"/>
      <c r="F40" s="25"/>
      <c r="G40" s="23"/>
      <c r="H40" s="23"/>
      <c r="I40" s="23"/>
      <c r="J40" s="23"/>
      <c r="K40" s="23"/>
      <c r="L40" s="27" t="str">
        <f aca="false">IF($B40="","",IFERROR(INDEX(Properties!$D$5:$D$104,MATCH($B40,Properties!$A$5:$A$104,0)),"-"))</f>
        <v/>
      </c>
      <c r="M40" s="28" t="str">
        <f aca="false">IF(OR($A40="",N($E40)=0),"",$F40/$E40)</f>
        <v/>
      </c>
      <c r="N40" s="28" t="str">
        <f aca="false">IF($A40="","",IF($H40="Y",$F40*(1+Settings!$B$3),0))</f>
        <v/>
      </c>
      <c r="O40" s="27" t="str">
        <f aca="false">IF($A40="","",IF(AND($H40="Y",$G40&lt;&gt;"Restock",N($M40)&gt;Settings!$B$4,$I40&lt;&gt;"Y"),"Get host OK",IF(AND($H40="Y",$F40&gt;Settings!$B$5,$I40&lt;&gt;"Y"),"Host should pay upfront",IF($J40&lt;&gt;"Y","Save receipt","OK"))))</f>
        <v/>
      </c>
      <c r="P40" s="29" t="str">
        <f aca="false">IF($A40="","",DATE(YEAR($A40),MONTH($A40),1))</f>
        <v/>
      </c>
      <c r="Q40" s="31" t="str">
        <f aca="false">IF($A40="","",IF(AND($L40='Invoice Builder'!$C$5,$P40='Invoice Builder'!$C$6,N($N40)&gt;0),COUNTIFS($L$5:$L40,'Invoice Builder'!$C$5,$P$5:$P40,'Invoice Builder'!$C$6,$N$5:$N40,"&gt;0"),""))</f>
        <v/>
      </c>
      <c r="R40" s="27" t="str">
        <f aca="false">IF($A40="","",IF($A40&gt;=DATE(YEAR($A40),4,6),YEAR($A40)&amp;"/"&amp;RIGHT(YEAR($A40)+1,2),YEAR($A40)-1&amp;"/"&amp;RIGHT(YEAR($A40),2)))</f>
        <v/>
      </c>
    </row>
    <row r="41" customFormat="false" ht="15" hidden="false" customHeight="false" outlineLevel="0" collapsed="false">
      <c r="A41" s="22"/>
      <c r="B41" s="23"/>
      <c r="C41" s="23"/>
      <c r="D41" s="23"/>
      <c r="E41" s="32"/>
      <c r="F41" s="25"/>
      <c r="G41" s="23"/>
      <c r="H41" s="23"/>
      <c r="I41" s="23"/>
      <c r="J41" s="23"/>
      <c r="K41" s="23"/>
      <c r="L41" s="27" t="str">
        <f aca="false">IF($B41="","",IFERROR(INDEX(Properties!$D$5:$D$104,MATCH($B41,Properties!$A$5:$A$104,0)),"-"))</f>
        <v/>
      </c>
      <c r="M41" s="28" t="str">
        <f aca="false">IF(OR($A41="",N($E41)=0),"",$F41/$E41)</f>
        <v/>
      </c>
      <c r="N41" s="28" t="str">
        <f aca="false">IF($A41="","",IF($H41="Y",$F41*(1+Settings!$B$3),0))</f>
        <v/>
      </c>
      <c r="O41" s="27" t="str">
        <f aca="false">IF($A41="","",IF(AND($H41="Y",$G41&lt;&gt;"Restock",N($M41)&gt;Settings!$B$4,$I41&lt;&gt;"Y"),"Get host OK",IF(AND($H41="Y",$F41&gt;Settings!$B$5,$I41&lt;&gt;"Y"),"Host should pay upfront",IF($J41&lt;&gt;"Y","Save receipt","OK"))))</f>
        <v/>
      </c>
      <c r="P41" s="29" t="str">
        <f aca="false">IF($A41="","",DATE(YEAR($A41),MONTH($A41),1))</f>
        <v/>
      </c>
      <c r="Q41" s="31" t="str">
        <f aca="false">IF($A41="","",IF(AND($L41='Invoice Builder'!$C$5,$P41='Invoice Builder'!$C$6,N($N41)&gt;0),COUNTIFS($L$5:$L41,'Invoice Builder'!$C$5,$P$5:$P41,'Invoice Builder'!$C$6,$N$5:$N41,"&gt;0"),""))</f>
        <v/>
      </c>
      <c r="R41" s="27" t="str">
        <f aca="false">IF($A41="","",IF($A41&gt;=DATE(YEAR($A41),4,6),YEAR($A41)&amp;"/"&amp;RIGHT(YEAR($A41)+1,2),YEAR($A41)-1&amp;"/"&amp;RIGHT(YEAR($A41),2)))</f>
        <v/>
      </c>
    </row>
    <row r="42" customFormat="false" ht="15" hidden="false" customHeight="false" outlineLevel="0" collapsed="false">
      <c r="A42" s="22"/>
      <c r="B42" s="23"/>
      <c r="C42" s="23"/>
      <c r="D42" s="23"/>
      <c r="E42" s="32"/>
      <c r="F42" s="25"/>
      <c r="G42" s="23"/>
      <c r="H42" s="23"/>
      <c r="I42" s="23"/>
      <c r="J42" s="23"/>
      <c r="K42" s="23"/>
      <c r="L42" s="27" t="str">
        <f aca="false">IF($B42="","",IFERROR(INDEX(Properties!$D$5:$D$104,MATCH($B42,Properties!$A$5:$A$104,0)),"-"))</f>
        <v/>
      </c>
      <c r="M42" s="28" t="str">
        <f aca="false">IF(OR($A42="",N($E42)=0),"",$F42/$E42)</f>
        <v/>
      </c>
      <c r="N42" s="28" t="str">
        <f aca="false">IF($A42="","",IF($H42="Y",$F42*(1+Settings!$B$3),0))</f>
        <v/>
      </c>
      <c r="O42" s="27" t="str">
        <f aca="false">IF($A42="","",IF(AND($H42="Y",$G42&lt;&gt;"Restock",N($M42)&gt;Settings!$B$4,$I42&lt;&gt;"Y"),"Get host OK",IF(AND($H42="Y",$F42&gt;Settings!$B$5,$I42&lt;&gt;"Y"),"Host should pay upfront",IF($J42&lt;&gt;"Y","Save receipt","OK"))))</f>
        <v/>
      </c>
      <c r="P42" s="29" t="str">
        <f aca="false">IF($A42="","",DATE(YEAR($A42),MONTH($A42),1))</f>
        <v/>
      </c>
      <c r="Q42" s="31" t="str">
        <f aca="false">IF($A42="","",IF(AND($L42='Invoice Builder'!$C$5,$P42='Invoice Builder'!$C$6,N($N42)&gt;0),COUNTIFS($L$5:$L42,'Invoice Builder'!$C$5,$P$5:$P42,'Invoice Builder'!$C$6,$N$5:$N42,"&gt;0"),""))</f>
        <v/>
      </c>
      <c r="R42" s="27" t="str">
        <f aca="false">IF($A42="","",IF($A42&gt;=DATE(YEAR($A42),4,6),YEAR($A42)&amp;"/"&amp;RIGHT(YEAR($A42)+1,2),YEAR($A42)-1&amp;"/"&amp;RIGHT(YEAR($A42),2)))</f>
        <v/>
      </c>
    </row>
    <row r="43" customFormat="false" ht="15" hidden="false" customHeight="false" outlineLevel="0" collapsed="false">
      <c r="A43" s="22"/>
      <c r="B43" s="23"/>
      <c r="C43" s="23"/>
      <c r="D43" s="23"/>
      <c r="E43" s="32"/>
      <c r="F43" s="25"/>
      <c r="G43" s="23"/>
      <c r="H43" s="23"/>
      <c r="I43" s="23"/>
      <c r="J43" s="23"/>
      <c r="K43" s="23"/>
      <c r="L43" s="27" t="str">
        <f aca="false">IF($B43="","",IFERROR(INDEX(Properties!$D$5:$D$104,MATCH($B43,Properties!$A$5:$A$104,0)),"-"))</f>
        <v/>
      </c>
      <c r="M43" s="28" t="str">
        <f aca="false">IF(OR($A43="",N($E43)=0),"",$F43/$E43)</f>
        <v/>
      </c>
      <c r="N43" s="28" t="str">
        <f aca="false">IF($A43="","",IF($H43="Y",$F43*(1+Settings!$B$3),0))</f>
        <v/>
      </c>
      <c r="O43" s="27" t="str">
        <f aca="false">IF($A43="","",IF(AND($H43="Y",$G43&lt;&gt;"Restock",N($M43)&gt;Settings!$B$4,$I43&lt;&gt;"Y"),"Get host OK",IF(AND($H43="Y",$F43&gt;Settings!$B$5,$I43&lt;&gt;"Y"),"Host should pay upfront",IF($J43&lt;&gt;"Y","Save receipt","OK"))))</f>
        <v/>
      </c>
      <c r="P43" s="29" t="str">
        <f aca="false">IF($A43="","",DATE(YEAR($A43),MONTH($A43),1))</f>
        <v/>
      </c>
      <c r="Q43" s="31" t="str">
        <f aca="false">IF($A43="","",IF(AND($L43='Invoice Builder'!$C$5,$P43='Invoice Builder'!$C$6,N($N43)&gt;0),COUNTIFS($L$5:$L43,'Invoice Builder'!$C$5,$P$5:$P43,'Invoice Builder'!$C$6,$N$5:$N43,"&gt;0"),""))</f>
        <v/>
      </c>
      <c r="R43" s="27" t="str">
        <f aca="false">IF($A43="","",IF($A43&gt;=DATE(YEAR($A43),4,6),YEAR($A43)&amp;"/"&amp;RIGHT(YEAR($A43)+1,2),YEAR($A43)-1&amp;"/"&amp;RIGHT(YEAR($A43),2)))</f>
        <v/>
      </c>
    </row>
    <row r="44" customFormat="false" ht="15" hidden="false" customHeight="false" outlineLevel="0" collapsed="false">
      <c r="A44" s="22"/>
      <c r="B44" s="23"/>
      <c r="C44" s="23"/>
      <c r="D44" s="23"/>
      <c r="E44" s="32"/>
      <c r="F44" s="25"/>
      <c r="G44" s="23"/>
      <c r="H44" s="23"/>
      <c r="I44" s="23"/>
      <c r="J44" s="23"/>
      <c r="K44" s="23"/>
      <c r="L44" s="27" t="str">
        <f aca="false">IF($B44="","",IFERROR(INDEX(Properties!$D$5:$D$104,MATCH($B44,Properties!$A$5:$A$104,0)),"-"))</f>
        <v/>
      </c>
      <c r="M44" s="28" t="str">
        <f aca="false">IF(OR($A44="",N($E44)=0),"",$F44/$E44)</f>
        <v/>
      </c>
      <c r="N44" s="28" t="str">
        <f aca="false">IF($A44="","",IF($H44="Y",$F44*(1+Settings!$B$3),0))</f>
        <v/>
      </c>
      <c r="O44" s="27" t="str">
        <f aca="false">IF($A44="","",IF(AND($H44="Y",$G44&lt;&gt;"Restock",N($M44)&gt;Settings!$B$4,$I44&lt;&gt;"Y"),"Get host OK",IF(AND($H44="Y",$F44&gt;Settings!$B$5,$I44&lt;&gt;"Y"),"Host should pay upfront",IF($J44&lt;&gt;"Y","Save receipt","OK"))))</f>
        <v/>
      </c>
      <c r="P44" s="29" t="str">
        <f aca="false">IF($A44="","",DATE(YEAR($A44),MONTH($A44),1))</f>
        <v/>
      </c>
      <c r="Q44" s="31" t="str">
        <f aca="false">IF($A44="","",IF(AND($L44='Invoice Builder'!$C$5,$P44='Invoice Builder'!$C$6,N($N44)&gt;0),COUNTIFS($L$5:$L44,'Invoice Builder'!$C$5,$P$5:$P44,'Invoice Builder'!$C$6,$N$5:$N44,"&gt;0"),""))</f>
        <v/>
      </c>
      <c r="R44" s="27" t="str">
        <f aca="false">IF($A44="","",IF($A44&gt;=DATE(YEAR($A44),4,6),YEAR($A44)&amp;"/"&amp;RIGHT(YEAR($A44)+1,2),YEAR($A44)-1&amp;"/"&amp;RIGHT(YEAR($A44),2)))</f>
        <v/>
      </c>
    </row>
    <row r="45" customFormat="false" ht="15" hidden="false" customHeight="false" outlineLevel="0" collapsed="false">
      <c r="A45" s="22"/>
      <c r="B45" s="23"/>
      <c r="C45" s="23"/>
      <c r="D45" s="23"/>
      <c r="E45" s="32"/>
      <c r="F45" s="25"/>
      <c r="G45" s="23"/>
      <c r="H45" s="23"/>
      <c r="I45" s="23"/>
      <c r="J45" s="23"/>
      <c r="K45" s="23"/>
      <c r="L45" s="27" t="str">
        <f aca="false">IF($B45="","",IFERROR(INDEX(Properties!$D$5:$D$104,MATCH($B45,Properties!$A$5:$A$104,0)),"-"))</f>
        <v/>
      </c>
      <c r="M45" s="28" t="str">
        <f aca="false">IF(OR($A45="",N($E45)=0),"",$F45/$E45)</f>
        <v/>
      </c>
      <c r="N45" s="28" t="str">
        <f aca="false">IF($A45="","",IF($H45="Y",$F45*(1+Settings!$B$3),0))</f>
        <v/>
      </c>
      <c r="O45" s="27" t="str">
        <f aca="false">IF($A45="","",IF(AND($H45="Y",$G45&lt;&gt;"Restock",N($M45)&gt;Settings!$B$4,$I45&lt;&gt;"Y"),"Get host OK",IF(AND($H45="Y",$F45&gt;Settings!$B$5,$I45&lt;&gt;"Y"),"Host should pay upfront",IF($J45&lt;&gt;"Y","Save receipt","OK"))))</f>
        <v/>
      </c>
      <c r="P45" s="29" t="str">
        <f aca="false">IF($A45="","",DATE(YEAR($A45),MONTH($A45),1))</f>
        <v/>
      </c>
      <c r="Q45" s="31" t="str">
        <f aca="false">IF($A45="","",IF(AND($L45='Invoice Builder'!$C$5,$P45='Invoice Builder'!$C$6,N($N45)&gt;0),COUNTIFS($L$5:$L45,'Invoice Builder'!$C$5,$P$5:$P45,'Invoice Builder'!$C$6,$N$5:$N45,"&gt;0"),""))</f>
        <v/>
      </c>
      <c r="R45" s="27" t="str">
        <f aca="false">IF($A45="","",IF($A45&gt;=DATE(YEAR($A45),4,6),YEAR($A45)&amp;"/"&amp;RIGHT(YEAR($A45)+1,2),YEAR($A45)-1&amp;"/"&amp;RIGHT(YEAR($A45),2)))</f>
        <v/>
      </c>
    </row>
    <row r="46" customFormat="false" ht="15" hidden="false" customHeight="false" outlineLevel="0" collapsed="false">
      <c r="A46" s="22"/>
      <c r="B46" s="23"/>
      <c r="C46" s="23"/>
      <c r="D46" s="23"/>
      <c r="E46" s="32"/>
      <c r="F46" s="25"/>
      <c r="G46" s="23"/>
      <c r="H46" s="23"/>
      <c r="I46" s="23"/>
      <c r="J46" s="23"/>
      <c r="K46" s="23"/>
      <c r="L46" s="27" t="str">
        <f aca="false">IF($B46="","",IFERROR(INDEX(Properties!$D$5:$D$104,MATCH($B46,Properties!$A$5:$A$104,0)),"-"))</f>
        <v/>
      </c>
      <c r="M46" s="28" t="str">
        <f aca="false">IF(OR($A46="",N($E46)=0),"",$F46/$E46)</f>
        <v/>
      </c>
      <c r="N46" s="28" t="str">
        <f aca="false">IF($A46="","",IF($H46="Y",$F46*(1+Settings!$B$3),0))</f>
        <v/>
      </c>
      <c r="O46" s="27" t="str">
        <f aca="false">IF($A46="","",IF(AND($H46="Y",$G46&lt;&gt;"Restock",N($M46)&gt;Settings!$B$4,$I46&lt;&gt;"Y"),"Get host OK",IF(AND($H46="Y",$F46&gt;Settings!$B$5,$I46&lt;&gt;"Y"),"Host should pay upfront",IF($J46&lt;&gt;"Y","Save receipt","OK"))))</f>
        <v/>
      </c>
      <c r="P46" s="29" t="str">
        <f aca="false">IF($A46="","",DATE(YEAR($A46),MONTH($A46),1))</f>
        <v/>
      </c>
      <c r="Q46" s="31" t="str">
        <f aca="false">IF($A46="","",IF(AND($L46='Invoice Builder'!$C$5,$P46='Invoice Builder'!$C$6,N($N46)&gt;0),COUNTIFS($L$5:$L46,'Invoice Builder'!$C$5,$P$5:$P46,'Invoice Builder'!$C$6,$N$5:$N46,"&gt;0"),""))</f>
        <v/>
      </c>
      <c r="R46" s="27" t="str">
        <f aca="false">IF($A46="","",IF($A46&gt;=DATE(YEAR($A46),4,6),YEAR($A46)&amp;"/"&amp;RIGHT(YEAR($A46)+1,2),YEAR($A46)-1&amp;"/"&amp;RIGHT(YEAR($A46),2)))</f>
        <v/>
      </c>
    </row>
    <row r="47" customFormat="false" ht="15" hidden="false" customHeight="false" outlineLevel="0" collapsed="false">
      <c r="A47" s="22"/>
      <c r="B47" s="23"/>
      <c r="C47" s="23"/>
      <c r="D47" s="23"/>
      <c r="E47" s="32"/>
      <c r="F47" s="25"/>
      <c r="G47" s="23"/>
      <c r="H47" s="23"/>
      <c r="I47" s="23"/>
      <c r="J47" s="23"/>
      <c r="K47" s="23"/>
      <c r="L47" s="27" t="str">
        <f aca="false">IF($B47="","",IFERROR(INDEX(Properties!$D$5:$D$104,MATCH($B47,Properties!$A$5:$A$104,0)),"-"))</f>
        <v/>
      </c>
      <c r="M47" s="28" t="str">
        <f aca="false">IF(OR($A47="",N($E47)=0),"",$F47/$E47)</f>
        <v/>
      </c>
      <c r="N47" s="28" t="str">
        <f aca="false">IF($A47="","",IF($H47="Y",$F47*(1+Settings!$B$3),0))</f>
        <v/>
      </c>
      <c r="O47" s="27" t="str">
        <f aca="false">IF($A47="","",IF(AND($H47="Y",$G47&lt;&gt;"Restock",N($M47)&gt;Settings!$B$4,$I47&lt;&gt;"Y"),"Get host OK",IF(AND($H47="Y",$F47&gt;Settings!$B$5,$I47&lt;&gt;"Y"),"Host should pay upfront",IF($J47&lt;&gt;"Y","Save receipt","OK"))))</f>
        <v/>
      </c>
      <c r="P47" s="29" t="str">
        <f aca="false">IF($A47="","",DATE(YEAR($A47),MONTH($A47),1))</f>
        <v/>
      </c>
      <c r="Q47" s="31" t="str">
        <f aca="false">IF($A47="","",IF(AND($L47='Invoice Builder'!$C$5,$P47='Invoice Builder'!$C$6,N($N47)&gt;0),COUNTIFS($L$5:$L47,'Invoice Builder'!$C$5,$P$5:$P47,'Invoice Builder'!$C$6,$N$5:$N47,"&gt;0"),""))</f>
        <v/>
      </c>
      <c r="R47" s="27" t="str">
        <f aca="false">IF($A47="","",IF($A47&gt;=DATE(YEAR($A47),4,6),YEAR($A47)&amp;"/"&amp;RIGHT(YEAR($A47)+1,2),YEAR($A47)-1&amp;"/"&amp;RIGHT(YEAR($A47),2)))</f>
        <v/>
      </c>
    </row>
    <row r="48" customFormat="false" ht="15" hidden="false" customHeight="false" outlineLevel="0" collapsed="false">
      <c r="A48" s="22"/>
      <c r="B48" s="23"/>
      <c r="C48" s="23"/>
      <c r="D48" s="23"/>
      <c r="E48" s="32"/>
      <c r="F48" s="25"/>
      <c r="G48" s="23"/>
      <c r="H48" s="23"/>
      <c r="I48" s="23"/>
      <c r="J48" s="23"/>
      <c r="K48" s="23"/>
      <c r="L48" s="27" t="str">
        <f aca="false">IF($B48="","",IFERROR(INDEX(Properties!$D$5:$D$104,MATCH($B48,Properties!$A$5:$A$104,0)),"-"))</f>
        <v/>
      </c>
      <c r="M48" s="28" t="str">
        <f aca="false">IF(OR($A48="",N($E48)=0),"",$F48/$E48)</f>
        <v/>
      </c>
      <c r="N48" s="28" t="str">
        <f aca="false">IF($A48="","",IF($H48="Y",$F48*(1+Settings!$B$3),0))</f>
        <v/>
      </c>
      <c r="O48" s="27" t="str">
        <f aca="false">IF($A48="","",IF(AND($H48="Y",$G48&lt;&gt;"Restock",N($M48)&gt;Settings!$B$4,$I48&lt;&gt;"Y"),"Get host OK",IF(AND($H48="Y",$F48&gt;Settings!$B$5,$I48&lt;&gt;"Y"),"Host should pay upfront",IF($J48&lt;&gt;"Y","Save receipt","OK"))))</f>
        <v/>
      </c>
      <c r="P48" s="29" t="str">
        <f aca="false">IF($A48="","",DATE(YEAR($A48),MONTH($A48),1))</f>
        <v/>
      </c>
      <c r="Q48" s="31" t="str">
        <f aca="false">IF($A48="","",IF(AND($L48='Invoice Builder'!$C$5,$P48='Invoice Builder'!$C$6,N($N48)&gt;0),COUNTIFS($L$5:$L48,'Invoice Builder'!$C$5,$P$5:$P48,'Invoice Builder'!$C$6,$N$5:$N48,"&gt;0"),""))</f>
        <v/>
      </c>
      <c r="R48" s="27" t="str">
        <f aca="false">IF($A48="","",IF($A48&gt;=DATE(YEAR($A48),4,6),YEAR($A48)&amp;"/"&amp;RIGHT(YEAR($A48)+1,2),YEAR($A48)-1&amp;"/"&amp;RIGHT(YEAR($A48),2)))</f>
        <v/>
      </c>
    </row>
    <row r="49" customFormat="false" ht="15" hidden="false" customHeight="false" outlineLevel="0" collapsed="false">
      <c r="A49" s="22"/>
      <c r="B49" s="23"/>
      <c r="C49" s="23"/>
      <c r="D49" s="23"/>
      <c r="E49" s="32"/>
      <c r="F49" s="25"/>
      <c r="G49" s="23"/>
      <c r="H49" s="23"/>
      <c r="I49" s="23"/>
      <c r="J49" s="23"/>
      <c r="K49" s="23"/>
      <c r="L49" s="27" t="str">
        <f aca="false">IF($B49="","",IFERROR(INDEX(Properties!$D$5:$D$104,MATCH($B49,Properties!$A$5:$A$104,0)),"-"))</f>
        <v/>
      </c>
      <c r="M49" s="28" t="str">
        <f aca="false">IF(OR($A49="",N($E49)=0),"",$F49/$E49)</f>
        <v/>
      </c>
      <c r="N49" s="28" t="str">
        <f aca="false">IF($A49="","",IF($H49="Y",$F49*(1+Settings!$B$3),0))</f>
        <v/>
      </c>
      <c r="O49" s="27" t="str">
        <f aca="false">IF($A49="","",IF(AND($H49="Y",$G49&lt;&gt;"Restock",N($M49)&gt;Settings!$B$4,$I49&lt;&gt;"Y"),"Get host OK",IF(AND($H49="Y",$F49&gt;Settings!$B$5,$I49&lt;&gt;"Y"),"Host should pay upfront",IF($J49&lt;&gt;"Y","Save receipt","OK"))))</f>
        <v/>
      </c>
      <c r="P49" s="29" t="str">
        <f aca="false">IF($A49="","",DATE(YEAR($A49),MONTH($A49),1))</f>
        <v/>
      </c>
      <c r="Q49" s="31" t="str">
        <f aca="false">IF($A49="","",IF(AND($L49='Invoice Builder'!$C$5,$P49='Invoice Builder'!$C$6,N($N49)&gt;0),COUNTIFS($L$5:$L49,'Invoice Builder'!$C$5,$P$5:$P49,'Invoice Builder'!$C$6,$N$5:$N49,"&gt;0"),""))</f>
        <v/>
      </c>
      <c r="R49" s="27" t="str">
        <f aca="false">IF($A49="","",IF($A49&gt;=DATE(YEAR($A49),4,6),YEAR($A49)&amp;"/"&amp;RIGHT(YEAR($A49)+1,2),YEAR($A49)-1&amp;"/"&amp;RIGHT(YEAR($A49),2)))</f>
        <v/>
      </c>
    </row>
    <row r="50" customFormat="false" ht="15" hidden="false" customHeight="false" outlineLevel="0" collapsed="false">
      <c r="A50" s="22"/>
      <c r="B50" s="23"/>
      <c r="C50" s="23"/>
      <c r="D50" s="23"/>
      <c r="E50" s="32"/>
      <c r="F50" s="25"/>
      <c r="G50" s="23"/>
      <c r="H50" s="23"/>
      <c r="I50" s="23"/>
      <c r="J50" s="23"/>
      <c r="K50" s="23"/>
      <c r="L50" s="27" t="str">
        <f aca="false">IF($B50="","",IFERROR(INDEX(Properties!$D$5:$D$104,MATCH($B50,Properties!$A$5:$A$104,0)),"-"))</f>
        <v/>
      </c>
      <c r="M50" s="28" t="str">
        <f aca="false">IF(OR($A50="",N($E50)=0),"",$F50/$E50)</f>
        <v/>
      </c>
      <c r="N50" s="28" t="str">
        <f aca="false">IF($A50="","",IF($H50="Y",$F50*(1+Settings!$B$3),0))</f>
        <v/>
      </c>
      <c r="O50" s="27" t="str">
        <f aca="false">IF($A50="","",IF(AND($H50="Y",$G50&lt;&gt;"Restock",N($M50)&gt;Settings!$B$4,$I50&lt;&gt;"Y"),"Get host OK",IF(AND($H50="Y",$F50&gt;Settings!$B$5,$I50&lt;&gt;"Y"),"Host should pay upfront",IF($J50&lt;&gt;"Y","Save receipt","OK"))))</f>
        <v/>
      </c>
      <c r="P50" s="29" t="str">
        <f aca="false">IF($A50="","",DATE(YEAR($A50),MONTH($A50),1))</f>
        <v/>
      </c>
      <c r="Q50" s="31" t="str">
        <f aca="false">IF($A50="","",IF(AND($L50='Invoice Builder'!$C$5,$P50='Invoice Builder'!$C$6,N($N50)&gt;0),COUNTIFS($L$5:$L50,'Invoice Builder'!$C$5,$P$5:$P50,'Invoice Builder'!$C$6,$N$5:$N50,"&gt;0"),""))</f>
        <v/>
      </c>
      <c r="R50" s="27" t="str">
        <f aca="false">IF($A50="","",IF($A50&gt;=DATE(YEAR($A50),4,6),YEAR($A50)&amp;"/"&amp;RIGHT(YEAR($A50)+1,2),YEAR($A50)-1&amp;"/"&amp;RIGHT(YEAR($A50),2)))</f>
        <v/>
      </c>
    </row>
    <row r="51" customFormat="false" ht="15" hidden="false" customHeight="false" outlineLevel="0" collapsed="false">
      <c r="A51" s="22"/>
      <c r="B51" s="23"/>
      <c r="C51" s="23"/>
      <c r="D51" s="23"/>
      <c r="E51" s="32"/>
      <c r="F51" s="25"/>
      <c r="G51" s="23"/>
      <c r="H51" s="23"/>
      <c r="I51" s="23"/>
      <c r="J51" s="23"/>
      <c r="K51" s="23"/>
      <c r="L51" s="27" t="str">
        <f aca="false">IF($B51="","",IFERROR(INDEX(Properties!$D$5:$D$104,MATCH($B51,Properties!$A$5:$A$104,0)),"-"))</f>
        <v/>
      </c>
      <c r="M51" s="28" t="str">
        <f aca="false">IF(OR($A51="",N($E51)=0),"",$F51/$E51)</f>
        <v/>
      </c>
      <c r="N51" s="28" t="str">
        <f aca="false">IF($A51="","",IF($H51="Y",$F51*(1+Settings!$B$3),0))</f>
        <v/>
      </c>
      <c r="O51" s="27" t="str">
        <f aca="false">IF($A51="","",IF(AND($H51="Y",$G51&lt;&gt;"Restock",N($M51)&gt;Settings!$B$4,$I51&lt;&gt;"Y"),"Get host OK",IF(AND($H51="Y",$F51&gt;Settings!$B$5,$I51&lt;&gt;"Y"),"Host should pay upfront",IF($J51&lt;&gt;"Y","Save receipt","OK"))))</f>
        <v/>
      </c>
      <c r="P51" s="29" t="str">
        <f aca="false">IF($A51="","",DATE(YEAR($A51),MONTH($A51),1))</f>
        <v/>
      </c>
      <c r="Q51" s="31" t="str">
        <f aca="false">IF($A51="","",IF(AND($L51='Invoice Builder'!$C$5,$P51='Invoice Builder'!$C$6,N($N51)&gt;0),COUNTIFS($L$5:$L51,'Invoice Builder'!$C$5,$P$5:$P51,'Invoice Builder'!$C$6,$N$5:$N51,"&gt;0"),""))</f>
        <v/>
      </c>
      <c r="R51" s="27" t="str">
        <f aca="false">IF($A51="","",IF($A51&gt;=DATE(YEAR($A51),4,6),YEAR($A51)&amp;"/"&amp;RIGHT(YEAR($A51)+1,2),YEAR($A51)-1&amp;"/"&amp;RIGHT(YEAR($A51),2)))</f>
        <v/>
      </c>
    </row>
    <row r="52" customFormat="false" ht="15" hidden="false" customHeight="false" outlineLevel="0" collapsed="false">
      <c r="A52" s="22"/>
      <c r="B52" s="23"/>
      <c r="C52" s="23"/>
      <c r="D52" s="23"/>
      <c r="E52" s="32"/>
      <c r="F52" s="25"/>
      <c r="G52" s="23"/>
      <c r="H52" s="23"/>
      <c r="I52" s="23"/>
      <c r="J52" s="23"/>
      <c r="K52" s="23"/>
      <c r="L52" s="27" t="str">
        <f aca="false">IF($B52="","",IFERROR(INDEX(Properties!$D$5:$D$104,MATCH($B52,Properties!$A$5:$A$104,0)),"-"))</f>
        <v/>
      </c>
      <c r="M52" s="28" t="str">
        <f aca="false">IF(OR($A52="",N($E52)=0),"",$F52/$E52)</f>
        <v/>
      </c>
      <c r="N52" s="28" t="str">
        <f aca="false">IF($A52="","",IF($H52="Y",$F52*(1+Settings!$B$3),0))</f>
        <v/>
      </c>
      <c r="O52" s="27" t="str">
        <f aca="false">IF($A52="","",IF(AND($H52="Y",$G52&lt;&gt;"Restock",N($M52)&gt;Settings!$B$4,$I52&lt;&gt;"Y"),"Get host OK",IF(AND($H52="Y",$F52&gt;Settings!$B$5,$I52&lt;&gt;"Y"),"Host should pay upfront",IF($J52&lt;&gt;"Y","Save receipt","OK"))))</f>
        <v/>
      </c>
      <c r="P52" s="29" t="str">
        <f aca="false">IF($A52="","",DATE(YEAR($A52),MONTH($A52),1))</f>
        <v/>
      </c>
      <c r="Q52" s="31" t="str">
        <f aca="false">IF($A52="","",IF(AND($L52='Invoice Builder'!$C$5,$P52='Invoice Builder'!$C$6,N($N52)&gt;0),COUNTIFS($L$5:$L52,'Invoice Builder'!$C$5,$P$5:$P52,'Invoice Builder'!$C$6,$N$5:$N52,"&gt;0"),""))</f>
        <v/>
      </c>
      <c r="R52" s="27" t="str">
        <f aca="false">IF($A52="","",IF($A52&gt;=DATE(YEAR($A52),4,6),YEAR($A52)&amp;"/"&amp;RIGHT(YEAR($A52)+1,2),YEAR($A52)-1&amp;"/"&amp;RIGHT(YEAR($A52),2)))</f>
        <v/>
      </c>
    </row>
    <row r="53" customFormat="false" ht="15" hidden="false" customHeight="false" outlineLevel="0" collapsed="false">
      <c r="A53" s="22"/>
      <c r="B53" s="23"/>
      <c r="C53" s="23"/>
      <c r="D53" s="23"/>
      <c r="E53" s="32"/>
      <c r="F53" s="25"/>
      <c r="G53" s="23"/>
      <c r="H53" s="23"/>
      <c r="I53" s="23"/>
      <c r="J53" s="23"/>
      <c r="K53" s="23"/>
      <c r="L53" s="27" t="str">
        <f aca="false">IF($B53="","",IFERROR(INDEX(Properties!$D$5:$D$104,MATCH($B53,Properties!$A$5:$A$104,0)),"-"))</f>
        <v/>
      </c>
      <c r="M53" s="28" t="str">
        <f aca="false">IF(OR($A53="",N($E53)=0),"",$F53/$E53)</f>
        <v/>
      </c>
      <c r="N53" s="28" t="str">
        <f aca="false">IF($A53="","",IF($H53="Y",$F53*(1+Settings!$B$3),0))</f>
        <v/>
      </c>
      <c r="O53" s="27" t="str">
        <f aca="false">IF($A53="","",IF(AND($H53="Y",$G53&lt;&gt;"Restock",N($M53)&gt;Settings!$B$4,$I53&lt;&gt;"Y"),"Get host OK",IF(AND($H53="Y",$F53&gt;Settings!$B$5,$I53&lt;&gt;"Y"),"Host should pay upfront",IF($J53&lt;&gt;"Y","Save receipt","OK"))))</f>
        <v/>
      </c>
      <c r="P53" s="29" t="str">
        <f aca="false">IF($A53="","",DATE(YEAR($A53),MONTH($A53),1))</f>
        <v/>
      </c>
      <c r="Q53" s="31" t="str">
        <f aca="false">IF($A53="","",IF(AND($L53='Invoice Builder'!$C$5,$P53='Invoice Builder'!$C$6,N($N53)&gt;0),COUNTIFS($L$5:$L53,'Invoice Builder'!$C$5,$P$5:$P53,'Invoice Builder'!$C$6,$N$5:$N53,"&gt;0"),""))</f>
        <v/>
      </c>
      <c r="R53" s="27" t="str">
        <f aca="false">IF($A53="","",IF($A53&gt;=DATE(YEAR($A53),4,6),YEAR($A53)&amp;"/"&amp;RIGHT(YEAR($A53)+1,2),YEAR($A53)-1&amp;"/"&amp;RIGHT(YEAR($A53),2)))</f>
        <v/>
      </c>
    </row>
    <row r="54" customFormat="false" ht="15" hidden="false" customHeight="false" outlineLevel="0" collapsed="false">
      <c r="A54" s="22"/>
      <c r="B54" s="23"/>
      <c r="C54" s="23"/>
      <c r="D54" s="23"/>
      <c r="E54" s="32"/>
      <c r="F54" s="25"/>
      <c r="G54" s="23"/>
      <c r="H54" s="23"/>
      <c r="I54" s="23"/>
      <c r="J54" s="23"/>
      <c r="K54" s="23"/>
      <c r="L54" s="27" t="str">
        <f aca="false">IF($B54="","",IFERROR(INDEX(Properties!$D$5:$D$104,MATCH($B54,Properties!$A$5:$A$104,0)),"-"))</f>
        <v/>
      </c>
      <c r="M54" s="28" t="str">
        <f aca="false">IF(OR($A54="",N($E54)=0),"",$F54/$E54)</f>
        <v/>
      </c>
      <c r="N54" s="28" t="str">
        <f aca="false">IF($A54="","",IF($H54="Y",$F54*(1+Settings!$B$3),0))</f>
        <v/>
      </c>
      <c r="O54" s="27" t="str">
        <f aca="false">IF($A54="","",IF(AND($H54="Y",$G54&lt;&gt;"Restock",N($M54)&gt;Settings!$B$4,$I54&lt;&gt;"Y"),"Get host OK",IF(AND($H54="Y",$F54&gt;Settings!$B$5,$I54&lt;&gt;"Y"),"Host should pay upfront",IF($J54&lt;&gt;"Y","Save receipt","OK"))))</f>
        <v/>
      </c>
      <c r="P54" s="29" t="str">
        <f aca="false">IF($A54="","",DATE(YEAR($A54),MONTH($A54),1))</f>
        <v/>
      </c>
      <c r="Q54" s="31" t="str">
        <f aca="false">IF($A54="","",IF(AND($L54='Invoice Builder'!$C$5,$P54='Invoice Builder'!$C$6,N($N54)&gt;0),COUNTIFS($L$5:$L54,'Invoice Builder'!$C$5,$P$5:$P54,'Invoice Builder'!$C$6,$N$5:$N54,"&gt;0"),""))</f>
        <v/>
      </c>
      <c r="R54" s="27" t="str">
        <f aca="false">IF($A54="","",IF($A54&gt;=DATE(YEAR($A54),4,6),YEAR($A54)&amp;"/"&amp;RIGHT(YEAR($A54)+1,2),YEAR($A54)-1&amp;"/"&amp;RIGHT(YEAR($A54),2)))</f>
        <v/>
      </c>
    </row>
    <row r="55" customFormat="false" ht="15" hidden="false" customHeight="false" outlineLevel="0" collapsed="false">
      <c r="A55" s="22"/>
      <c r="B55" s="23"/>
      <c r="C55" s="23"/>
      <c r="D55" s="23"/>
      <c r="E55" s="32"/>
      <c r="F55" s="25"/>
      <c r="G55" s="23"/>
      <c r="H55" s="23"/>
      <c r="I55" s="23"/>
      <c r="J55" s="23"/>
      <c r="K55" s="23"/>
      <c r="L55" s="27" t="str">
        <f aca="false">IF($B55="","",IFERROR(INDEX(Properties!$D$5:$D$104,MATCH($B55,Properties!$A$5:$A$104,0)),"-"))</f>
        <v/>
      </c>
      <c r="M55" s="28" t="str">
        <f aca="false">IF(OR($A55="",N($E55)=0),"",$F55/$E55)</f>
        <v/>
      </c>
      <c r="N55" s="28" t="str">
        <f aca="false">IF($A55="","",IF($H55="Y",$F55*(1+Settings!$B$3),0))</f>
        <v/>
      </c>
      <c r="O55" s="27" t="str">
        <f aca="false">IF($A55="","",IF(AND($H55="Y",$G55&lt;&gt;"Restock",N($M55)&gt;Settings!$B$4,$I55&lt;&gt;"Y"),"Get host OK",IF(AND($H55="Y",$F55&gt;Settings!$B$5,$I55&lt;&gt;"Y"),"Host should pay upfront",IF($J55&lt;&gt;"Y","Save receipt","OK"))))</f>
        <v/>
      </c>
      <c r="P55" s="29" t="str">
        <f aca="false">IF($A55="","",DATE(YEAR($A55),MONTH($A55),1))</f>
        <v/>
      </c>
      <c r="Q55" s="31" t="str">
        <f aca="false">IF($A55="","",IF(AND($L55='Invoice Builder'!$C$5,$P55='Invoice Builder'!$C$6,N($N55)&gt;0),COUNTIFS($L$5:$L55,'Invoice Builder'!$C$5,$P$5:$P55,'Invoice Builder'!$C$6,$N$5:$N55,"&gt;0"),""))</f>
        <v/>
      </c>
      <c r="R55" s="27" t="str">
        <f aca="false">IF($A55="","",IF($A55&gt;=DATE(YEAR($A55),4,6),YEAR($A55)&amp;"/"&amp;RIGHT(YEAR($A55)+1,2),YEAR($A55)-1&amp;"/"&amp;RIGHT(YEAR($A55),2)))</f>
        <v/>
      </c>
    </row>
    <row r="56" customFormat="false" ht="15" hidden="false" customHeight="false" outlineLevel="0" collapsed="false">
      <c r="A56" s="22"/>
      <c r="B56" s="23"/>
      <c r="C56" s="23"/>
      <c r="D56" s="23"/>
      <c r="E56" s="32"/>
      <c r="F56" s="25"/>
      <c r="G56" s="23"/>
      <c r="H56" s="23"/>
      <c r="I56" s="23"/>
      <c r="J56" s="23"/>
      <c r="K56" s="23"/>
      <c r="L56" s="27" t="str">
        <f aca="false">IF($B56="","",IFERROR(INDEX(Properties!$D$5:$D$104,MATCH($B56,Properties!$A$5:$A$104,0)),"-"))</f>
        <v/>
      </c>
      <c r="M56" s="28" t="str">
        <f aca="false">IF(OR($A56="",N($E56)=0),"",$F56/$E56)</f>
        <v/>
      </c>
      <c r="N56" s="28" t="str">
        <f aca="false">IF($A56="","",IF($H56="Y",$F56*(1+Settings!$B$3),0))</f>
        <v/>
      </c>
      <c r="O56" s="27" t="str">
        <f aca="false">IF($A56="","",IF(AND($H56="Y",$G56&lt;&gt;"Restock",N($M56)&gt;Settings!$B$4,$I56&lt;&gt;"Y"),"Get host OK",IF(AND($H56="Y",$F56&gt;Settings!$B$5,$I56&lt;&gt;"Y"),"Host should pay upfront",IF($J56&lt;&gt;"Y","Save receipt","OK"))))</f>
        <v/>
      </c>
      <c r="P56" s="29" t="str">
        <f aca="false">IF($A56="","",DATE(YEAR($A56),MONTH($A56),1))</f>
        <v/>
      </c>
      <c r="Q56" s="31" t="str">
        <f aca="false">IF($A56="","",IF(AND($L56='Invoice Builder'!$C$5,$P56='Invoice Builder'!$C$6,N($N56)&gt;0),COUNTIFS($L$5:$L56,'Invoice Builder'!$C$5,$P$5:$P56,'Invoice Builder'!$C$6,$N$5:$N56,"&gt;0"),""))</f>
        <v/>
      </c>
      <c r="R56" s="27" t="str">
        <f aca="false">IF($A56="","",IF($A56&gt;=DATE(YEAR($A56),4,6),YEAR($A56)&amp;"/"&amp;RIGHT(YEAR($A56)+1,2),YEAR($A56)-1&amp;"/"&amp;RIGHT(YEAR($A56),2)))</f>
        <v/>
      </c>
    </row>
    <row r="57" customFormat="false" ht="15" hidden="false" customHeight="false" outlineLevel="0" collapsed="false">
      <c r="A57" s="22"/>
      <c r="B57" s="23"/>
      <c r="C57" s="23"/>
      <c r="D57" s="23"/>
      <c r="E57" s="32"/>
      <c r="F57" s="25"/>
      <c r="G57" s="23"/>
      <c r="H57" s="23"/>
      <c r="I57" s="23"/>
      <c r="J57" s="23"/>
      <c r="K57" s="23"/>
      <c r="L57" s="27" t="str">
        <f aca="false">IF($B57="","",IFERROR(INDEX(Properties!$D$5:$D$104,MATCH($B57,Properties!$A$5:$A$104,0)),"-"))</f>
        <v/>
      </c>
      <c r="M57" s="28" t="str">
        <f aca="false">IF(OR($A57="",N($E57)=0),"",$F57/$E57)</f>
        <v/>
      </c>
      <c r="N57" s="28" t="str">
        <f aca="false">IF($A57="","",IF($H57="Y",$F57*(1+Settings!$B$3),0))</f>
        <v/>
      </c>
      <c r="O57" s="27" t="str">
        <f aca="false">IF($A57="","",IF(AND($H57="Y",$G57&lt;&gt;"Restock",N($M57)&gt;Settings!$B$4,$I57&lt;&gt;"Y"),"Get host OK",IF(AND($H57="Y",$F57&gt;Settings!$B$5,$I57&lt;&gt;"Y"),"Host should pay upfront",IF($J57&lt;&gt;"Y","Save receipt","OK"))))</f>
        <v/>
      </c>
      <c r="P57" s="29" t="str">
        <f aca="false">IF($A57="","",DATE(YEAR($A57),MONTH($A57),1))</f>
        <v/>
      </c>
      <c r="Q57" s="31" t="str">
        <f aca="false">IF($A57="","",IF(AND($L57='Invoice Builder'!$C$5,$P57='Invoice Builder'!$C$6,N($N57)&gt;0),COUNTIFS($L$5:$L57,'Invoice Builder'!$C$5,$P$5:$P57,'Invoice Builder'!$C$6,$N$5:$N57,"&gt;0"),""))</f>
        <v/>
      </c>
      <c r="R57" s="27" t="str">
        <f aca="false">IF($A57="","",IF($A57&gt;=DATE(YEAR($A57),4,6),YEAR($A57)&amp;"/"&amp;RIGHT(YEAR($A57)+1,2),YEAR($A57)-1&amp;"/"&amp;RIGHT(YEAR($A57),2)))</f>
        <v/>
      </c>
    </row>
    <row r="58" customFormat="false" ht="15" hidden="false" customHeight="false" outlineLevel="0" collapsed="false">
      <c r="A58" s="22"/>
      <c r="B58" s="23"/>
      <c r="C58" s="23"/>
      <c r="D58" s="23"/>
      <c r="E58" s="32"/>
      <c r="F58" s="25"/>
      <c r="G58" s="23"/>
      <c r="H58" s="23"/>
      <c r="I58" s="23"/>
      <c r="J58" s="23"/>
      <c r="K58" s="23"/>
      <c r="L58" s="27" t="str">
        <f aca="false">IF($B58="","",IFERROR(INDEX(Properties!$D$5:$D$104,MATCH($B58,Properties!$A$5:$A$104,0)),"-"))</f>
        <v/>
      </c>
      <c r="M58" s="28" t="str">
        <f aca="false">IF(OR($A58="",N($E58)=0),"",$F58/$E58)</f>
        <v/>
      </c>
      <c r="N58" s="28" t="str">
        <f aca="false">IF($A58="","",IF($H58="Y",$F58*(1+Settings!$B$3),0))</f>
        <v/>
      </c>
      <c r="O58" s="27" t="str">
        <f aca="false">IF($A58="","",IF(AND($H58="Y",$G58&lt;&gt;"Restock",N($M58)&gt;Settings!$B$4,$I58&lt;&gt;"Y"),"Get host OK",IF(AND($H58="Y",$F58&gt;Settings!$B$5,$I58&lt;&gt;"Y"),"Host should pay upfront",IF($J58&lt;&gt;"Y","Save receipt","OK"))))</f>
        <v/>
      </c>
      <c r="P58" s="29" t="str">
        <f aca="false">IF($A58="","",DATE(YEAR($A58),MONTH($A58),1))</f>
        <v/>
      </c>
      <c r="Q58" s="31" t="str">
        <f aca="false">IF($A58="","",IF(AND($L58='Invoice Builder'!$C$5,$P58='Invoice Builder'!$C$6,N($N58)&gt;0),COUNTIFS($L$5:$L58,'Invoice Builder'!$C$5,$P$5:$P58,'Invoice Builder'!$C$6,$N$5:$N58,"&gt;0"),""))</f>
        <v/>
      </c>
      <c r="R58" s="27" t="str">
        <f aca="false">IF($A58="","",IF($A58&gt;=DATE(YEAR($A58),4,6),YEAR($A58)&amp;"/"&amp;RIGHT(YEAR($A58)+1,2),YEAR($A58)-1&amp;"/"&amp;RIGHT(YEAR($A58),2)))</f>
        <v/>
      </c>
    </row>
    <row r="59" customFormat="false" ht="15" hidden="false" customHeight="false" outlineLevel="0" collapsed="false">
      <c r="A59" s="22"/>
      <c r="B59" s="23"/>
      <c r="C59" s="23"/>
      <c r="D59" s="23"/>
      <c r="E59" s="32"/>
      <c r="F59" s="25"/>
      <c r="G59" s="23"/>
      <c r="H59" s="23"/>
      <c r="I59" s="23"/>
      <c r="J59" s="23"/>
      <c r="K59" s="23"/>
      <c r="L59" s="27" t="str">
        <f aca="false">IF($B59="","",IFERROR(INDEX(Properties!$D$5:$D$104,MATCH($B59,Properties!$A$5:$A$104,0)),"-"))</f>
        <v/>
      </c>
      <c r="M59" s="28" t="str">
        <f aca="false">IF(OR($A59="",N($E59)=0),"",$F59/$E59)</f>
        <v/>
      </c>
      <c r="N59" s="28" t="str">
        <f aca="false">IF($A59="","",IF($H59="Y",$F59*(1+Settings!$B$3),0))</f>
        <v/>
      </c>
      <c r="O59" s="27" t="str">
        <f aca="false">IF($A59="","",IF(AND($H59="Y",$G59&lt;&gt;"Restock",N($M59)&gt;Settings!$B$4,$I59&lt;&gt;"Y"),"Get host OK",IF(AND($H59="Y",$F59&gt;Settings!$B$5,$I59&lt;&gt;"Y"),"Host should pay upfront",IF($J59&lt;&gt;"Y","Save receipt","OK"))))</f>
        <v/>
      </c>
      <c r="P59" s="29" t="str">
        <f aca="false">IF($A59="","",DATE(YEAR($A59),MONTH($A59),1))</f>
        <v/>
      </c>
      <c r="Q59" s="31" t="str">
        <f aca="false">IF($A59="","",IF(AND($L59='Invoice Builder'!$C$5,$P59='Invoice Builder'!$C$6,N($N59)&gt;0),COUNTIFS($L$5:$L59,'Invoice Builder'!$C$5,$P$5:$P59,'Invoice Builder'!$C$6,$N$5:$N59,"&gt;0"),""))</f>
        <v/>
      </c>
      <c r="R59" s="27" t="str">
        <f aca="false">IF($A59="","",IF($A59&gt;=DATE(YEAR($A59),4,6),YEAR($A59)&amp;"/"&amp;RIGHT(YEAR($A59)+1,2),YEAR($A59)-1&amp;"/"&amp;RIGHT(YEAR($A59),2)))</f>
        <v/>
      </c>
    </row>
    <row r="60" customFormat="false" ht="15" hidden="false" customHeight="false" outlineLevel="0" collapsed="false">
      <c r="A60" s="22"/>
      <c r="B60" s="23"/>
      <c r="C60" s="23"/>
      <c r="D60" s="23"/>
      <c r="E60" s="32"/>
      <c r="F60" s="25"/>
      <c r="G60" s="23"/>
      <c r="H60" s="23"/>
      <c r="I60" s="23"/>
      <c r="J60" s="23"/>
      <c r="K60" s="23"/>
      <c r="L60" s="27" t="str">
        <f aca="false">IF($B60="","",IFERROR(INDEX(Properties!$D$5:$D$104,MATCH($B60,Properties!$A$5:$A$104,0)),"-"))</f>
        <v/>
      </c>
      <c r="M60" s="28" t="str">
        <f aca="false">IF(OR($A60="",N($E60)=0),"",$F60/$E60)</f>
        <v/>
      </c>
      <c r="N60" s="28" t="str">
        <f aca="false">IF($A60="","",IF($H60="Y",$F60*(1+Settings!$B$3),0))</f>
        <v/>
      </c>
      <c r="O60" s="27" t="str">
        <f aca="false">IF($A60="","",IF(AND($H60="Y",$G60&lt;&gt;"Restock",N($M60)&gt;Settings!$B$4,$I60&lt;&gt;"Y"),"Get host OK",IF(AND($H60="Y",$F60&gt;Settings!$B$5,$I60&lt;&gt;"Y"),"Host should pay upfront",IF($J60&lt;&gt;"Y","Save receipt","OK"))))</f>
        <v/>
      </c>
      <c r="P60" s="29" t="str">
        <f aca="false">IF($A60="","",DATE(YEAR($A60),MONTH($A60),1))</f>
        <v/>
      </c>
      <c r="Q60" s="31" t="str">
        <f aca="false">IF($A60="","",IF(AND($L60='Invoice Builder'!$C$5,$P60='Invoice Builder'!$C$6,N($N60)&gt;0),COUNTIFS($L$5:$L60,'Invoice Builder'!$C$5,$P$5:$P60,'Invoice Builder'!$C$6,$N$5:$N60,"&gt;0"),""))</f>
        <v/>
      </c>
      <c r="R60" s="27" t="str">
        <f aca="false">IF($A60="","",IF($A60&gt;=DATE(YEAR($A60),4,6),YEAR($A60)&amp;"/"&amp;RIGHT(YEAR($A60)+1,2),YEAR($A60)-1&amp;"/"&amp;RIGHT(YEAR($A60),2)))</f>
        <v/>
      </c>
    </row>
    <row r="61" customFormat="false" ht="15" hidden="false" customHeight="false" outlineLevel="0" collapsed="false">
      <c r="A61" s="22"/>
      <c r="B61" s="23"/>
      <c r="C61" s="23"/>
      <c r="D61" s="23"/>
      <c r="E61" s="32"/>
      <c r="F61" s="25"/>
      <c r="G61" s="23"/>
      <c r="H61" s="23"/>
      <c r="I61" s="23"/>
      <c r="J61" s="23"/>
      <c r="K61" s="23"/>
      <c r="L61" s="27" t="str">
        <f aca="false">IF($B61="","",IFERROR(INDEX(Properties!$D$5:$D$104,MATCH($B61,Properties!$A$5:$A$104,0)),"-"))</f>
        <v/>
      </c>
      <c r="M61" s="28" t="str">
        <f aca="false">IF(OR($A61="",N($E61)=0),"",$F61/$E61)</f>
        <v/>
      </c>
      <c r="N61" s="28" t="str">
        <f aca="false">IF($A61="","",IF($H61="Y",$F61*(1+Settings!$B$3),0))</f>
        <v/>
      </c>
      <c r="O61" s="27" t="str">
        <f aca="false">IF($A61="","",IF(AND($H61="Y",$G61&lt;&gt;"Restock",N($M61)&gt;Settings!$B$4,$I61&lt;&gt;"Y"),"Get host OK",IF(AND($H61="Y",$F61&gt;Settings!$B$5,$I61&lt;&gt;"Y"),"Host should pay upfront",IF($J61&lt;&gt;"Y","Save receipt","OK"))))</f>
        <v/>
      </c>
      <c r="P61" s="29" t="str">
        <f aca="false">IF($A61="","",DATE(YEAR($A61),MONTH($A61),1))</f>
        <v/>
      </c>
      <c r="Q61" s="31" t="str">
        <f aca="false">IF($A61="","",IF(AND($L61='Invoice Builder'!$C$5,$P61='Invoice Builder'!$C$6,N($N61)&gt;0),COUNTIFS($L$5:$L61,'Invoice Builder'!$C$5,$P$5:$P61,'Invoice Builder'!$C$6,$N$5:$N61,"&gt;0"),""))</f>
        <v/>
      </c>
      <c r="R61" s="27" t="str">
        <f aca="false">IF($A61="","",IF($A61&gt;=DATE(YEAR($A61),4,6),YEAR($A61)&amp;"/"&amp;RIGHT(YEAR($A61)+1,2),YEAR($A61)-1&amp;"/"&amp;RIGHT(YEAR($A61),2)))</f>
        <v/>
      </c>
    </row>
    <row r="62" customFormat="false" ht="15" hidden="false" customHeight="false" outlineLevel="0" collapsed="false">
      <c r="A62" s="22"/>
      <c r="B62" s="23"/>
      <c r="C62" s="23"/>
      <c r="D62" s="23"/>
      <c r="E62" s="32"/>
      <c r="F62" s="25"/>
      <c r="G62" s="23"/>
      <c r="H62" s="23"/>
      <c r="I62" s="23"/>
      <c r="J62" s="23"/>
      <c r="K62" s="23"/>
      <c r="L62" s="27" t="str">
        <f aca="false">IF($B62="","",IFERROR(INDEX(Properties!$D$5:$D$104,MATCH($B62,Properties!$A$5:$A$104,0)),"-"))</f>
        <v/>
      </c>
      <c r="M62" s="28" t="str">
        <f aca="false">IF(OR($A62="",N($E62)=0),"",$F62/$E62)</f>
        <v/>
      </c>
      <c r="N62" s="28" t="str">
        <f aca="false">IF($A62="","",IF($H62="Y",$F62*(1+Settings!$B$3),0))</f>
        <v/>
      </c>
      <c r="O62" s="27" t="str">
        <f aca="false">IF($A62="","",IF(AND($H62="Y",$G62&lt;&gt;"Restock",N($M62)&gt;Settings!$B$4,$I62&lt;&gt;"Y"),"Get host OK",IF(AND($H62="Y",$F62&gt;Settings!$B$5,$I62&lt;&gt;"Y"),"Host should pay upfront",IF($J62&lt;&gt;"Y","Save receipt","OK"))))</f>
        <v/>
      </c>
      <c r="P62" s="29" t="str">
        <f aca="false">IF($A62="","",DATE(YEAR($A62),MONTH($A62),1))</f>
        <v/>
      </c>
      <c r="Q62" s="31" t="str">
        <f aca="false">IF($A62="","",IF(AND($L62='Invoice Builder'!$C$5,$P62='Invoice Builder'!$C$6,N($N62)&gt;0),COUNTIFS($L$5:$L62,'Invoice Builder'!$C$5,$P$5:$P62,'Invoice Builder'!$C$6,$N$5:$N62,"&gt;0"),""))</f>
        <v/>
      </c>
      <c r="R62" s="27" t="str">
        <f aca="false">IF($A62="","",IF($A62&gt;=DATE(YEAR($A62),4,6),YEAR($A62)&amp;"/"&amp;RIGHT(YEAR($A62)+1,2),YEAR($A62)-1&amp;"/"&amp;RIGHT(YEAR($A62),2)))</f>
        <v/>
      </c>
    </row>
    <row r="63" customFormat="false" ht="15" hidden="false" customHeight="false" outlineLevel="0" collapsed="false">
      <c r="A63" s="22"/>
      <c r="B63" s="23"/>
      <c r="C63" s="23"/>
      <c r="D63" s="23"/>
      <c r="E63" s="32"/>
      <c r="F63" s="25"/>
      <c r="G63" s="23"/>
      <c r="H63" s="23"/>
      <c r="I63" s="23"/>
      <c r="J63" s="23"/>
      <c r="K63" s="23"/>
      <c r="L63" s="27" t="str">
        <f aca="false">IF($B63="","",IFERROR(INDEX(Properties!$D$5:$D$104,MATCH($B63,Properties!$A$5:$A$104,0)),"-"))</f>
        <v/>
      </c>
      <c r="M63" s="28" t="str">
        <f aca="false">IF(OR($A63="",N($E63)=0),"",$F63/$E63)</f>
        <v/>
      </c>
      <c r="N63" s="28" t="str">
        <f aca="false">IF($A63="","",IF($H63="Y",$F63*(1+Settings!$B$3),0))</f>
        <v/>
      </c>
      <c r="O63" s="27" t="str">
        <f aca="false">IF($A63="","",IF(AND($H63="Y",$G63&lt;&gt;"Restock",N($M63)&gt;Settings!$B$4,$I63&lt;&gt;"Y"),"Get host OK",IF(AND($H63="Y",$F63&gt;Settings!$B$5,$I63&lt;&gt;"Y"),"Host should pay upfront",IF($J63&lt;&gt;"Y","Save receipt","OK"))))</f>
        <v/>
      </c>
      <c r="P63" s="29" t="str">
        <f aca="false">IF($A63="","",DATE(YEAR($A63),MONTH($A63),1))</f>
        <v/>
      </c>
      <c r="Q63" s="31" t="str">
        <f aca="false">IF($A63="","",IF(AND($L63='Invoice Builder'!$C$5,$P63='Invoice Builder'!$C$6,N($N63)&gt;0),COUNTIFS($L$5:$L63,'Invoice Builder'!$C$5,$P$5:$P63,'Invoice Builder'!$C$6,$N$5:$N63,"&gt;0"),""))</f>
        <v/>
      </c>
      <c r="R63" s="27" t="str">
        <f aca="false">IF($A63="","",IF($A63&gt;=DATE(YEAR($A63),4,6),YEAR($A63)&amp;"/"&amp;RIGHT(YEAR($A63)+1,2),YEAR($A63)-1&amp;"/"&amp;RIGHT(YEAR($A63),2)))</f>
        <v/>
      </c>
    </row>
    <row r="64" customFormat="false" ht="15" hidden="false" customHeight="false" outlineLevel="0" collapsed="false">
      <c r="A64" s="22"/>
      <c r="B64" s="23"/>
      <c r="C64" s="23"/>
      <c r="D64" s="23"/>
      <c r="E64" s="32"/>
      <c r="F64" s="25"/>
      <c r="G64" s="23"/>
      <c r="H64" s="23"/>
      <c r="I64" s="23"/>
      <c r="J64" s="23"/>
      <c r="K64" s="23"/>
      <c r="L64" s="27" t="str">
        <f aca="false">IF($B64="","",IFERROR(INDEX(Properties!$D$5:$D$104,MATCH($B64,Properties!$A$5:$A$104,0)),"-"))</f>
        <v/>
      </c>
      <c r="M64" s="28" t="str">
        <f aca="false">IF(OR($A64="",N($E64)=0),"",$F64/$E64)</f>
        <v/>
      </c>
      <c r="N64" s="28" t="str">
        <f aca="false">IF($A64="","",IF($H64="Y",$F64*(1+Settings!$B$3),0))</f>
        <v/>
      </c>
      <c r="O64" s="27" t="str">
        <f aca="false">IF($A64="","",IF(AND($H64="Y",$G64&lt;&gt;"Restock",N($M64)&gt;Settings!$B$4,$I64&lt;&gt;"Y"),"Get host OK",IF(AND($H64="Y",$F64&gt;Settings!$B$5,$I64&lt;&gt;"Y"),"Host should pay upfront",IF($J64&lt;&gt;"Y","Save receipt","OK"))))</f>
        <v/>
      </c>
      <c r="P64" s="29" t="str">
        <f aca="false">IF($A64="","",DATE(YEAR($A64),MONTH($A64),1))</f>
        <v/>
      </c>
      <c r="Q64" s="31" t="str">
        <f aca="false">IF($A64="","",IF(AND($L64='Invoice Builder'!$C$5,$P64='Invoice Builder'!$C$6,N($N64)&gt;0),COUNTIFS($L$5:$L64,'Invoice Builder'!$C$5,$P$5:$P64,'Invoice Builder'!$C$6,$N$5:$N64,"&gt;0"),""))</f>
        <v/>
      </c>
      <c r="R64" s="27" t="str">
        <f aca="false">IF($A64="","",IF($A64&gt;=DATE(YEAR($A64),4,6),YEAR($A64)&amp;"/"&amp;RIGHT(YEAR($A64)+1,2),YEAR($A64)-1&amp;"/"&amp;RIGHT(YEAR($A64),2)))</f>
        <v/>
      </c>
    </row>
    <row r="65" customFormat="false" ht="15" hidden="false" customHeight="false" outlineLevel="0" collapsed="false">
      <c r="A65" s="22"/>
      <c r="B65" s="23"/>
      <c r="C65" s="23"/>
      <c r="D65" s="23"/>
      <c r="E65" s="32"/>
      <c r="F65" s="25"/>
      <c r="G65" s="23"/>
      <c r="H65" s="23"/>
      <c r="I65" s="23"/>
      <c r="J65" s="23"/>
      <c r="K65" s="23"/>
      <c r="L65" s="27" t="str">
        <f aca="false">IF($B65="","",IFERROR(INDEX(Properties!$D$5:$D$104,MATCH($B65,Properties!$A$5:$A$104,0)),"-"))</f>
        <v/>
      </c>
      <c r="M65" s="28" t="str">
        <f aca="false">IF(OR($A65="",N($E65)=0),"",$F65/$E65)</f>
        <v/>
      </c>
      <c r="N65" s="28" t="str">
        <f aca="false">IF($A65="","",IF($H65="Y",$F65*(1+Settings!$B$3),0))</f>
        <v/>
      </c>
      <c r="O65" s="27" t="str">
        <f aca="false">IF($A65="","",IF(AND($H65="Y",$G65&lt;&gt;"Restock",N($M65)&gt;Settings!$B$4,$I65&lt;&gt;"Y"),"Get host OK",IF(AND($H65="Y",$F65&gt;Settings!$B$5,$I65&lt;&gt;"Y"),"Host should pay upfront",IF($J65&lt;&gt;"Y","Save receipt","OK"))))</f>
        <v/>
      </c>
      <c r="P65" s="29" t="str">
        <f aca="false">IF($A65="","",DATE(YEAR($A65),MONTH($A65),1))</f>
        <v/>
      </c>
      <c r="Q65" s="31" t="str">
        <f aca="false">IF($A65="","",IF(AND($L65='Invoice Builder'!$C$5,$P65='Invoice Builder'!$C$6,N($N65)&gt;0),COUNTIFS($L$5:$L65,'Invoice Builder'!$C$5,$P$5:$P65,'Invoice Builder'!$C$6,$N$5:$N65,"&gt;0"),""))</f>
        <v/>
      </c>
      <c r="R65" s="27" t="str">
        <f aca="false">IF($A65="","",IF($A65&gt;=DATE(YEAR($A65),4,6),YEAR($A65)&amp;"/"&amp;RIGHT(YEAR($A65)+1,2),YEAR($A65)-1&amp;"/"&amp;RIGHT(YEAR($A65),2)))</f>
        <v/>
      </c>
    </row>
    <row r="66" customFormat="false" ht="15" hidden="false" customHeight="false" outlineLevel="0" collapsed="false">
      <c r="A66" s="22"/>
      <c r="B66" s="23"/>
      <c r="C66" s="23"/>
      <c r="D66" s="23"/>
      <c r="E66" s="32"/>
      <c r="F66" s="25"/>
      <c r="G66" s="23"/>
      <c r="H66" s="23"/>
      <c r="I66" s="23"/>
      <c r="J66" s="23"/>
      <c r="K66" s="23"/>
      <c r="L66" s="27" t="str">
        <f aca="false">IF($B66="","",IFERROR(INDEX(Properties!$D$5:$D$104,MATCH($B66,Properties!$A$5:$A$104,0)),"-"))</f>
        <v/>
      </c>
      <c r="M66" s="28" t="str">
        <f aca="false">IF(OR($A66="",N($E66)=0),"",$F66/$E66)</f>
        <v/>
      </c>
      <c r="N66" s="28" t="str">
        <f aca="false">IF($A66="","",IF($H66="Y",$F66*(1+Settings!$B$3),0))</f>
        <v/>
      </c>
      <c r="O66" s="27" t="str">
        <f aca="false">IF($A66="","",IF(AND($H66="Y",$G66&lt;&gt;"Restock",N($M66)&gt;Settings!$B$4,$I66&lt;&gt;"Y"),"Get host OK",IF(AND($H66="Y",$F66&gt;Settings!$B$5,$I66&lt;&gt;"Y"),"Host should pay upfront",IF($J66&lt;&gt;"Y","Save receipt","OK"))))</f>
        <v/>
      </c>
      <c r="P66" s="29" t="str">
        <f aca="false">IF($A66="","",DATE(YEAR($A66),MONTH($A66),1))</f>
        <v/>
      </c>
      <c r="Q66" s="31" t="str">
        <f aca="false">IF($A66="","",IF(AND($L66='Invoice Builder'!$C$5,$P66='Invoice Builder'!$C$6,N($N66)&gt;0),COUNTIFS($L$5:$L66,'Invoice Builder'!$C$5,$P$5:$P66,'Invoice Builder'!$C$6,$N$5:$N66,"&gt;0"),""))</f>
        <v/>
      </c>
      <c r="R66" s="27" t="str">
        <f aca="false">IF($A66="","",IF($A66&gt;=DATE(YEAR($A66),4,6),YEAR($A66)&amp;"/"&amp;RIGHT(YEAR($A66)+1,2),YEAR($A66)-1&amp;"/"&amp;RIGHT(YEAR($A66),2)))</f>
        <v/>
      </c>
    </row>
    <row r="67" customFormat="false" ht="15" hidden="false" customHeight="false" outlineLevel="0" collapsed="false">
      <c r="A67" s="22"/>
      <c r="B67" s="23"/>
      <c r="C67" s="23"/>
      <c r="D67" s="23"/>
      <c r="E67" s="32"/>
      <c r="F67" s="25"/>
      <c r="G67" s="23"/>
      <c r="H67" s="23"/>
      <c r="I67" s="23"/>
      <c r="J67" s="23"/>
      <c r="K67" s="23"/>
      <c r="L67" s="27" t="str">
        <f aca="false">IF($B67="","",IFERROR(INDEX(Properties!$D$5:$D$104,MATCH($B67,Properties!$A$5:$A$104,0)),"-"))</f>
        <v/>
      </c>
      <c r="M67" s="28" t="str">
        <f aca="false">IF(OR($A67="",N($E67)=0),"",$F67/$E67)</f>
        <v/>
      </c>
      <c r="N67" s="28" t="str">
        <f aca="false">IF($A67="","",IF($H67="Y",$F67*(1+Settings!$B$3),0))</f>
        <v/>
      </c>
      <c r="O67" s="27" t="str">
        <f aca="false">IF($A67="","",IF(AND($H67="Y",$G67&lt;&gt;"Restock",N($M67)&gt;Settings!$B$4,$I67&lt;&gt;"Y"),"Get host OK",IF(AND($H67="Y",$F67&gt;Settings!$B$5,$I67&lt;&gt;"Y"),"Host should pay upfront",IF($J67&lt;&gt;"Y","Save receipt","OK"))))</f>
        <v/>
      </c>
      <c r="P67" s="29" t="str">
        <f aca="false">IF($A67="","",DATE(YEAR($A67),MONTH($A67),1))</f>
        <v/>
      </c>
      <c r="Q67" s="31" t="str">
        <f aca="false">IF($A67="","",IF(AND($L67='Invoice Builder'!$C$5,$P67='Invoice Builder'!$C$6,N($N67)&gt;0),COUNTIFS($L$5:$L67,'Invoice Builder'!$C$5,$P$5:$P67,'Invoice Builder'!$C$6,$N$5:$N67,"&gt;0"),""))</f>
        <v/>
      </c>
      <c r="R67" s="27" t="str">
        <f aca="false">IF($A67="","",IF($A67&gt;=DATE(YEAR($A67),4,6),YEAR($A67)&amp;"/"&amp;RIGHT(YEAR($A67)+1,2),YEAR($A67)-1&amp;"/"&amp;RIGHT(YEAR($A67),2)))</f>
        <v/>
      </c>
    </row>
    <row r="68" customFormat="false" ht="15" hidden="false" customHeight="false" outlineLevel="0" collapsed="false">
      <c r="A68" s="22"/>
      <c r="B68" s="23"/>
      <c r="C68" s="23"/>
      <c r="D68" s="23"/>
      <c r="E68" s="32"/>
      <c r="F68" s="25"/>
      <c r="G68" s="23"/>
      <c r="H68" s="23"/>
      <c r="I68" s="23"/>
      <c r="J68" s="23"/>
      <c r="K68" s="23"/>
      <c r="L68" s="27" t="str">
        <f aca="false">IF($B68="","",IFERROR(INDEX(Properties!$D$5:$D$104,MATCH($B68,Properties!$A$5:$A$104,0)),"-"))</f>
        <v/>
      </c>
      <c r="M68" s="28" t="str">
        <f aca="false">IF(OR($A68="",N($E68)=0),"",$F68/$E68)</f>
        <v/>
      </c>
      <c r="N68" s="28" t="str">
        <f aca="false">IF($A68="","",IF($H68="Y",$F68*(1+Settings!$B$3),0))</f>
        <v/>
      </c>
      <c r="O68" s="27" t="str">
        <f aca="false">IF($A68="","",IF(AND($H68="Y",$G68&lt;&gt;"Restock",N($M68)&gt;Settings!$B$4,$I68&lt;&gt;"Y"),"Get host OK",IF(AND($H68="Y",$F68&gt;Settings!$B$5,$I68&lt;&gt;"Y"),"Host should pay upfront",IF($J68&lt;&gt;"Y","Save receipt","OK"))))</f>
        <v/>
      </c>
      <c r="P68" s="29" t="str">
        <f aca="false">IF($A68="","",DATE(YEAR($A68),MONTH($A68),1))</f>
        <v/>
      </c>
      <c r="Q68" s="31" t="str">
        <f aca="false">IF($A68="","",IF(AND($L68='Invoice Builder'!$C$5,$P68='Invoice Builder'!$C$6,N($N68)&gt;0),COUNTIFS($L$5:$L68,'Invoice Builder'!$C$5,$P$5:$P68,'Invoice Builder'!$C$6,$N$5:$N68,"&gt;0"),""))</f>
        <v/>
      </c>
      <c r="R68" s="27" t="str">
        <f aca="false">IF($A68="","",IF($A68&gt;=DATE(YEAR($A68),4,6),YEAR($A68)&amp;"/"&amp;RIGHT(YEAR($A68)+1,2),YEAR($A68)-1&amp;"/"&amp;RIGHT(YEAR($A68),2)))</f>
        <v/>
      </c>
    </row>
    <row r="69" customFormat="false" ht="15" hidden="false" customHeight="false" outlineLevel="0" collapsed="false">
      <c r="A69" s="22"/>
      <c r="B69" s="23"/>
      <c r="C69" s="23"/>
      <c r="D69" s="23"/>
      <c r="E69" s="32"/>
      <c r="F69" s="25"/>
      <c r="G69" s="23"/>
      <c r="H69" s="23"/>
      <c r="I69" s="23"/>
      <c r="J69" s="23"/>
      <c r="K69" s="23"/>
      <c r="L69" s="27" t="str">
        <f aca="false">IF($B69="","",IFERROR(INDEX(Properties!$D$5:$D$104,MATCH($B69,Properties!$A$5:$A$104,0)),"-"))</f>
        <v/>
      </c>
      <c r="M69" s="28" t="str">
        <f aca="false">IF(OR($A69="",N($E69)=0),"",$F69/$E69)</f>
        <v/>
      </c>
      <c r="N69" s="28" t="str">
        <f aca="false">IF($A69="","",IF($H69="Y",$F69*(1+Settings!$B$3),0))</f>
        <v/>
      </c>
      <c r="O69" s="27" t="str">
        <f aca="false">IF($A69="","",IF(AND($H69="Y",$G69&lt;&gt;"Restock",N($M69)&gt;Settings!$B$4,$I69&lt;&gt;"Y"),"Get host OK",IF(AND($H69="Y",$F69&gt;Settings!$B$5,$I69&lt;&gt;"Y"),"Host should pay upfront",IF($J69&lt;&gt;"Y","Save receipt","OK"))))</f>
        <v/>
      </c>
      <c r="P69" s="29" t="str">
        <f aca="false">IF($A69="","",DATE(YEAR($A69),MONTH($A69),1))</f>
        <v/>
      </c>
      <c r="Q69" s="31" t="str">
        <f aca="false">IF($A69="","",IF(AND($L69='Invoice Builder'!$C$5,$P69='Invoice Builder'!$C$6,N($N69)&gt;0),COUNTIFS($L$5:$L69,'Invoice Builder'!$C$5,$P$5:$P69,'Invoice Builder'!$C$6,$N$5:$N69,"&gt;0"),""))</f>
        <v/>
      </c>
      <c r="R69" s="27" t="str">
        <f aca="false">IF($A69="","",IF($A69&gt;=DATE(YEAR($A69),4,6),YEAR($A69)&amp;"/"&amp;RIGHT(YEAR($A69)+1,2),YEAR($A69)-1&amp;"/"&amp;RIGHT(YEAR($A69),2)))</f>
        <v/>
      </c>
    </row>
    <row r="70" customFormat="false" ht="15" hidden="false" customHeight="false" outlineLevel="0" collapsed="false">
      <c r="A70" s="22"/>
      <c r="B70" s="23"/>
      <c r="C70" s="23"/>
      <c r="D70" s="23"/>
      <c r="E70" s="32"/>
      <c r="F70" s="25"/>
      <c r="G70" s="23"/>
      <c r="H70" s="23"/>
      <c r="I70" s="23"/>
      <c r="J70" s="23"/>
      <c r="K70" s="23"/>
      <c r="L70" s="27" t="str">
        <f aca="false">IF($B70="","",IFERROR(INDEX(Properties!$D$5:$D$104,MATCH($B70,Properties!$A$5:$A$104,0)),"-"))</f>
        <v/>
      </c>
      <c r="M70" s="28" t="str">
        <f aca="false">IF(OR($A70="",N($E70)=0),"",$F70/$E70)</f>
        <v/>
      </c>
      <c r="N70" s="28" t="str">
        <f aca="false">IF($A70="","",IF($H70="Y",$F70*(1+Settings!$B$3),0))</f>
        <v/>
      </c>
      <c r="O70" s="27" t="str">
        <f aca="false">IF($A70="","",IF(AND($H70="Y",$G70&lt;&gt;"Restock",N($M70)&gt;Settings!$B$4,$I70&lt;&gt;"Y"),"Get host OK",IF(AND($H70="Y",$F70&gt;Settings!$B$5,$I70&lt;&gt;"Y"),"Host should pay upfront",IF($J70&lt;&gt;"Y","Save receipt","OK"))))</f>
        <v/>
      </c>
      <c r="P70" s="29" t="str">
        <f aca="false">IF($A70="","",DATE(YEAR($A70),MONTH($A70),1))</f>
        <v/>
      </c>
      <c r="Q70" s="31" t="str">
        <f aca="false">IF($A70="","",IF(AND($L70='Invoice Builder'!$C$5,$P70='Invoice Builder'!$C$6,N($N70)&gt;0),COUNTIFS($L$5:$L70,'Invoice Builder'!$C$5,$P$5:$P70,'Invoice Builder'!$C$6,$N$5:$N70,"&gt;0"),""))</f>
        <v/>
      </c>
      <c r="R70" s="27" t="str">
        <f aca="false">IF($A70="","",IF($A70&gt;=DATE(YEAR($A70),4,6),YEAR($A70)&amp;"/"&amp;RIGHT(YEAR($A70)+1,2),YEAR($A70)-1&amp;"/"&amp;RIGHT(YEAR($A70),2)))</f>
        <v/>
      </c>
    </row>
    <row r="71" customFormat="false" ht="15" hidden="false" customHeight="false" outlineLevel="0" collapsed="false">
      <c r="A71" s="22"/>
      <c r="B71" s="23"/>
      <c r="C71" s="23"/>
      <c r="D71" s="23"/>
      <c r="E71" s="32"/>
      <c r="F71" s="25"/>
      <c r="G71" s="23"/>
      <c r="H71" s="23"/>
      <c r="I71" s="23"/>
      <c r="J71" s="23"/>
      <c r="K71" s="23"/>
      <c r="L71" s="27" t="str">
        <f aca="false">IF($B71="","",IFERROR(INDEX(Properties!$D$5:$D$104,MATCH($B71,Properties!$A$5:$A$104,0)),"-"))</f>
        <v/>
      </c>
      <c r="M71" s="28" t="str">
        <f aca="false">IF(OR($A71="",N($E71)=0),"",$F71/$E71)</f>
        <v/>
      </c>
      <c r="N71" s="28" t="str">
        <f aca="false">IF($A71="","",IF($H71="Y",$F71*(1+Settings!$B$3),0))</f>
        <v/>
      </c>
      <c r="O71" s="27" t="str">
        <f aca="false">IF($A71="","",IF(AND($H71="Y",$G71&lt;&gt;"Restock",N($M71)&gt;Settings!$B$4,$I71&lt;&gt;"Y"),"Get host OK",IF(AND($H71="Y",$F71&gt;Settings!$B$5,$I71&lt;&gt;"Y"),"Host should pay upfront",IF($J71&lt;&gt;"Y","Save receipt","OK"))))</f>
        <v/>
      </c>
      <c r="P71" s="29" t="str">
        <f aca="false">IF($A71="","",DATE(YEAR($A71),MONTH($A71),1))</f>
        <v/>
      </c>
      <c r="Q71" s="31" t="str">
        <f aca="false">IF($A71="","",IF(AND($L71='Invoice Builder'!$C$5,$P71='Invoice Builder'!$C$6,N($N71)&gt;0),COUNTIFS($L$5:$L71,'Invoice Builder'!$C$5,$P$5:$P71,'Invoice Builder'!$C$6,$N$5:$N71,"&gt;0"),""))</f>
        <v/>
      </c>
      <c r="R71" s="27" t="str">
        <f aca="false">IF($A71="","",IF($A71&gt;=DATE(YEAR($A71),4,6),YEAR($A71)&amp;"/"&amp;RIGHT(YEAR($A71)+1,2),YEAR($A71)-1&amp;"/"&amp;RIGHT(YEAR($A71),2)))</f>
        <v/>
      </c>
    </row>
    <row r="72" customFormat="false" ht="15" hidden="false" customHeight="false" outlineLevel="0" collapsed="false">
      <c r="A72" s="22"/>
      <c r="B72" s="23"/>
      <c r="C72" s="23"/>
      <c r="D72" s="23"/>
      <c r="E72" s="32"/>
      <c r="F72" s="25"/>
      <c r="G72" s="23"/>
      <c r="H72" s="23"/>
      <c r="I72" s="23"/>
      <c r="J72" s="23"/>
      <c r="K72" s="23"/>
      <c r="L72" s="27" t="str">
        <f aca="false">IF($B72="","",IFERROR(INDEX(Properties!$D$5:$D$104,MATCH($B72,Properties!$A$5:$A$104,0)),"-"))</f>
        <v/>
      </c>
      <c r="M72" s="28" t="str">
        <f aca="false">IF(OR($A72="",N($E72)=0),"",$F72/$E72)</f>
        <v/>
      </c>
      <c r="N72" s="28" t="str">
        <f aca="false">IF($A72="","",IF($H72="Y",$F72*(1+Settings!$B$3),0))</f>
        <v/>
      </c>
      <c r="O72" s="27" t="str">
        <f aca="false">IF($A72="","",IF(AND($H72="Y",$G72&lt;&gt;"Restock",N($M72)&gt;Settings!$B$4,$I72&lt;&gt;"Y"),"Get host OK",IF(AND($H72="Y",$F72&gt;Settings!$B$5,$I72&lt;&gt;"Y"),"Host should pay upfront",IF($J72&lt;&gt;"Y","Save receipt","OK"))))</f>
        <v/>
      </c>
      <c r="P72" s="29" t="str">
        <f aca="false">IF($A72="","",DATE(YEAR($A72),MONTH($A72),1))</f>
        <v/>
      </c>
      <c r="Q72" s="31" t="str">
        <f aca="false">IF($A72="","",IF(AND($L72='Invoice Builder'!$C$5,$P72='Invoice Builder'!$C$6,N($N72)&gt;0),COUNTIFS($L$5:$L72,'Invoice Builder'!$C$5,$P$5:$P72,'Invoice Builder'!$C$6,$N$5:$N72,"&gt;0"),""))</f>
        <v/>
      </c>
      <c r="R72" s="27" t="str">
        <f aca="false">IF($A72="","",IF($A72&gt;=DATE(YEAR($A72),4,6),YEAR($A72)&amp;"/"&amp;RIGHT(YEAR($A72)+1,2),YEAR($A72)-1&amp;"/"&amp;RIGHT(YEAR($A72),2)))</f>
        <v/>
      </c>
    </row>
    <row r="73" customFormat="false" ht="15" hidden="false" customHeight="false" outlineLevel="0" collapsed="false">
      <c r="A73" s="22"/>
      <c r="B73" s="23"/>
      <c r="C73" s="23"/>
      <c r="D73" s="23"/>
      <c r="E73" s="32"/>
      <c r="F73" s="25"/>
      <c r="G73" s="23"/>
      <c r="H73" s="23"/>
      <c r="I73" s="23"/>
      <c r="J73" s="23"/>
      <c r="K73" s="23"/>
      <c r="L73" s="27" t="str">
        <f aca="false">IF($B73="","",IFERROR(INDEX(Properties!$D$5:$D$104,MATCH($B73,Properties!$A$5:$A$104,0)),"-"))</f>
        <v/>
      </c>
      <c r="M73" s="28" t="str">
        <f aca="false">IF(OR($A73="",N($E73)=0),"",$F73/$E73)</f>
        <v/>
      </c>
      <c r="N73" s="28" t="str">
        <f aca="false">IF($A73="","",IF($H73="Y",$F73*(1+Settings!$B$3),0))</f>
        <v/>
      </c>
      <c r="O73" s="27" t="str">
        <f aca="false">IF($A73="","",IF(AND($H73="Y",$G73&lt;&gt;"Restock",N($M73)&gt;Settings!$B$4,$I73&lt;&gt;"Y"),"Get host OK",IF(AND($H73="Y",$F73&gt;Settings!$B$5,$I73&lt;&gt;"Y"),"Host should pay upfront",IF($J73&lt;&gt;"Y","Save receipt","OK"))))</f>
        <v/>
      </c>
      <c r="P73" s="29" t="str">
        <f aca="false">IF($A73="","",DATE(YEAR($A73),MONTH($A73),1))</f>
        <v/>
      </c>
      <c r="Q73" s="31" t="str">
        <f aca="false">IF($A73="","",IF(AND($L73='Invoice Builder'!$C$5,$P73='Invoice Builder'!$C$6,N($N73)&gt;0),COUNTIFS($L$5:$L73,'Invoice Builder'!$C$5,$P$5:$P73,'Invoice Builder'!$C$6,$N$5:$N73,"&gt;0"),""))</f>
        <v/>
      </c>
      <c r="R73" s="27" t="str">
        <f aca="false">IF($A73="","",IF($A73&gt;=DATE(YEAR($A73),4,6),YEAR($A73)&amp;"/"&amp;RIGHT(YEAR($A73)+1,2),YEAR($A73)-1&amp;"/"&amp;RIGHT(YEAR($A73),2)))</f>
        <v/>
      </c>
    </row>
    <row r="74" customFormat="false" ht="15" hidden="false" customHeight="false" outlineLevel="0" collapsed="false">
      <c r="A74" s="22"/>
      <c r="B74" s="23"/>
      <c r="C74" s="23"/>
      <c r="D74" s="23"/>
      <c r="E74" s="32"/>
      <c r="F74" s="25"/>
      <c r="G74" s="23"/>
      <c r="H74" s="23"/>
      <c r="I74" s="23"/>
      <c r="J74" s="23"/>
      <c r="K74" s="23"/>
      <c r="L74" s="27" t="str">
        <f aca="false">IF($B74="","",IFERROR(INDEX(Properties!$D$5:$D$104,MATCH($B74,Properties!$A$5:$A$104,0)),"-"))</f>
        <v/>
      </c>
      <c r="M74" s="28" t="str">
        <f aca="false">IF(OR($A74="",N($E74)=0),"",$F74/$E74)</f>
        <v/>
      </c>
      <c r="N74" s="28" t="str">
        <f aca="false">IF($A74="","",IF($H74="Y",$F74*(1+Settings!$B$3),0))</f>
        <v/>
      </c>
      <c r="O74" s="27" t="str">
        <f aca="false">IF($A74="","",IF(AND($H74="Y",$G74&lt;&gt;"Restock",N($M74)&gt;Settings!$B$4,$I74&lt;&gt;"Y"),"Get host OK",IF(AND($H74="Y",$F74&gt;Settings!$B$5,$I74&lt;&gt;"Y"),"Host should pay upfront",IF($J74&lt;&gt;"Y","Save receipt","OK"))))</f>
        <v/>
      </c>
      <c r="P74" s="29" t="str">
        <f aca="false">IF($A74="","",DATE(YEAR($A74),MONTH($A74),1))</f>
        <v/>
      </c>
      <c r="Q74" s="31" t="str">
        <f aca="false">IF($A74="","",IF(AND($L74='Invoice Builder'!$C$5,$P74='Invoice Builder'!$C$6,N($N74)&gt;0),COUNTIFS($L$5:$L74,'Invoice Builder'!$C$5,$P$5:$P74,'Invoice Builder'!$C$6,$N$5:$N74,"&gt;0"),""))</f>
        <v/>
      </c>
      <c r="R74" s="27" t="str">
        <f aca="false">IF($A74="","",IF($A74&gt;=DATE(YEAR($A74),4,6),YEAR($A74)&amp;"/"&amp;RIGHT(YEAR($A74)+1,2),YEAR($A74)-1&amp;"/"&amp;RIGHT(YEAR($A74),2)))</f>
        <v/>
      </c>
    </row>
    <row r="75" customFormat="false" ht="15" hidden="false" customHeight="false" outlineLevel="0" collapsed="false">
      <c r="A75" s="22"/>
      <c r="B75" s="23"/>
      <c r="C75" s="23"/>
      <c r="D75" s="23"/>
      <c r="E75" s="32"/>
      <c r="F75" s="25"/>
      <c r="G75" s="23"/>
      <c r="H75" s="23"/>
      <c r="I75" s="23"/>
      <c r="J75" s="23"/>
      <c r="K75" s="23"/>
      <c r="L75" s="27" t="str">
        <f aca="false">IF($B75="","",IFERROR(INDEX(Properties!$D$5:$D$104,MATCH($B75,Properties!$A$5:$A$104,0)),"-"))</f>
        <v/>
      </c>
      <c r="M75" s="28" t="str">
        <f aca="false">IF(OR($A75="",N($E75)=0),"",$F75/$E75)</f>
        <v/>
      </c>
      <c r="N75" s="28" t="str">
        <f aca="false">IF($A75="","",IF($H75="Y",$F75*(1+Settings!$B$3),0))</f>
        <v/>
      </c>
      <c r="O75" s="27" t="str">
        <f aca="false">IF($A75="","",IF(AND($H75="Y",$G75&lt;&gt;"Restock",N($M75)&gt;Settings!$B$4,$I75&lt;&gt;"Y"),"Get host OK",IF(AND($H75="Y",$F75&gt;Settings!$B$5,$I75&lt;&gt;"Y"),"Host should pay upfront",IF($J75&lt;&gt;"Y","Save receipt","OK"))))</f>
        <v/>
      </c>
      <c r="P75" s="29" t="str">
        <f aca="false">IF($A75="","",DATE(YEAR($A75),MONTH($A75),1))</f>
        <v/>
      </c>
      <c r="Q75" s="31" t="str">
        <f aca="false">IF($A75="","",IF(AND($L75='Invoice Builder'!$C$5,$P75='Invoice Builder'!$C$6,N($N75)&gt;0),COUNTIFS($L$5:$L75,'Invoice Builder'!$C$5,$P$5:$P75,'Invoice Builder'!$C$6,$N$5:$N75,"&gt;0"),""))</f>
        <v/>
      </c>
      <c r="R75" s="27" t="str">
        <f aca="false">IF($A75="","",IF($A75&gt;=DATE(YEAR($A75),4,6),YEAR($A75)&amp;"/"&amp;RIGHT(YEAR($A75)+1,2),YEAR($A75)-1&amp;"/"&amp;RIGHT(YEAR($A75),2)))</f>
        <v/>
      </c>
    </row>
    <row r="76" customFormat="false" ht="15" hidden="false" customHeight="false" outlineLevel="0" collapsed="false">
      <c r="A76" s="22"/>
      <c r="B76" s="23"/>
      <c r="C76" s="23"/>
      <c r="D76" s="23"/>
      <c r="E76" s="32"/>
      <c r="F76" s="25"/>
      <c r="G76" s="23"/>
      <c r="H76" s="23"/>
      <c r="I76" s="23"/>
      <c r="J76" s="23"/>
      <c r="K76" s="23"/>
      <c r="L76" s="27" t="str">
        <f aca="false">IF($B76="","",IFERROR(INDEX(Properties!$D$5:$D$104,MATCH($B76,Properties!$A$5:$A$104,0)),"-"))</f>
        <v/>
      </c>
      <c r="M76" s="28" t="str">
        <f aca="false">IF(OR($A76="",N($E76)=0),"",$F76/$E76)</f>
        <v/>
      </c>
      <c r="N76" s="28" t="str">
        <f aca="false">IF($A76="","",IF($H76="Y",$F76*(1+Settings!$B$3),0))</f>
        <v/>
      </c>
      <c r="O76" s="27" t="str">
        <f aca="false">IF($A76="","",IF(AND($H76="Y",$G76&lt;&gt;"Restock",N($M76)&gt;Settings!$B$4,$I76&lt;&gt;"Y"),"Get host OK",IF(AND($H76="Y",$F76&gt;Settings!$B$5,$I76&lt;&gt;"Y"),"Host should pay upfront",IF($J76&lt;&gt;"Y","Save receipt","OK"))))</f>
        <v/>
      </c>
      <c r="P76" s="29" t="str">
        <f aca="false">IF($A76="","",DATE(YEAR($A76),MONTH($A76),1))</f>
        <v/>
      </c>
      <c r="Q76" s="31" t="str">
        <f aca="false">IF($A76="","",IF(AND($L76='Invoice Builder'!$C$5,$P76='Invoice Builder'!$C$6,N($N76)&gt;0),COUNTIFS($L$5:$L76,'Invoice Builder'!$C$5,$P$5:$P76,'Invoice Builder'!$C$6,$N$5:$N76,"&gt;0"),""))</f>
        <v/>
      </c>
      <c r="R76" s="27" t="str">
        <f aca="false">IF($A76="","",IF($A76&gt;=DATE(YEAR($A76),4,6),YEAR($A76)&amp;"/"&amp;RIGHT(YEAR($A76)+1,2),YEAR($A76)-1&amp;"/"&amp;RIGHT(YEAR($A76),2)))</f>
        <v/>
      </c>
    </row>
    <row r="77" customFormat="false" ht="15" hidden="false" customHeight="false" outlineLevel="0" collapsed="false">
      <c r="A77" s="22"/>
      <c r="B77" s="23"/>
      <c r="C77" s="23"/>
      <c r="D77" s="23"/>
      <c r="E77" s="32"/>
      <c r="F77" s="25"/>
      <c r="G77" s="23"/>
      <c r="H77" s="23"/>
      <c r="I77" s="23"/>
      <c r="J77" s="23"/>
      <c r="K77" s="23"/>
      <c r="L77" s="27" t="str">
        <f aca="false">IF($B77="","",IFERROR(INDEX(Properties!$D$5:$D$104,MATCH($B77,Properties!$A$5:$A$104,0)),"-"))</f>
        <v/>
      </c>
      <c r="M77" s="28" t="str">
        <f aca="false">IF(OR($A77="",N($E77)=0),"",$F77/$E77)</f>
        <v/>
      </c>
      <c r="N77" s="28" t="str">
        <f aca="false">IF($A77="","",IF($H77="Y",$F77*(1+Settings!$B$3),0))</f>
        <v/>
      </c>
      <c r="O77" s="27" t="str">
        <f aca="false">IF($A77="","",IF(AND($H77="Y",$G77&lt;&gt;"Restock",N($M77)&gt;Settings!$B$4,$I77&lt;&gt;"Y"),"Get host OK",IF(AND($H77="Y",$F77&gt;Settings!$B$5,$I77&lt;&gt;"Y"),"Host should pay upfront",IF($J77&lt;&gt;"Y","Save receipt","OK"))))</f>
        <v/>
      </c>
      <c r="P77" s="29" t="str">
        <f aca="false">IF($A77="","",DATE(YEAR($A77),MONTH($A77),1))</f>
        <v/>
      </c>
      <c r="Q77" s="31" t="str">
        <f aca="false">IF($A77="","",IF(AND($L77='Invoice Builder'!$C$5,$P77='Invoice Builder'!$C$6,N($N77)&gt;0),COUNTIFS($L$5:$L77,'Invoice Builder'!$C$5,$P$5:$P77,'Invoice Builder'!$C$6,$N$5:$N77,"&gt;0"),""))</f>
        <v/>
      </c>
      <c r="R77" s="27" t="str">
        <f aca="false">IF($A77="","",IF($A77&gt;=DATE(YEAR($A77),4,6),YEAR($A77)&amp;"/"&amp;RIGHT(YEAR($A77)+1,2),YEAR($A77)-1&amp;"/"&amp;RIGHT(YEAR($A77),2)))</f>
        <v/>
      </c>
    </row>
    <row r="78" customFormat="false" ht="15" hidden="false" customHeight="false" outlineLevel="0" collapsed="false">
      <c r="A78" s="22"/>
      <c r="B78" s="23"/>
      <c r="C78" s="23"/>
      <c r="D78" s="23"/>
      <c r="E78" s="32"/>
      <c r="F78" s="25"/>
      <c r="G78" s="23"/>
      <c r="H78" s="23"/>
      <c r="I78" s="23"/>
      <c r="J78" s="23"/>
      <c r="K78" s="23"/>
      <c r="L78" s="27" t="str">
        <f aca="false">IF($B78="","",IFERROR(INDEX(Properties!$D$5:$D$104,MATCH($B78,Properties!$A$5:$A$104,0)),"-"))</f>
        <v/>
      </c>
      <c r="M78" s="28" t="str">
        <f aca="false">IF(OR($A78="",N($E78)=0),"",$F78/$E78)</f>
        <v/>
      </c>
      <c r="N78" s="28" t="str">
        <f aca="false">IF($A78="","",IF($H78="Y",$F78*(1+Settings!$B$3),0))</f>
        <v/>
      </c>
      <c r="O78" s="27" t="str">
        <f aca="false">IF($A78="","",IF(AND($H78="Y",$G78&lt;&gt;"Restock",N($M78)&gt;Settings!$B$4,$I78&lt;&gt;"Y"),"Get host OK",IF(AND($H78="Y",$F78&gt;Settings!$B$5,$I78&lt;&gt;"Y"),"Host should pay upfront",IF($J78&lt;&gt;"Y","Save receipt","OK"))))</f>
        <v/>
      </c>
      <c r="P78" s="29" t="str">
        <f aca="false">IF($A78="","",DATE(YEAR($A78),MONTH($A78),1))</f>
        <v/>
      </c>
      <c r="Q78" s="31" t="str">
        <f aca="false">IF($A78="","",IF(AND($L78='Invoice Builder'!$C$5,$P78='Invoice Builder'!$C$6,N($N78)&gt;0),COUNTIFS($L$5:$L78,'Invoice Builder'!$C$5,$P$5:$P78,'Invoice Builder'!$C$6,$N$5:$N78,"&gt;0"),""))</f>
        <v/>
      </c>
      <c r="R78" s="27" t="str">
        <f aca="false">IF($A78="","",IF($A78&gt;=DATE(YEAR($A78),4,6),YEAR($A78)&amp;"/"&amp;RIGHT(YEAR($A78)+1,2),YEAR($A78)-1&amp;"/"&amp;RIGHT(YEAR($A78),2)))</f>
        <v/>
      </c>
    </row>
    <row r="79" customFormat="false" ht="15" hidden="false" customHeight="false" outlineLevel="0" collapsed="false">
      <c r="A79" s="22"/>
      <c r="B79" s="23"/>
      <c r="C79" s="23"/>
      <c r="D79" s="23"/>
      <c r="E79" s="32"/>
      <c r="F79" s="25"/>
      <c r="G79" s="23"/>
      <c r="H79" s="23"/>
      <c r="I79" s="23"/>
      <c r="J79" s="23"/>
      <c r="K79" s="23"/>
      <c r="L79" s="27" t="str">
        <f aca="false">IF($B79="","",IFERROR(INDEX(Properties!$D$5:$D$104,MATCH($B79,Properties!$A$5:$A$104,0)),"-"))</f>
        <v/>
      </c>
      <c r="M79" s="28" t="str">
        <f aca="false">IF(OR($A79="",N($E79)=0),"",$F79/$E79)</f>
        <v/>
      </c>
      <c r="N79" s="28" t="str">
        <f aca="false">IF($A79="","",IF($H79="Y",$F79*(1+Settings!$B$3),0))</f>
        <v/>
      </c>
      <c r="O79" s="27" t="str">
        <f aca="false">IF($A79="","",IF(AND($H79="Y",$G79&lt;&gt;"Restock",N($M79)&gt;Settings!$B$4,$I79&lt;&gt;"Y"),"Get host OK",IF(AND($H79="Y",$F79&gt;Settings!$B$5,$I79&lt;&gt;"Y"),"Host should pay upfront",IF($J79&lt;&gt;"Y","Save receipt","OK"))))</f>
        <v/>
      </c>
      <c r="P79" s="29" t="str">
        <f aca="false">IF($A79="","",DATE(YEAR($A79),MONTH($A79),1))</f>
        <v/>
      </c>
      <c r="Q79" s="31" t="str">
        <f aca="false">IF($A79="","",IF(AND($L79='Invoice Builder'!$C$5,$P79='Invoice Builder'!$C$6,N($N79)&gt;0),COUNTIFS($L$5:$L79,'Invoice Builder'!$C$5,$P$5:$P79,'Invoice Builder'!$C$6,$N$5:$N79,"&gt;0"),""))</f>
        <v/>
      </c>
      <c r="R79" s="27" t="str">
        <f aca="false">IF($A79="","",IF($A79&gt;=DATE(YEAR($A79),4,6),YEAR($A79)&amp;"/"&amp;RIGHT(YEAR($A79)+1,2),YEAR($A79)-1&amp;"/"&amp;RIGHT(YEAR($A79),2)))</f>
        <v/>
      </c>
    </row>
    <row r="80" customFormat="false" ht="15" hidden="false" customHeight="false" outlineLevel="0" collapsed="false">
      <c r="A80" s="22"/>
      <c r="B80" s="23"/>
      <c r="C80" s="23"/>
      <c r="D80" s="23"/>
      <c r="E80" s="32"/>
      <c r="F80" s="25"/>
      <c r="G80" s="23"/>
      <c r="H80" s="23"/>
      <c r="I80" s="23"/>
      <c r="J80" s="23"/>
      <c r="K80" s="23"/>
      <c r="L80" s="27" t="str">
        <f aca="false">IF($B80="","",IFERROR(INDEX(Properties!$D$5:$D$104,MATCH($B80,Properties!$A$5:$A$104,0)),"-"))</f>
        <v/>
      </c>
      <c r="M80" s="28" t="str">
        <f aca="false">IF(OR($A80="",N($E80)=0),"",$F80/$E80)</f>
        <v/>
      </c>
      <c r="N80" s="28" t="str">
        <f aca="false">IF($A80="","",IF($H80="Y",$F80*(1+Settings!$B$3),0))</f>
        <v/>
      </c>
      <c r="O80" s="27" t="str">
        <f aca="false">IF($A80="","",IF(AND($H80="Y",$G80&lt;&gt;"Restock",N($M80)&gt;Settings!$B$4,$I80&lt;&gt;"Y"),"Get host OK",IF(AND($H80="Y",$F80&gt;Settings!$B$5,$I80&lt;&gt;"Y"),"Host should pay upfront",IF($J80&lt;&gt;"Y","Save receipt","OK"))))</f>
        <v/>
      </c>
      <c r="P80" s="29" t="str">
        <f aca="false">IF($A80="","",DATE(YEAR($A80),MONTH($A80),1))</f>
        <v/>
      </c>
      <c r="Q80" s="31" t="str">
        <f aca="false">IF($A80="","",IF(AND($L80='Invoice Builder'!$C$5,$P80='Invoice Builder'!$C$6,N($N80)&gt;0),COUNTIFS($L$5:$L80,'Invoice Builder'!$C$5,$P$5:$P80,'Invoice Builder'!$C$6,$N$5:$N80,"&gt;0"),""))</f>
        <v/>
      </c>
      <c r="R80" s="27" t="str">
        <f aca="false">IF($A80="","",IF($A80&gt;=DATE(YEAR($A80),4,6),YEAR($A80)&amp;"/"&amp;RIGHT(YEAR($A80)+1,2),YEAR($A80)-1&amp;"/"&amp;RIGHT(YEAR($A80),2)))</f>
        <v/>
      </c>
    </row>
    <row r="81" customFormat="false" ht="15" hidden="false" customHeight="false" outlineLevel="0" collapsed="false">
      <c r="A81" s="22"/>
      <c r="B81" s="23"/>
      <c r="C81" s="23"/>
      <c r="D81" s="23"/>
      <c r="E81" s="32"/>
      <c r="F81" s="25"/>
      <c r="G81" s="23"/>
      <c r="H81" s="23"/>
      <c r="I81" s="23"/>
      <c r="J81" s="23"/>
      <c r="K81" s="23"/>
      <c r="L81" s="27" t="str">
        <f aca="false">IF($B81="","",IFERROR(INDEX(Properties!$D$5:$D$104,MATCH($B81,Properties!$A$5:$A$104,0)),"-"))</f>
        <v/>
      </c>
      <c r="M81" s="28" t="str">
        <f aca="false">IF(OR($A81="",N($E81)=0),"",$F81/$E81)</f>
        <v/>
      </c>
      <c r="N81" s="28" t="str">
        <f aca="false">IF($A81="","",IF($H81="Y",$F81*(1+Settings!$B$3),0))</f>
        <v/>
      </c>
      <c r="O81" s="27" t="str">
        <f aca="false">IF($A81="","",IF(AND($H81="Y",$G81&lt;&gt;"Restock",N($M81)&gt;Settings!$B$4,$I81&lt;&gt;"Y"),"Get host OK",IF(AND($H81="Y",$F81&gt;Settings!$B$5,$I81&lt;&gt;"Y"),"Host should pay upfront",IF($J81&lt;&gt;"Y","Save receipt","OK"))))</f>
        <v/>
      </c>
      <c r="P81" s="29" t="str">
        <f aca="false">IF($A81="","",DATE(YEAR($A81),MONTH($A81),1))</f>
        <v/>
      </c>
      <c r="Q81" s="31" t="str">
        <f aca="false">IF($A81="","",IF(AND($L81='Invoice Builder'!$C$5,$P81='Invoice Builder'!$C$6,N($N81)&gt;0),COUNTIFS($L$5:$L81,'Invoice Builder'!$C$5,$P$5:$P81,'Invoice Builder'!$C$6,$N$5:$N81,"&gt;0"),""))</f>
        <v/>
      </c>
      <c r="R81" s="27" t="str">
        <f aca="false">IF($A81="","",IF($A81&gt;=DATE(YEAR($A81),4,6),YEAR($A81)&amp;"/"&amp;RIGHT(YEAR($A81)+1,2),YEAR($A81)-1&amp;"/"&amp;RIGHT(YEAR($A81),2)))</f>
        <v/>
      </c>
    </row>
    <row r="82" customFormat="false" ht="15" hidden="false" customHeight="false" outlineLevel="0" collapsed="false">
      <c r="A82" s="22"/>
      <c r="B82" s="23"/>
      <c r="C82" s="23"/>
      <c r="D82" s="23"/>
      <c r="E82" s="32"/>
      <c r="F82" s="25"/>
      <c r="G82" s="23"/>
      <c r="H82" s="23"/>
      <c r="I82" s="23"/>
      <c r="J82" s="23"/>
      <c r="K82" s="23"/>
      <c r="L82" s="27" t="str">
        <f aca="false">IF($B82="","",IFERROR(INDEX(Properties!$D$5:$D$104,MATCH($B82,Properties!$A$5:$A$104,0)),"-"))</f>
        <v/>
      </c>
      <c r="M82" s="28" t="str">
        <f aca="false">IF(OR($A82="",N($E82)=0),"",$F82/$E82)</f>
        <v/>
      </c>
      <c r="N82" s="28" t="str">
        <f aca="false">IF($A82="","",IF($H82="Y",$F82*(1+Settings!$B$3),0))</f>
        <v/>
      </c>
      <c r="O82" s="27" t="str">
        <f aca="false">IF($A82="","",IF(AND($H82="Y",$G82&lt;&gt;"Restock",N($M82)&gt;Settings!$B$4,$I82&lt;&gt;"Y"),"Get host OK",IF(AND($H82="Y",$F82&gt;Settings!$B$5,$I82&lt;&gt;"Y"),"Host should pay upfront",IF($J82&lt;&gt;"Y","Save receipt","OK"))))</f>
        <v/>
      </c>
      <c r="P82" s="29" t="str">
        <f aca="false">IF($A82="","",DATE(YEAR($A82),MONTH($A82),1))</f>
        <v/>
      </c>
      <c r="Q82" s="31" t="str">
        <f aca="false">IF($A82="","",IF(AND($L82='Invoice Builder'!$C$5,$P82='Invoice Builder'!$C$6,N($N82)&gt;0),COUNTIFS($L$5:$L82,'Invoice Builder'!$C$5,$P$5:$P82,'Invoice Builder'!$C$6,$N$5:$N82,"&gt;0"),""))</f>
        <v/>
      </c>
      <c r="R82" s="27" t="str">
        <f aca="false">IF($A82="","",IF($A82&gt;=DATE(YEAR($A82),4,6),YEAR($A82)&amp;"/"&amp;RIGHT(YEAR($A82)+1,2),YEAR($A82)-1&amp;"/"&amp;RIGHT(YEAR($A82),2)))</f>
        <v/>
      </c>
    </row>
    <row r="83" customFormat="false" ht="15" hidden="false" customHeight="false" outlineLevel="0" collapsed="false">
      <c r="A83" s="22"/>
      <c r="B83" s="23"/>
      <c r="C83" s="23"/>
      <c r="D83" s="23"/>
      <c r="E83" s="32"/>
      <c r="F83" s="25"/>
      <c r="G83" s="23"/>
      <c r="H83" s="23"/>
      <c r="I83" s="23"/>
      <c r="J83" s="23"/>
      <c r="K83" s="23"/>
      <c r="L83" s="27" t="str">
        <f aca="false">IF($B83="","",IFERROR(INDEX(Properties!$D$5:$D$104,MATCH($B83,Properties!$A$5:$A$104,0)),"-"))</f>
        <v/>
      </c>
      <c r="M83" s="28" t="str">
        <f aca="false">IF(OR($A83="",N($E83)=0),"",$F83/$E83)</f>
        <v/>
      </c>
      <c r="N83" s="28" t="str">
        <f aca="false">IF($A83="","",IF($H83="Y",$F83*(1+Settings!$B$3),0))</f>
        <v/>
      </c>
      <c r="O83" s="27" t="str">
        <f aca="false">IF($A83="","",IF(AND($H83="Y",$G83&lt;&gt;"Restock",N($M83)&gt;Settings!$B$4,$I83&lt;&gt;"Y"),"Get host OK",IF(AND($H83="Y",$F83&gt;Settings!$B$5,$I83&lt;&gt;"Y"),"Host should pay upfront",IF($J83&lt;&gt;"Y","Save receipt","OK"))))</f>
        <v/>
      </c>
      <c r="P83" s="29" t="str">
        <f aca="false">IF($A83="","",DATE(YEAR($A83),MONTH($A83),1))</f>
        <v/>
      </c>
      <c r="Q83" s="31" t="str">
        <f aca="false">IF($A83="","",IF(AND($L83='Invoice Builder'!$C$5,$P83='Invoice Builder'!$C$6,N($N83)&gt;0),COUNTIFS($L$5:$L83,'Invoice Builder'!$C$5,$P$5:$P83,'Invoice Builder'!$C$6,$N$5:$N83,"&gt;0"),""))</f>
        <v/>
      </c>
      <c r="R83" s="27" t="str">
        <f aca="false">IF($A83="","",IF($A83&gt;=DATE(YEAR($A83),4,6),YEAR($A83)&amp;"/"&amp;RIGHT(YEAR($A83)+1,2),YEAR($A83)-1&amp;"/"&amp;RIGHT(YEAR($A83),2)))</f>
        <v/>
      </c>
    </row>
    <row r="84" customFormat="false" ht="15" hidden="false" customHeight="false" outlineLevel="0" collapsed="false">
      <c r="A84" s="22"/>
      <c r="B84" s="23"/>
      <c r="C84" s="23"/>
      <c r="D84" s="23"/>
      <c r="E84" s="32"/>
      <c r="F84" s="25"/>
      <c r="G84" s="23"/>
      <c r="H84" s="23"/>
      <c r="I84" s="23"/>
      <c r="J84" s="23"/>
      <c r="K84" s="23"/>
      <c r="L84" s="27" t="str">
        <f aca="false">IF($B84="","",IFERROR(INDEX(Properties!$D$5:$D$104,MATCH($B84,Properties!$A$5:$A$104,0)),"-"))</f>
        <v/>
      </c>
      <c r="M84" s="28" t="str">
        <f aca="false">IF(OR($A84="",N($E84)=0),"",$F84/$E84)</f>
        <v/>
      </c>
      <c r="N84" s="28" t="str">
        <f aca="false">IF($A84="","",IF($H84="Y",$F84*(1+Settings!$B$3),0))</f>
        <v/>
      </c>
      <c r="O84" s="27" t="str">
        <f aca="false">IF($A84="","",IF(AND($H84="Y",$G84&lt;&gt;"Restock",N($M84)&gt;Settings!$B$4,$I84&lt;&gt;"Y"),"Get host OK",IF(AND($H84="Y",$F84&gt;Settings!$B$5,$I84&lt;&gt;"Y"),"Host should pay upfront",IF($J84&lt;&gt;"Y","Save receipt","OK"))))</f>
        <v/>
      </c>
      <c r="P84" s="29" t="str">
        <f aca="false">IF($A84="","",DATE(YEAR($A84),MONTH($A84),1))</f>
        <v/>
      </c>
      <c r="Q84" s="31" t="str">
        <f aca="false">IF($A84="","",IF(AND($L84='Invoice Builder'!$C$5,$P84='Invoice Builder'!$C$6,N($N84)&gt;0),COUNTIFS($L$5:$L84,'Invoice Builder'!$C$5,$P$5:$P84,'Invoice Builder'!$C$6,$N$5:$N84,"&gt;0"),""))</f>
        <v/>
      </c>
      <c r="R84" s="27" t="str">
        <f aca="false">IF($A84="","",IF($A84&gt;=DATE(YEAR($A84),4,6),YEAR($A84)&amp;"/"&amp;RIGHT(YEAR($A84)+1,2),YEAR($A84)-1&amp;"/"&amp;RIGHT(YEAR($A84),2)))</f>
        <v/>
      </c>
    </row>
    <row r="85" customFormat="false" ht="15" hidden="false" customHeight="false" outlineLevel="0" collapsed="false">
      <c r="A85" s="22"/>
      <c r="B85" s="23"/>
      <c r="C85" s="23"/>
      <c r="D85" s="23"/>
      <c r="E85" s="32"/>
      <c r="F85" s="25"/>
      <c r="G85" s="23"/>
      <c r="H85" s="23"/>
      <c r="I85" s="23"/>
      <c r="J85" s="23"/>
      <c r="K85" s="23"/>
      <c r="L85" s="27" t="str">
        <f aca="false">IF($B85="","",IFERROR(INDEX(Properties!$D$5:$D$104,MATCH($B85,Properties!$A$5:$A$104,0)),"-"))</f>
        <v/>
      </c>
      <c r="M85" s="28" t="str">
        <f aca="false">IF(OR($A85="",N($E85)=0),"",$F85/$E85)</f>
        <v/>
      </c>
      <c r="N85" s="28" t="str">
        <f aca="false">IF($A85="","",IF($H85="Y",$F85*(1+Settings!$B$3),0))</f>
        <v/>
      </c>
      <c r="O85" s="27" t="str">
        <f aca="false">IF($A85="","",IF(AND($H85="Y",$G85&lt;&gt;"Restock",N($M85)&gt;Settings!$B$4,$I85&lt;&gt;"Y"),"Get host OK",IF(AND($H85="Y",$F85&gt;Settings!$B$5,$I85&lt;&gt;"Y"),"Host should pay upfront",IF($J85&lt;&gt;"Y","Save receipt","OK"))))</f>
        <v/>
      </c>
      <c r="P85" s="29" t="str">
        <f aca="false">IF($A85="","",DATE(YEAR($A85),MONTH($A85),1))</f>
        <v/>
      </c>
      <c r="Q85" s="31" t="str">
        <f aca="false">IF($A85="","",IF(AND($L85='Invoice Builder'!$C$5,$P85='Invoice Builder'!$C$6,N($N85)&gt;0),COUNTIFS($L$5:$L85,'Invoice Builder'!$C$5,$P$5:$P85,'Invoice Builder'!$C$6,$N$5:$N85,"&gt;0"),""))</f>
        <v/>
      </c>
      <c r="R85" s="27" t="str">
        <f aca="false">IF($A85="","",IF($A85&gt;=DATE(YEAR($A85),4,6),YEAR($A85)&amp;"/"&amp;RIGHT(YEAR($A85)+1,2),YEAR($A85)-1&amp;"/"&amp;RIGHT(YEAR($A85),2)))</f>
        <v/>
      </c>
    </row>
    <row r="86" customFormat="false" ht="15" hidden="false" customHeight="false" outlineLevel="0" collapsed="false">
      <c r="A86" s="22"/>
      <c r="B86" s="23"/>
      <c r="C86" s="23"/>
      <c r="D86" s="23"/>
      <c r="E86" s="32"/>
      <c r="F86" s="25"/>
      <c r="G86" s="23"/>
      <c r="H86" s="23"/>
      <c r="I86" s="23"/>
      <c r="J86" s="23"/>
      <c r="K86" s="23"/>
      <c r="L86" s="27" t="str">
        <f aca="false">IF($B86="","",IFERROR(INDEX(Properties!$D$5:$D$104,MATCH($B86,Properties!$A$5:$A$104,0)),"-"))</f>
        <v/>
      </c>
      <c r="M86" s="28" t="str">
        <f aca="false">IF(OR($A86="",N($E86)=0),"",$F86/$E86)</f>
        <v/>
      </c>
      <c r="N86" s="28" t="str">
        <f aca="false">IF($A86="","",IF($H86="Y",$F86*(1+Settings!$B$3),0))</f>
        <v/>
      </c>
      <c r="O86" s="27" t="str">
        <f aca="false">IF($A86="","",IF(AND($H86="Y",$G86&lt;&gt;"Restock",N($M86)&gt;Settings!$B$4,$I86&lt;&gt;"Y"),"Get host OK",IF(AND($H86="Y",$F86&gt;Settings!$B$5,$I86&lt;&gt;"Y"),"Host should pay upfront",IF($J86&lt;&gt;"Y","Save receipt","OK"))))</f>
        <v/>
      </c>
      <c r="P86" s="29" t="str">
        <f aca="false">IF($A86="","",DATE(YEAR($A86),MONTH($A86),1))</f>
        <v/>
      </c>
      <c r="Q86" s="31" t="str">
        <f aca="false">IF($A86="","",IF(AND($L86='Invoice Builder'!$C$5,$P86='Invoice Builder'!$C$6,N($N86)&gt;0),COUNTIFS($L$5:$L86,'Invoice Builder'!$C$5,$P$5:$P86,'Invoice Builder'!$C$6,$N$5:$N86,"&gt;0"),""))</f>
        <v/>
      </c>
      <c r="R86" s="27" t="str">
        <f aca="false">IF($A86="","",IF($A86&gt;=DATE(YEAR($A86),4,6),YEAR($A86)&amp;"/"&amp;RIGHT(YEAR($A86)+1,2),YEAR($A86)-1&amp;"/"&amp;RIGHT(YEAR($A86),2)))</f>
        <v/>
      </c>
    </row>
    <row r="87" customFormat="false" ht="15" hidden="false" customHeight="false" outlineLevel="0" collapsed="false">
      <c r="A87" s="22"/>
      <c r="B87" s="23"/>
      <c r="C87" s="23"/>
      <c r="D87" s="23"/>
      <c r="E87" s="32"/>
      <c r="F87" s="25"/>
      <c r="G87" s="23"/>
      <c r="H87" s="23"/>
      <c r="I87" s="23"/>
      <c r="J87" s="23"/>
      <c r="K87" s="23"/>
      <c r="L87" s="27" t="str">
        <f aca="false">IF($B87="","",IFERROR(INDEX(Properties!$D$5:$D$104,MATCH($B87,Properties!$A$5:$A$104,0)),"-"))</f>
        <v/>
      </c>
      <c r="M87" s="28" t="str">
        <f aca="false">IF(OR($A87="",N($E87)=0),"",$F87/$E87)</f>
        <v/>
      </c>
      <c r="N87" s="28" t="str">
        <f aca="false">IF($A87="","",IF($H87="Y",$F87*(1+Settings!$B$3),0))</f>
        <v/>
      </c>
      <c r="O87" s="27" t="str">
        <f aca="false">IF($A87="","",IF(AND($H87="Y",$G87&lt;&gt;"Restock",N($M87)&gt;Settings!$B$4,$I87&lt;&gt;"Y"),"Get host OK",IF(AND($H87="Y",$F87&gt;Settings!$B$5,$I87&lt;&gt;"Y"),"Host should pay upfront",IF($J87&lt;&gt;"Y","Save receipt","OK"))))</f>
        <v/>
      </c>
      <c r="P87" s="29" t="str">
        <f aca="false">IF($A87="","",DATE(YEAR($A87),MONTH($A87),1))</f>
        <v/>
      </c>
      <c r="Q87" s="31" t="str">
        <f aca="false">IF($A87="","",IF(AND($L87='Invoice Builder'!$C$5,$P87='Invoice Builder'!$C$6,N($N87)&gt;0),COUNTIFS($L$5:$L87,'Invoice Builder'!$C$5,$P$5:$P87,'Invoice Builder'!$C$6,$N$5:$N87,"&gt;0"),""))</f>
        <v/>
      </c>
      <c r="R87" s="27" t="str">
        <f aca="false">IF($A87="","",IF($A87&gt;=DATE(YEAR($A87),4,6),YEAR($A87)&amp;"/"&amp;RIGHT(YEAR($A87)+1,2),YEAR($A87)-1&amp;"/"&amp;RIGHT(YEAR($A87),2)))</f>
        <v/>
      </c>
    </row>
    <row r="88" customFormat="false" ht="15" hidden="false" customHeight="false" outlineLevel="0" collapsed="false">
      <c r="A88" s="22"/>
      <c r="B88" s="23"/>
      <c r="C88" s="23"/>
      <c r="D88" s="23"/>
      <c r="E88" s="32"/>
      <c r="F88" s="25"/>
      <c r="G88" s="23"/>
      <c r="H88" s="23"/>
      <c r="I88" s="23"/>
      <c r="J88" s="23"/>
      <c r="K88" s="23"/>
      <c r="L88" s="27" t="str">
        <f aca="false">IF($B88="","",IFERROR(INDEX(Properties!$D$5:$D$104,MATCH($B88,Properties!$A$5:$A$104,0)),"-"))</f>
        <v/>
      </c>
      <c r="M88" s="28" t="str">
        <f aca="false">IF(OR($A88="",N($E88)=0),"",$F88/$E88)</f>
        <v/>
      </c>
      <c r="N88" s="28" t="str">
        <f aca="false">IF($A88="","",IF($H88="Y",$F88*(1+Settings!$B$3),0))</f>
        <v/>
      </c>
      <c r="O88" s="27" t="str">
        <f aca="false">IF($A88="","",IF(AND($H88="Y",$G88&lt;&gt;"Restock",N($M88)&gt;Settings!$B$4,$I88&lt;&gt;"Y"),"Get host OK",IF(AND($H88="Y",$F88&gt;Settings!$B$5,$I88&lt;&gt;"Y"),"Host should pay upfront",IF($J88&lt;&gt;"Y","Save receipt","OK"))))</f>
        <v/>
      </c>
      <c r="P88" s="29" t="str">
        <f aca="false">IF($A88="","",DATE(YEAR($A88),MONTH($A88),1))</f>
        <v/>
      </c>
      <c r="Q88" s="31" t="str">
        <f aca="false">IF($A88="","",IF(AND($L88='Invoice Builder'!$C$5,$P88='Invoice Builder'!$C$6,N($N88)&gt;0),COUNTIFS($L$5:$L88,'Invoice Builder'!$C$5,$P$5:$P88,'Invoice Builder'!$C$6,$N$5:$N88,"&gt;0"),""))</f>
        <v/>
      </c>
      <c r="R88" s="27" t="str">
        <f aca="false">IF($A88="","",IF($A88&gt;=DATE(YEAR($A88),4,6),YEAR($A88)&amp;"/"&amp;RIGHT(YEAR($A88)+1,2),YEAR($A88)-1&amp;"/"&amp;RIGHT(YEAR($A88),2)))</f>
        <v/>
      </c>
    </row>
    <row r="89" customFormat="false" ht="15" hidden="false" customHeight="false" outlineLevel="0" collapsed="false">
      <c r="A89" s="22"/>
      <c r="B89" s="23"/>
      <c r="C89" s="23"/>
      <c r="D89" s="23"/>
      <c r="E89" s="32"/>
      <c r="F89" s="25"/>
      <c r="G89" s="23"/>
      <c r="H89" s="23"/>
      <c r="I89" s="23"/>
      <c r="J89" s="23"/>
      <c r="K89" s="23"/>
      <c r="L89" s="27" t="str">
        <f aca="false">IF($B89="","",IFERROR(INDEX(Properties!$D$5:$D$104,MATCH($B89,Properties!$A$5:$A$104,0)),"-"))</f>
        <v/>
      </c>
      <c r="M89" s="28" t="str">
        <f aca="false">IF(OR($A89="",N($E89)=0),"",$F89/$E89)</f>
        <v/>
      </c>
      <c r="N89" s="28" t="str">
        <f aca="false">IF($A89="","",IF($H89="Y",$F89*(1+Settings!$B$3),0))</f>
        <v/>
      </c>
      <c r="O89" s="27" t="str">
        <f aca="false">IF($A89="","",IF(AND($H89="Y",$G89&lt;&gt;"Restock",N($M89)&gt;Settings!$B$4,$I89&lt;&gt;"Y"),"Get host OK",IF(AND($H89="Y",$F89&gt;Settings!$B$5,$I89&lt;&gt;"Y"),"Host should pay upfront",IF($J89&lt;&gt;"Y","Save receipt","OK"))))</f>
        <v/>
      </c>
      <c r="P89" s="29" t="str">
        <f aca="false">IF($A89="","",DATE(YEAR($A89),MONTH($A89),1))</f>
        <v/>
      </c>
      <c r="Q89" s="31" t="str">
        <f aca="false">IF($A89="","",IF(AND($L89='Invoice Builder'!$C$5,$P89='Invoice Builder'!$C$6,N($N89)&gt;0),COUNTIFS($L$5:$L89,'Invoice Builder'!$C$5,$P$5:$P89,'Invoice Builder'!$C$6,$N$5:$N89,"&gt;0"),""))</f>
        <v/>
      </c>
      <c r="R89" s="27" t="str">
        <f aca="false">IF($A89="","",IF($A89&gt;=DATE(YEAR($A89),4,6),YEAR($A89)&amp;"/"&amp;RIGHT(YEAR($A89)+1,2),YEAR($A89)-1&amp;"/"&amp;RIGHT(YEAR($A89),2)))</f>
        <v/>
      </c>
    </row>
    <row r="90" customFormat="false" ht="15" hidden="false" customHeight="false" outlineLevel="0" collapsed="false">
      <c r="A90" s="22"/>
      <c r="B90" s="23"/>
      <c r="C90" s="23"/>
      <c r="D90" s="23"/>
      <c r="E90" s="32"/>
      <c r="F90" s="25"/>
      <c r="G90" s="23"/>
      <c r="H90" s="23"/>
      <c r="I90" s="23"/>
      <c r="J90" s="23"/>
      <c r="K90" s="23"/>
      <c r="L90" s="27" t="str">
        <f aca="false">IF($B90="","",IFERROR(INDEX(Properties!$D$5:$D$104,MATCH($B90,Properties!$A$5:$A$104,0)),"-"))</f>
        <v/>
      </c>
      <c r="M90" s="28" t="str">
        <f aca="false">IF(OR($A90="",N($E90)=0),"",$F90/$E90)</f>
        <v/>
      </c>
      <c r="N90" s="28" t="str">
        <f aca="false">IF($A90="","",IF($H90="Y",$F90*(1+Settings!$B$3),0))</f>
        <v/>
      </c>
      <c r="O90" s="27" t="str">
        <f aca="false">IF($A90="","",IF(AND($H90="Y",$G90&lt;&gt;"Restock",N($M90)&gt;Settings!$B$4,$I90&lt;&gt;"Y"),"Get host OK",IF(AND($H90="Y",$F90&gt;Settings!$B$5,$I90&lt;&gt;"Y"),"Host should pay upfront",IF($J90&lt;&gt;"Y","Save receipt","OK"))))</f>
        <v/>
      </c>
      <c r="P90" s="29" t="str">
        <f aca="false">IF($A90="","",DATE(YEAR($A90),MONTH($A90),1))</f>
        <v/>
      </c>
      <c r="Q90" s="31" t="str">
        <f aca="false">IF($A90="","",IF(AND($L90='Invoice Builder'!$C$5,$P90='Invoice Builder'!$C$6,N($N90)&gt;0),COUNTIFS($L$5:$L90,'Invoice Builder'!$C$5,$P$5:$P90,'Invoice Builder'!$C$6,$N$5:$N90,"&gt;0"),""))</f>
        <v/>
      </c>
      <c r="R90" s="27" t="str">
        <f aca="false">IF($A90="","",IF($A90&gt;=DATE(YEAR($A90),4,6),YEAR($A90)&amp;"/"&amp;RIGHT(YEAR($A90)+1,2),YEAR($A90)-1&amp;"/"&amp;RIGHT(YEAR($A90),2)))</f>
        <v/>
      </c>
    </row>
    <row r="91" customFormat="false" ht="15" hidden="false" customHeight="false" outlineLevel="0" collapsed="false">
      <c r="A91" s="22"/>
      <c r="B91" s="23"/>
      <c r="C91" s="23"/>
      <c r="D91" s="23"/>
      <c r="E91" s="32"/>
      <c r="F91" s="25"/>
      <c r="G91" s="23"/>
      <c r="H91" s="23"/>
      <c r="I91" s="23"/>
      <c r="J91" s="23"/>
      <c r="K91" s="23"/>
      <c r="L91" s="27" t="str">
        <f aca="false">IF($B91="","",IFERROR(INDEX(Properties!$D$5:$D$104,MATCH($B91,Properties!$A$5:$A$104,0)),"-"))</f>
        <v/>
      </c>
      <c r="M91" s="28" t="str">
        <f aca="false">IF(OR($A91="",N($E91)=0),"",$F91/$E91)</f>
        <v/>
      </c>
      <c r="N91" s="28" t="str">
        <f aca="false">IF($A91="","",IF($H91="Y",$F91*(1+Settings!$B$3),0))</f>
        <v/>
      </c>
      <c r="O91" s="27" t="str">
        <f aca="false">IF($A91="","",IF(AND($H91="Y",$G91&lt;&gt;"Restock",N($M91)&gt;Settings!$B$4,$I91&lt;&gt;"Y"),"Get host OK",IF(AND($H91="Y",$F91&gt;Settings!$B$5,$I91&lt;&gt;"Y"),"Host should pay upfront",IF($J91&lt;&gt;"Y","Save receipt","OK"))))</f>
        <v/>
      </c>
      <c r="P91" s="29" t="str">
        <f aca="false">IF($A91="","",DATE(YEAR($A91),MONTH($A91),1))</f>
        <v/>
      </c>
      <c r="Q91" s="31" t="str">
        <f aca="false">IF($A91="","",IF(AND($L91='Invoice Builder'!$C$5,$P91='Invoice Builder'!$C$6,N($N91)&gt;0),COUNTIFS($L$5:$L91,'Invoice Builder'!$C$5,$P$5:$P91,'Invoice Builder'!$C$6,$N$5:$N91,"&gt;0"),""))</f>
        <v/>
      </c>
      <c r="R91" s="27" t="str">
        <f aca="false">IF($A91="","",IF($A91&gt;=DATE(YEAR($A91),4,6),YEAR($A91)&amp;"/"&amp;RIGHT(YEAR($A91)+1,2),YEAR($A91)-1&amp;"/"&amp;RIGHT(YEAR($A91),2)))</f>
        <v/>
      </c>
    </row>
    <row r="92" customFormat="false" ht="15" hidden="false" customHeight="false" outlineLevel="0" collapsed="false">
      <c r="A92" s="22"/>
      <c r="B92" s="23"/>
      <c r="C92" s="23"/>
      <c r="D92" s="23"/>
      <c r="E92" s="32"/>
      <c r="F92" s="25"/>
      <c r="G92" s="23"/>
      <c r="H92" s="23"/>
      <c r="I92" s="23"/>
      <c r="J92" s="23"/>
      <c r="K92" s="23"/>
      <c r="L92" s="27" t="str">
        <f aca="false">IF($B92="","",IFERROR(INDEX(Properties!$D$5:$D$104,MATCH($B92,Properties!$A$5:$A$104,0)),"-"))</f>
        <v/>
      </c>
      <c r="M92" s="28" t="str">
        <f aca="false">IF(OR($A92="",N($E92)=0),"",$F92/$E92)</f>
        <v/>
      </c>
      <c r="N92" s="28" t="str">
        <f aca="false">IF($A92="","",IF($H92="Y",$F92*(1+Settings!$B$3),0))</f>
        <v/>
      </c>
      <c r="O92" s="27" t="str">
        <f aca="false">IF($A92="","",IF(AND($H92="Y",$G92&lt;&gt;"Restock",N($M92)&gt;Settings!$B$4,$I92&lt;&gt;"Y"),"Get host OK",IF(AND($H92="Y",$F92&gt;Settings!$B$5,$I92&lt;&gt;"Y"),"Host should pay upfront",IF($J92&lt;&gt;"Y","Save receipt","OK"))))</f>
        <v/>
      </c>
      <c r="P92" s="29" t="str">
        <f aca="false">IF($A92="","",DATE(YEAR($A92),MONTH($A92),1))</f>
        <v/>
      </c>
      <c r="Q92" s="31" t="str">
        <f aca="false">IF($A92="","",IF(AND($L92='Invoice Builder'!$C$5,$P92='Invoice Builder'!$C$6,N($N92)&gt;0),COUNTIFS($L$5:$L92,'Invoice Builder'!$C$5,$P$5:$P92,'Invoice Builder'!$C$6,$N$5:$N92,"&gt;0"),""))</f>
        <v/>
      </c>
      <c r="R92" s="27" t="str">
        <f aca="false">IF($A92="","",IF($A92&gt;=DATE(YEAR($A92),4,6),YEAR($A92)&amp;"/"&amp;RIGHT(YEAR($A92)+1,2),YEAR($A92)-1&amp;"/"&amp;RIGHT(YEAR($A92),2)))</f>
        <v/>
      </c>
    </row>
    <row r="93" customFormat="false" ht="15" hidden="false" customHeight="false" outlineLevel="0" collapsed="false">
      <c r="A93" s="22"/>
      <c r="B93" s="23"/>
      <c r="C93" s="23"/>
      <c r="D93" s="23"/>
      <c r="E93" s="32"/>
      <c r="F93" s="25"/>
      <c r="G93" s="23"/>
      <c r="H93" s="23"/>
      <c r="I93" s="23"/>
      <c r="J93" s="23"/>
      <c r="K93" s="23"/>
      <c r="L93" s="27" t="str">
        <f aca="false">IF($B93="","",IFERROR(INDEX(Properties!$D$5:$D$104,MATCH($B93,Properties!$A$5:$A$104,0)),"-"))</f>
        <v/>
      </c>
      <c r="M93" s="28" t="str">
        <f aca="false">IF(OR($A93="",N($E93)=0),"",$F93/$E93)</f>
        <v/>
      </c>
      <c r="N93" s="28" t="str">
        <f aca="false">IF($A93="","",IF($H93="Y",$F93*(1+Settings!$B$3),0))</f>
        <v/>
      </c>
      <c r="O93" s="27" t="str">
        <f aca="false">IF($A93="","",IF(AND($H93="Y",$G93&lt;&gt;"Restock",N($M93)&gt;Settings!$B$4,$I93&lt;&gt;"Y"),"Get host OK",IF(AND($H93="Y",$F93&gt;Settings!$B$5,$I93&lt;&gt;"Y"),"Host should pay upfront",IF($J93&lt;&gt;"Y","Save receipt","OK"))))</f>
        <v/>
      </c>
      <c r="P93" s="29" t="str">
        <f aca="false">IF($A93="","",DATE(YEAR($A93),MONTH($A93),1))</f>
        <v/>
      </c>
      <c r="Q93" s="31" t="str">
        <f aca="false">IF($A93="","",IF(AND($L93='Invoice Builder'!$C$5,$P93='Invoice Builder'!$C$6,N($N93)&gt;0),COUNTIFS($L$5:$L93,'Invoice Builder'!$C$5,$P$5:$P93,'Invoice Builder'!$C$6,$N$5:$N93,"&gt;0"),""))</f>
        <v/>
      </c>
      <c r="R93" s="27" t="str">
        <f aca="false">IF($A93="","",IF($A93&gt;=DATE(YEAR($A93),4,6),YEAR($A93)&amp;"/"&amp;RIGHT(YEAR($A93)+1,2),YEAR($A93)-1&amp;"/"&amp;RIGHT(YEAR($A93),2)))</f>
        <v/>
      </c>
    </row>
    <row r="94" customFormat="false" ht="15" hidden="false" customHeight="false" outlineLevel="0" collapsed="false">
      <c r="A94" s="22"/>
      <c r="B94" s="23"/>
      <c r="C94" s="23"/>
      <c r="D94" s="23"/>
      <c r="E94" s="32"/>
      <c r="F94" s="25"/>
      <c r="G94" s="23"/>
      <c r="H94" s="23"/>
      <c r="I94" s="23"/>
      <c r="J94" s="23"/>
      <c r="K94" s="23"/>
      <c r="L94" s="27" t="str">
        <f aca="false">IF($B94="","",IFERROR(INDEX(Properties!$D$5:$D$104,MATCH($B94,Properties!$A$5:$A$104,0)),"-"))</f>
        <v/>
      </c>
      <c r="M94" s="28" t="str">
        <f aca="false">IF(OR($A94="",N($E94)=0),"",$F94/$E94)</f>
        <v/>
      </c>
      <c r="N94" s="28" t="str">
        <f aca="false">IF($A94="","",IF($H94="Y",$F94*(1+Settings!$B$3),0))</f>
        <v/>
      </c>
      <c r="O94" s="27" t="str">
        <f aca="false">IF($A94="","",IF(AND($H94="Y",$G94&lt;&gt;"Restock",N($M94)&gt;Settings!$B$4,$I94&lt;&gt;"Y"),"Get host OK",IF(AND($H94="Y",$F94&gt;Settings!$B$5,$I94&lt;&gt;"Y"),"Host should pay upfront",IF($J94&lt;&gt;"Y","Save receipt","OK"))))</f>
        <v/>
      </c>
      <c r="P94" s="29" t="str">
        <f aca="false">IF($A94="","",DATE(YEAR($A94),MONTH($A94),1))</f>
        <v/>
      </c>
      <c r="Q94" s="31" t="str">
        <f aca="false">IF($A94="","",IF(AND($L94='Invoice Builder'!$C$5,$P94='Invoice Builder'!$C$6,N($N94)&gt;0),COUNTIFS($L$5:$L94,'Invoice Builder'!$C$5,$P$5:$P94,'Invoice Builder'!$C$6,$N$5:$N94,"&gt;0"),""))</f>
        <v/>
      </c>
      <c r="R94" s="27" t="str">
        <f aca="false">IF($A94="","",IF($A94&gt;=DATE(YEAR($A94),4,6),YEAR($A94)&amp;"/"&amp;RIGHT(YEAR($A94)+1,2),YEAR($A94)-1&amp;"/"&amp;RIGHT(YEAR($A94),2)))</f>
        <v/>
      </c>
    </row>
    <row r="95" customFormat="false" ht="15" hidden="false" customHeight="false" outlineLevel="0" collapsed="false">
      <c r="A95" s="22"/>
      <c r="B95" s="23"/>
      <c r="C95" s="23"/>
      <c r="D95" s="23"/>
      <c r="E95" s="32"/>
      <c r="F95" s="25"/>
      <c r="G95" s="23"/>
      <c r="H95" s="23"/>
      <c r="I95" s="23"/>
      <c r="J95" s="23"/>
      <c r="K95" s="23"/>
      <c r="L95" s="27" t="str">
        <f aca="false">IF($B95="","",IFERROR(INDEX(Properties!$D$5:$D$104,MATCH($B95,Properties!$A$5:$A$104,0)),"-"))</f>
        <v/>
      </c>
      <c r="M95" s="28" t="str">
        <f aca="false">IF(OR($A95="",N($E95)=0),"",$F95/$E95)</f>
        <v/>
      </c>
      <c r="N95" s="28" t="str">
        <f aca="false">IF($A95="","",IF($H95="Y",$F95*(1+Settings!$B$3),0))</f>
        <v/>
      </c>
      <c r="O95" s="27" t="str">
        <f aca="false">IF($A95="","",IF(AND($H95="Y",$G95&lt;&gt;"Restock",N($M95)&gt;Settings!$B$4,$I95&lt;&gt;"Y"),"Get host OK",IF(AND($H95="Y",$F95&gt;Settings!$B$5,$I95&lt;&gt;"Y"),"Host should pay upfront",IF($J95&lt;&gt;"Y","Save receipt","OK"))))</f>
        <v/>
      </c>
      <c r="P95" s="29" t="str">
        <f aca="false">IF($A95="","",DATE(YEAR($A95),MONTH($A95),1))</f>
        <v/>
      </c>
      <c r="Q95" s="31" t="str">
        <f aca="false">IF($A95="","",IF(AND($L95='Invoice Builder'!$C$5,$P95='Invoice Builder'!$C$6,N($N95)&gt;0),COUNTIFS($L$5:$L95,'Invoice Builder'!$C$5,$P$5:$P95,'Invoice Builder'!$C$6,$N$5:$N95,"&gt;0"),""))</f>
        <v/>
      </c>
      <c r="R95" s="27" t="str">
        <f aca="false">IF($A95="","",IF($A95&gt;=DATE(YEAR($A95),4,6),YEAR($A95)&amp;"/"&amp;RIGHT(YEAR($A95)+1,2),YEAR($A95)-1&amp;"/"&amp;RIGHT(YEAR($A95),2)))</f>
        <v/>
      </c>
    </row>
    <row r="96" customFormat="false" ht="15" hidden="false" customHeight="false" outlineLevel="0" collapsed="false">
      <c r="A96" s="22"/>
      <c r="B96" s="23"/>
      <c r="C96" s="23"/>
      <c r="D96" s="23"/>
      <c r="E96" s="32"/>
      <c r="F96" s="25"/>
      <c r="G96" s="23"/>
      <c r="H96" s="23"/>
      <c r="I96" s="23"/>
      <c r="J96" s="23"/>
      <c r="K96" s="23"/>
      <c r="L96" s="27" t="str">
        <f aca="false">IF($B96="","",IFERROR(INDEX(Properties!$D$5:$D$104,MATCH($B96,Properties!$A$5:$A$104,0)),"-"))</f>
        <v/>
      </c>
      <c r="M96" s="28" t="str">
        <f aca="false">IF(OR($A96="",N($E96)=0),"",$F96/$E96)</f>
        <v/>
      </c>
      <c r="N96" s="28" t="str">
        <f aca="false">IF($A96="","",IF($H96="Y",$F96*(1+Settings!$B$3),0))</f>
        <v/>
      </c>
      <c r="O96" s="27" t="str">
        <f aca="false">IF($A96="","",IF(AND($H96="Y",$G96&lt;&gt;"Restock",N($M96)&gt;Settings!$B$4,$I96&lt;&gt;"Y"),"Get host OK",IF(AND($H96="Y",$F96&gt;Settings!$B$5,$I96&lt;&gt;"Y"),"Host should pay upfront",IF($J96&lt;&gt;"Y","Save receipt","OK"))))</f>
        <v/>
      </c>
      <c r="P96" s="29" t="str">
        <f aca="false">IF($A96="","",DATE(YEAR($A96),MONTH($A96),1))</f>
        <v/>
      </c>
      <c r="Q96" s="31" t="str">
        <f aca="false">IF($A96="","",IF(AND($L96='Invoice Builder'!$C$5,$P96='Invoice Builder'!$C$6,N($N96)&gt;0),COUNTIFS($L$5:$L96,'Invoice Builder'!$C$5,$P$5:$P96,'Invoice Builder'!$C$6,$N$5:$N96,"&gt;0"),""))</f>
        <v/>
      </c>
      <c r="R96" s="27" t="str">
        <f aca="false">IF($A96="","",IF($A96&gt;=DATE(YEAR($A96),4,6),YEAR($A96)&amp;"/"&amp;RIGHT(YEAR($A96)+1,2),YEAR($A96)-1&amp;"/"&amp;RIGHT(YEAR($A96),2)))</f>
        <v/>
      </c>
    </row>
    <row r="97" customFormat="false" ht="15" hidden="false" customHeight="false" outlineLevel="0" collapsed="false">
      <c r="A97" s="22"/>
      <c r="B97" s="23"/>
      <c r="C97" s="23"/>
      <c r="D97" s="23"/>
      <c r="E97" s="32"/>
      <c r="F97" s="25"/>
      <c r="G97" s="23"/>
      <c r="H97" s="23"/>
      <c r="I97" s="23"/>
      <c r="J97" s="23"/>
      <c r="K97" s="23"/>
      <c r="L97" s="27" t="str">
        <f aca="false">IF($B97="","",IFERROR(INDEX(Properties!$D$5:$D$104,MATCH($B97,Properties!$A$5:$A$104,0)),"-"))</f>
        <v/>
      </c>
      <c r="M97" s="28" t="str">
        <f aca="false">IF(OR($A97="",N($E97)=0),"",$F97/$E97)</f>
        <v/>
      </c>
      <c r="N97" s="28" t="str">
        <f aca="false">IF($A97="","",IF($H97="Y",$F97*(1+Settings!$B$3),0))</f>
        <v/>
      </c>
      <c r="O97" s="27" t="str">
        <f aca="false">IF($A97="","",IF(AND($H97="Y",$G97&lt;&gt;"Restock",N($M97)&gt;Settings!$B$4,$I97&lt;&gt;"Y"),"Get host OK",IF(AND($H97="Y",$F97&gt;Settings!$B$5,$I97&lt;&gt;"Y"),"Host should pay upfront",IF($J97&lt;&gt;"Y","Save receipt","OK"))))</f>
        <v/>
      </c>
      <c r="P97" s="29" t="str">
        <f aca="false">IF($A97="","",DATE(YEAR($A97),MONTH($A97),1))</f>
        <v/>
      </c>
      <c r="Q97" s="31" t="str">
        <f aca="false">IF($A97="","",IF(AND($L97='Invoice Builder'!$C$5,$P97='Invoice Builder'!$C$6,N($N97)&gt;0),COUNTIFS($L$5:$L97,'Invoice Builder'!$C$5,$P$5:$P97,'Invoice Builder'!$C$6,$N$5:$N97,"&gt;0"),""))</f>
        <v/>
      </c>
      <c r="R97" s="27" t="str">
        <f aca="false">IF($A97="","",IF($A97&gt;=DATE(YEAR($A97),4,6),YEAR($A97)&amp;"/"&amp;RIGHT(YEAR($A97)+1,2),YEAR($A97)-1&amp;"/"&amp;RIGHT(YEAR($A97),2)))</f>
        <v/>
      </c>
    </row>
    <row r="98" customFormat="false" ht="15" hidden="false" customHeight="false" outlineLevel="0" collapsed="false">
      <c r="A98" s="22"/>
      <c r="B98" s="23"/>
      <c r="C98" s="23"/>
      <c r="D98" s="23"/>
      <c r="E98" s="32"/>
      <c r="F98" s="25"/>
      <c r="G98" s="23"/>
      <c r="H98" s="23"/>
      <c r="I98" s="23"/>
      <c r="J98" s="23"/>
      <c r="K98" s="23"/>
      <c r="L98" s="27" t="str">
        <f aca="false">IF($B98="","",IFERROR(INDEX(Properties!$D$5:$D$104,MATCH($B98,Properties!$A$5:$A$104,0)),"-"))</f>
        <v/>
      </c>
      <c r="M98" s="28" t="str">
        <f aca="false">IF(OR($A98="",N($E98)=0),"",$F98/$E98)</f>
        <v/>
      </c>
      <c r="N98" s="28" t="str">
        <f aca="false">IF($A98="","",IF($H98="Y",$F98*(1+Settings!$B$3),0))</f>
        <v/>
      </c>
      <c r="O98" s="27" t="str">
        <f aca="false">IF($A98="","",IF(AND($H98="Y",$G98&lt;&gt;"Restock",N($M98)&gt;Settings!$B$4,$I98&lt;&gt;"Y"),"Get host OK",IF(AND($H98="Y",$F98&gt;Settings!$B$5,$I98&lt;&gt;"Y"),"Host should pay upfront",IF($J98&lt;&gt;"Y","Save receipt","OK"))))</f>
        <v/>
      </c>
      <c r="P98" s="29" t="str">
        <f aca="false">IF($A98="","",DATE(YEAR($A98),MONTH($A98),1))</f>
        <v/>
      </c>
      <c r="Q98" s="31" t="str">
        <f aca="false">IF($A98="","",IF(AND($L98='Invoice Builder'!$C$5,$P98='Invoice Builder'!$C$6,N($N98)&gt;0),COUNTIFS($L$5:$L98,'Invoice Builder'!$C$5,$P$5:$P98,'Invoice Builder'!$C$6,$N$5:$N98,"&gt;0"),""))</f>
        <v/>
      </c>
      <c r="R98" s="27" t="str">
        <f aca="false">IF($A98="","",IF($A98&gt;=DATE(YEAR($A98),4,6),YEAR($A98)&amp;"/"&amp;RIGHT(YEAR($A98)+1,2),YEAR($A98)-1&amp;"/"&amp;RIGHT(YEAR($A98),2)))</f>
        <v/>
      </c>
    </row>
    <row r="99" customFormat="false" ht="15" hidden="false" customHeight="false" outlineLevel="0" collapsed="false">
      <c r="A99" s="22"/>
      <c r="B99" s="23"/>
      <c r="C99" s="23"/>
      <c r="D99" s="23"/>
      <c r="E99" s="32"/>
      <c r="F99" s="25"/>
      <c r="G99" s="23"/>
      <c r="H99" s="23"/>
      <c r="I99" s="23"/>
      <c r="J99" s="23"/>
      <c r="K99" s="23"/>
      <c r="L99" s="27" t="str">
        <f aca="false">IF($B99="","",IFERROR(INDEX(Properties!$D$5:$D$104,MATCH($B99,Properties!$A$5:$A$104,0)),"-"))</f>
        <v/>
      </c>
      <c r="M99" s="28" t="str">
        <f aca="false">IF(OR($A99="",N($E99)=0),"",$F99/$E99)</f>
        <v/>
      </c>
      <c r="N99" s="28" t="str">
        <f aca="false">IF($A99="","",IF($H99="Y",$F99*(1+Settings!$B$3),0))</f>
        <v/>
      </c>
      <c r="O99" s="27" t="str">
        <f aca="false">IF($A99="","",IF(AND($H99="Y",$G99&lt;&gt;"Restock",N($M99)&gt;Settings!$B$4,$I99&lt;&gt;"Y"),"Get host OK",IF(AND($H99="Y",$F99&gt;Settings!$B$5,$I99&lt;&gt;"Y"),"Host should pay upfront",IF($J99&lt;&gt;"Y","Save receipt","OK"))))</f>
        <v/>
      </c>
      <c r="P99" s="29" t="str">
        <f aca="false">IF($A99="","",DATE(YEAR($A99),MONTH($A99),1))</f>
        <v/>
      </c>
      <c r="Q99" s="31" t="str">
        <f aca="false">IF($A99="","",IF(AND($L99='Invoice Builder'!$C$5,$P99='Invoice Builder'!$C$6,N($N99)&gt;0),COUNTIFS($L$5:$L99,'Invoice Builder'!$C$5,$P$5:$P99,'Invoice Builder'!$C$6,$N$5:$N99,"&gt;0"),""))</f>
        <v/>
      </c>
      <c r="R99" s="27" t="str">
        <f aca="false">IF($A99="","",IF($A99&gt;=DATE(YEAR($A99),4,6),YEAR($A99)&amp;"/"&amp;RIGHT(YEAR($A99)+1,2),YEAR($A99)-1&amp;"/"&amp;RIGHT(YEAR($A99),2)))</f>
        <v/>
      </c>
    </row>
    <row r="100" customFormat="false" ht="15" hidden="false" customHeight="false" outlineLevel="0" collapsed="false">
      <c r="A100" s="22"/>
      <c r="B100" s="23"/>
      <c r="C100" s="23"/>
      <c r="D100" s="23"/>
      <c r="E100" s="32"/>
      <c r="F100" s="25"/>
      <c r="G100" s="23"/>
      <c r="H100" s="23"/>
      <c r="I100" s="23"/>
      <c r="J100" s="23"/>
      <c r="K100" s="23"/>
      <c r="L100" s="27" t="str">
        <f aca="false">IF($B100="","",IFERROR(INDEX(Properties!$D$5:$D$104,MATCH($B100,Properties!$A$5:$A$104,0)),"-"))</f>
        <v/>
      </c>
      <c r="M100" s="28" t="str">
        <f aca="false">IF(OR($A100="",N($E100)=0),"",$F100/$E100)</f>
        <v/>
      </c>
      <c r="N100" s="28" t="str">
        <f aca="false">IF($A100="","",IF($H100="Y",$F100*(1+Settings!$B$3),0))</f>
        <v/>
      </c>
      <c r="O100" s="27" t="str">
        <f aca="false">IF($A100="","",IF(AND($H100="Y",$G100&lt;&gt;"Restock",N($M100)&gt;Settings!$B$4,$I100&lt;&gt;"Y"),"Get host OK",IF(AND($H100="Y",$F100&gt;Settings!$B$5,$I100&lt;&gt;"Y"),"Host should pay upfront",IF($J100&lt;&gt;"Y","Save receipt","OK"))))</f>
        <v/>
      </c>
      <c r="P100" s="29" t="str">
        <f aca="false">IF($A100="","",DATE(YEAR($A100),MONTH($A100),1))</f>
        <v/>
      </c>
      <c r="Q100" s="31" t="str">
        <f aca="false">IF($A100="","",IF(AND($L100='Invoice Builder'!$C$5,$P100='Invoice Builder'!$C$6,N($N100)&gt;0),COUNTIFS($L$5:$L100,'Invoice Builder'!$C$5,$P$5:$P100,'Invoice Builder'!$C$6,$N$5:$N100,"&gt;0"),""))</f>
        <v/>
      </c>
      <c r="R100" s="27" t="str">
        <f aca="false">IF($A100="","",IF($A100&gt;=DATE(YEAR($A100),4,6),YEAR($A100)&amp;"/"&amp;RIGHT(YEAR($A100)+1,2),YEAR($A100)-1&amp;"/"&amp;RIGHT(YEAR($A100),2)))</f>
        <v/>
      </c>
    </row>
    <row r="101" customFormat="false" ht="15" hidden="false" customHeight="false" outlineLevel="0" collapsed="false">
      <c r="A101" s="22"/>
      <c r="B101" s="23"/>
      <c r="C101" s="23"/>
      <c r="D101" s="23"/>
      <c r="E101" s="32"/>
      <c r="F101" s="25"/>
      <c r="G101" s="23"/>
      <c r="H101" s="23"/>
      <c r="I101" s="23"/>
      <c r="J101" s="23"/>
      <c r="K101" s="23"/>
      <c r="L101" s="27" t="str">
        <f aca="false">IF($B101="","",IFERROR(INDEX(Properties!$D$5:$D$104,MATCH($B101,Properties!$A$5:$A$104,0)),"-"))</f>
        <v/>
      </c>
      <c r="M101" s="28" t="str">
        <f aca="false">IF(OR($A101="",N($E101)=0),"",$F101/$E101)</f>
        <v/>
      </c>
      <c r="N101" s="28" t="str">
        <f aca="false">IF($A101="","",IF($H101="Y",$F101*(1+Settings!$B$3),0))</f>
        <v/>
      </c>
      <c r="O101" s="27" t="str">
        <f aca="false">IF($A101="","",IF(AND($H101="Y",$G101&lt;&gt;"Restock",N($M101)&gt;Settings!$B$4,$I101&lt;&gt;"Y"),"Get host OK",IF(AND($H101="Y",$F101&gt;Settings!$B$5,$I101&lt;&gt;"Y"),"Host should pay upfront",IF($J101&lt;&gt;"Y","Save receipt","OK"))))</f>
        <v/>
      </c>
      <c r="P101" s="29" t="str">
        <f aca="false">IF($A101="","",DATE(YEAR($A101),MONTH($A101),1))</f>
        <v/>
      </c>
      <c r="Q101" s="31" t="str">
        <f aca="false">IF($A101="","",IF(AND($L101='Invoice Builder'!$C$5,$P101='Invoice Builder'!$C$6,N($N101)&gt;0),COUNTIFS($L$5:$L101,'Invoice Builder'!$C$5,$P$5:$P101,'Invoice Builder'!$C$6,$N$5:$N101,"&gt;0"),""))</f>
        <v/>
      </c>
      <c r="R101" s="27" t="str">
        <f aca="false">IF($A101="","",IF($A101&gt;=DATE(YEAR($A101),4,6),YEAR($A101)&amp;"/"&amp;RIGHT(YEAR($A101)+1,2),YEAR($A101)-1&amp;"/"&amp;RIGHT(YEAR($A101),2)))</f>
        <v/>
      </c>
    </row>
    <row r="102" customFormat="false" ht="15" hidden="false" customHeight="false" outlineLevel="0" collapsed="false">
      <c r="A102" s="22"/>
      <c r="B102" s="23"/>
      <c r="C102" s="23"/>
      <c r="D102" s="23"/>
      <c r="E102" s="32"/>
      <c r="F102" s="25"/>
      <c r="G102" s="23"/>
      <c r="H102" s="23"/>
      <c r="I102" s="23"/>
      <c r="J102" s="23"/>
      <c r="K102" s="23"/>
      <c r="L102" s="27" t="str">
        <f aca="false">IF($B102="","",IFERROR(INDEX(Properties!$D$5:$D$104,MATCH($B102,Properties!$A$5:$A$104,0)),"-"))</f>
        <v/>
      </c>
      <c r="M102" s="28" t="str">
        <f aca="false">IF(OR($A102="",N($E102)=0),"",$F102/$E102)</f>
        <v/>
      </c>
      <c r="N102" s="28" t="str">
        <f aca="false">IF($A102="","",IF($H102="Y",$F102*(1+Settings!$B$3),0))</f>
        <v/>
      </c>
      <c r="O102" s="27" t="str">
        <f aca="false">IF($A102="","",IF(AND($H102="Y",$G102&lt;&gt;"Restock",N($M102)&gt;Settings!$B$4,$I102&lt;&gt;"Y"),"Get host OK",IF(AND($H102="Y",$F102&gt;Settings!$B$5,$I102&lt;&gt;"Y"),"Host should pay upfront",IF($J102&lt;&gt;"Y","Save receipt","OK"))))</f>
        <v/>
      </c>
      <c r="P102" s="29" t="str">
        <f aca="false">IF($A102="","",DATE(YEAR($A102),MONTH($A102),1))</f>
        <v/>
      </c>
      <c r="Q102" s="31" t="str">
        <f aca="false">IF($A102="","",IF(AND($L102='Invoice Builder'!$C$5,$P102='Invoice Builder'!$C$6,N($N102)&gt;0),COUNTIFS($L$5:$L102,'Invoice Builder'!$C$5,$P$5:$P102,'Invoice Builder'!$C$6,$N$5:$N102,"&gt;0"),""))</f>
        <v/>
      </c>
      <c r="R102" s="27" t="str">
        <f aca="false">IF($A102="","",IF($A102&gt;=DATE(YEAR($A102),4,6),YEAR($A102)&amp;"/"&amp;RIGHT(YEAR($A102)+1,2),YEAR($A102)-1&amp;"/"&amp;RIGHT(YEAR($A102),2)))</f>
        <v/>
      </c>
    </row>
    <row r="103" customFormat="false" ht="15" hidden="false" customHeight="false" outlineLevel="0" collapsed="false">
      <c r="A103" s="22"/>
      <c r="B103" s="23"/>
      <c r="C103" s="23"/>
      <c r="D103" s="23"/>
      <c r="E103" s="32"/>
      <c r="F103" s="25"/>
      <c r="G103" s="23"/>
      <c r="H103" s="23"/>
      <c r="I103" s="23"/>
      <c r="J103" s="23"/>
      <c r="K103" s="23"/>
      <c r="L103" s="27" t="str">
        <f aca="false">IF($B103="","",IFERROR(INDEX(Properties!$D$5:$D$104,MATCH($B103,Properties!$A$5:$A$104,0)),"-"))</f>
        <v/>
      </c>
      <c r="M103" s="28" t="str">
        <f aca="false">IF(OR($A103="",N($E103)=0),"",$F103/$E103)</f>
        <v/>
      </c>
      <c r="N103" s="28" t="str">
        <f aca="false">IF($A103="","",IF($H103="Y",$F103*(1+Settings!$B$3),0))</f>
        <v/>
      </c>
      <c r="O103" s="27" t="str">
        <f aca="false">IF($A103="","",IF(AND($H103="Y",$G103&lt;&gt;"Restock",N($M103)&gt;Settings!$B$4,$I103&lt;&gt;"Y"),"Get host OK",IF(AND($H103="Y",$F103&gt;Settings!$B$5,$I103&lt;&gt;"Y"),"Host should pay upfront",IF($J103&lt;&gt;"Y","Save receipt","OK"))))</f>
        <v/>
      </c>
      <c r="P103" s="29" t="str">
        <f aca="false">IF($A103="","",DATE(YEAR($A103),MONTH($A103),1))</f>
        <v/>
      </c>
      <c r="Q103" s="31" t="str">
        <f aca="false">IF($A103="","",IF(AND($L103='Invoice Builder'!$C$5,$P103='Invoice Builder'!$C$6,N($N103)&gt;0),COUNTIFS($L$5:$L103,'Invoice Builder'!$C$5,$P$5:$P103,'Invoice Builder'!$C$6,$N$5:$N103,"&gt;0"),""))</f>
        <v/>
      </c>
      <c r="R103" s="27" t="str">
        <f aca="false">IF($A103="","",IF($A103&gt;=DATE(YEAR($A103),4,6),YEAR($A103)&amp;"/"&amp;RIGHT(YEAR($A103)+1,2),YEAR($A103)-1&amp;"/"&amp;RIGHT(YEAR($A103),2)))</f>
        <v/>
      </c>
    </row>
    <row r="104" customFormat="false" ht="15" hidden="false" customHeight="false" outlineLevel="0" collapsed="false">
      <c r="A104" s="22"/>
      <c r="B104" s="23"/>
      <c r="C104" s="23"/>
      <c r="D104" s="23"/>
      <c r="E104" s="32"/>
      <c r="F104" s="25"/>
      <c r="G104" s="23"/>
      <c r="H104" s="23"/>
      <c r="I104" s="23"/>
      <c r="J104" s="23"/>
      <c r="K104" s="23"/>
      <c r="L104" s="27" t="str">
        <f aca="false">IF($B104="","",IFERROR(INDEX(Properties!$D$5:$D$104,MATCH($B104,Properties!$A$5:$A$104,0)),"-"))</f>
        <v/>
      </c>
      <c r="M104" s="28" t="str">
        <f aca="false">IF(OR($A104="",N($E104)=0),"",$F104/$E104)</f>
        <v/>
      </c>
      <c r="N104" s="28" t="str">
        <f aca="false">IF($A104="","",IF($H104="Y",$F104*(1+Settings!$B$3),0))</f>
        <v/>
      </c>
      <c r="O104" s="27" t="str">
        <f aca="false">IF($A104="","",IF(AND($H104="Y",$G104&lt;&gt;"Restock",N($M104)&gt;Settings!$B$4,$I104&lt;&gt;"Y"),"Get host OK",IF(AND($H104="Y",$F104&gt;Settings!$B$5,$I104&lt;&gt;"Y"),"Host should pay upfront",IF($J104&lt;&gt;"Y","Save receipt","OK"))))</f>
        <v/>
      </c>
      <c r="P104" s="29" t="str">
        <f aca="false">IF($A104="","",DATE(YEAR($A104),MONTH($A104),1))</f>
        <v/>
      </c>
      <c r="Q104" s="31" t="str">
        <f aca="false">IF($A104="","",IF(AND($L104='Invoice Builder'!$C$5,$P104='Invoice Builder'!$C$6,N($N104)&gt;0),COUNTIFS($L$5:$L104,'Invoice Builder'!$C$5,$P$5:$P104,'Invoice Builder'!$C$6,$N$5:$N104,"&gt;0"),""))</f>
        <v/>
      </c>
      <c r="R104" s="27" t="str">
        <f aca="false">IF($A104="","",IF($A104&gt;=DATE(YEAR($A104),4,6),YEAR($A104)&amp;"/"&amp;RIGHT(YEAR($A104)+1,2),YEAR($A104)-1&amp;"/"&amp;RIGHT(YEAR($A104),2)))</f>
        <v/>
      </c>
    </row>
    <row r="105" customFormat="false" ht="15" hidden="false" customHeight="false" outlineLevel="0" collapsed="false">
      <c r="A105" s="22"/>
      <c r="B105" s="23"/>
      <c r="C105" s="23"/>
      <c r="D105" s="23"/>
      <c r="E105" s="32"/>
      <c r="F105" s="25"/>
      <c r="G105" s="23"/>
      <c r="H105" s="23"/>
      <c r="I105" s="23"/>
      <c r="J105" s="23"/>
      <c r="K105" s="23"/>
      <c r="L105" s="27" t="str">
        <f aca="false">IF($B105="","",IFERROR(INDEX(Properties!$D$5:$D$104,MATCH($B105,Properties!$A$5:$A$104,0)),"-"))</f>
        <v/>
      </c>
      <c r="M105" s="28" t="str">
        <f aca="false">IF(OR($A105="",N($E105)=0),"",$F105/$E105)</f>
        <v/>
      </c>
      <c r="N105" s="28" t="str">
        <f aca="false">IF($A105="","",IF($H105="Y",$F105*(1+Settings!$B$3),0))</f>
        <v/>
      </c>
      <c r="O105" s="27" t="str">
        <f aca="false">IF($A105="","",IF(AND($H105="Y",$G105&lt;&gt;"Restock",N($M105)&gt;Settings!$B$4,$I105&lt;&gt;"Y"),"Get host OK",IF(AND($H105="Y",$F105&gt;Settings!$B$5,$I105&lt;&gt;"Y"),"Host should pay upfront",IF($J105&lt;&gt;"Y","Save receipt","OK"))))</f>
        <v/>
      </c>
      <c r="P105" s="29" t="str">
        <f aca="false">IF($A105="","",DATE(YEAR($A105),MONTH($A105),1))</f>
        <v/>
      </c>
      <c r="Q105" s="31" t="str">
        <f aca="false">IF($A105="","",IF(AND($L105='Invoice Builder'!$C$5,$P105='Invoice Builder'!$C$6,N($N105)&gt;0),COUNTIFS($L$5:$L105,'Invoice Builder'!$C$5,$P$5:$P105,'Invoice Builder'!$C$6,$N$5:$N105,"&gt;0"),""))</f>
        <v/>
      </c>
      <c r="R105" s="27" t="str">
        <f aca="false">IF($A105="","",IF($A105&gt;=DATE(YEAR($A105),4,6),YEAR($A105)&amp;"/"&amp;RIGHT(YEAR($A105)+1,2),YEAR($A105)-1&amp;"/"&amp;RIGHT(YEAR($A105),2)))</f>
        <v/>
      </c>
    </row>
    <row r="106" customFormat="false" ht="15" hidden="false" customHeight="false" outlineLevel="0" collapsed="false">
      <c r="A106" s="22"/>
      <c r="B106" s="23"/>
      <c r="C106" s="23"/>
      <c r="D106" s="23"/>
      <c r="E106" s="32"/>
      <c r="F106" s="25"/>
      <c r="G106" s="23"/>
      <c r="H106" s="23"/>
      <c r="I106" s="23"/>
      <c r="J106" s="23"/>
      <c r="K106" s="23"/>
      <c r="L106" s="27" t="str">
        <f aca="false">IF($B106="","",IFERROR(INDEX(Properties!$D$5:$D$104,MATCH($B106,Properties!$A$5:$A$104,0)),"-"))</f>
        <v/>
      </c>
      <c r="M106" s="28" t="str">
        <f aca="false">IF(OR($A106="",N($E106)=0),"",$F106/$E106)</f>
        <v/>
      </c>
      <c r="N106" s="28" t="str">
        <f aca="false">IF($A106="","",IF($H106="Y",$F106*(1+Settings!$B$3),0))</f>
        <v/>
      </c>
      <c r="O106" s="27" t="str">
        <f aca="false">IF($A106="","",IF(AND($H106="Y",$G106&lt;&gt;"Restock",N($M106)&gt;Settings!$B$4,$I106&lt;&gt;"Y"),"Get host OK",IF(AND($H106="Y",$F106&gt;Settings!$B$5,$I106&lt;&gt;"Y"),"Host should pay upfront",IF($J106&lt;&gt;"Y","Save receipt","OK"))))</f>
        <v/>
      </c>
      <c r="P106" s="29" t="str">
        <f aca="false">IF($A106="","",DATE(YEAR($A106),MONTH($A106),1))</f>
        <v/>
      </c>
      <c r="Q106" s="31" t="str">
        <f aca="false">IF($A106="","",IF(AND($L106='Invoice Builder'!$C$5,$P106='Invoice Builder'!$C$6,N($N106)&gt;0),COUNTIFS($L$5:$L106,'Invoice Builder'!$C$5,$P$5:$P106,'Invoice Builder'!$C$6,$N$5:$N106,"&gt;0"),""))</f>
        <v/>
      </c>
      <c r="R106" s="27" t="str">
        <f aca="false">IF($A106="","",IF($A106&gt;=DATE(YEAR($A106),4,6),YEAR($A106)&amp;"/"&amp;RIGHT(YEAR($A106)+1,2),YEAR($A106)-1&amp;"/"&amp;RIGHT(YEAR($A106),2)))</f>
        <v/>
      </c>
    </row>
    <row r="107" customFormat="false" ht="15" hidden="false" customHeight="false" outlineLevel="0" collapsed="false">
      <c r="A107" s="22"/>
      <c r="B107" s="23"/>
      <c r="C107" s="23"/>
      <c r="D107" s="23"/>
      <c r="E107" s="32"/>
      <c r="F107" s="25"/>
      <c r="G107" s="23"/>
      <c r="H107" s="23"/>
      <c r="I107" s="23"/>
      <c r="J107" s="23"/>
      <c r="K107" s="23"/>
      <c r="L107" s="27" t="str">
        <f aca="false">IF($B107="","",IFERROR(INDEX(Properties!$D$5:$D$104,MATCH($B107,Properties!$A$5:$A$104,0)),"-"))</f>
        <v/>
      </c>
      <c r="M107" s="28" t="str">
        <f aca="false">IF(OR($A107="",N($E107)=0),"",$F107/$E107)</f>
        <v/>
      </c>
      <c r="N107" s="28" t="str">
        <f aca="false">IF($A107="","",IF($H107="Y",$F107*(1+Settings!$B$3),0))</f>
        <v/>
      </c>
      <c r="O107" s="27" t="str">
        <f aca="false">IF($A107="","",IF(AND($H107="Y",$G107&lt;&gt;"Restock",N($M107)&gt;Settings!$B$4,$I107&lt;&gt;"Y"),"Get host OK",IF(AND($H107="Y",$F107&gt;Settings!$B$5,$I107&lt;&gt;"Y"),"Host should pay upfront",IF($J107&lt;&gt;"Y","Save receipt","OK"))))</f>
        <v/>
      </c>
      <c r="P107" s="29" t="str">
        <f aca="false">IF($A107="","",DATE(YEAR($A107),MONTH($A107),1))</f>
        <v/>
      </c>
      <c r="Q107" s="31" t="str">
        <f aca="false">IF($A107="","",IF(AND($L107='Invoice Builder'!$C$5,$P107='Invoice Builder'!$C$6,N($N107)&gt;0),COUNTIFS($L$5:$L107,'Invoice Builder'!$C$5,$P$5:$P107,'Invoice Builder'!$C$6,$N$5:$N107,"&gt;0"),""))</f>
        <v/>
      </c>
      <c r="R107" s="27" t="str">
        <f aca="false">IF($A107="","",IF($A107&gt;=DATE(YEAR($A107),4,6),YEAR($A107)&amp;"/"&amp;RIGHT(YEAR($A107)+1,2),YEAR($A107)-1&amp;"/"&amp;RIGHT(YEAR($A107),2)))</f>
        <v/>
      </c>
    </row>
    <row r="108" customFormat="false" ht="15" hidden="false" customHeight="false" outlineLevel="0" collapsed="false">
      <c r="A108" s="22"/>
      <c r="B108" s="23"/>
      <c r="C108" s="23"/>
      <c r="D108" s="23"/>
      <c r="E108" s="32"/>
      <c r="F108" s="25"/>
      <c r="G108" s="23"/>
      <c r="H108" s="23"/>
      <c r="I108" s="23"/>
      <c r="J108" s="23"/>
      <c r="K108" s="23"/>
      <c r="L108" s="27" t="str">
        <f aca="false">IF($B108="","",IFERROR(INDEX(Properties!$D$5:$D$104,MATCH($B108,Properties!$A$5:$A$104,0)),"-"))</f>
        <v/>
      </c>
      <c r="M108" s="28" t="str">
        <f aca="false">IF(OR($A108="",N($E108)=0),"",$F108/$E108)</f>
        <v/>
      </c>
      <c r="N108" s="28" t="str">
        <f aca="false">IF($A108="","",IF($H108="Y",$F108*(1+Settings!$B$3),0))</f>
        <v/>
      </c>
      <c r="O108" s="27" t="str">
        <f aca="false">IF($A108="","",IF(AND($H108="Y",$G108&lt;&gt;"Restock",N($M108)&gt;Settings!$B$4,$I108&lt;&gt;"Y"),"Get host OK",IF(AND($H108="Y",$F108&gt;Settings!$B$5,$I108&lt;&gt;"Y"),"Host should pay upfront",IF($J108&lt;&gt;"Y","Save receipt","OK"))))</f>
        <v/>
      </c>
      <c r="P108" s="29" t="str">
        <f aca="false">IF($A108="","",DATE(YEAR($A108),MONTH($A108),1))</f>
        <v/>
      </c>
      <c r="Q108" s="31" t="str">
        <f aca="false">IF($A108="","",IF(AND($L108='Invoice Builder'!$C$5,$P108='Invoice Builder'!$C$6,N($N108)&gt;0),COUNTIFS($L$5:$L108,'Invoice Builder'!$C$5,$P$5:$P108,'Invoice Builder'!$C$6,$N$5:$N108,"&gt;0"),""))</f>
        <v/>
      </c>
      <c r="R108" s="27" t="str">
        <f aca="false">IF($A108="","",IF($A108&gt;=DATE(YEAR($A108),4,6),YEAR($A108)&amp;"/"&amp;RIGHT(YEAR($A108)+1,2),YEAR($A108)-1&amp;"/"&amp;RIGHT(YEAR($A108),2)))</f>
        <v/>
      </c>
    </row>
    <row r="109" customFormat="false" ht="15" hidden="false" customHeight="false" outlineLevel="0" collapsed="false">
      <c r="A109" s="22"/>
      <c r="B109" s="23"/>
      <c r="C109" s="23"/>
      <c r="D109" s="23"/>
      <c r="E109" s="32"/>
      <c r="F109" s="25"/>
      <c r="G109" s="23"/>
      <c r="H109" s="23"/>
      <c r="I109" s="23"/>
      <c r="J109" s="23"/>
      <c r="K109" s="23"/>
      <c r="L109" s="27" t="str">
        <f aca="false">IF($B109="","",IFERROR(INDEX(Properties!$D$5:$D$104,MATCH($B109,Properties!$A$5:$A$104,0)),"-"))</f>
        <v/>
      </c>
      <c r="M109" s="28" t="str">
        <f aca="false">IF(OR($A109="",N($E109)=0),"",$F109/$E109)</f>
        <v/>
      </c>
      <c r="N109" s="28" t="str">
        <f aca="false">IF($A109="","",IF($H109="Y",$F109*(1+Settings!$B$3),0))</f>
        <v/>
      </c>
      <c r="O109" s="27" t="str">
        <f aca="false">IF($A109="","",IF(AND($H109="Y",$G109&lt;&gt;"Restock",N($M109)&gt;Settings!$B$4,$I109&lt;&gt;"Y"),"Get host OK",IF(AND($H109="Y",$F109&gt;Settings!$B$5,$I109&lt;&gt;"Y"),"Host should pay upfront",IF($J109&lt;&gt;"Y","Save receipt","OK"))))</f>
        <v/>
      </c>
      <c r="P109" s="29" t="str">
        <f aca="false">IF($A109="","",DATE(YEAR($A109),MONTH($A109),1))</f>
        <v/>
      </c>
      <c r="Q109" s="31" t="str">
        <f aca="false">IF($A109="","",IF(AND($L109='Invoice Builder'!$C$5,$P109='Invoice Builder'!$C$6,N($N109)&gt;0),COUNTIFS($L$5:$L109,'Invoice Builder'!$C$5,$P$5:$P109,'Invoice Builder'!$C$6,$N$5:$N109,"&gt;0"),""))</f>
        <v/>
      </c>
      <c r="R109" s="27" t="str">
        <f aca="false">IF($A109="","",IF($A109&gt;=DATE(YEAR($A109),4,6),YEAR($A109)&amp;"/"&amp;RIGHT(YEAR($A109)+1,2),YEAR($A109)-1&amp;"/"&amp;RIGHT(YEAR($A109),2)))</f>
        <v/>
      </c>
    </row>
    <row r="110" customFormat="false" ht="15" hidden="false" customHeight="false" outlineLevel="0" collapsed="false">
      <c r="A110" s="22"/>
      <c r="B110" s="23"/>
      <c r="C110" s="23"/>
      <c r="D110" s="23"/>
      <c r="E110" s="32"/>
      <c r="F110" s="25"/>
      <c r="G110" s="23"/>
      <c r="H110" s="23"/>
      <c r="I110" s="23"/>
      <c r="J110" s="23"/>
      <c r="K110" s="23"/>
      <c r="L110" s="27" t="str">
        <f aca="false">IF($B110="","",IFERROR(INDEX(Properties!$D$5:$D$104,MATCH($B110,Properties!$A$5:$A$104,0)),"-"))</f>
        <v/>
      </c>
      <c r="M110" s="28" t="str">
        <f aca="false">IF(OR($A110="",N($E110)=0),"",$F110/$E110)</f>
        <v/>
      </c>
      <c r="N110" s="28" t="str">
        <f aca="false">IF($A110="","",IF($H110="Y",$F110*(1+Settings!$B$3),0))</f>
        <v/>
      </c>
      <c r="O110" s="27" t="str">
        <f aca="false">IF($A110="","",IF(AND($H110="Y",$G110&lt;&gt;"Restock",N($M110)&gt;Settings!$B$4,$I110&lt;&gt;"Y"),"Get host OK",IF(AND($H110="Y",$F110&gt;Settings!$B$5,$I110&lt;&gt;"Y"),"Host should pay upfront",IF($J110&lt;&gt;"Y","Save receipt","OK"))))</f>
        <v/>
      </c>
      <c r="P110" s="29" t="str">
        <f aca="false">IF($A110="","",DATE(YEAR($A110),MONTH($A110),1))</f>
        <v/>
      </c>
      <c r="Q110" s="31" t="str">
        <f aca="false">IF($A110="","",IF(AND($L110='Invoice Builder'!$C$5,$P110='Invoice Builder'!$C$6,N($N110)&gt;0),COUNTIFS($L$5:$L110,'Invoice Builder'!$C$5,$P$5:$P110,'Invoice Builder'!$C$6,$N$5:$N110,"&gt;0"),""))</f>
        <v/>
      </c>
      <c r="R110" s="27" t="str">
        <f aca="false">IF($A110="","",IF($A110&gt;=DATE(YEAR($A110),4,6),YEAR($A110)&amp;"/"&amp;RIGHT(YEAR($A110)+1,2),YEAR($A110)-1&amp;"/"&amp;RIGHT(YEAR($A110),2)))</f>
        <v/>
      </c>
    </row>
    <row r="111" customFormat="false" ht="15" hidden="false" customHeight="false" outlineLevel="0" collapsed="false">
      <c r="A111" s="22"/>
      <c r="B111" s="23"/>
      <c r="C111" s="23"/>
      <c r="D111" s="23"/>
      <c r="E111" s="32"/>
      <c r="F111" s="25"/>
      <c r="G111" s="23"/>
      <c r="H111" s="23"/>
      <c r="I111" s="23"/>
      <c r="J111" s="23"/>
      <c r="K111" s="23"/>
      <c r="L111" s="27" t="str">
        <f aca="false">IF($B111="","",IFERROR(INDEX(Properties!$D$5:$D$104,MATCH($B111,Properties!$A$5:$A$104,0)),"-"))</f>
        <v/>
      </c>
      <c r="M111" s="28" t="str">
        <f aca="false">IF(OR($A111="",N($E111)=0),"",$F111/$E111)</f>
        <v/>
      </c>
      <c r="N111" s="28" t="str">
        <f aca="false">IF($A111="","",IF($H111="Y",$F111*(1+Settings!$B$3),0))</f>
        <v/>
      </c>
      <c r="O111" s="27" t="str">
        <f aca="false">IF($A111="","",IF(AND($H111="Y",$G111&lt;&gt;"Restock",N($M111)&gt;Settings!$B$4,$I111&lt;&gt;"Y"),"Get host OK",IF(AND($H111="Y",$F111&gt;Settings!$B$5,$I111&lt;&gt;"Y"),"Host should pay upfront",IF($J111&lt;&gt;"Y","Save receipt","OK"))))</f>
        <v/>
      </c>
      <c r="P111" s="29" t="str">
        <f aca="false">IF($A111="","",DATE(YEAR($A111),MONTH($A111),1))</f>
        <v/>
      </c>
      <c r="Q111" s="31" t="str">
        <f aca="false">IF($A111="","",IF(AND($L111='Invoice Builder'!$C$5,$P111='Invoice Builder'!$C$6,N($N111)&gt;0),COUNTIFS($L$5:$L111,'Invoice Builder'!$C$5,$P$5:$P111,'Invoice Builder'!$C$6,$N$5:$N111,"&gt;0"),""))</f>
        <v/>
      </c>
      <c r="R111" s="27" t="str">
        <f aca="false">IF($A111="","",IF($A111&gt;=DATE(YEAR($A111),4,6),YEAR($A111)&amp;"/"&amp;RIGHT(YEAR($A111)+1,2),YEAR($A111)-1&amp;"/"&amp;RIGHT(YEAR($A111),2)))</f>
        <v/>
      </c>
    </row>
    <row r="112" customFormat="false" ht="15" hidden="false" customHeight="false" outlineLevel="0" collapsed="false">
      <c r="A112" s="22"/>
      <c r="B112" s="23"/>
      <c r="C112" s="23"/>
      <c r="D112" s="23"/>
      <c r="E112" s="32"/>
      <c r="F112" s="25"/>
      <c r="G112" s="23"/>
      <c r="H112" s="23"/>
      <c r="I112" s="23"/>
      <c r="J112" s="23"/>
      <c r="K112" s="23"/>
      <c r="L112" s="27" t="str">
        <f aca="false">IF($B112="","",IFERROR(INDEX(Properties!$D$5:$D$104,MATCH($B112,Properties!$A$5:$A$104,0)),"-"))</f>
        <v/>
      </c>
      <c r="M112" s="28" t="str">
        <f aca="false">IF(OR($A112="",N($E112)=0),"",$F112/$E112)</f>
        <v/>
      </c>
      <c r="N112" s="28" t="str">
        <f aca="false">IF($A112="","",IF($H112="Y",$F112*(1+Settings!$B$3),0))</f>
        <v/>
      </c>
      <c r="O112" s="27" t="str">
        <f aca="false">IF($A112="","",IF(AND($H112="Y",$G112&lt;&gt;"Restock",N($M112)&gt;Settings!$B$4,$I112&lt;&gt;"Y"),"Get host OK",IF(AND($H112="Y",$F112&gt;Settings!$B$5,$I112&lt;&gt;"Y"),"Host should pay upfront",IF($J112&lt;&gt;"Y","Save receipt","OK"))))</f>
        <v/>
      </c>
      <c r="P112" s="29" t="str">
        <f aca="false">IF($A112="","",DATE(YEAR($A112),MONTH($A112),1))</f>
        <v/>
      </c>
      <c r="Q112" s="31" t="str">
        <f aca="false">IF($A112="","",IF(AND($L112='Invoice Builder'!$C$5,$P112='Invoice Builder'!$C$6,N($N112)&gt;0),COUNTIFS($L$5:$L112,'Invoice Builder'!$C$5,$P$5:$P112,'Invoice Builder'!$C$6,$N$5:$N112,"&gt;0"),""))</f>
        <v/>
      </c>
      <c r="R112" s="27" t="str">
        <f aca="false">IF($A112="","",IF($A112&gt;=DATE(YEAR($A112),4,6),YEAR($A112)&amp;"/"&amp;RIGHT(YEAR($A112)+1,2),YEAR($A112)-1&amp;"/"&amp;RIGHT(YEAR($A112),2)))</f>
        <v/>
      </c>
    </row>
    <row r="113" customFormat="false" ht="15" hidden="false" customHeight="false" outlineLevel="0" collapsed="false">
      <c r="A113" s="22"/>
      <c r="B113" s="23"/>
      <c r="C113" s="23"/>
      <c r="D113" s="23"/>
      <c r="E113" s="32"/>
      <c r="F113" s="25"/>
      <c r="G113" s="23"/>
      <c r="H113" s="23"/>
      <c r="I113" s="23"/>
      <c r="J113" s="23"/>
      <c r="K113" s="23"/>
      <c r="L113" s="27" t="str">
        <f aca="false">IF($B113="","",IFERROR(INDEX(Properties!$D$5:$D$104,MATCH($B113,Properties!$A$5:$A$104,0)),"-"))</f>
        <v/>
      </c>
      <c r="M113" s="28" t="str">
        <f aca="false">IF(OR($A113="",N($E113)=0),"",$F113/$E113)</f>
        <v/>
      </c>
      <c r="N113" s="28" t="str">
        <f aca="false">IF($A113="","",IF($H113="Y",$F113*(1+Settings!$B$3),0))</f>
        <v/>
      </c>
      <c r="O113" s="27" t="str">
        <f aca="false">IF($A113="","",IF(AND($H113="Y",$G113&lt;&gt;"Restock",N($M113)&gt;Settings!$B$4,$I113&lt;&gt;"Y"),"Get host OK",IF(AND($H113="Y",$F113&gt;Settings!$B$5,$I113&lt;&gt;"Y"),"Host should pay upfront",IF($J113&lt;&gt;"Y","Save receipt","OK"))))</f>
        <v/>
      </c>
      <c r="P113" s="29" t="str">
        <f aca="false">IF($A113="","",DATE(YEAR($A113),MONTH($A113),1))</f>
        <v/>
      </c>
      <c r="Q113" s="31" t="str">
        <f aca="false">IF($A113="","",IF(AND($L113='Invoice Builder'!$C$5,$P113='Invoice Builder'!$C$6,N($N113)&gt;0),COUNTIFS($L$5:$L113,'Invoice Builder'!$C$5,$P$5:$P113,'Invoice Builder'!$C$6,$N$5:$N113,"&gt;0"),""))</f>
        <v/>
      </c>
      <c r="R113" s="27" t="str">
        <f aca="false">IF($A113="","",IF($A113&gt;=DATE(YEAR($A113),4,6),YEAR($A113)&amp;"/"&amp;RIGHT(YEAR($A113)+1,2),YEAR($A113)-1&amp;"/"&amp;RIGHT(YEAR($A113),2)))</f>
        <v/>
      </c>
    </row>
    <row r="114" customFormat="false" ht="15" hidden="false" customHeight="false" outlineLevel="0" collapsed="false">
      <c r="A114" s="22"/>
      <c r="B114" s="23"/>
      <c r="C114" s="23"/>
      <c r="D114" s="23"/>
      <c r="E114" s="32"/>
      <c r="F114" s="25"/>
      <c r="G114" s="23"/>
      <c r="H114" s="23"/>
      <c r="I114" s="23"/>
      <c r="J114" s="23"/>
      <c r="K114" s="23"/>
      <c r="L114" s="27" t="str">
        <f aca="false">IF($B114="","",IFERROR(INDEX(Properties!$D$5:$D$104,MATCH($B114,Properties!$A$5:$A$104,0)),"-"))</f>
        <v/>
      </c>
      <c r="M114" s="28" t="str">
        <f aca="false">IF(OR($A114="",N($E114)=0),"",$F114/$E114)</f>
        <v/>
      </c>
      <c r="N114" s="28" t="str">
        <f aca="false">IF($A114="","",IF($H114="Y",$F114*(1+Settings!$B$3),0))</f>
        <v/>
      </c>
      <c r="O114" s="27" t="str">
        <f aca="false">IF($A114="","",IF(AND($H114="Y",$G114&lt;&gt;"Restock",N($M114)&gt;Settings!$B$4,$I114&lt;&gt;"Y"),"Get host OK",IF(AND($H114="Y",$F114&gt;Settings!$B$5,$I114&lt;&gt;"Y"),"Host should pay upfront",IF($J114&lt;&gt;"Y","Save receipt","OK"))))</f>
        <v/>
      </c>
      <c r="P114" s="29" t="str">
        <f aca="false">IF($A114="","",DATE(YEAR($A114),MONTH($A114),1))</f>
        <v/>
      </c>
      <c r="Q114" s="31" t="str">
        <f aca="false">IF($A114="","",IF(AND($L114='Invoice Builder'!$C$5,$P114='Invoice Builder'!$C$6,N($N114)&gt;0),COUNTIFS($L$5:$L114,'Invoice Builder'!$C$5,$P$5:$P114,'Invoice Builder'!$C$6,$N$5:$N114,"&gt;0"),""))</f>
        <v/>
      </c>
      <c r="R114" s="27" t="str">
        <f aca="false">IF($A114="","",IF($A114&gt;=DATE(YEAR($A114),4,6),YEAR($A114)&amp;"/"&amp;RIGHT(YEAR($A114)+1,2),YEAR($A114)-1&amp;"/"&amp;RIGHT(YEAR($A114),2)))</f>
        <v/>
      </c>
    </row>
    <row r="115" customFormat="false" ht="15" hidden="false" customHeight="false" outlineLevel="0" collapsed="false">
      <c r="A115" s="22"/>
      <c r="B115" s="23"/>
      <c r="C115" s="23"/>
      <c r="D115" s="23"/>
      <c r="E115" s="32"/>
      <c r="F115" s="25"/>
      <c r="G115" s="23"/>
      <c r="H115" s="23"/>
      <c r="I115" s="23"/>
      <c r="J115" s="23"/>
      <c r="K115" s="23"/>
      <c r="L115" s="27" t="str">
        <f aca="false">IF($B115="","",IFERROR(INDEX(Properties!$D$5:$D$104,MATCH($B115,Properties!$A$5:$A$104,0)),"-"))</f>
        <v/>
      </c>
      <c r="M115" s="28" t="str">
        <f aca="false">IF(OR($A115="",N($E115)=0),"",$F115/$E115)</f>
        <v/>
      </c>
      <c r="N115" s="28" t="str">
        <f aca="false">IF($A115="","",IF($H115="Y",$F115*(1+Settings!$B$3),0))</f>
        <v/>
      </c>
      <c r="O115" s="27" t="str">
        <f aca="false">IF($A115="","",IF(AND($H115="Y",$G115&lt;&gt;"Restock",N($M115)&gt;Settings!$B$4,$I115&lt;&gt;"Y"),"Get host OK",IF(AND($H115="Y",$F115&gt;Settings!$B$5,$I115&lt;&gt;"Y"),"Host should pay upfront",IF($J115&lt;&gt;"Y","Save receipt","OK"))))</f>
        <v/>
      </c>
      <c r="P115" s="29" t="str">
        <f aca="false">IF($A115="","",DATE(YEAR($A115),MONTH($A115),1))</f>
        <v/>
      </c>
      <c r="Q115" s="31" t="str">
        <f aca="false">IF($A115="","",IF(AND($L115='Invoice Builder'!$C$5,$P115='Invoice Builder'!$C$6,N($N115)&gt;0),COUNTIFS($L$5:$L115,'Invoice Builder'!$C$5,$P$5:$P115,'Invoice Builder'!$C$6,$N$5:$N115,"&gt;0"),""))</f>
        <v/>
      </c>
      <c r="R115" s="27" t="str">
        <f aca="false">IF($A115="","",IF($A115&gt;=DATE(YEAR($A115),4,6),YEAR($A115)&amp;"/"&amp;RIGHT(YEAR($A115)+1,2),YEAR($A115)-1&amp;"/"&amp;RIGHT(YEAR($A115),2)))</f>
        <v/>
      </c>
    </row>
    <row r="116" customFormat="false" ht="15" hidden="false" customHeight="false" outlineLevel="0" collapsed="false">
      <c r="A116" s="22"/>
      <c r="B116" s="23"/>
      <c r="C116" s="23"/>
      <c r="D116" s="23"/>
      <c r="E116" s="32"/>
      <c r="F116" s="25"/>
      <c r="G116" s="23"/>
      <c r="H116" s="23"/>
      <c r="I116" s="23"/>
      <c r="J116" s="23"/>
      <c r="K116" s="23"/>
      <c r="L116" s="27" t="str">
        <f aca="false">IF($B116="","",IFERROR(INDEX(Properties!$D$5:$D$104,MATCH($B116,Properties!$A$5:$A$104,0)),"-"))</f>
        <v/>
      </c>
      <c r="M116" s="28" t="str">
        <f aca="false">IF(OR($A116="",N($E116)=0),"",$F116/$E116)</f>
        <v/>
      </c>
      <c r="N116" s="28" t="str">
        <f aca="false">IF($A116="","",IF($H116="Y",$F116*(1+Settings!$B$3),0))</f>
        <v/>
      </c>
      <c r="O116" s="27" t="str">
        <f aca="false">IF($A116="","",IF(AND($H116="Y",$G116&lt;&gt;"Restock",N($M116)&gt;Settings!$B$4,$I116&lt;&gt;"Y"),"Get host OK",IF(AND($H116="Y",$F116&gt;Settings!$B$5,$I116&lt;&gt;"Y"),"Host should pay upfront",IF($J116&lt;&gt;"Y","Save receipt","OK"))))</f>
        <v/>
      </c>
      <c r="P116" s="29" t="str">
        <f aca="false">IF($A116="","",DATE(YEAR($A116),MONTH($A116),1))</f>
        <v/>
      </c>
      <c r="Q116" s="31" t="str">
        <f aca="false">IF($A116="","",IF(AND($L116='Invoice Builder'!$C$5,$P116='Invoice Builder'!$C$6,N($N116)&gt;0),COUNTIFS($L$5:$L116,'Invoice Builder'!$C$5,$P$5:$P116,'Invoice Builder'!$C$6,$N$5:$N116,"&gt;0"),""))</f>
        <v/>
      </c>
      <c r="R116" s="27" t="str">
        <f aca="false">IF($A116="","",IF($A116&gt;=DATE(YEAR($A116),4,6),YEAR($A116)&amp;"/"&amp;RIGHT(YEAR($A116)+1,2),YEAR($A116)-1&amp;"/"&amp;RIGHT(YEAR($A116),2)))</f>
        <v/>
      </c>
    </row>
    <row r="117" customFormat="false" ht="15" hidden="false" customHeight="false" outlineLevel="0" collapsed="false">
      <c r="A117" s="22"/>
      <c r="B117" s="23"/>
      <c r="C117" s="23"/>
      <c r="D117" s="23"/>
      <c r="E117" s="32"/>
      <c r="F117" s="25"/>
      <c r="G117" s="23"/>
      <c r="H117" s="23"/>
      <c r="I117" s="23"/>
      <c r="J117" s="23"/>
      <c r="K117" s="23"/>
      <c r="L117" s="27" t="str">
        <f aca="false">IF($B117="","",IFERROR(INDEX(Properties!$D$5:$D$104,MATCH($B117,Properties!$A$5:$A$104,0)),"-"))</f>
        <v/>
      </c>
      <c r="M117" s="28" t="str">
        <f aca="false">IF(OR($A117="",N($E117)=0),"",$F117/$E117)</f>
        <v/>
      </c>
      <c r="N117" s="28" t="str">
        <f aca="false">IF($A117="","",IF($H117="Y",$F117*(1+Settings!$B$3),0))</f>
        <v/>
      </c>
      <c r="O117" s="27" t="str">
        <f aca="false">IF($A117="","",IF(AND($H117="Y",$G117&lt;&gt;"Restock",N($M117)&gt;Settings!$B$4,$I117&lt;&gt;"Y"),"Get host OK",IF(AND($H117="Y",$F117&gt;Settings!$B$5,$I117&lt;&gt;"Y"),"Host should pay upfront",IF($J117&lt;&gt;"Y","Save receipt","OK"))))</f>
        <v/>
      </c>
      <c r="P117" s="29" t="str">
        <f aca="false">IF($A117="","",DATE(YEAR($A117),MONTH($A117),1))</f>
        <v/>
      </c>
      <c r="Q117" s="31" t="str">
        <f aca="false">IF($A117="","",IF(AND($L117='Invoice Builder'!$C$5,$P117='Invoice Builder'!$C$6,N($N117)&gt;0),COUNTIFS($L$5:$L117,'Invoice Builder'!$C$5,$P$5:$P117,'Invoice Builder'!$C$6,$N$5:$N117,"&gt;0"),""))</f>
        <v/>
      </c>
      <c r="R117" s="27" t="str">
        <f aca="false">IF($A117="","",IF($A117&gt;=DATE(YEAR($A117),4,6),YEAR($A117)&amp;"/"&amp;RIGHT(YEAR($A117)+1,2),YEAR($A117)-1&amp;"/"&amp;RIGHT(YEAR($A117),2)))</f>
        <v/>
      </c>
    </row>
    <row r="118" customFormat="false" ht="15" hidden="false" customHeight="false" outlineLevel="0" collapsed="false">
      <c r="A118" s="22"/>
      <c r="B118" s="23"/>
      <c r="C118" s="23"/>
      <c r="D118" s="23"/>
      <c r="E118" s="32"/>
      <c r="F118" s="25"/>
      <c r="G118" s="23"/>
      <c r="H118" s="23"/>
      <c r="I118" s="23"/>
      <c r="J118" s="23"/>
      <c r="K118" s="23"/>
      <c r="L118" s="27" t="str">
        <f aca="false">IF($B118="","",IFERROR(INDEX(Properties!$D$5:$D$104,MATCH($B118,Properties!$A$5:$A$104,0)),"-"))</f>
        <v/>
      </c>
      <c r="M118" s="28" t="str">
        <f aca="false">IF(OR($A118="",N($E118)=0),"",$F118/$E118)</f>
        <v/>
      </c>
      <c r="N118" s="28" t="str">
        <f aca="false">IF($A118="","",IF($H118="Y",$F118*(1+Settings!$B$3),0))</f>
        <v/>
      </c>
      <c r="O118" s="27" t="str">
        <f aca="false">IF($A118="","",IF(AND($H118="Y",$G118&lt;&gt;"Restock",N($M118)&gt;Settings!$B$4,$I118&lt;&gt;"Y"),"Get host OK",IF(AND($H118="Y",$F118&gt;Settings!$B$5,$I118&lt;&gt;"Y"),"Host should pay upfront",IF($J118&lt;&gt;"Y","Save receipt","OK"))))</f>
        <v/>
      </c>
      <c r="P118" s="29" t="str">
        <f aca="false">IF($A118="","",DATE(YEAR($A118),MONTH($A118),1))</f>
        <v/>
      </c>
      <c r="Q118" s="31" t="str">
        <f aca="false">IF($A118="","",IF(AND($L118='Invoice Builder'!$C$5,$P118='Invoice Builder'!$C$6,N($N118)&gt;0),COUNTIFS($L$5:$L118,'Invoice Builder'!$C$5,$P$5:$P118,'Invoice Builder'!$C$6,$N$5:$N118,"&gt;0"),""))</f>
        <v/>
      </c>
      <c r="R118" s="27" t="str">
        <f aca="false">IF($A118="","",IF($A118&gt;=DATE(YEAR($A118),4,6),YEAR($A118)&amp;"/"&amp;RIGHT(YEAR($A118)+1,2),YEAR($A118)-1&amp;"/"&amp;RIGHT(YEAR($A118),2)))</f>
        <v/>
      </c>
    </row>
    <row r="119" customFormat="false" ht="15" hidden="false" customHeight="false" outlineLevel="0" collapsed="false">
      <c r="A119" s="22"/>
      <c r="B119" s="23"/>
      <c r="C119" s="23"/>
      <c r="D119" s="23"/>
      <c r="E119" s="32"/>
      <c r="F119" s="25"/>
      <c r="G119" s="23"/>
      <c r="H119" s="23"/>
      <c r="I119" s="23"/>
      <c r="J119" s="23"/>
      <c r="K119" s="23"/>
      <c r="L119" s="27" t="str">
        <f aca="false">IF($B119="","",IFERROR(INDEX(Properties!$D$5:$D$104,MATCH($B119,Properties!$A$5:$A$104,0)),"-"))</f>
        <v/>
      </c>
      <c r="M119" s="28" t="str">
        <f aca="false">IF(OR($A119="",N($E119)=0),"",$F119/$E119)</f>
        <v/>
      </c>
      <c r="N119" s="28" t="str">
        <f aca="false">IF($A119="","",IF($H119="Y",$F119*(1+Settings!$B$3),0))</f>
        <v/>
      </c>
      <c r="O119" s="27" t="str">
        <f aca="false">IF($A119="","",IF(AND($H119="Y",$G119&lt;&gt;"Restock",N($M119)&gt;Settings!$B$4,$I119&lt;&gt;"Y"),"Get host OK",IF(AND($H119="Y",$F119&gt;Settings!$B$5,$I119&lt;&gt;"Y"),"Host should pay upfront",IF($J119&lt;&gt;"Y","Save receipt","OK"))))</f>
        <v/>
      </c>
      <c r="P119" s="29" t="str">
        <f aca="false">IF($A119="","",DATE(YEAR($A119),MONTH($A119),1))</f>
        <v/>
      </c>
      <c r="Q119" s="31" t="str">
        <f aca="false">IF($A119="","",IF(AND($L119='Invoice Builder'!$C$5,$P119='Invoice Builder'!$C$6,N($N119)&gt;0),COUNTIFS($L$5:$L119,'Invoice Builder'!$C$5,$P$5:$P119,'Invoice Builder'!$C$6,$N$5:$N119,"&gt;0"),""))</f>
        <v/>
      </c>
      <c r="R119" s="27" t="str">
        <f aca="false">IF($A119="","",IF($A119&gt;=DATE(YEAR($A119),4,6),YEAR($A119)&amp;"/"&amp;RIGHT(YEAR($A119)+1,2),YEAR($A119)-1&amp;"/"&amp;RIGHT(YEAR($A119),2)))</f>
        <v/>
      </c>
    </row>
    <row r="120" customFormat="false" ht="15" hidden="false" customHeight="false" outlineLevel="0" collapsed="false">
      <c r="A120" s="22"/>
      <c r="B120" s="23"/>
      <c r="C120" s="23"/>
      <c r="D120" s="23"/>
      <c r="E120" s="32"/>
      <c r="F120" s="25"/>
      <c r="G120" s="23"/>
      <c r="H120" s="23"/>
      <c r="I120" s="23"/>
      <c r="J120" s="23"/>
      <c r="K120" s="23"/>
      <c r="L120" s="27" t="str">
        <f aca="false">IF($B120="","",IFERROR(INDEX(Properties!$D$5:$D$104,MATCH($B120,Properties!$A$5:$A$104,0)),"-"))</f>
        <v/>
      </c>
      <c r="M120" s="28" t="str">
        <f aca="false">IF(OR($A120="",N($E120)=0),"",$F120/$E120)</f>
        <v/>
      </c>
      <c r="N120" s="28" t="str">
        <f aca="false">IF($A120="","",IF($H120="Y",$F120*(1+Settings!$B$3),0))</f>
        <v/>
      </c>
      <c r="O120" s="27" t="str">
        <f aca="false">IF($A120="","",IF(AND($H120="Y",$G120&lt;&gt;"Restock",N($M120)&gt;Settings!$B$4,$I120&lt;&gt;"Y"),"Get host OK",IF(AND($H120="Y",$F120&gt;Settings!$B$5,$I120&lt;&gt;"Y"),"Host should pay upfront",IF($J120&lt;&gt;"Y","Save receipt","OK"))))</f>
        <v/>
      </c>
      <c r="P120" s="29" t="str">
        <f aca="false">IF($A120="","",DATE(YEAR($A120),MONTH($A120),1))</f>
        <v/>
      </c>
      <c r="Q120" s="31" t="str">
        <f aca="false">IF($A120="","",IF(AND($L120='Invoice Builder'!$C$5,$P120='Invoice Builder'!$C$6,N($N120)&gt;0),COUNTIFS($L$5:$L120,'Invoice Builder'!$C$5,$P$5:$P120,'Invoice Builder'!$C$6,$N$5:$N120,"&gt;0"),""))</f>
        <v/>
      </c>
      <c r="R120" s="27" t="str">
        <f aca="false">IF($A120="","",IF($A120&gt;=DATE(YEAR($A120),4,6),YEAR($A120)&amp;"/"&amp;RIGHT(YEAR($A120)+1,2),YEAR($A120)-1&amp;"/"&amp;RIGHT(YEAR($A120),2)))</f>
        <v/>
      </c>
    </row>
    <row r="121" customFormat="false" ht="15" hidden="false" customHeight="false" outlineLevel="0" collapsed="false">
      <c r="A121" s="22"/>
      <c r="B121" s="23"/>
      <c r="C121" s="23"/>
      <c r="D121" s="23"/>
      <c r="E121" s="32"/>
      <c r="F121" s="25"/>
      <c r="G121" s="23"/>
      <c r="H121" s="23"/>
      <c r="I121" s="23"/>
      <c r="J121" s="23"/>
      <c r="K121" s="23"/>
      <c r="L121" s="27" t="str">
        <f aca="false">IF($B121="","",IFERROR(INDEX(Properties!$D$5:$D$104,MATCH($B121,Properties!$A$5:$A$104,0)),"-"))</f>
        <v/>
      </c>
      <c r="M121" s="28" t="str">
        <f aca="false">IF(OR($A121="",N($E121)=0),"",$F121/$E121)</f>
        <v/>
      </c>
      <c r="N121" s="28" t="str">
        <f aca="false">IF($A121="","",IF($H121="Y",$F121*(1+Settings!$B$3),0))</f>
        <v/>
      </c>
      <c r="O121" s="27" t="str">
        <f aca="false">IF($A121="","",IF(AND($H121="Y",$G121&lt;&gt;"Restock",N($M121)&gt;Settings!$B$4,$I121&lt;&gt;"Y"),"Get host OK",IF(AND($H121="Y",$F121&gt;Settings!$B$5,$I121&lt;&gt;"Y"),"Host should pay upfront",IF($J121&lt;&gt;"Y","Save receipt","OK"))))</f>
        <v/>
      </c>
      <c r="P121" s="29" t="str">
        <f aca="false">IF($A121="","",DATE(YEAR($A121),MONTH($A121),1))</f>
        <v/>
      </c>
      <c r="Q121" s="31" t="str">
        <f aca="false">IF($A121="","",IF(AND($L121='Invoice Builder'!$C$5,$P121='Invoice Builder'!$C$6,N($N121)&gt;0),COUNTIFS($L$5:$L121,'Invoice Builder'!$C$5,$P$5:$P121,'Invoice Builder'!$C$6,$N$5:$N121,"&gt;0"),""))</f>
        <v/>
      </c>
      <c r="R121" s="27" t="str">
        <f aca="false">IF($A121="","",IF($A121&gt;=DATE(YEAR($A121),4,6),YEAR($A121)&amp;"/"&amp;RIGHT(YEAR($A121)+1,2),YEAR($A121)-1&amp;"/"&amp;RIGHT(YEAR($A121),2)))</f>
        <v/>
      </c>
    </row>
    <row r="122" customFormat="false" ht="15" hidden="false" customHeight="false" outlineLevel="0" collapsed="false">
      <c r="A122" s="22"/>
      <c r="B122" s="23"/>
      <c r="C122" s="23"/>
      <c r="D122" s="23"/>
      <c r="E122" s="32"/>
      <c r="F122" s="25"/>
      <c r="G122" s="23"/>
      <c r="H122" s="23"/>
      <c r="I122" s="23"/>
      <c r="J122" s="23"/>
      <c r="K122" s="23"/>
      <c r="L122" s="27" t="str">
        <f aca="false">IF($B122="","",IFERROR(INDEX(Properties!$D$5:$D$104,MATCH($B122,Properties!$A$5:$A$104,0)),"-"))</f>
        <v/>
      </c>
      <c r="M122" s="28" t="str">
        <f aca="false">IF(OR($A122="",N($E122)=0),"",$F122/$E122)</f>
        <v/>
      </c>
      <c r="N122" s="28" t="str">
        <f aca="false">IF($A122="","",IF($H122="Y",$F122*(1+Settings!$B$3),0))</f>
        <v/>
      </c>
      <c r="O122" s="27" t="str">
        <f aca="false">IF($A122="","",IF(AND($H122="Y",$G122&lt;&gt;"Restock",N($M122)&gt;Settings!$B$4,$I122&lt;&gt;"Y"),"Get host OK",IF(AND($H122="Y",$F122&gt;Settings!$B$5,$I122&lt;&gt;"Y"),"Host should pay upfront",IF($J122&lt;&gt;"Y","Save receipt","OK"))))</f>
        <v/>
      </c>
      <c r="P122" s="29" t="str">
        <f aca="false">IF($A122="","",DATE(YEAR($A122),MONTH($A122),1))</f>
        <v/>
      </c>
      <c r="Q122" s="31" t="str">
        <f aca="false">IF($A122="","",IF(AND($L122='Invoice Builder'!$C$5,$P122='Invoice Builder'!$C$6,N($N122)&gt;0),COUNTIFS($L$5:$L122,'Invoice Builder'!$C$5,$P$5:$P122,'Invoice Builder'!$C$6,$N$5:$N122,"&gt;0"),""))</f>
        <v/>
      </c>
      <c r="R122" s="27" t="str">
        <f aca="false">IF($A122="","",IF($A122&gt;=DATE(YEAR($A122),4,6),YEAR($A122)&amp;"/"&amp;RIGHT(YEAR($A122)+1,2),YEAR($A122)-1&amp;"/"&amp;RIGHT(YEAR($A122),2)))</f>
        <v/>
      </c>
    </row>
    <row r="123" customFormat="false" ht="15" hidden="false" customHeight="false" outlineLevel="0" collapsed="false">
      <c r="A123" s="22"/>
      <c r="B123" s="23"/>
      <c r="C123" s="23"/>
      <c r="D123" s="23"/>
      <c r="E123" s="32"/>
      <c r="F123" s="25"/>
      <c r="G123" s="23"/>
      <c r="H123" s="23"/>
      <c r="I123" s="23"/>
      <c r="J123" s="23"/>
      <c r="K123" s="23"/>
      <c r="L123" s="27" t="str">
        <f aca="false">IF($B123="","",IFERROR(INDEX(Properties!$D$5:$D$104,MATCH($B123,Properties!$A$5:$A$104,0)),"-"))</f>
        <v/>
      </c>
      <c r="M123" s="28" t="str">
        <f aca="false">IF(OR($A123="",N($E123)=0),"",$F123/$E123)</f>
        <v/>
      </c>
      <c r="N123" s="28" t="str">
        <f aca="false">IF($A123="","",IF($H123="Y",$F123*(1+Settings!$B$3),0))</f>
        <v/>
      </c>
      <c r="O123" s="27" t="str">
        <f aca="false">IF($A123="","",IF(AND($H123="Y",$G123&lt;&gt;"Restock",N($M123)&gt;Settings!$B$4,$I123&lt;&gt;"Y"),"Get host OK",IF(AND($H123="Y",$F123&gt;Settings!$B$5,$I123&lt;&gt;"Y"),"Host should pay upfront",IF($J123&lt;&gt;"Y","Save receipt","OK"))))</f>
        <v/>
      </c>
      <c r="P123" s="29" t="str">
        <f aca="false">IF($A123="","",DATE(YEAR($A123),MONTH($A123),1))</f>
        <v/>
      </c>
      <c r="Q123" s="31" t="str">
        <f aca="false">IF($A123="","",IF(AND($L123='Invoice Builder'!$C$5,$P123='Invoice Builder'!$C$6,N($N123)&gt;0),COUNTIFS($L$5:$L123,'Invoice Builder'!$C$5,$P$5:$P123,'Invoice Builder'!$C$6,$N$5:$N123,"&gt;0"),""))</f>
        <v/>
      </c>
      <c r="R123" s="27" t="str">
        <f aca="false">IF($A123="","",IF($A123&gt;=DATE(YEAR($A123),4,6),YEAR($A123)&amp;"/"&amp;RIGHT(YEAR($A123)+1,2),YEAR($A123)-1&amp;"/"&amp;RIGHT(YEAR($A123),2)))</f>
        <v/>
      </c>
    </row>
    <row r="124" customFormat="false" ht="15" hidden="false" customHeight="false" outlineLevel="0" collapsed="false">
      <c r="A124" s="22"/>
      <c r="B124" s="23"/>
      <c r="C124" s="23"/>
      <c r="D124" s="23"/>
      <c r="E124" s="32"/>
      <c r="F124" s="25"/>
      <c r="G124" s="23"/>
      <c r="H124" s="23"/>
      <c r="I124" s="23"/>
      <c r="J124" s="23"/>
      <c r="K124" s="23"/>
      <c r="L124" s="27" t="str">
        <f aca="false">IF($B124="","",IFERROR(INDEX(Properties!$D$5:$D$104,MATCH($B124,Properties!$A$5:$A$104,0)),"-"))</f>
        <v/>
      </c>
      <c r="M124" s="28" t="str">
        <f aca="false">IF(OR($A124="",N($E124)=0),"",$F124/$E124)</f>
        <v/>
      </c>
      <c r="N124" s="28" t="str">
        <f aca="false">IF($A124="","",IF($H124="Y",$F124*(1+Settings!$B$3),0))</f>
        <v/>
      </c>
      <c r="O124" s="27" t="str">
        <f aca="false">IF($A124="","",IF(AND($H124="Y",$G124&lt;&gt;"Restock",N($M124)&gt;Settings!$B$4,$I124&lt;&gt;"Y"),"Get host OK",IF(AND($H124="Y",$F124&gt;Settings!$B$5,$I124&lt;&gt;"Y"),"Host should pay upfront",IF($J124&lt;&gt;"Y","Save receipt","OK"))))</f>
        <v/>
      </c>
      <c r="P124" s="29" t="str">
        <f aca="false">IF($A124="","",DATE(YEAR($A124),MONTH($A124),1))</f>
        <v/>
      </c>
      <c r="Q124" s="31" t="str">
        <f aca="false">IF($A124="","",IF(AND($L124='Invoice Builder'!$C$5,$P124='Invoice Builder'!$C$6,N($N124)&gt;0),COUNTIFS($L$5:$L124,'Invoice Builder'!$C$5,$P$5:$P124,'Invoice Builder'!$C$6,$N$5:$N124,"&gt;0"),""))</f>
        <v/>
      </c>
      <c r="R124" s="27" t="str">
        <f aca="false">IF($A124="","",IF($A124&gt;=DATE(YEAR($A124),4,6),YEAR($A124)&amp;"/"&amp;RIGHT(YEAR($A124)+1,2),YEAR($A124)-1&amp;"/"&amp;RIGHT(YEAR($A124),2)))</f>
        <v/>
      </c>
    </row>
    <row r="125" customFormat="false" ht="15" hidden="false" customHeight="false" outlineLevel="0" collapsed="false">
      <c r="A125" s="22"/>
      <c r="B125" s="23"/>
      <c r="C125" s="23"/>
      <c r="D125" s="23"/>
      <c r="E125" s="32"/>
      <c r="F125" s="25"/>
      <c r="G125" s="23"/>
      <c r="H125" s="23"/>
      <c r="I125" s="23"/>
      <c r="J125" s="23"/>
      <c r="K125" s="23"/>
      <c r="L125" s="27" t="str">
        <f aca="false">IF($B125="","",IFERROR(INDEX(Properties!$D$5:$D$104,MATCH($B125,Properties!$A$5:$A$104,0)),"-"))</f>
        <v/>
      </c>
      <c r="M125" s="28" t="str">
        <f aca="false">IF(OR($A125="",N($E125)=0),"",$F125/$E125)</f>
        <v/>
      </c>
      <c r="N125" s="28" t="str">
        <f aca="false">IF($A125="","",IF($H125="Y",$F125*(1+Settings!$B$3),0))</f>
        <v/>
      </c>
      <c r="O125" s="27" t="str">
        <f aca="false">IF($A125="","",IF(AND($H125="Y",$G125&lt;&gt;"Restock",N($M125)&gt;Settings!$B$4,$I125&lt;&gt;"Y"),"Get host OK",IF(AND($H125="Y",$F125&gt;Settings!$B$5,$I125&lt;&gt;"Y"),"Host should pay upfront",IF($J125&lt;&gt;"Y","Save receipt","OK"))))</f>
        <v/>
      </c>
      <c r="P125" s="29" t="str">
        <f aca="false">IF($A125="","",DATE(YEAR($A125),MONTH($A125),1))</f>
        <v/>
      </c>
      <c r="Q125" s="31" t="str">
        <f aca="false">IF($A125="","",IF(AND($L125='Invoice Builder'!$C$5,$P125='Invoice Builder'!$C$6,N($N125)&gt;0),COUNTIFS($L$5:$L125,'Invoice Builder'!$C$5,$P$5:$P125,'Invoice Builder'!$C$6,$N$5:$N125,"&gt;0"),""))</f>
        <v/>
      </c>
      <c r="R125" s="27" t="str">
        <f aca="false">IF($A125="","",IF($A125&gt;=DATE(YEAR($A125),4,6),YEAR($A125)&amp;"/"&amp;RIGHT(YEAR($A125)+1,2),YEAR($A125)-1&amp;"/"&amp;RIGHT(YEAR($A125),2)))</f>
        <v/>
      </c>
    </row>
    <row r="126" customFormat="false" ht="15" hidden="false" customHeight="false" outlineLevel="0" collapsed="false">
      <c r="A126" s="22"/>
      <c r="B126" s="23"/>
      <c r="C126" s="23"/>
      <c r="D126" s="23"/>
      <c r="E126" s="32"/>
      <c r="F126" s="25"/>
      <c r="G126" s="23"/>
      <c r="H126" s="23"/>
      <c r="I126" s="23"/>
      <c r="J126" s="23"/>
      <c r="K126" s="23"/>
      <c r="L126" s="27" t="str">
        <f aca="false">IF($B126="","",IFERROR(INDEX(Properties!$D$5:$D$104,MATCH($B126,Properties!$A$5:$A$104,0)),"-"))</f>
        <v/>
      </c>
      <c r="M126" s="28" t="str">
        <f aca="false">IF(OR($A126="",N($E126)=0),"",$F126/$E126)</f>
        <v/>
      </c>
      <c r="N126" s="28" t="str">
        <f aca="false">IF($A126="","",IF($H126="Y",$F126*(1+Settings!$B$3),0))</f>
        <v/>
      </c>
      <c r="O126" s="27" t="str">
        <f aca="false">IF($A126="","",IF(AND($H126="Y",$G126&lt;&gt;"Restock",N($M126)&gt;Settings!$B$4,$I126&lt;&gt;"Y"),"Get host OK",IF(AND($H126="Y",$F126&gt;Settings!$B$5,$I126&lt;&gt;"Y"),"Host should pay upfront",IF($J126&lt;&gt;"Y","Save receipt","OK"))))</f>
        <v/>
      </c>
      <c r="P126" s="29" t="str">
        <f aca="false">IF($A126="","",DATE(YEAR($A126),MONTH($A126),1))</f>
        <v/>
      </c>
      <c r="Q126" s="31" t="str">
        <f aca="false">IF($A126="","",IF(AND($L126='Invoice Builder'!$C$5,$P126='Invoice Builder'!$C$6,N($N126)&gt;0),COUNTIFS($L$5:$L126,'Invoice Builder'!$C$5,$P$5:$P126,'Invoice Builder'!$C$6,$N$5:$N126,"&gt;0"),""))</f>
        <v/>
      </c>
      <c r="R126" s="27" t="str">
        <f aca="false">IF($A126="","",IF($A126&gt;=DATE(YEAR($A126),4,6),YEAR($A126)&amp;"/"&amp;RIGHT(YEAR($A126)+1,2),YEAR($A126)-1&amp;"/"&amp;RIGHT(YEAR($A126),2)))</f>
        <v/>
      </c>
    </row>
    <row r="127" customFormat="false" ht="15" hidden="false" customHeight="false" outlineLevel="0" collapsed="false">
      <c r="A127" s="22"/>
      <c r="B127" s="23"/>
      <c r="C127" s="23"/>
      <c r="D127" s="23"/>
      <c r="E127" s="32"/>
      <c r="F127" s="25"/>
      <c r="G127" s="23"/>
      <c r="H127" s="23"/>
      <c r="I127" s="23"/>
      <c r="J127" s="23"/>
      <c r="K127" s="23"/>
      <c r="L127" s="27" t="str">
        <f aca="false">IF($B127="","",IFERROR(INDEX(Properties!$D$5:$D$104,MATCH($B127,Properties!$A$5:$A$104,0)),"-"))</f>
        <v/>
      </c>
      <c r="M127" s="28" t="str">
        <f aca="false">IF(OR($A127="",N($E127)=0),"",$F127/$E127)</f>
        <v/>
      </c>
      <c r="N127" s="28" t="str">
        <f aca="false">IF($A127="","",IF($H127="Y",$F127*(1+Settings!$B$3),0))</f>
        <v/>
      </c>
      <c r="O127" s="27" t="str">
        <f aca="false">IF($A127="","",IF(AND($H127="Y",$G127&lt;&gt;"Restock",N($M127)&gt;Settings!$B$4,$I127&lt;&gt;"Y"),"Get host OK",IF(AND($H127="Y",$F127&gt;Settings!$B$5,$I127&lt;&gt;"Y"),"Host should pay upfront",IF($J127&lt;&gt;"Y","Save receipt","OK"))))</f>
        <v/>
      </c>
      <c r="P127" s="29" t="str">
        <f aca="false">IF($A127="","",DATE(YEAR($A127),MONTH($A127),1))</f>
        <v/>
      </c>
      <c r="Q127" s="31" t="str">
        <f aca="false">IF($A127="","",IF(AND($L127='Invoice Builder'!$C$5,$P127='Invoice Builder'!$C$6,N($N127)&gt;0),COUNTIFS($L$5:$L127,'Invoice Builder'!$C$5,$P$5:$P127,'Invoice Builder'!$C$6,$N$5:$N127,"&gt;0"),""))</f>
        <v/>
      </c>
      <c r="R127" s="27" t="str">
        <f aca="false">IF($A127="","",IF($A127&gt;=DATE(YEAR($A127),4,6),YEAR($A127)&amp;"/"&amp;RIGHT(YEAR($A127)+1,2),YEAR($A127)-1&amp;"/"&amp;RIGHT(YEAR($A127),2)))</f>
        <v/>
      </c>
    </row>
    <row r="128" customFormat="false" ht="15" hidden="false" customHeight="false" outlineLevel="0" collapsed="false">
      <c r="A128" s="22"/>
      <c r="B128" s="23"/>
      <c r="C128" s="23"/>
      <c r="D128" s="23"/>
      <c r="E128" s="32"/>
      <c r="F128" s="25"/>
      <c r="G128" s="23"/>
      <c r="H128" s="23"/>
      <c r="I128" s="23"/>
      <c r="J128" s="23"/>
      <c r="K128" s="23"/>
      <c r="L128" s="27" t="str">
        <f aca="false">IF($B128="","",IFERROR(INDEX(Properties!$D$5:$D$104,MATCH($B128,Properties!$A$5:$A$104,0)),"-"))</f>
        <v/>
      </c>
      <c r="M128" s="28" t="str">
        <f aca="false">IF(OR($A128="",N($E128)=0),"",$F128/$E128)</f>
        <v/>
      </c>
      <c r="N128" s="28" t="str">
        <f aca="false">IF($A128="","",IF($H128="Y",$F128*(1+Settings!$B$3),0))</f>
        <v/>
      </c>
      <c r="O128" s="27" t="str">
        <f aca="false">IF($A128="","",IF(AND($H128="Y",$G128&lt;&gt;"Restock",N($M128)&gt;Settings!$B$4,$I128&lt;&gt;"Y"),"Get host OK",IF(AND($H128="Y",$F128&gt;Settings!$B$5,$I128&lt;&gt;"Y"),"Host should pay upfront",IF($J128&lt;&gt;"Y","Save receipt","OK"))))</f>
        <v/>
      </c>
      <c r="P128" s="29" t="str">
        <f aca="false">IF($A128="","",DATE(YEAR($A128),MONTH($A128),1))</f>
        <v/>
      </c>
      <c r="Q128" s="31" t="str">
        <f aca="false">IF($A128="","",IF(AND($L128='Invoice Builder'!$C$5,$P128='Invoice Builder'!$C$6,N($N128)&gt;0),COUNTIFS($L$5:$L128,'Invoice Builder'!$C$5,$P$5:$P128,'Invoice Builder'!$C$6,$N$5:$N128,"&gt;0"),""))</f>
        <v/>
      </c>
      <c r="R128" s="27" t="str">
        <f aca="false">IF($A128="","",IF($A128&gt;=DATE(YEAR($A128),4,6),YEAR($A128)&amp;"/"&amp;RIGHT(YEAR($A128)+1,2),YEAR($A128)-1&amp;"/"&amp;RIGHT(YEAR($A128),2)))</f>
        <v/>
      </c>
    </row>
    <row r="129" customFormat="false" ht="15" hidden="false" customHeight="false" outlineLevel="0" collapsed="false">
      <c r="A129" s="22"/>
      <c r="B129" s="23"/>
      <c r="C129" s="23"/>
      <c r="D129" s="23"/>
      <c r="E129" s="32"/>
      <c r="F129" s="25"/>
      <c r="G129" s="23"/>
      <c r="H129" s="23"/>
      <c r="I129" s="23"/>
      <c r="J129" s="23"/>
      <c r="K129" s="23"/>
      <c r="L129" s="27" t="str">
        <f aca="false">IF($B129="","",IFERROR(INDEX(Properties!$D$5:$D$104,MATCH($B129,Properties!$A$5:$A$104,0)),"-"))</f>
        <v/>
      </c>
      <c r="M129" s="28" t="str">
        <f aca="false">IF(OR($A129="",N($E129)=0),"",$F129/$E129)</f>
        <v/>
      </c>
      <c r="N129" s="28" t="str">
        <f aca="false">IF($A129="","",IF($H129="Y",$F129*(1+Settings!$B$3),0))</f>
        <v/>
      </c>
      <c r="O129" s="27" t="str">
        <f aca="false">IF($A129="","",IF(AND($H129="Y",$G129&lt;&gt;"Restock",N($M129)&gt;Settings!$B$4,$I129&lt;&gt;"Y"),"Get host OK",IF(AND($H129="Y",$F129&gt;Settings!$B$5,$I129&lt;&gt;"Y"),"Host should pay upfront",IF($J129&lt;&gt;"Y","Save receipt","OK"))))</f>
        <v/>
      </c>
      <c r="P129" s="29" t="str">
        <f aca="false">IF($A129="","",DATE(YEAR($A129),MONTH($A129),1))</f>
        <v/>
      </c>
      <c r="Q129" s="31" t="str">
        <f aca="false">IF($A129="","",IF(AND($L129='Invoice Builder'!$C$5,$P129='Invoice Builder'!$C$6,N($N129)&gt;0),COUNTIFS($L$5:$L129,'Invoice Builder'!$C$5,$P$5:$P129,'Invoice Builder'!$C$6,$N$5:$N129,"&gt;0"),""))</f>
        <v/>
      </c>
      <c r="R129" s="27" t="str">
        <f aca="false">IF($A129="","",IF($A129&gt;=DATE(YEAR($A129),4,6),YEAR($A129)&amp;"/"&amp;RIGHT(YEAR($A129)+1,2),YEAR($A129)-1&amp;"/"&amp;RIGHT(YEAR($A129),2)))</f>
        <v/>
      </c>
    </row>
    <row r="130" customFormat="false" ht="15" hidden="false" customHeight="false" outlineLevel="0" collapsed="false">
      <c r="A130" s="22"/>
      <c r="B130" s="23"/>
      <c r="C130" s="23"/>
      <c r="D130" s="23"/>
      <c r="E130" s="32"/>
      <c r="F130" s="25"/>
      <c r="G130" s="23"/>
      <c r="H130" s="23"/>
      <c r="I130" s="23"/>
      <c r="J130" s="23"/>
      <c r="K130" s="23"/>
      <c r="L130" s="27" t="str">
        <f aca="false">IF($B130="","",IFERROR(INDEX(Properties!$D$5:$D$104,MATCH($B130,Properties!$A$5:$A$104,0)),"-"))</f>
        <v/>
      </c>
      <c r="M130" s="28" t="str">
        <f aca="false">IF(OR($A130="",N($E130)=0),"",$F130/$E130)</f>
        <v/>
      </c>
      <c r="N130" s="28" t="str">
        <f aca="false">IF($A130="","",IF($H130="Y",$F130*(1+Settings!$B$3),0))</f>
        <v/>
      </c>
      <c r="O130" s="27" t="str">
        <f aca="false">IF($A130="","",IF(AND($H130="Y",$G130&lt;&gt;"Restock",N($M130)&gt;Settings!$B$4,$I130&lt;&gt;"Y"),"Get host OK",IF(AND($H130="Y",$F130&gt;Settings!$B$5,$I130&lt;&gt;"Y"),"Host should pay upfront",IF($J130&lt;&gt;"Y","Save receipt","OK"))))</f>
        <v/>
      </c>
      <c r="P130" s="29" t="str">
        <f aca="false">IF($A130="","",DATE(YEAR($A130),MONTH($A130),1))</f>
        <v/>
      </c>
      <c r="Q130" s="31" t="str">
        <f aca="false">IF($A130="","",IF(AND($L130='Invoice Builder'!$C$5,$P130='Invoice Builder'!$C$6,N($N130)&gt;0),COUNTIFS($L$5:$L130,'Invoice Builder'!$C$5,$P$5:$P130,'Invoice Builder'!$C$6,$N$5:$N130,"&gt;0"),""))</f>
        <v/>
      </c>
      <c r="R130" s="27" t="str">
        <f aca="false">IF($A130="","",IF($A130&gt;=DATE(YEAR($A130),4,6),YEAR($A130)&amp;"/"&amp;RIGHT(YEAR($A130)+1,2),YEAR($A130)-1&amp;"/"&amp;RIGHT(YEAR($A130),2)))</f>
        <v/>
      </c>
    </row>
    <row r="131" customFormat="false" ht="15" hidden="false" customHeight="false" outlineLevel="0" collapsed="false">
      <c r="A131" s="22"/>
      <c r="B131" s="23"/>
      <c r="C131" s="23"/>
      <c r="D131" s="23"/>
      <c r="E131" s="32"/>
      <c r="F131" s="25"/>
      <c r="G131" s="23"/>
      <c r="H131" s="23"/>
      <c r="I131" s="23"/>
      <c r="J131" s="23"/>
      <c r="K131" s="23"/>
      <c r="L131" s="27" t="str">
        <f aca="false">IF($B131="","",IFERROR(INDEX(Properties!$D$5:$D$104,MATCH($B131,Properties!$A$5:$A$104,0)),"-"))</f>
        <v/>
      </c>
      <c r="M131" s="28" t="str">
        <f aca="false">IF(OR($A131="",N($E131)=0),"",$F131/$E131)</f>
        <v/>
      </c>
      <c r="N131" s="28" t="str">
        <f aca="false">IF($A131="","",IF($H131="Y",$F131*(1+Settings!$B$3),0))</f>
        <v/>
      </c>
      <c r="O131" s="27" t="str">
        <f aca="false">IF($A131="","",IF(AND($H131="Y",$G131&lt;&gt;"Restock",N($M131)&gt;Settings!$B$4,$I131&lt;&gt;"Y"),"Get host OK",IF(AND($H131="Y",$F131&gt;Settings!$B$5,$I131&lt;&gt;"Y"),"Host should pay upfront",IF($J131&lt;&gt;"Y","Save receipt","OK"))))</f>
        <v/>
      </c>
      <c r="P131" s="29" t="str">
        <f aca="false">IF($A131="","",DATE(YEAR($A131),MONTH($A131),1))</f>
        <v/>
      </c>
      <c r="Q131" s="31" t="str">
        <f aca="false">IF($A131="","",IF(AND($L131='Invoice Builder'!$C$5,$P131='Invoice Builder'!$C$6,N($N131)&gt;0),COUNTIFS($L$5:$L131,'Invoice Builder'!$C$5,$P$5:$P131,'Invoice Builder'!$C$6,$N$5:$N131,"&gt;0"),""))</f>
        <v/>
      </c>
      <c r="R131" s="27" t="str">
        <f aca="false">IF($A131="","",IF($A131&gt;=DATE(YEAR($A131),4,6),YEAR($A131)&amp;"/"&amp;RIGHT(YEAR($A131)+1,2),YEAR($A131)-1&amp;"/"&amp;RIGHT(YEAR($A131),2)))</f>
        <v/>
      </c>
    </row>
    <row r="132" customFormat="false" ht="15" hidden="false" customHeight="false" outlineLevel="0" collapsed="false">
      <c r="A132" s="22"/>
      <c r="B132" s="23"/>
      <c r="C132" s="23"/>
      <c r="D132" s="23"/>
      <c r="E132" s="32"/>
      <c r="F132" s="25"/>
      <c r="G132" s="23"/>
      <c r="H132" s="23"/>
      <c r="I132" s="23"/>
      <c r="J132" s="23"/>
      <c r="K132" s="23"/>
      <c r="L132" s="27" t="str">
        <f aca="false">IF($B132="","",IFERROR(INDEX(Properties!$D$5:$D$104,MATCH($B132,Properties!$A$5:$A$104,0)),"-"))</f>
        <v/>
      </c>
      <c r="M132" s="28" t="str">
        <f aca="false">IF(OR($A132="",N($E132)=0),"",$F132/$E132)</f>
        <v/>
      </c>
      <c r="N132" s="28" t="str">
        <f aca="false">IF($A132="","",IF($H132="Y",$F132*(1+Settings!$B$3),0))</f>
        <v/>
      </c>
      <c r="O132" s="27" t="str">
        <f aca="false">IF($A132="","",IF(AND($H132="Y",$G132&lt;&gt;"Restock",N($M132)&gt;Settings!$B$4,$I132&lt;&gt;"Y"),"Get host OK",IF(AND($H132="Y",$F132&gt;Settings!$B$5,$I132&lt;&gt;"Y"),"Host should pay upfront",IF($J132&lt;&gt;"Y","Save receipt","OK"))))</f>
        <v/>
      </c>
      <c r="P132" s="29" t="str">
        <f aca="false">IF($A132="","",DATE(YEAR($A132),MONTH($A132),1))</f>
        <v/>
      </c>
      <c r="Q132" s="31" t="str">
        <f aca="false">IF($A132="","",IF(AND($L132='Invoice Builder'!$C$5,$P132='Invoice Builder'!$C$6,N($N132)&gt;0),COUNTIFS($L$5:$L132,'Invoice Builder'!$C$5,$P$5:$P132,'Invoice Builder'!$C$6,$N$5:$N132,"&gt;0"),""))</f>
        <v/>
      </c>
      <c r="R132" s="27" t="str">
        <f aca="false">IF($A132="","",IF($A132&gt;=DATE(YEAR($A132),4,6),YEAR($A132)&amp;"/"&amp;RIGHT(YEAR($A132)+1,2),YEAR($A132)-1&amp;"/"&amp;RIGHT(YEAR($A132),2)))</f>
        <v/>
      </c>
    </row>
    <row r="133" customFormat="false" ht="15" hidden="false" customHeight="false" outlineLevel="0" collapsed="false">
      <c r="A133" s="22"/>
      <c r="B133" s="23"/>
      <c r="C133" s="23"/>
      <c r="D133" s="23"/>
      <c r="E133" s="32"/>
      <c r="F133" s="25"/>
      <c r="G133" s="23"/>
      <c r="H133" s="23"/>
      <c r="I133" s="23"/>
      <c r="J133" s="23"/>
      <c r="K133" s="23"/>
      <c r="L133" s="27" t="str">
        <f aca="false">IF($B133="","",IFERROR(INDEX(Properties!$D$5:$D$104,MATCH($B133,Properties!$A$5:$A$104,0)),"-"))</f>
        <v/>
      </c>
      <c r="M133" s="28" t="str">
        <f aca="false">IF(OR($A133="",N($E133)=0),"",$F133/$E133)</f>
        <v/>
      </c>
      <c r="N133" s="28" t="str">
        <f aca="false">IF($A133="","",IF($H133="Y",$F133*(1+Settings!$B$3),0))</f>
        <v/>
      </c>
      <c r="O133" s="27" t="str">
        <f aca="false">IF($A133="","",IF(AND($H133="Y",$G133&lt;&gt;"Restock",N($M133)&gt;Settings!$B$4,$I133&lt;&gt;"Y"),"Get host OK",IF(AND($H133="Y",$F133&gt;Settings!$B$5,$I133&lt;&gt;"Y"),"Host should pay upfront",IF($J133&lt;&gt;"Y","Save receipt","OK"))))</f>
        <v/>
      </c>
      <c r="P133" s="29" t="str">
        <f aca="false">IF($A133="","",DATE(YEAR($A133),MONTH($A133),1))</f>
        <v/>
      </c>
      <c r="Q133" s="31" t="str">
        <f aca="false">IF($A133="","",IF(AND($L133='Invoice Builder'!$C$5,$P133='Invoice Builder'!$C$6,N($N133)&gt;0),COUNTIFS($L$5:$L133,'Invoice Builder'!$C$5,$P$5:$P133,'Invoice Builder'!$C$6,$N$5:$N133,"&gt;0"),""))</f>
        <v/>
      </c>
      <c r="R133" s="27" t="str">
        <f aca="false">IF($A133="","",IF($A133&gt;=DATE(YEAR($A133),4,6),YEAR($A133)&amp;"/"&amp;RIGHT(YEAR($A133)+1,2),YEAR($A133)-1&amp;"/"&amp;RIGHT(YEAR($A133),2)))</f>
        <v/>
      </c>
    </row>
    <row r="134" customFormat="false" ht="15" hidden="false" customHeight="false" outlineLevel="0" collapsed="false">
      <c r="A134" s="22"/>
      <c r="B134" s="23"/>
      <c r="C134" s="23"/>
      <c r="D134" s="23"/>
      <c r="E134" s="32"/>
      <c r="F134" s="25"/>
      <c r="G134" s="23"/>
      <c r="H134" s="23"/>
      <c r="I134" s="23"/>
      <c r="J134" s="23"/>
      <c r="K134" s="23"/>
      <c r="L134" s="27" t="str">
        <f aca="false">IF($B134="","",IFERROR(INDEX(Properties!$D$5:$D$104,MATCH($B134,Properties!$A$5:$A$104,0)),"-"))</f>
        <v/>
      </c>
      <c r="M134" s="28" t="str">
        <f aca="false">IF(OR($A134="",N($E134)=0),"",$F134/$E134)</f>
        <v/>
      </c>
      <c r="N134" s="28" t="str">
        <f aca="false">IF($A134="","",IF($H134="Y",$F134*(1+Settings!$B$3),0))</f>
        <v/>
      </c>
      <c r="O134" s="27" t="str">
        <f aca="false">IF($A134="","",IF(AND($H134="Y",$G134&lt;&gt;"Restock",N($M134)&gt;Settings!$B$4,$I134&lt;&gt;"Y"),"Get host OK",IF(AND($H134="Y",$F134&gt;Settings!$B$5,$I134&lt;&gt;"Y"),"Host should pay upfront",IF($J134&lt;&gt;"Y","Save receipt","OK"))))</f>
        <v/>
      </c>
      <c r="P134" s="29" t="str">
        <f aca="false">IF($A134="","",DATE(YEAR($A134),MONTH($A134),1))</f>
        <v/>
      </c>
      <c r="Q134" s="31" t="str">
        <f aca="false">IF($A134="","",IF(AND($L134='Invoice Builder'!$C$5,$P134='Invoice Builder'!$C$6,N($N134)&gt;0),COUNTIFS($L$5:$L134,'Invoice Builder'!$C$5,$P$5:$P134,'Invoice Builder'!$C$6,$N$5:$N134,"&gt;0"),""))</f>
        <v/>
      </c>
      <c r="R134" s="27" t="str">
        <f aca="false">IF($A134="","",IF($A134&gt;=DATE(YEAR($A134),4,6),YEAR($A134)&amp;"/"&amp;RIGHT(YEAR($A134)+1,2),YEAR($A134)-1&amp;"/"&amp;RIGHT(YEAR($A134),2)))</f>
        <v/>
      </c>
    </row>
    <row r="135" customFormat="false" ht="15" hidden="false" customHeight="false" outlineLevel="0" collapsed="false">
      <c r="A135" s="22"/>
      <c r="B135" s="23"/>
      <c r="C135" s="23"/>
      <c r="D135" s="23"/>
      <c r="E135" s="32"/>
      <c r="F135" s="25"/>
      <c r="G135" s="23"/>
      <c r="H135" s="23"/>
      <c r="I135" s="23"/>
      <c r="J135" s="23"/>
      <c r="K135" s="23"/>
      <c r="L135" s="27" t="str">
        <f aca="false">IF($B135="","",IFERROR(INDEX(Properties!$D$5:$D$104,MATCH($B135,Properties!$A$5:$A$104,0)),"-"))</f>
        <v/>
      </c>
      <c r="M135" s="28" t="str">
        <f aca="false">IF(OR($A135="",N($E135)=0),"",$F135/$E135)</f>
        <v/>
      </c>
      <c r="N135" s="28" t="str">
        <f aca="false">IF($A135="","",IF($H135="Y",$F135*(1+Settings!$B$3),0))</f>
        <v/>
      </c>
      <c r="O135" s="27" t="str">
        <f aca="false">IF($A135="","",IF(AND($H135="Y",$G135&lt;&gt;"Restock",N($M135)&gt;Settings!$B$4,$I135&lt;&gt;"Y"),"Get host OK",IF(AND($H135="Y",$F135&gt;Settings!$B$5,$I135&lt;&gt;"Y"),"Host should pay upfront",IF($J135&lt;&gt;"Y","Save receipt","OK"))))</f>
        <v/>
      </c>
      <c r="P135" s="29" t="str">
        <f aca="false">IF($A135="","",DATE(YEAR($A135),MONTH($A135),1))</f>
        <v/>
      </c>
      <c r="Q135" s="31" t="str">
        <f aca="false">IF($A135="","",IF(AND($L135='Invoice Builder'!$C$5,$P135='Invoice Builder'!$C$6,N($N135)&gt;0),COUNTIFS($L$5:$L135,'Invoice Builder'!$C$5,$P$5:$P135,'Invoice Builder'!$C$6,$N$5:$N135,"&gt;0"),""))</f>
        <v/>
      </c>
      <c r="R135" s="27" t="str">
        <f aca="false">IF($A135="","",IF($A135&gt;=DATE(YEAR($A135),4,6),YEAR($A135)&amp;"/"&amp;RIGHT(YEAR($A135)+1,2),YEAR($A135)-1&amp;"/"&amp;RIGHT(YEAR($A135),2)))</f>
        <v/>
      </c>
    </row>
    <row r="136" customFormat="false" ht="15" hidden="false" customHeight="false" outlineLevel="0" collapsed="false">
      <c r="A136" s="22"/>
      <c r="B136" s="23"/>
      <c r="C136" s="23"/>
      <c r="D136" s="23"/>
      <c r="E136" s="32"/>
      <c r="F136" s="25"/>
      <c r="G136" s="23"/>
      <c r="H136" s="23"/>
      <c r="I136" s="23"/>
      <c r="J136" s="23"/>
      <c r="K136" s="23"/>
      <c r="L136" s="27" t="str">
        <f aca="false">IF($B136="","",IFERROR(INDEX(Properties!$D$5:$D$104,MATCH($B136,Properties!$A$5:$A$104,0)),"-"))</f>
        <v/>
      </c>
      <c r="M136" s="28" t="str">
        <f aca="false">IF(OR($A136="",N($E136)=0),"",$F136/$E136)</f>
        <v/>
      </c>
      <c r="N136" s="28" t="str">
        <f aca="false">IF($A136="","",IF($H136="Y",$F136*(1+Settings!$B$3),0))</f>
        <v/>
      </c>
      <c r="O136" s="27" t="str">
        <f aca="false">IF($A136="","",IF(AND($H136="Y",$G136&lt;&gt;"Restock",N($M136)&gt;Settings!$B$4,$I136&lt;&gt;"Y"),"Get host OK",IF(AND($H136="Y",$F136&gt;Settings!$B$5,$I136&lt;&gt;"Y"),"Host should pay upfront",IF($J136&lt;&gt;"Y","Save receipt","OK"))))</f>
        <v/>
      </c>
      <c r="P136" s="29" t="str">
        <f aca="false">IF($A136="","",DATE(YEAR($A136),MONTH($A136),1))</f>
        <v/>
      </c>
      <c r="Q136" s="31" t="str">
        <f aca="false">IF($A136="","",IF(AND($L136='Invoice Builder'!$C$5,$P136='Invoice Builder'!$C$6,N($N136)&gt;0),COUNTIFS($L$5:$L136,'Invoice Builder'!$C$5,$P$5:$P136,'Invoice Builder'!$C$6,$N$5:$N136,"&gt;0"),""))</f>
        <v/>
      </c>
      <c r="R136" s="27" t="str">
        <f aca="false">IF($A136="","",IF($A136&gt;=DATE(YEAR($A136),4,6),YEAR($A136)&amp;"/"&amp;RIGHT(YEAR($A136)+1,2),YEAR($A136)-1&amp;"/"&amp;RIGHT(YEAR($A136),2)))</f>
        <v/>
      </c>
    </row>
    <row r="137" customFormat="false" ht="15" hidden="false" customHeight="false" outlineLevel="0" collapsed="false">
      <c r="A137" s="22"/>
      <c r="B137" s="23"/>
      <c r="C137" s="23"/>
      <c r="D137" s="23"/>
      <c r="E137" s="32"/>
      <c r="F137" s="25"/>
      <c r="G137" s="23"/>
      <c r="H137" s="23"/>
      <c r="I137" s="23"/>
      <c r="J137" s="23"/>
      <c r="K137" s="23"/>
      <c r="L137" s="27" t="str">
        <f aca="false">IF($B137="","",IFERROR(INDEX(Properties!$D$5:$D$104,MATCH($B137,Properties!$A$5:$A$104,0)),"-"))</f>
        <v/>
      </c>
      <c r="M137" s="28" t="str">
        <f aca="false">IF(OR($A137="",N($E137)=0),"",$F137/$E137)</f>
        <v/>
      </c>
      <c r="N137" s="28" t="str">
        <f aca="false">IF($A137="","",IF($H137="Y",$F137*(1+Settings!$B$3),0))</f>
        <v/>
      </c>
      <c r="O137" s="27" t="str">
        <f aca="false">IF($A137="","",IF(AND($H137="Y",$G137&lt;&gt;"Restock",N($M137)&gt;Settings!$B$4,$I137&lt;&gt;"Y"),"Get host OK",IF(AND($H137="Y",$F137&gt;Settings!$B$5,$I137&lt;&gt;"Y"),"Host should pay upfront",IF($J137&lt;&gt;"Y","Save receipt","OK"))))</f>
        <v/>
      </c>
      <c r="P137" s="29" t="str">
        <f aca="false">IF($A137="","",DATE(YEAR($A137),MONTH($A137),1))</f>
        <v/>
      </c>
      <c r="Q137" s="31" t="str">
        <f aca="false">IF($A137="","",IF(AND($L137='Invoice Builder'!$C$5,$P137='Invoice Builder'!$C$6,N($N137)&gt;0),COUNTIFS($L$5:$L137,'Invoice Builder'!$C$5,$P$5:$P137,'Invoice Builder'!$C$6,$N$5:$N137,"&gt;0"),""))</f>
        <v/>
      </c>
      <c r="R137" s="27" t="str">
        <f aca="false">IF($A137="","",IF($A137&gt;=DATE(YEAR($A137),4,6),YEAR($A137)&amp;"/"&amp;RIGHT(YEAR($A137)+1,2),YEAR($A137)-1&amp;"/"&amp;RIGHT(YEAR($A137),2)))</f>
        <v/>
      </c>
    </row>
    <row r="138" customFormat="false" ht="15" hidden="false" customHeight="false" outlineLevel="0" collapsed="false">
      <c r="A138" s="22"/>
      <c r="B138" s="23"/>
      <c r="C138" s="23"/>
      <c r="D138" s="23"/>
      <c r="E138" s="32"/>
      <c r="F138" s="25"/>
      <c r="G138" s="23"/>
      <c r="H138" s="23"/>
      <c r="I138" s="23"/>
      <c r="J138" s="23"/>
      <c r="K138" s="23"/>
      <c r="L138" s="27" t="str">
        <f aca="false">IF($B138="","",IFERROR(INDEX(Properties!$D$5:$D$104,MATCH($B138,Properties!$A$5:$A$104,0)),"-"))</f>
        <v/>
      </c>
      <c r="M138" s="28" t="str">
        <f aca="false">IF(OR($A138="",N($E138)=0),"",$F138/$E138)</f>
        <v/>
      </c>
      <c r="N138" s="28" t="str">
        <f aca="false">IF($A138="","",IF($H138="Y",$F138*(1+Settings!$B$3),0))</f>
        <v/>
      </c>
      <c r="O138" s="27" t="str">
        <f aca="false">IF($A138="","",IF(AND($H138="Y",$G138&lt;&gt;"Restock",N($M138)&gt;Settings!$B$4,$I138&lt;&gt;"Y"),"Get host OK",IF(AND($H138="Y",$F138&gt;Settings!$B$5,$I138&lt;&gt;"Y"),"Host should pay upfront",IF($J138&lt;&gt;"Y","Save receipt","OK"))))</f>
        <v/>
      </c>
      <c r="P138" s="29" t="str">
        <f aca="false">IF($A138="","",DATE(YEAR($A138),MONTH($A138),1))</f>
        <v/>
      </c>
      <c r="Q138" s="31" t="str">
        <f aca="false">IF($A138="","",IF(AND($L138='Invoice Builder'!$C$5,$P138='Invoice Builder'!$C$6,N($N138)&gt;0),COUNTIFS($L$5:$L138,'Invoice Builder'!$C$5,$P$5:$P138,'Invoice Builder'!$C$6,$N$5:$N138,"&gt;0"),""))</f>
        <v/>
      </c>
      <c r="R138" s="27" t="str">
        <f aca="false">IF($A138="","",IF($A138&gt;=DATE(YEAR($A138),4,6),YEAR($A138)&amp;"/"&amp;RIGHT(YEAR($A138)+1,2),YEAR($A138)-1&amp;"/"&amp;RIGHT(YEAR($A138),2)))</f>
        <v/>
      </c>
    </row>
    <row r="139" customFormat="false" ht="15" hidden="false" customHeight="false" outlineLevel="0" collapsed="false">
      <c r="A139" s="22"/>
      <c r="B139" s="23"/>
      <c r="C139" s="23"/>
      <c r="D139" s="23"/>
      <c r="E139" s="32"/>
      <c r="F139" s="25"/>
      <c r="G139" s="23"/>
      <c r="H139" s="23"/>
      <c r="I139" s="23"/>
      <c r="J139" s="23"/>
      <c r="K139" s="23"/>
      <c r="L139" s="27" t="str">
        <f aca="false">IF($B139="","",IFERROR(INDEX(Properties!$D$5:$D$104,MATCH($B139,Properties!$A$5:$A$104,0)),"-"))</f>
        <v/>
      </c>
      <c r="M139" s="28" t="str">
        <f aca="false">IF(OR($A139="",N($E139)=0),"",$F139/$E139)</f>
        <v/>
      </c>
      <c r="N139" s="28" t="str">
        <f aca="false">IF($A139="","",IF($H139="Y",$F139*(1+Settings!$B$3),0))</f>
        <v/>
      </c>
      <c r="O139" s="27" t="str">
        <f aca="false">IF($A139="","",IF(AND($H139="Y",$G139&lt;&gt;"Restock",N($M139)&gt;Settings!$B$4,$I139&lt;&gt;"Y"),"Get host OK",IF(AND($H139="Y",$F139&gt;Settings!$B$5,$I139&lt;&gt;"Y"),"Host should pay upfront",IF($J139&lt;&gt;"Y","Save receipt","OK"))))</f>
        <v/>
      </c>
      <c r="P139" s="29" t="str">
        <f aca="false">IF($A139="","",DATE(YEAR($A139),MONTH($A139),1))</f>
        <v/>
      </c>
      <c r="Q139" s="31" t="str">
        <f aca="false">IF($A139="","",IF(AND($L139='Invoice Builder'!$C$5,$P139='Invoice Builder'!$C$6,N($N139)&gt;0),COUNTIFS($L$5:$L139,'Invoice Builder'!$C$5,$P$5:$P139,'Invoice Builder'!$C$6,$N$5:$N139,"&gt;0"),""))</f>
        <v/>
      </c>
      <c r="R139" s="27" t="str">
        <f aca="false">IF($A139="","",IF($A139&gt;=DATE(YEAR($A139),4,6),YEAR($A139)&amp;"/"&amp;RIGHT(YEAR($A139)+1,2),YEAR($A139)-1&amp;"/"&amp;RIGHT(YEAR($A139),2)))</f>
        <v/>
      </c>
    </row>
    <row r="140" customFormat="false" ht="15" hidden="false" customHeight="false" outlineLevel="0" collapsed="false">
      <c r="A140" s="22"/>
      <c r="B140" s="23"/>
      <c r="C140" s="23"/>
      <c r="D140" s="23"/>
      <c r="E140" s="32"/>
      <c r="F140" s="25"/>
      <c r="G140" s="23"/>
      <c r="H140" s="23"/>
      <c r="I140" s="23"/>
      <c r="J140" s="23"/>
      <c r="K140" s="23"/>
      <c r="L140" s="27" t="str">
        <f aca="false">IF($B140="","",IFERROR(INDEX(Properties!$D$5:$D$104,MATCH($B140,Properties!$A$5:$A$104,0)),"-"))</f>
        <v/>
      </c>
      <c r="M140" s="28" t="str">
        <f aca="false">IF(OR($A140="",N($E140)=0),"",$F140/$E140)</f>
        <v/>
      </c>
      <c r="N140" s="28" t="str">
        <f aca="false">IF($A140="","",IF($H140="Y",$F140*(1+Settings!$B$3),0))</f>
        <v/>
      </c>
      <c r="O140" s="27" t="str">
        <f aca="false">IF($A140="","",IF(AND($H140="Y",$G140&lt;&gt;"Restock",N($M140)&gt;Settings!$B$4,$I140&lt;&gt;"Y"),"Get host OK",IF(AND($H140="Y",$F140&gt;Settings!$B$5,$I140&lt;&gt;"Y"),"Host should pay upfront",IF($J140&lt;&gt;"Y","Save receipt","OK"))))</f>
        <v/>
      </c>
      <c r="P140" s="29" t="str">
        <f aca="false">IF($A140="","",DATE(YEAR($A140),MONTH($A140),1))</f>
        <v/>
      </c>
      <c r="Q140" s="31" t="str">
        <f aca="false">IF($A140="","",IF(AND($L140='Invoice Builder'!$C$5,$P140='Invoice Builder'!$C$6,N($N140)&gt;0),COUNTIFS($L$5:$L140,'Invoice Builder'!$C$5,$P$5:$P140,'Invoice Builder'!$C$6,$N$5:$N140,"&gt;0"),""))</f>
        <v/>
      </c>
      <c r="R140" s="27" t="str">
        <f aca="false">IF($A140="","",IF($A140&gt;=DATE(YEAR($A140),4,6),YEAR($A140)&amp;"/"&amp;RIGHT(YEAR($A140)+1,2),YEAR($A140)-1&amp;"/"&amp;RIGHT(YEAR($A140),2)))</f>
        <v/>
      </c>
    </row>
    <row r="141" customFormat="false" ht="15" hidden="false" customHeight="false" outlineLevel="0" collapsed="false">
      <c r="A141" s="22"/>
      <c r="B141" s="23"/>
      <c r="C141" s="23"/>
      <c r="D141" s="23"/>
      <c r="E141" s="32"/>
      <c r="F141" s="25"/>
      <c r="G141" s="23"/>
      <c r="H141" s="23"/>
      <c r="I141" s="23"/>
      <c r="J141" s="23"/>
      <c r="K141" s="23"/>
      <c r="L141" s="27" t="str">
        <f aca="false">IF($B141="","",IFERROR(INDEX(Properties!$D$5:$D$104,MATCH($B141,Properties!$A$5:$A$104,0)),"-"))</f>
        <v/>
      </c>
      <c r="M141" s="28" t="str">
        <f aca="false">IF(OR($A141="",N($E141)=0),"",$F141/$E141)</f>
        <v/>
      </c>
      <c r="N141" s="28" t="str">
        <f aca="false">IF($A141="","",IF($H141="Y",$F141*(1+Settings!$B$3),0))</f>
        <v/>
      </c>
      <c r="O141" s="27" t="str">
        <f aca="false">IF($A141="","",IF(AND($H141="Y",$G141&lt;&gt;"Restock",N($M141)&gt;Settings!$B$4,$I141&lt;&gt;"Y"),"Get host OK",IF(AND($H141="Y",$F141&gt;Settings!$B$5,$I141&lt;&gt;"Y"),"Host should pay upfront",IF($J141&lt;&gt;"Y","Save receipt","OK"))))</f>
        <v/>
      </c>
      <c r="P141" s="29" t="str">
        <f aca="false">IF($A141="","",DATE(YEAR($A141),MONTH($A141),1))</f>
        <v/>
      </c>
      <c r="Q141" s="31" t="str">
        <f aca="false">IF($A141="","",IF(AND($L141='Invoice Builder'!$C$5,$P141='Invoice Builder'!$C$6,N($N141)&gt;0),COUNTIFS($L$5:$L141,'Invoice Builder'!$C$5,$P$5:$P141,'Invoice Builder'!$C$6,$N$5:$N141,"&gt;0"),""))</f>
        <v/>
      </c>
      <c r="R141" s="27" t="str">
        <f aca="false">IF($A141="","",IF($A141&gt;=DATE(YEAR($A141),4,6),YEAR($A141)&amp;"/"&amp;RIGHT(YEAR($A141)+1,2),YEAR($A141)-1&amp;"/"&amp;RIGHT(YEAR($A141),2)))</f>
        <v/>
      </c>
    </row>
    <row r="142" customFormat="false" ht="15" hidden="false" customHeight="false" outlineLevel="0" collapsed="false">
      <c r="A142" s="22"/>
      <c r="B142" s="23"/>
      <c r="C142" s="23"/>
      <c r="D142" s="23"/>
      <c r="E142" s="32"/>
      <c r="F142" s="25"/>
      <c r="G142" s="23"/>
      <c r="H142" s="23"/>
      <c r="I142" s="23"/>
      <c r="J142" s="23"/>
      <c r="K142" s="23"/>
      <c r="L142" s="27" t="str">
        <f aca="false">IF($B142="","",IFERROR(INDEX(Properties!$D$5:$D$104,MATCH($B142,Properties!$A$5:$A$104,0)),"-"))</f>
        <v/>
      </c>
      <c r="M142" s="28" t="str">
        <f aca="false">IF(OR($A142="",N($E142)=0),"",$F142/$E142)</f>
        <v/>
      </c>
      <c r="N142" s="28" t="str">
        <f aca="false">IF($A142="","",IF($H142="Y",$F142*(1+Settings!$B$3),0))</f>
        <v/>
      </c>
      <c r="O142" s="27" t="str">
        <f aca="false">IF($A142="","",IF(AND($H142="Y",$G142&lt;&gt;"Restock",N($M142)&gt;Settings!$B$4,$I142&lt;&gt;"Y"),"Get host OK",IF(AND($H142="Y",$F142&gt;Settings!$B$5,$I142&lt;&gt;"Y"),"Host should pay upfront",IF($J142&lt;&gt;"Y","Save receipt","OK"))))</f>
        <v/>
      </c>
      <c r="P142" s="29" t="str">
        <f aca="false">IF($A142="","",DATE(YEAR($A142),MONTH($A142),1))</f>
        <v/>
      </c>
      <c r="Q142" s="31" t="str">
        <f aca="false">IF($A142="","",IF(AND($L142='Invoice Builder'!$C$5,$P142='Invoice Builder'!$C$6,N($N142)&gt;0),COUNTIFS($L$5:$L142,'Invoice Builder'!$C$5,$P$5:$P142,'Invoice Builder'!$C$6,$N$5:$N142,"&gt;0"),""))</f>
        <v/>
      </c>
      <c r="R142" s="27" t="str">
        <f aca="false">IF($A142="","",IF($A142&gt;=DATE(YEAR($A142),4,6),YEAR($A142)&amp;"/"&amp;RIGHT(YEAR($A142)+1,2),YEAR($A142)-1&amp;"/"&amp;RIGHT(YEAR($A142),2)))</f>
        <v/>
      </c>
    </row>
    <row r="143" customFormat="false" ht="15" hidden="false" customHeight="false" outlineLevel="0" collapsed="false">
      <c r="A143" s="22"/>
      <c r="B143" s="23"/>
      <c r="C143" s="23"/>
      <c r="D143" s="23"/>
      <c r="E143" s="32"/>
      <c r="F143" s="25"/>
      <c r="G143" s="23"/>
      <c r="H143" s="23"/>
      <c r="I143" s="23"/>
      <c r="J143" s="23"/>
      <c r="K143" s="23"/>
      <c r="L143" s="27" t="str">
        <f aca="false">IF($B143="","",IFERROR(INDEX(Properties!$D$5:$D$104,MATCH($B143,Properties!$A$5:$A$104,0)),"-"))</f>
        <v/>
      </c>
      <c r="M143" s="28" t="str">
        <f aca="false">IF(OR($A143="",N($E143)=0),"",$F143/$E143)</f>
        <v/>
      </c>
      <c r="N143" s="28" t="str">
        <f aca="false">IF($A143="","",IF($H143="Y",$F143*(1+Settings!$B$3),0))</f>
        <v/>
      </c>
      <c r="O143" s="27" t="str">
        <f aca="false">IF($A143="","",IF(AND($H143="Y",$G143&lt;&gt;"Restock",N($M143)&gt;Settings!$B$4,$I143&lt;&gt;"Y"),"Get host OK",IF(AND($H143="Y",$F143&gt;Settings!$B$5,$I143&lt;&gt;"Y"),"Host should pay upfront",IF($J143&lt;&gt;"Y","Save receipt","OK"))))</f>
        <v/>
      </c>
      <c r="P143" s="29" t="str">
        <f aca="false">IF($A143="","",DATE(YEAR($A143),MONTH($A143),1))</f>
        <v/>
      </c>
      <c r="Q143" s="31" t="str">
        <f aca="false">IF($A143="","",IF(AND($L143='Invoice Builder'!$C$5,$P143='Invoice Builder'!$C$6,N($N143)&gt;0),COUNTIFS($L$5:$L143,'Invoice Builder'!$C$5,$P$5:$P143,'Invoice Builder'!$C$6,$N$5:$N143,"&gt;0"),""))</f>
        <v/>
      </c>
      <c r="R143" s="27" t="str">
        <f aca="false">IF($A143="","",IF($A143&gt;=DATE(YEAR($A143),4,6),YEAR($A143)&amp;"/"&amp;RIGHT(YEAR($A143)+1,2),YEAR($A143)-1&amp;"/"&amp;RIGHT(YEAR($A143),2)))</f>
        <v/>
      </c>
    </row>
    <row r="144" customFormat="false" ht="15" hidden="false" customHeight="false" outlineLevel="0" collapsed="false">
      <c r="A144" s="22"/>
      <c r="B144" s="23"/>
      <c r="C144" s="23"/>
      <c r="D144" s="23"/>
      <c r="E144" s="32"/>
      <c r="F144" s="25"/>
      <c r="G144" s="23"/>
      <c r="H144" s="23"/>
      <c r="I144" s="23"/>
      <c r="J144" s="23"/>
      <c r="K144" s="23"/>
      <c r="L144" s="27" t="str">
        <f aca="false">IF($B144="","",IFERROR(INDEX(Properties!$D$5:$D$104,MATCH($B144,Properties!$A$5:$A$104,0)),"-"))</f>
        <v/>
      </c>
      <c r="M144" s="28" t="str">
        <f aca="false">IF(OR($A144="",N($E144)=0),"",$F144/$E144)</f>
        <v/>
      </c>
      <c r="N144" s="28" t="str">
        <f aca="false">IF($A144="","",IF($H144="Y",$F144*(1+Settings!$B$3),0))</f>
        <v/>
      </c>
      <c r="O144" s="27" t="str">
        <f aca="false">IF($A144="","",IF(AND($H144="Y",$G144&lt;&gt;"Restock",N($M144)&gt;Settings!$B$4,$I144&lt;&gt;"Y"),"Get host OK",IF(AND($H144="Y",$F144&gt;Settings!$B$5,$I144&lt;&gt;"Y"),"Host should pay upfront",IF($J144&lt;&gt;"Y","Save receipt","OK"))))</f>
        <v/>
      </c>
      <c r="P144" s="29" t="str">
        <f aca="false">IF($A144="","",DATE(YEAR($A144),MONTH($A144),1))</f>
        <v/>
      </c>
      <c r="Q144" s="31" t="str">
        <f aca="false">IF($A144="","",IF(AND($L144='Invoice Builder'!$C$5,$P144='Invoice Builder'!$C$6,N($N144)&gt;0),COUNTIFS($L$5:$L144,'Invoice Builder'!$C$5,$P$5:$P144,'Invoice Builder'!$C$6,$N$5:$N144,"&gt;0"),""))</f>
        <v/>
      </c>
      <c r="R144" s="27" t="str">
        <f aca="false">IF($A144="","",IF($A144&gt;=DATE(YEAR($A144),4,6),YEAR($A144)&amp;"/"&amp;RIGHT(YEAR($A144)+1,2),YEAR($A144)-1&amp;"/"&amp;RIGHT(YEAR($A144),2)))</f>
        <v/>
      </c>
    </row>
    <row r="145" customFormat="false" ht="15" hidden="false" customHeight="false" outlineLevel="0" collapsed="false">
      <c r="A145" s="22"/>
      <c r="B145" s="23"/>
      <c r="C145" s="23"/>
      <c r="D145" s="23"/>
      <c r="E145" s="32"/>
      <c r="F145" s="25"/>
      <c r="G145" s="23"/>
      <c r="H145" s="23"/>
      <c r="I145" s="23"/>
      <c r="J145" s="23"/>
      <c r="K145" s="23"/>
      <c r="L145" s="27" t="str">
        <f aca="false">IF($B145="","",IFERROR(INDEX(Properties!$D$5:$D$104,MATCH($B145,Properties!$A$5:$A$104,0)),"-"))</f>
        <v/>
      </c>
      <c r="M145" s="28" t="str">
        <f aca="false">IF(OR($A145="",N($E145)=0),"",$F145/$E145)</f>
        <v/>
      </c>
      <c r="N145" s="28" t="str">
        <f aca="false">IF($A145="","",IF($H145="Y",$F145*(1+Settings!$B$3),0))</f>
        <v/>
      </c>
      <c r="O145" s="27" t="str">
        <f aca="false">IF($A145="","",IF(AND($H145="Y",$G145&lt;&gt;"Restock",N($M145)&gt;Settings!$B$4,$I145&lt;&gt;"Y"),"Get host OK",IF(AND($H145="Y",$F145&gt;Settings!$B$5,$I145&lt;&gt;"Y"),"Host should pay upfront",IF($J145&lt;&gt;"Y","Save receipt","OK"))))</f>
        <v/>
      </c>
      <c r="P145" s="29" t="str">
        <f aca="false">IF($A145="","",DATE(YEAR($A145),MONTH($A145),1))</f>
        <v/>
      </c>
      <c r="Q145" s="31" t="str">
        <f aca="false">IF($A145="","",IF(AND($L145='Invoice Builder'!$C$5,$P145='Invoice Builder'!$C$6,N($N145)&gt;0),COUNTIFS($L$5:$L145,'Invoice Builder'!$C$5,$P$5:$P145,'Invoice Builder'!$C$6,$N$5:$N145,"&gt;0"),""))</f>
        <v/>
      </c>
      <c r="R145" s="27" t="str">
        <f aca="false">IF($A145="","",IF($A145&gt;=DATE(YEAR($A145),4,6),YEAR($A145)&amp;"/"&amp;RIGHT(YEAR($A145)+1,2),YEAR($A145)-1&amp;"/"&amp;RIGHT(YEAR($A145),2)))</f>
        <v/>
      </c>
    </row>
    <row r="146" customFormat="false" ht="15" hidden="false" customHeight="false" outlineLevel="0" collapsed="false">
      <c r="A146" s="22"/>
      <c r="B146" s="23"/>
      <c r="C146" s="23"/>
      <c r="D146" s="23"/>
      <c r="E146" s="32"/>
      <c r="F146" s="25"/>
      <c r="G146" s="23"/>
      <c r="H146" s="23"/>
      <c r="I146" s="23"/>
      <c r="J146" s="23"/>
      <c r="K146" s="23"/>
      <c r="L146" s="27" t="str">
        <f aca="false">IF($B146="","",IFERROR(INDEX(Properties!$D$5:$D$104,MATCH($B146,Properties!$A$5:$A$104,0)),"-"))</f>
        <v/>
      </c>
      <c r="M146" s="28" t="str">
        <f aca="false">IF(OR($A146="",N($E146)=0),"",$F146/$E146)</f>
        <v/>
      </c>
      <c r="N146" s="28" t="str">
        <f aca="false">IF($A146="","",IF($H146="Y",$F146*(1+Settings!$B$3),0))</f>
        <v/>
      </c>
      <c r="O146" s="27" t="str">
        <f aca="false">IF($A146="","",IF(AND($H146="Y",$G146&lt;&gt;"Restock",N($M146)&gt;Settings!$B$4,$I146&lt;&gt;"Y"),"Get host OK",IF(AND($H146="Y",$F146&gt;Settings!$B$5,$I146&lt;&gt;"Y"),"Host should pay upfront",IF($J146&lt;&gt;"Y","Save receipt","OK"))))</f>
        <v/>
      </c>
      <c r="P146" s="29" t="str">
        <f aca="false">IF($A146="","",DATE(YEAR($A146),MONTH($A146),1))</f>
        <v/>
      </c>
      <c r="Q146" s="31" t="str">
        <f aca="false">IF($A146="","",IF(AND($L146='Invoice Builder'!$C$5,$P146='Invoice Builder'!$C$6,N($N146)&gt;0),COUNTIFS($L$5:$L146,'Invoice Builder'!$C$5,$P$5:$P146,'Invoice Builder'!$C$6,$N$5:$N146,"&gt;0"),""))</f>
        <v/>
      </c>
      <c r="R146" s="27" t="str">
        <f aca="false">IF($A146="","",IF($A146&gt;=DATE(YEAR($A146),4,6),YEAR($A146)&amp;"/"&amp;RIGHT(YEAR($A146)+1,2),YEAR($A146)-1&amp;"/"&amp;RIGHT(YEAR($A146),2)))</f>
        <v/>
      </c>
    </row>
    <row r="147" customFormat="false" ht="15" hidden="false" customHeight="false" outlineLevel="0" collapsed="false">
      <c r="A147" s="22"/>
      <c r="B147" s="23"/>
      <c r="C147" s="23"/>
      <c r="D147" s="23"/>
      <c r="E147" s="32"/>
      <c r="F147" s="25"/>
      <c r="G147" s="23"/>
      <c r="H147" s="23"/>
      <c r="I147" s="23"/>
      <c r="J147" s="23"/>
      <c r="K147" s="23"/>
      <c r="L147" s="27" t="str">
        <f aca="false">IF($B147="","",IFERROR(INDEX(Properties!$D$5:$D$104,MATCH($B147,Properties!$A$5:$A$104,0)),"-"))</f>
        <v/>
      </c>
      <c r="M147" s="28" t="str">
        <f aca="false">IF(OR($A147="",N($E147)=0),"",$F147/$E147)</f>
        <v/>
      </c>
      <c r="N147" s="28" t="str">
        <f aca="false">IF($A147="","",IF($H147="Y",$F147*(1+Settings!$B$3),0))</f>
        <v/>
      </c>
      <c r="O147" s="27" t="str">
        <f aca="false">IF($A147="","",IF(AND($H147="Y",$G147&lt;&gt;"Restock",N($M147)&gt;Settings!$B$4,$I147&lt;&gt;"Y"),"Get host OK",IF(AND($H147="Y",$F147&gt;Settings!$B$5,$I147&lt;&gt;"Y"),"Host should pay upfront",IF($J147&lt;&gt;"Y","Save receipt","OK"))))</f>
        <v/>
      </c>
      <c r="P147" s="29" t="str">
        <f aca="false">IF($A147="","",DATE(YEAR($A147),MONTH($A147),1))</f>
        <v/>
      </c>
      <c r="Q147" s="31" t="str">
        <f aca="false">IF($A147="","",IF(AND($L147='Invoice Builder'!$C$5,$P147='Invoice Builder'!$C$6,N($N147)&gt;0),COUNTIFS($L$5:$L147,'Invoice Builder'!$C$5,$P$5:$P147,'Invoice Builder'!$C$6,$N$5:$N147,"&gt;0"),""))</f>
        <v/>
      </c>
      <c r="R147" s="27" t="str">
        <f aca="false">IF($A147="","",IF($A147&gt;=DATE(YEAR($A147),4,6),YEAR($A147)&amp;"/"&amp;RIGHT(YEAR($A147)+1,2),YEAR($A147)-1&amp;"/"&amp;RIGHT(YEAR($A147),2)))</f>
        <v/>
      </c>
    </row>
    <row r="148" customFormat="false" ht="15" hidden="false" customHeight="false" outlineLevel="0" collapsed="false">
      <c r="A148" s="22"/>
      <c r="B148" s="23"/>
      <c r="C148" s="23"/>
      <c r="D148" s="23"/>
      <c r="E148" s="32"/>
      <c r="F148" s="25"/>
      <c r="G148" s="23"/>
      <c r="H148" s="23"/>
      <c r="I148" s="23"/>
      <c r="J148" s="23"/>
      <c r="K148" s="23"/>
      <c r="L148" s="27" t="str">
        <f aca="false">IF($B148="","",IFERROR(INDEX(Properties!$D$5:$D$104,MATCH($B148,Properties!$A$5:$A$104,0)),"-"))</f>
        <v/>
      </c>
      <c r="M148" s="28" t="str">
        <f aca="false">IF(OR($A148="",N($E148)=0),"",$F148/$E148)</f>
        <v/>
      </c>
      <c r="N148" s="28" t="str">
        <f aca="false">IF($A148="","",IF($H148="Y",$F148*(1+Settings!$B$3),0))</f>
        <v/>
      </c>
      <c r="O148" s="27" t="str">
        <f aca="false">IF($A148="","",IF(AND($H148="Y",$G148&lt;&gt;"Restock",N($M148)&gt;Settings!$B$4,$I148&lt;&gt;"Y"),"Get host OK",IF(AND($H148="Y",$F148&gt;Settings!$B$5,$I148&lt;&gt;"Y"),"Host should pay upfront",IF($J148&lt;&gt;"Y","Save receipt","OK"))))</f>
        <v/>
      </c>
      <c r="P148" s="29" t="str">
        <f aca="false">IF($A148="","",DATE(YEAR($A148),MONTH($A148),1))</f>
        <v/>
      </c>
      <c r="Q148" s="31" t="str">
        <f aca="false">IF($A148="","",IF(AND($L148='Invoice Builder'!$C$5,$P148='Invoice Builder'!$C$6,N($N148)&gt;0),COUNTIFS($L$5:$L148,'Invoice Builder'!$C$5,$P$5:$P148,'Invoice Builder'!$C$6,$N$5:$N148,"&gt;0"),""))</f>
        <v/>
      </c>
      <c r="R148" s="27" t="str">
        <f aca="false">IF($A148="","",IF($A148&gt;=DATE(YEAR($A148),4,6),YEAR($A148)&amp;"/"&amp;RIGHT(YEAR($A148)+1,2),YEAR($A148)-1&amp;"/"&amp;RIGHT(YEAR($A148),2)))</f>
        <v/>
      </c>
    </row>
    <row r="149" customFormat="false" ht="15" hidden="false" customHeight="false" outlineLevel="0" collapsed="false">
      <c r="A149" s="22"/>
      <c r="B149" s="23"/>
      <c r="C149" s="23"/>
      <c r="D149" s="23"/>
      <c r="E149" s="32"/>
      <c r="F149" s="25"/>
      <c r="G149" s="23"/>
      <c r="H149" s="23"/>
      <c r="I149" s="23"/>
      <c r="J149" s="23"/>
      <c r="K149" s="23"/>
      <c r="L149" s="27" t="str">
        <f aca="false">IF($B149="","",IFERROR(INDEX(Properties!$D$5:$D$104,MATCH($B149,Properties!$A$5:$A$104,0)),"-"))</f>
        <v/>
      </c>
      <c r="M149" s="28" t="str">
        <f aca="false">IF(OR($A149="",N($E149)=0),"",$F149/$E149)</f>
        <v/>
      </c>
      <c r="N149" s="28" t="str">
        <f aca="false">IF($A149="","",IF($H149="Y",$F149*(1+Settings!$B$3),0))</f>
        <v/>
      </c>
      <c r="O149" s="27" t="str">
        <f aca="false">IF($A149="","",IF(AND($H149="Y",$G149&lt;&gt;"Restock",N($M149)&gt;Settings!$B$4,$I149&lt;&gt;"Y"),"Get host OK",IF(AND($H149="Y",$F149&gt;Settings!$B$5,$I149&lt;&gt;"Y"),"Host should pay upfront",IF($J149&lt;&gt;"Y","Save receipt","OK"))))</f>
        <v/>
      </c>
      <c r="P149" s="29" t="str">
        <f aca="false">IF($A149="","",DATE(YEAR($A149),MONTH($A149),1))</f>
        <v/>
      </c>
      <c r="Q149" s="31" t="str">
        <f aca="false">IF($A149="","",IF(AND($L149='Invoice Builder'!$C$5,$P149='Invoice Builder'!$C$6,N($N149)&gt;0),COUNTIFS($L$5:$L149,'Invoice Builder'!$C$5,$P$5:$P149,'Invoice Builder'!$C$6,$N$5:$N149,"&gt;0"),""))</f>
        <v/>
      </c>
      <c r="R149" s="27" t="str">
        <f aca="false">IF($A149="","",IF($A149&gt;=DATE(YEAR($A149),4,6),YEAR($A149)&amp;"/"&amp;RIGHT(YEAR($A149)+1,2),YEAR($A149)-1&amp;"/"&amp;RIGHT(YEAR($A149),2)))</f>
        <v/>
      </c>
    </row>
    <row r="150" customFormat="false" ht="15" hidden="false" customHeight="false" outlineLevel="0" collapsed="false">
      <c r="A150" s="22"/>
      <c r="B150" s="23"/>
      <c r="C150" s="23"/>
      <c r="D150" s="23"/>
      <c r="E150" s="32"/>
      <c r="F150" s="25"/>
      <c r="G150" s="23"/>
      <c r="H150" s="23"/>
      <c r="I150" s="23"/>
      <c r="J150" s="23"/>
      <c r="K150" s="23"/>
      <c r="L150" s="27" t="str">
        <f aca="false">IF($B150="","",IFERROR(INDEX(Properties!$D$5:$D$104,MATCH($B150,Properties!$A$5:$A$104,0)),"-"))</f>
        <v/>
      </c>
      <c r="M150" s="28" t="str">
        <f aca="false">IF(OR($A150="",N($E150)=0),"",$F150/$E150)</f>
        <v/>
      </c>
      <c r="N150" s="28" t="str">
        <f aca="false">IF($A150="","",IF($H150="Y",$F150*(1+Settings!$B$3),0))</f>
        <v/>
      </c>
      <c r="O150" s="27" t="str">
        <f aca="false">IF($A150="","",IF(AND($H150="Y",$G150&lt;&gt;"Restock",N($M150)&gt;Settings!$B$4,$I150&lt;&gt;"Y"),"Get host OK",IF(AND($H150="Y",$F150&gt;Settings!$B$5,$I150&lt;&gt;"Y"),"Host should pay upfront",IF($J150&lt;&gt;"Y","Save receipt","OK"))))</f>
        <v/>
      </c>
      <c r="P150" s="29" t="str">
        <f aca="false">IF($A150="","",DATE(YEAR($A150),MONTH($A150),1))</f>
        <v/>
      </c>
      <c r="Q150" s="31" t="str">
        <f aca="false">IF($A150="","",IF(AND($L150='Invoice Builder'!$C$5,$P150='Invoice Builder'!$C$6,N($N150)&gt;0),COUNTIFS($L$5:$L150,'Invoice Builder'!$C$5,$P$5:$P150,'Invoice Builder'!$C$6,$N$5:$N150,"&gt;0"),""))</f>
        <v/>
      </c>
      <c r="R150" s="27" t="str">
        <f aca="false">IF($A150="","",IF($A150&gt;=DATE(YEAR($A150),4,6),YEAR($A150)&amp;"/"&amp;RIGHT(YEAR($A150)+1,2),YEAR($A150)-1&amp;"/"&amp;RIGHT(YEAR($A150),2)))</f>
        <v/>
      </c>
    </row>
    <row r="151" customFormat="false" ht="15" hidden="false" customHeight="false" outlineLevel="0" collapsed="false">
      <c r="A151" s="22"/>
      <c r="B151" s="23"/>
      <c r="C151" s="23"/>
      <c r="D151" s="23"/>
      <c r="E151" s="32"/>
      <c r="F151" s="25"/>
      <c r="G151" s="23"/>
      <c r="H151" s="23"/>
      <c r="I151" s="23"/>
      <c r="J151" s="23"/>
      <c r="K151" s="23"/>
      <c r="L151" s="27" t="str">
        <f aca="false">IF($B151="","",IFERROR(INDEX(Properties!$D$5:$D$104,MATCH($B151,Properties!$A$5:$A$104,0)),"-"))</f>
        <v/>
      </c>
      <c r="M151" s="28" t="str">
        <f aca="false">IF(OR($A151="",N($E151)=0),"",$F151/$E151)</f>
        <v/>
      </c>
      <c r="N151" s="28" t="str">
        <f aca="false">IF($A151="","",IF($H151="Y",$F151*(1+Settings!$B$3),0))</f>
        <v/>
      </c>
      <c r="O151" s="27" t="str">
        <f aca="false">IF($A151="","",IF(AND($H151="Y",$G151&lt;&gt;"Restock",N($M151)&gt;Settings!$B$4,$I151&lt;&gt;"Y"),"Get host OK",IF(AND($H151="Y",$F151&gt;Settings!$B$5,$I151&lt;&gt;"Y"),"Host should pay upfront",IF($J151&lt;&gt;"Y","Save receipt","OK"))))</f>
        <v/>
      </c>
      <c r="P151" s="29" t="str">
        <f aca="false">IF($A151="","",DATE(YEAR($A151),MONTH($A151),1))</f>
        <v/>
      </c>
      <c r="Q151" s="31" t="str">
        <f aca="false">IF($A151="","",IF(AND($L151='Invoice Builder'!$C$5,$P151='Invoice Builder'!$C$6,N($N151)&gt;0),COUNTIFS($L$5:$L151,'Invoice Builder'!$C$5,$P$5:$P151,'Invoice Builder'!$C$6,$N$5:$N151,"&gt;0"),""))</f>
        <v/>
      </c>
      <c r="R151" s="27" t="str">
        <f aca="false">IF($A151="","",IF($A151&gt;=DATE(YEAR($A151),4,6),YEAR($A151)&amp;"/"&amp;RIGHT(YEAR($A151)+1,2),YEAR($A151)-1&amp;"/"&amp;RIGHT(YEAR($A151),2)))</f>
        <v/>
      </c>
    </row>
    <row r="152" customFormat="false" ht="15" hidden="false" customHeight="false" outlineLevel="0" collapsed="false">
      <c r="A152" s="22"/>
      <c r="B152" s="23"/>
      <c r="C152" s="23"/>
      <c r="D152" s="23"/>
      <c r="E152" s="32"/>
      <c r="F152" s="25"/>
      <c r="G152" s="23"/>
      <c r="H152" s="23"/>
      <c r="I152" s="23"/>
      <c r="J152" s="23"/>
      <c r="K152" s="23"/>
      <c r="L152" s="27" t="str">
        <f aca="false">IF($B152="","",IFERROR(INDEX(Properties!$D$5:$D$104,MATCH($B152,Properties!$A$5:$A$104,0)),"-"))</f>
        <v/>
      </c>
      <c r="M152" s="28" t="str">
        <f aca="false">IF(OR($A152="",N($E152)=0),"",$F152/$E152)</f>
        <v/>
      </c>
      <c r="N152" s="28" t="str">
        <f aca="false">IF($A152="","",IF($H152="Y",$F152*(1+Settings!$B$3),0))</f>
        <v/>
      </c>
      <c r="O152" s="27" t="str">
        <f aca="false">IF($A152="","",IF(AND($H152="Y",$G152&lt;&gt;"Restock",N($M152)&gt;Settings!$B$4,$I152&lt;&gt;"Y"),"Get host OK",IF(AND($H152="Y",$F152&gt;Settings!$B$5,$I152&lt;&gt;"Y"),"Host should pay upfront",IF($J152&lt;&gt;"Y","Save receipt","OK"))))</f>
        <v/>
      </c>
      <c r="P152" s="29" t="str">
        <f aca="false">IF($A152="","",DATE(YEAR($A152),MONTH($A152),1))</f>
        <v/>
      </c>
      <c r="Q152" s="31" t="str">
        <f aca="false">IF($A152="","",IF(AND($L152='Invoice Builder'!$C$5,$P152='Invoice Builder'!$C$6,N($N152)&gt;0),COUNTIFS($L$5:$L152,'Invoice Builder'!$C$5,$P$5:$P152,'Invoice Builder'!$C$6,$N$5:$N152,"&gt;0"),""))</f>
        <v/>
      </c>
      <c r="R152" s="27" t="str">
        <f aca="false">IF($A152="","",IF($A152&gt;=DATE(YEAR($A152),4,6),YEAR($A152)&amp;"/"&amp;RIGHT(YEAR($A152)+1,2),YEAR($A152)-1&amp;"/"&amp;RIGHT(YEAR($A152),2)))</f>
        <v/>
      </c>
    </row>
    <row r="153" customFormat="false" ht="15" hidden="false" customHeight="false" outlineLevel="0" collapsed="false">
      <c r="A153" s="22"/>
      <c r="B153" s="23"/>
      <c r="C153" s="23"/>
      <c r="D153" s="23"/>
      <c r="E153" s="32"/>
      <c r="F153" s="25"/>
      <c r="G153" s="23"/>
      <c r="H153" s="23"/>
      <c r="I153" s="23"/>
      <c r="J153" s="23"/>
      <c r="K153" s="23"/>
      <c r="L153" s="27" t="str">
        <f aca="false">IF($B153="","",IFERROR(INDEX(Properties!$D$5:$D$104,MATCH($B153,Properties!$A$5:$A$104,0)),"-"))</f>
        <v/>
      </c>
      <c r="M153" s="28" t="str">
        <f aca="false">IF(OR($A153="",N($E153)=0),"",$F153/$E153)</f>
        <v/>
      </c>
      <c r="N153" s="28" t="str">
        <f aca="false">IF($A153="","",IF($H153="Y",$F153*(1+Settings!$B$3),0))</f>
        <v/>
      </c>
      <c r="O153" s="27" t="str">
        <f aca="false">IF($A153="","",IF(AND($H153="Y",$G153&lt;&gt;"Restock",N($M153)&gt;Settings!$B$4,$I153&lt;&gt;"Y"),"Get host OK",IF(AND($H153="Y",$F153&gt;Settings!$B$5,$I153&lt;&gt;"Y"),"Host should pay upfront",IF($J153&lt;&gt;"Y","Save receipt","OK"))))</f>
        <v/>
      </c>
      <c r="P153" s="29" t="str">
        <f aca="false">IF($A153="","",DATE(YEAR($A153),MONTH($A153),1))</f>
        <v/>
      </c>
      <c r="Q153" s="31" t="str">
        <f aca="false">IF($A153="","",IF(AND($L153='Invoice Builder'!$C$5,$P153='Invoice Builder'!$C$6,N($N153)&gt;0),COUNTIFS($L$5:$L153,'Invoice Builder'!$C$5,$P$5:$P153,'Invoice Builder'!$C$6,$N$5:$N153,"&gt;0"),""))</f>
        <v/>
      </c>
      <c r="R153" s="27" t="str">
        <f aca="false">IF($A153="","",IF($A153&gt;=DATE(YEAR($A153),4,6),YEAR($A153)&amp;"/"&amp;RIGHT(YEAR($A153)+1,2),YEAR($A153)-1&amp;"/"&amp;RIGHT(YEAR($A153),2)))</f>
        <v/>
      </c>
    </row>
    <row r="154" customFormat="false" ht="15" hidden="false" customHeight="false" outlineLevel="0" collapsed="false">
      <c r="A154" s="22"/>
      <c r="B154" s="23"/>
      <c r="C154" s="23"/>
      <c r="D154" s="23"/>
      <c r="E154" s="32"/>
      <c r="F154" s="25"/>
      <c r="G154" s="23"/>
      <c r="H154" s="23"/>
      <c r="I154" s="23"/>
      <c r="J154" s="23"/>
      <c r="K154" s="23"/>
      <c r="L154" s="27" t="str">
        <f aca="false">IF($B154="","",IFERROR(INDEX(Properties!$D$5:$D$104,MATCH($B154,Properties!$A$5:$A$104,0)),"-"))</f>
        <v/>
      </c>
      <c r="M154" s="28" t="str">
        <f aca="false">IF(OR($A154="",N($E154)=0),"",$F154/$E154)</f>
        <v/>
      </c>
      <c r="N154" s="28" t="str">
        <f aca="false">IF($A154="","",IF($H154="Y",$F154*(1+Settings!$B$3),0))</f>
        <v/>
      </c>
      <c r="O154" s="27" t="str">
        <f aca="false">IF($A154="","",IF(AND($H154="Y",$G154&lt;&gt;"Restock",N($M154)&gt;Settings!$B$4,$I154&lt;&gt;"Y"),"Get host OK",IF(AND($H154="Y",$F154&gt;Settings!$B$5,$I154&lt;&gt;"Y"),"Host should pay upfront",IF($J154&lt;&gt;"Y","Save receipt","OK"))))</f>
        <v/>
      </c>
      <c r="P154" s="29" t="str">
        <f aca="false">IF($A154="","",DATE(YEAR($A154),MONTH($A154),1))</f>
        <v/>
      </c>
      <c r="Q154" s="31" t="str">
        <f aca="false">IF($A154="","",IF(AND($L154='Invoice Builder'!$C$5,$P154='Invoice Builder'!$C$6,N($N154)&gt;0),COUNTIFS($L$5:$L154,'Invoice Builder'!$C$5,$P$5:$P154,'Invoice Builder'!$C$6,$N$5:$N154,"&gt;0"),""))</f>
        <v/>
      </c>
      <c r="R154" s="27" t="str">
        <f aca="false">IF($A154="","",IF($A154&gt;=DATE(YEAR($A154),4,6),YEAR($A154)&amp;"/"&amp;RIGHT(YEAR($A154)+1,2),YEAR($A154)-1&amp;"/"&amp;RIGHT(YEAR($A154),2)))</f>
        <v/>
      </c>
    </row>
    <row r="155" customFormat="false" ht="15" hidden="false" customHeight="false" outlineLevel="0" collapsed="false">
      <c r="A155" s="22"/>
      <c r="B155" s="23"/>
      <c r="C155" s="23"/>
      <c r="D155" s="23"/>
      <c r="E155" s="32"/>
      <c r="F155" s="25"/>
      <c r="G155" s="23"/>
      <c r="H155" s="23"/>
      <c r="I155" s="23"/>
      <c r="J155" s="23"/>
      <c r="K155" s="23"/>
      <c r="L155" s="27" t="str">
        <f aca="false">IF($B155="","",IFERROR(INDEX(Properties!$D$5:$D$104,MATCH($B155,Properties!$A$5:$A$104,0)),"-"))</f>
        <v/>
      </c>
      <c r="M155" s="28" t="str">
        <f aca="false">IF(OR($A155="",N($E155)=0),"",$F155/$E155)</f>
        <v/>
      </c>
      <c r="N155" s="28" t="str">
        <f aca="false">IF($A155="","",IF($H155="Y",$F155*(1+Settings!$B$3),0))</f>
        <v/>
      </c>
      <c r="O155" s="27" t="str">
        <f aca="false">IF($A155="","",IF(AND($H155="Y",$G155&lt;&gt;"Restock",N($M155)&gt;Settings!$B$4,$I155&lt;&gt;"Y"),"Get host OK",IF(AND($H155="Y",$F155&gt;Settings!$B$5,$I155&lt;&gt;"Y"),"Host should pay upfront",IF($J155&lt;&gt;"Y","Save receipt","OK"))))</f>
        <v/>
      </c>
      <c r="P155" s="29" t="str">
        <f aca="false">IF($A155="","",DATE(YEAR($A155),MONTH($A155),1))</f>
        <v/>
      </c>
      <c r="Q155" s="31" t="str">
        <f aca="false">IF($A155="","",IF(AND($L155='Invoice Builder'!$C$5,$P155='Invoice Builder'!$C$6,N($N155)&gt;0),COUNTIFS($L$5:$L155,'Invoice Builder'!$C$5,$P$5:$P155,'Invoice Builder'!$C$6,$N$5:$N155,"&gt;0"),""))</f>
        <v/>
      </c>
      <c r="R155" s="27" t="str">
        <f aca="false">IF($A155="","",IF($A155&gt;=DATE(YEAR($A155),4,6),YEAR($A155)&amp;"/"&amp;RIGHT(YEAR($A155)+1,2),YEAR($A155)-1&amp;"/"&amp;RIGHT(YEAR($A155),2)))</f>
        <v/>
      </c>
    </row>
    <row r="156" customFormat="false" ht="15" hidden="false" customHeight="false" outlineLevel="0" collapsed="false">
      <c r="A156" s="22"/>
      <c r="B156" s="23"/>
      <c r="C156" s="23"/>
      <c r="D156" s="23"/>
      <c r="E156" s="32"/>
      <c r="F156" s="25"/>
      <c r="G156" s="23"/>
      <c r="H156" s="23"/>
      <c r="I156" s="23"/>
      <c r="J156" s="23"/>
      <c r="K156" s="23"/>
      <c r="L156" s="27" t="str">
        <f aca="false">IF($B156="","",IFERROR(INDEX(Properties!$D$5:$D$104,MATCH($B156,Properties!$A$5:$A$104,0)),"-"))</f>
        <v/>
      </c>
      <c r="M156" s="28" t="str">
        <f aca="false">IF(OR($A156="",N($E156)=0),"",$F156/$E156)</f>
        <v/>
      </c>
      <c r="N156" s="28" t="str">
        <f aca="false">IF($A156="","",IF($H156="Y",$F156*(1+Settings!$B$3),0))</f>
        <v/>
      </c>
      <c r="O156" s="27" t="str">
        <f aca="false">IF($A156="","",IF(AND($H156="Y",$G156&lt;&gt;"Restock",N($M156)&gt;Settings!$B$4,$I156&lt;&gt;"Y"),"Get host OK",IF(AND($H156="Y",$F156&gt;Settings!$B$5,$I156&lt;&gt;"Y"),"Host should pay upfront",IF($J156&lt;&gt;"Y","Save receipt","OK"))))</f>
        <v/>
      </c>
      <c r="P156" s="29" t="str">
        <f aca="false">IF($A156="","",DATE(YEAR($A156),MONTH($A156),1))</f>
        <v/>
      </c>
      <c r="Q156" s="31" t="str">
        <f aca="false">IF($A156="","",IF(AND($L156='Invoice Builder'!$C$5,$P156='Invoice Builder'!$C$6,N($N156)&gt;0),COUNTIFS($L$5:$L156,'Invoice Builder'!$C$5,$P$5:$P156,'Invoice Builder'!$C$6,$N$5:$N156,"&gt;0"),""))</f>
        <v/>
      </c>
      <c r="R156" s="27" t="str">
        <f aca="false">IF($A156="","",IF($A156&gt;=DATE(YEAR($A156),4,6),YEAR($A156)&amp;"/"&amp;RIGHT(YEAR($A156)+1,2),YEAR($A156)-1&amp;"/"&amp;RIGHT(YEAR($A156),2)))</f>
        <v/>
      </c>
    </row>
    <row r="157" customFormat="false" ht="15" hidden="false" customHeight="false" outlineLevel="0" collapsed="false">
      <c r="A157" s="22"/>
      <c r="B157" s="23"/>
      <c r="C157" s="23"/>
      <c r="D157" s="23"/>
      <c r="E157" s="32"/>
      <c r="F157" s="25"/>
      <c r="G157" s="23"/>
      <c r="H157" s="23"/>
      <c r="I157" s="23"/>
      <c r="J157" s="23"/>
      <c r="K157" s="23"/>
      <c r="L157" s="27" t="str">
        <f aca="false">IF($B157="","",IFERROR(INDEX(Properties!$D$5:$D$104,MATCH($B157,Properties!$A$5:$A$104,0)),"-"))</f>
        <v/>
      </c>
      <c r="M157" s="28" t="str">
        <f aca="false">IF(OR($A157="",N($E157)=0),"",$F157/$E157)</f>
        <v/>
      </c>
      <c r="N157" s="28" t="str">
        <f aca="false">IF($A157="","",IF($H157="Y",$F157*(1+Settings!$B$3),0))</f>
        <v/>
      </c>
      <c r="O157" s="27" t="str">
        <f aca="false">IF($A157="","",IF(AND($H157="Y",$G157&lt;&gt;"Restock",N($M157)&gt;Settings!$B$4,$I157&lt;&gt;"Y"),"Get host OK",IF(AND($H157="Y",$F157&gt;Settings!$B$5,$I157&lt;&gt;"Y"),"Host should pay upfront",IF($J157&lt;&gt;"Y","Save receipt","OK"))))</f>
        <v/>
      </c>
      <c r="P157" s="29" t="str">
        <f aca="false">IF($A157="","",DATE(YEAR($A157),MONTH($A157),1))</f>
        <v/>
      </c>
      <c r="Q157" s="31" t="str">
        <f aca="false">IF($A157="","",IF(AND($L157='Invoice Builder'!$C$5,$P157='Invoice Builder'!$C$6,N($N157)&gt;0),COUNTIFS($L$5:$L157,'Invoice Builder'!$C$5,$P$5:$P157,'Invoice Builder'!$C$6,$N$5:$N157,"&gt;0"),""))</f>
        <v/>
      </c>
      <c r="R157" s="27" t="str">
        <f aca="false">IF($A157="","",IF($A157&gt;=DATE(YEAR($A157),4,6),YEAR($A157)&amp;"/"&amp;RIGHT(YEAR($A157)+1,2),YEAR($A157)-1&amp;"/"&amp;RIGHT(YEAR($A157),2)))</f>
        <v/>
      </c>
    </row>
    <row r="158" customFormat="false" ht="15" hidden="false" customHeight="false" outlineLevel="0" collapsed="false">
      <c r="A158" s="22"/>
      <c r="B158" s="23"/>
      <c r="C158" s="23"/>
      <c r="D158" s="23"/>
      <c r="E158" s="32"/>
      <c r="F158" s="25"/>
      <c r="G158" s="23"/>
      <c r="H158" s="23"/>
      <c r="I158" s="23"/>
      <c r="J158" s="23"/>
      <c r="K158" s="23"/>
      <c r="L158" s="27" t="str">
        <f aca="false">IF($B158="","",IFERROR(INDEX(Properties!$D$5:$D$104,MATCH($B158,Properties!$A$5:$A$104,0)),"-"))</f>
        <v/>
      </c>
      <c r="M158" s="28" t="str">
        <f aca="false">IF(OR($A158="",N($E158)=0),"",$F158/$E158)</f>
        <v/>
      </c>
      <c r="N158" s="28" t="str">
        <f aca="false">IF($A158="","",IF($H158="Y",$F158*(1+Settings!$B$3),0))</f>
        <v/>
      </c>
      <c r="O158" s="27" t="str">
        <f aca="false">IF($A158="","",IF(AND($H158="Y",$G158&lt;&gt;"Restock",N($M158)&gt;Settings!$B$4,$I158&lt;&gt;"Y"),"Get host OK",IF(AND($H158="Y",$F158&gt;Settings!$B$5,$I158&lt;&gt;"Y"),"Host should pay upfront",IF($J158&lt;&gt;"Y","Save receipt","OK"))))</f>
        <v/>
      </c>
      <c r="P158" s="29" t="str">
        <f aca="false">IF($A158="","",DATE(YEAR($A158),MONTH($A158),1))</f>
        <v/>
      </c>
      <c r="Q158" s="31" t="str">
        <f aca="false">IF($A158="","",IF(AND($L158='Invoice Builder'!$C$5,$P158='Invoice Builder'!$C$6,N($N158)&gt;0),COUNTIFS($L$5:$L158,'Invoice Builder'!$C$5,$P$5:$P158,'Invoice Builder'!$C$6,$N$5:$N158,"&gt;0"),""))</f>
        <v/>
      </c>
      <c r="R158" s="27" t="str">
        <f aca="false">IF($A158="","",IF($A158&gt;=DATE(YEAR($A158),4,6),YEAR($A158)&amp;"/"&amp;RIGHT(YEAR($A158)+1,2),YEAR($A158)-1&amp;"/"&amp;RIGHT(YEAR($A158),2)))</f>
        <v/>
      </c>
    </row>
    <row r="159" customFormat="false" ht="15" hidden="false" customHeight="false" outlineLevel="0" collapsed="false">
      <c r="A159" s="22"/>
      <c r="B159" s="23"/>
      <c r="C159" s="23"/>
      <c r="D159" s="23"/>
      <c r="E159" s="32"/>
      <c r="F159" s="25"/>
      <c r="G159" s="23"/>
      <c r="H159" s="23"/>
      <c r="I159" s="23"/>
      <c r="J159" s="23"/>
      <c r="K159" s="23"/>
      <c r="L159" s="27" t="str">
        <f aca="false">IF($B159="","",IFERROR(INDEX(Properties!$D$5:$D$104,MATCH($B159,Properties!$A$5:$A$104,0)),"-"))</f>
        <v/>
      </c>
      <c r="M159" s="28" t="str">
        <f aca="false">IF(OR($A159="",N($E159)=0),"",$F159/$E159)</f>
        <v/>
      </c>
      <c r="N159" s="28" t="str">
        <f aca="false">IF($A159="","",IF($H159="Y",$F159*(1+Settings!$B$3),0))</f>
        <v/>
      </c>
      <c r="O159" s="27" t="str">
        <f aca="false">IF($A159="","",IF(AND($H159="Y",$G159&lt;&gt;"Restock",N($M159)&gt;Settings!$B$4,$I159&lt;&gt;"Y"),"Get host OK",IF(AND($H159="Y",$F159&gt;Settings!$B$5,$I159&lt;&gt;"Y"),"Host should pay upfront",IF($J159&lt;&gt;"Y","Save receipt","OK"))))</f>
        <v/>
      </c>
      <c r="P159" s="29" t="str">
        <f aca="false">IF($A159="","",DATE(YEAR($A159),MONTH($A159),1))</f>
        <v/>
      </c>
      <c r="Q159" s="31" t="str">
        <f aca="false">IF($A159="","",IF(AND($L159='Invoice Builder'!$C$5,$P159='Invoice Builder'!$C$6,N($N159)&gt;0),COUNTIFS($L$5:$L159,'Invoice Builder'!$C$5,$P$5:$P159,'Invoice Builder'!$C$6,$N$5:$N159,"&gt;0"),""))</f>
        <v/>
      </c>
      <c r="R159" s="27" t="str">
        <f aca="false">IF($A159="","",IF($A159&gt;=DATE(YEAR($A159),4,6),YEAR($A159)&amp;"/"&amp;RIGHT(YEAR($A159)+1,2),YEAR($A159)-1&amp;"/"&amp;RIGHT(YEAR($A159),2)))</f>
        <v/>
      </c>
    </row>
    <row r="160" customFormat="false" ht="15" hidden="false" customHeight="false" outlineLevel="0" collapsed="false">
      <c r="A160" s="22"/>
      <c r="B160" s="23"/>
      <c r="C160" s="23"/>
      <c r="D160" s="23"/>
      <c r="E160" s="32"/>
      <c r="F160" s="25"/>
      <c r="G160" s="23"/>
      <c r="H160" s="23"/>
      <c r="I160" s="23"/>
      <c r="J160" s="23"/>
      <c r="K160" s="23"/>
      <c r="L160" s="27" t="str">
        <f aca="false">IF($B160="","",IFERROR(INDEX(Properties!$D$5:$D$104,MATCH($B160,Properties!$A$5:$A$104,0)),"-"))</f>
        <v/>
      </c>
      <c r="M160" s="28" t="str">
        <f aca="false">IF(OR($A160="",N($E160)=0),"",$F160/$E160)</f>
        <v/>
      </c>
      <c r="N160" s="28" t="str">
        <f aca="false">IF($A160="","",IF($H160="Y",$F160*(1+Settings!$B$3),0))</f>
        <v/>
      </c>
      <c r="O160" s="27" t="str">
        <f aca="false">IF($A160="","",IF(AND($H160="Y",$G160&lt;&gt;"Restock",N($M160)&gt;Settings!$B$4,$I160&lt;&gt;"Y"),"Get host OK",IF(AND($H160="Y",$F160&gt;Settings!$B$5,$I160&lt;&gt;"Y"),"Host should pay upfront",IF($J160&lt;&gt;"Y","Save receipt","OK"))))</f>
        <v/>
      </c>
      <c r="P160" s="29" t="str">
        <f aca="false">IF($A160="","",DATE(YEAR($A160),MONTH($A160),1))</f>
        <v/>
      </c>
      <c r="Q160" s="31" t="str">
        <f aca="false">IF($A160="","",IF(AND($L160='Invoice Builder'!$C$5,$P160='Invoice Builder'!$C$6,N($N160)&gt;0),COUNTIFS($L$5:$L160,'Invoice Builder'!$C$5,$P$5:$P160,'Invoice Builder'!$C$6,$N$5:$N160,"&gt;0"),""))</f>
        <v/>
      </c>
      <c r="R160" s="27" t="str">
        <f aca="false">IF($A160="","",IF($A160&gt;=DATE(YEAR($A160),4,6),YEAR($A160)&amp;"/"&amp;RIGHT(YEAR($A160)+1,2),YEAR($A160)-1&amp;"/"&amp;RIGHT(YEAR($A160),2)))</f>
        <v/>
      </c>
    </row>
    <row r="161" customFormat="false" ht="15" hidden="false" customHeight="false" outlineLevel="0" collapsed="false">
      <c r="A161" s="22"/>
      <c r="B161" s="23"/>
      <c r="C161" s="23"/>
      <c r="D161" s="23"/>
      <c r="E161" s="32"/>
      <c r="F161" s="25"/>
      <c r="G161" s="23"/>
      <c r="H161" s="23"/>
      <c r="I161" s="23"/>
      <c r="J161" s="23"/>
      <c r="K161" s="23"/>
      <c r="L161" s="27" t="str">
        <f aca="false">IF($B161="","",IFERROR(INDEX(Properties!$D$5:$D$104,MATCH($B161,Properties!$A$5:$A$104,0)),"-"))</f>
        <v/>
      </c>
      <c r="M161" s="28" t="str">
        <f aca="false">IF(OR($A161="",N($E161)=0),"",$F161/$E161)</f>
        <v/>
      </c>
      <c r="N161" s="28" t="str">
        <f aca="false">IF($A161="","",IF($H161="Y",$F161*(1+Settings!$B$3),0))</f>
        <v/>
      </c>
      <c r="O161" s="27" t="str">
        <f aca="false">IF($A161="","",IF(AND($H161="Y",$G161&lt;&gt;"Restock",N($M161)&gt;Settings!$B$4,$I161&lt;&gt;"Y"),"Get host OK",IF(AND($H161="Y",$F161&gt;Settings!$B$5,$I161&lt;&gt;"Y"),"Host should pay upfront",IF($J161&lt;&gt;"Y","Save receipt","OK"))))</f>
        <v/>
      </c>
      <c r="P161" s="29" t="str">
        <f aca="false">IF($A161="","",DATE(YEAR($A161),MONTH($A161),1))</f>
        <v/>
      </c>
      <c r="Q161" s="31" t="str">
        <f aca="false">IF($A161="","",IF(AND($L161='Invoice Builder'!$C$5,$P161='Invoice Builder'!$C$6,N($N161)&gt;0),COUNTIFS($L$5:$L161,'Invoice Builder'!$C$5,$P$5:$P161,'Invoice Builder'!$C$6,$N$5:$N161,"&gt;0"),""))</f>
        <v/>
      </c>
      <c r="R161" s="27" t="str">
        <f aca="false">IF($A161="","",IF($A161&gt;=DATE(YEAR($A161),4,6),YEAR($A161)&amp;"/"&amp;RIGHT(YEAR($A161)+1,2),YEAR($A161)-1&amp;"/"&amp;RIGHT(YEAR($A161),2)))</f>
        <v/>
      </c>
    </row>
    <row r="162" customFormat="false" ht="15" hidden="false" customHeight="false" outlineLevel="0" collapsed="false">
      <c r="A162" s="22"/>
      <c r="B162" s="23"/>
      <c r="C162" s="23"/>
      <c r="D162" s="23"/>
      <c r="E162" s="32"/>
      <c r="F162" s="25"/>
      <c r="G162" s="23"/>
      <c r="H162" s="23"/>
      <c r="I162" s="23"/>
      <c r="J162" s="23"/>
      <c r="K162" s="23"/>
      <c r="L162" s="27" t="str">
        <f aca="false">IF($B162="","",IFERROR(INDEX(Properties!$D$5:$D$104,MATCH($B162,Properties!$A$5:$A$104,0)),"-"))</f>
        <v/>
      </c>
      <c r="M162" s="28" t="str">
        <f aca="false">IF(OR($A162="",N($E162)=0),"",$F162/$E162)</f>
        <v/>
      </c>
      <c r="N162" s="28" t="str">
        <f aca="false">IF($A162="","",IF($H162="Y",$F162*(1+Settings!$B$3),0))</f>
        <v/>
      </c>
      <c r="O162" s="27" t="str">
        <f aca="false">IF($A162="","",IF(AND($H162="Y",$G162&lt;&gt;"Restock",N($M162)&gt;Settings!$B$4,$I162&lt;&gt;"Y"),"Get host OK",IF(AND($H162="Y",$F162&gt;Settings!$B$5,$I162&lt;&gt;"Y"),"Host should pay upfront",IF($J162&lt;&gt;"Y","Save receipt","OK"))))</f>
        <v/>
      </c>
      <c r="P162" s="29" t="str">
        <f aca="false">IF($A162="","",DATE(YEAR($A162),MONTH($A162),1))</f>
        <v/>
      </c>
      <c r="Q162" s="31" t="str">
        <f aca="false">IF($A162="","",IF(AND($L162='Invoice Builder'!$C$5,$P162='Invoice Builder'!$C$6,N($N162)&gt;0),COUNTIFS($L$5:$L162,'Invoice Builder'!$C$5,$P$5:$P162,'Invoice Builder'!$C$6,$N$5:$N162,"&gt;0"),""))</f>
        <v/>
      </c>
      <c r="R162" s="27" t="str">
        <f aca="false">IF($A162="","",IF($A162&gt;=DATE(YEAR($A162),4,6),YEAR($A162)&amp;"/"&amp;RIGHT(YEAR($A162)+1,2),YEAR($A162)-1&amp;"/"&amp;RIGHT(YEAR($A162),2)))</f>
        <v/>
      </c>
    </row>
    <row r="163" customFormat="false" ht="15" hidden="false" customHeight="false" outlineLevel="0" collapsed="false">
      <c r="A163" s="22"/>
      <c r="B163" s="23"/>
      <c r="C163" s="23"/>
      <c r="D163" s="23"/>
      <c r="E163" s="32"/>
      <c r="F163" s="25"/>
      <c r="G163" s="23"/>
      <c r="H163" s="23"/>
      <c r="I163" s="23"/>
      <c r="J163" s="23"/>
      <c r="K163" s="23"/>
      <c r="L163" s="27" t="str">
        <f aca="false">IF($B163="","",IFERROR(INDEX(Properties!$D$5:$D$104,MATCH($B163,Properties!$A$5:$A$104,0)),"-"))</f>
        <v/>
      </c>
      <c r="M163" s="28" t="str">
        <f aca="false">IF(OR($A163="",N($E163)=0),"",$F163/$E163)</f>
        <v/>
      </c>
      <c r="N163" s="28" t="str">
        <f aca="false">IF($A163="","",IF($H163="Y",$F163*(1+Settings!$B$3),0))</f>
        <v/>
      </c>
      <c r="O163" s="27" t="str">
        <f aca="false">IF($A163="","",IF(AND($H163="Y",$G163&lt;&gt;"Restock",N($M163)&gt;Settings!$B$4,$I163&lt;&gt;"Y"),"Get host OK",IF(AND($H163="Y",$F163&gt;Settings!$B$5,$I163&lt;&gt;"Y"),"Host should pay upfront",IF($J163&lt;&gt;"Y","Save receipt","OK"))))</f>
        <v/>
      </c>
      <c r="P163" s="29" t="str">
        <f aca="false">IF($A163="","",DATE(YEAR($A163),MONTH($A163),1))</f>
        <v/>
      </c>
      <c r="Q163" s="31" t="str">
        <f aca="false">IF($A163="","",IF(AND($L163='Invoice Builder'!$C$5,$P163='Invoice Builder'!$C$6,N($N163)&gt;0),COUNTIFS($L$5:$L163,'Invoice Builder'!$C$5,$P$5:$P163,'Invoice Builder'!$C$6,$N$5:$N163,"&gt;0"),""))</f>
        <v/>
      </c>
      <c r="R163" s="27" t="str">
        <f aca="false">IF($A163="","",IF($A163&gt;=DATE(YEAR($A163),4,6),YEAR($A163)&amp;"/"&amp;RIGHT(YEAR($A163)+1,2),YEAR($A163)-1&amp;"/"&amp;RIGHT(YEAR($A163),2)))</f>
        <v/>
      </c>
    </row>
    <row r="164" customFormat="false" ht="15" hidden="false" customHeight="false" outlineLevel="0" collapsed="false">
      <c r="A164" s="22"/>
      <c r="B164" s="23"/>
      <c r="C164" s="23"/>
      <c r="D164" s="23"/>
      <c r="E164" s="32"/>
      <c r="F164" s="25"/>
      <c r="G164" s="23"/>
      <c r="H164" s="23"/>
      <c r="I164" s="23"/>
      <c r="J164" s="23"/>
      <c r="K164" s="23"/>
      <c r="L164" s="27" t="str">
        <f aca="false">IF($B164="","",IFERROR(INDEX(Properties!$D$5:$D$104,MATCH($B164,Properties!$A$5:$A$104,0)),"-"))</f>
        <v/>
      </c>
      <c r="M164" s="28" t="str">
        <f aca="false">IF(OR($A164="",N($E164)=0),"",$F164/$E164)</f>
        <v/>
      </c>
      <c r="N164" s="28" t="str">
        <f aca="false">IF($A164="","",IF($H164="Y",$F164*(1+Settings!$B$3),0))</f>
        <v/>
      </c>
      <c r="O164" s="27" t="str">
        <f aca="false">IF($A164="","",IF(AND($H164="Y",$G164&lt;&gt;"Restock",N($M164)&gt;Settings!$B$4,$I164&lt;&gt;"Y"),"Get host OK",IF(AND($H164="Y",$F164&gt;Settings!$B$5,$I164&lt;&gt;"Y"),"Host should pay upfront",IF($J164&lt;&gt;"Y","Save receipt","OK"))))</f>
        <v/>
      </c>
      <c r="P164" s="29" t="str">
        <f aca="false">IF($A164="","",DATE(YEAR($A164),MONTH($A164),1))</f>
        <v/>
      </c>
      <c r="Q164" s="31" t="str">
        <f aca="false">IF($A164="","",IF(AND($L164='Invoice Builder'!$C$5,$P164='Invoice Builder'!$C$6,N($N164)&gt;0),COUNTIFS($L$5:$L164,'Invoice Builder'!$C$5,$P$5:$P164,'Invoice Builder'!$C$6,$N$5:$N164,"&gt;0"),""))</f>
        <v/>
      </c>
      <c r="R164" s="27" t="str">
        <f aca="false">IF($A164="","",IF($A164&gt;=DATE(YEAR($A164),4,6),YEAR($A164)&amp;"/"&amp;RIGHT(YEAR($A164)+1,2),YEAR($A164)-1&amp;"/"&amp;RIGHT(YEAR($A164),2)))</f>
        <v/>
      </c>
    </row>
    <row r="165" customFormat="false" ht="15" hidden="false" customHeight="false" outlineLevel="0" collapsed="false">
      <c r="A165" s="22"/>
      <c r="B165" s="23"/>
      <c r="C165" s="23"/>
      <c r="D165" s="23"/>
      <c r="E165" s="32"/>
      <c r="F165" s="25"/>
      <c r="G165" s="23"/>
      <c r="H165" s="23"/>
      <c r="I165" s="23"/>
      <c r="J165" s="23"/>
      <c r="K165" s="23"/>
      <c r="L165" s="27" t="str">
        <f aca="false">IF($B165="","",IFERROR(INDEX(Properties!$D$5:$D$104,MATCH($B165,Properties!$A$5:$A$104,0)),"-"))</f>
        <v/>
      </c>
      <c r="M165" s="28" t="str">
        <f aca="false">IF(OR($A165="",N($E165)=0),"",$F165/$E165)</f>
        <v/>
      </c>
      <c r="N165" s="28" t="str">
        <f aca="false">IF($A165="","",IF($H165="Y",$F165*(1+Settings!$B$3),0))</f>
        <v/>
      </c>
      <c r="O165" s="27" t="str">
        <f aca="false">IF($A165="","",IF(AND($H165="Y",$G165&lt;&gt;"Restock",N($M165)&gt;Settings!$B$4,$I165&lt;&gt;"Y"),"Get host OK",IF(AND($H165="Y",$F165&gt;Settings!$B$5,$I165&lt;&gt;"Y"),"Host should pay upfront",IF($J165&lt;&gt;"Y","Save receipt","OK"))))</f>
        <v/>
      </c>
      <c r="P165" s="29" t="str">
        <f aca="false">IF($A165="","",DATE(YEAR($A165),MONTH($A165),1))</f>
        <v/>
      </c>
      <c r="Q165" s="31" t="str">
        <f aca="false">IF($A165="","",IF(AND($L165='Invoice Builder'!$C$5,$P165='Invoice Builder'!$C$6,N($N165)&gt;0),COUNTIFS($L$5:$L165,'Invoice Builder'!$C$5,$P$5:$P165,'Invoice Builder'!$C$6,$N$5:$N165,"&gt;0"),""))</f>
        <v/>
      </c>
      <c r="R165" s="27" t="str">
        <f aca="false">IF($A165="","",IF($A165&gt;=DATE(YEAR($A165),4,6),YEAR($A165)&amp;"/"&amp;RIGHT(YEAR($A165)+1,2),YEAR($A165)-1&amp;"/"&amp;RIGHT(YEAR($A165),2)))</f>
        <v/>
      </c>
    </row>
    <row r="166" customFormat="false" ht="15" hidden="false" customHeight="false" outlineLevel="0" collapsed="false">
      <c r="A166" s="22"/>
      <c r="B166" s="23"/>
      <c r="C166" s="23"/>
      <c r="D166" s="23"/>
      <c r="E166" s="32"/>
      <c r="F166" s="25"/>
      <c r="G166" s="23"/>
      <c r="H166" s="23"/>
      <c r="I166" s="23"/>
      <c r="J166" s="23"/>
      <c r="K166" s="23"/>
      <c r="L166" s="27" t="str">
        <f aca="false">IF($B166="","",IFERROR(INDEX(Properties!$D$5:$D$104,MATCH($B166,Properties!$A$5:$A$104,0)),"-"))</f>
        <v/>
      </c>
      <c r="M166" s="28" t="str">
        <f aca="false">IF(OR($A166="",N($E166)=0),"",$F166/$E166)</f>
        <v/>
      </c>
      <c r="N166" s="28" t="str">
        <f aca="false">IF($A166="","",IF($H166="Y",$F166*(1+Settings!$B$3),0))</f>
        <v/>
      </c>
      <c r="O166" s="27" t="str">
        <f aca="false">IF($A166="","",IF(AND($H166="Y",$G166&lt;&gt;"Restock",N($M166)&gt;Settings!$B$4,$I166&lt;&gt;"Y"),"Get host OK",IF(AND($H166="Y",$F166&gt;Settings!$B$5,$I166&lt;&gt;"Y"),"Host should pay upfront",IF($J166&lt;&gt;"Y","Save receipt","OK"))))</f>
        <v/>
      </c>
      <c r="P166" s="29" t="str">
        <f aca="false">IF($A166="","",DATE(YEAR($A166),MONTH($A166),1))</f>
        <v/>
      </c>
      <c r="Q166" s="31" t="str">
        <f aca="false">IF($A166="","",IF(AND($L166='Invoice Builder'!$C$5,$P166='Invoice Builder'!$C$6,N($N166)&gt;0),COUNTIFS($L$5:$L166,'Invoice Builder'!$C$5,$P$5:$P166,'Invoice Builder'!$C$6,$N$5:$N166,"&gt;0"),""))</f>
        <v/>
      </c>
      <c r="R166" s="27" t="str">
        <f aca="false">IF($A166="","",IF($A166&gt;=DATE(YEAR($A166),4,6),YEAR($A166)&amp;"/"&amp;RIGHT(YEAR($A166)+1,2),YEAR($A166)-1&amp;"/"&amp;RIGHT(YEAR($A166),2)))</f>
        <v/>
      </c>
    </row>
    <row r="167" customFormat="false" ht="15" hidden="false" customHeight="false" outlineLevel="0" collapsed="false">
      <c r="A167" s="22"/>
      <c r="B167" s="23"/>
      <c r="C167" s="23"/>
      <c r="D167" s="23"/>
      <c r="E167" s="32"/>
      <c r="F167" s="25"/>
      <c r="G167" s="23"/>
      <c r="H167" s="23"/>
      <c r="I167" s="23"/>
      <c r="J167" s="23"/>
      <c r="K167" s="23"/>
      <c r="L167" s="27" t="str">
        <f aca="false">IF($B167="","",IFERROR(INDEX(Properties!$D$5:$D$104,MATCH($B167,Properties!$A$5:$A$104,0)),"-"))</f>
        <v/>
      </c>
      <c r="M167" s="28" t="str">
        <f aca="false">IF(OR($A167="",N($E167)=0),"",$F167/$E167)</f>
        <v/>
      </c>
      <c r="N167" s="28" t="str">
        <f aca="false">IF($A167="","",IF($H167="Y",$F167*(1+Settings!$B$3),0))</f>
        <v/>
      </c>
      <c r="O167" s="27" t="str">
        <f aca="false">IF($A167="","",IF(AND($H167="Y",$G167&lt;&gt;"Restock",N($M167)&gt;Settings!$B$4,$I167&lt;&gt;"Y"),"Get host OK",IF(AND($H167="Y",$F167&gt;Settings!$B$5,$I167&lt;&gt;"Y"),"Host should pay upfront",IF($J167&lt;&gt;"Y","Save receipt","OK"))))</f>
        <v/>
      </c>
      <c r="P167" s="29" t="str">
        <f aca="false">IF($A167="","",DATE(YEAR($A167),MONTH($A167),1))</f>
        <v/>
      </c>
      <c r="Q167" s="31" t="str">
        <f aca="false">IF($A167="","",IF(AND($L167='Invoice Builder'!$C$5,$P167='Invoice Builder'!$C$6,N($N167)&gt;0),COUNTIFS($L$5:$L167,'Invoice Builder'!$C$5,$P$5:$P167,'Invoice Builder'!$C$6,$N$5:$N167,"&gt;0"),""))</f>
        <v/>
      </c>
      <c r="R167" s="27" t="str">
        <f aca="false">IF($A167="","",IF($A167&gt;=DATE(YEAR($A167),4,6),YEAR($A167)&amp;"/"&amp;RIGHT(YEAR($A167)+1,2),YEAR($A167)-1&amp;"/"&amp;RIGHT(YEAR($A167),2)))</f>
        <v/>
      </c>
    </row>
    <row r="168" customFormat="false" ht="15" hidden="false" customHeight="false" outlineLevel="0" collapsed="false">
      <c r="A168" s="22"/>
      <c r="B168" s="23"/>
      <c r="C168" s="23"/>
      <c r="D168" s="23"/>
      <c r="E168" s="32"/>
      <c r="F168" s="25"/>
      <c r="G168" s="23"/>
      <c r="H168" s="23"/>
      <c r="I168" s="23"/>
      <c r="J168" s="23"/>
      <c r="K168" s="23"/>
      <c r="L168" s="27" t="str">
        <f aca="false">IF($B168="","",IFERROR(INDEX(Properties!$D$5:$D$104,MATCH($B168,Properties!$A$5:$A$104,0)),"-"))</f>
        <v/>
      </c>
      <c r="M168" s="28" t="str">
        <f aca="false">IF(OR($A168="",N($E168)=0),"",$F168/$E168)</f>
        <v/>
      </c>
      <c r="N168" s="28" t="str">
        <f aca="false">IF($A168="","",IF($H168="Y",$F168*(1+Settings!$B$3),0))</f>
        <v/>
      </c>
      <c r="O168" s="27" t="str">
        <f aca="false">IF($A168="","",IF(AND($H168="Y",$G168&lt;&gt;"Restock",N($M168)&gt;Settings!$B$4,$I168&lt;&gt;"Y"),"Get host OK",IF(AND($H168="Y",$F168&gt;Settings!$B$5,$I168&lt;&gt;"Y"),"Host should pay upfront",IF($J168&lt;&gt;"Y","Save receipt","OK"))))</f>
        <v/>
      </c>
      <c r="P168" s="29" t="str">
        <f aca="false">IF($A168="","",DATE(YEAR($A168),MONTH($A168),1))</f>
        <v/>
      </c>
      <c r="Q168" s="31" t="str">
        <f aca="false">IF($A168="","",IF(AND($L168='Invoice Builder'!$C$5,$P168='Invoice Builder'!$C$6,N($N168)&gt;0),COUNTIFS($L$5:$L168,'Invoice Builder'!$C$5,$P$5:$P168,'Invoice Builder'!$C$6,$N$5:$N168,"&gt;0"),""))</f>
        <v/>
      </c>
      <c r="R168" s="27" t="str">
        <f aca="false">IF($A168="","",IF($A168&gt;=DATE(YEAR($A168),4,6),YEAR($A168)&amp;"/"&amp;RIGHT(YEAR($A168)+1,2),YEAR($A168)-1&amp;"/"&amp;RIGHT(YEAR($A168),2)))</f>
        <v/>
      </c>
    </row>
    <row r="169" customFormat="false" ht="15" hidden="false" customHeight="false" outlineLevel="0" collapsed="false">
      <c r="A169" s="22"/>
      <c r="B169" s="23"/>
      <c r="C169" s="23"/>
      <c r="D169" s="23"/>
      <c r="E169" s="32"/>
      <c r="F169" s="25"/>
      <c r="G169" s="23"/>
      <c r="H169" s="23"/>
      <c r="I169" s="23"/>
      <c r="J169" s="23"/>
      <c r="K169" s="23"/>
      <c r="L169" s="27" t="str">
        <f aca="false">IF($B169="","",IFERROR(INDEX(Properties!$D$5:$D$104,MATCH($B169,Properties!$A$5:$A$104,0)),"-"))</f>
        <v/>
      </c>
      <c r="M169" s="28" t="str">
        <f aca="false">IF(OR($A169="",N($E169)=0),"",$F169/$E169)</f>
        <v/>
      </c>
      <c r="N169" s="28" t="str">
        <f aca="false">IF($A169="","",IF($H169="Y",$F169*(1+Settings!$B$3),0))</f>
        <v/>
      </c>
      <c r="O169" s="27" t="str">
        <f aca="false">IF($A169="","",IF(AND($H169="Y",$G169&lt;&gt;"Restock",N($M169)&gt;Settings!$B$4,$I169&lt;&gt;"Y"),"Get host OK",IF(AND($H169="Y",$F169&gt;Settings!$B$5,$I169&lt;&gt;"Y"),"Host should pay upfront",IF($J169&lt;&gt;"Y","Save receipt","OK"))))</f>
        <v/>
      </c>
      <c r="P169" s="29" t="str">
        <f aca="false">IF($A169="","",DATE(YEAR($A169),MONTH($A169),1))</f>
        <v/>
      </c>
      <c r="Q169" s="31" t="str">
        <f aca="false">IF($A169="","",IF(AND($L169='Invoice Builder'!$C$5,$P169='Invoice Builder'!$C$6,N($N169)&gt;0),COUNTIFS($L$5:$L169,'Invoice Builder'!$C$5,$P$5:$P169,'Invoice Builder'!$C$6,$N$5:$N169,"&gt;0"),""))</f>
        <v/>
      </c>
      <c r="R169" s="27" t="str">
        <f aca="false">IF($A169="","",IF($A169&gt;=DATE(YEAR($A169),4,6),YEAR($A169)&amp;"/"&amp;RIGHT(YEAR($A169)+1,2),YEAR($A169)-1&amp;"/"&amp;RIGHT(YEAR($A169),2)))</f>
        <v/>
      </c>
    </row>
    <row r="170" customFormat="false" ht="15" hidden="false" customHeight="false" outlineLevel="0" collapsed="false">
      <c r="A170" s="22"/>
      <c r="B170" s="23"/>
      <c r="C170" s="23"/>
      <c r="D170" s="23"/>
      <c r="E170" s="32"/>
      <c r="F170" s="25"/>
      <c r="G170" s="23"/>
      <c r="H170" s="23"/>
      <c r="I170" s="23"/>
      <c r="J170" s="23"/>
      <c r="K170" s="23"/>
      <c r="L170" s="27" t="str">
        <f aca="false">IF($B170="","",IFERROR(INDEX(Properties!$D$5:$D$104,MATCH($B170,Properties!$A$5:$A$104,0)),"-"))</f>
        <v/>
      </c>
      <c r="M170" s="28" t="str">
        <f aca="false">IF(OR($A170="",N($E170)=0),"",$F170/$E170)</f>
        <v/>
      </c>
      <c r="N170" s="28" t="str">
        <f aca="false">IF($A170="","",IF($H170="Y",$F170*(1+Settings!$B$3),0))</f>
        <v/>
      </c>
      <c r="O170" s="27" t="str">
        <f aca="false">IF($A170="","",IF(AND($H170="Y",$G170&lt;&gt;"Restock",N($M170)&gt;Settings!$B$4,$I170&lt;&gt;"Y"),"Get host OK",IF(AND($H170="Y",$F170&gt;Settings!$B$5,$I170&lt;&gt;"Y"),"Host should pay upfront",IF($J170&lt;&gt;"Y","Save receipt","OK"))))</f>
        <v/>
      </c>
      <c r="P170" s="29" t="str">
        <f aca="false">IF($A170="","",DATE(YEAR($A170),MONTH($A170),1))</f>
        <v/>
      </c>
      <c r="Q170" s="31" t="str">
        <f aca="false">IF($A170="","",IF(AND($L170='Invoice Builder'!$C$5,$P170='Invoice Builder'!$C$6,N($N170)&gt;0),COUNTIFS($L$5:$L170,'Invoice Builder'!$C$5,$P$5:$P170,'Invoice Builder'!$C$6,$N$5:$N170,"&gt;0"),""))</f>
        <v/>
      </c>
      <c r="R170" s="27" t="str">
        <f aca="false">IF($A170="","",IF($A170&gt;=DATE(YEAR($A170),4,6),YEAR($A170)&amp;"/"&amp;RIGHT(YEAR($A170)+1,2),YEAR($A170)-1&amp;"/"&amp;RIGHT(YEAR($A170),2)))</f>
        <v/>
      </c>
    </row>
    <row r="171" customFormat="false" ht="15" hidden="false" customHeight="false" outlineLevel="0" collapsed="false">
      <c r="A171" s="22"/>
      <c r="B171" s="23"/>
      <c r="C171" s="23"/>
      <c r="D171" s="23"/>
      <c r="E171" s="32"/>
      <c r="F171" s="25"/>
      <c r="G171" s="23"/>
      <c r="H171" s="23"/>
      <c r="I171" s="23"/>
      <c r="J171" s="23"/>
      <c r="K171" s="23"/>
      <c r="L171" s="27" t="str">
        <f aca="false">IF($B171="","",IFERROR(INDEX(Properties!$D$5:$D$104,MATCH($B171,Properties!$A$5:$A$104,0)),"-"))</f>
        <v/>
      </c>
      <c r="M171" s="28" t="str">
        <f aca="false">IF(OR($A171="",N($E171)=0),"",$F171/$E171)</f>
        <v/>
      </c>
      <c r="N171" s="28" t="str">
        <f aca="false">IF($A171="","",IF($H171="Y",$F171*(1+Settings!$B$3),0))</f>
        <v/>
      </c>
      <c r="O171" s="27" t="str">
        <f aca="false">IF($A171="","",IF(AND($H171="Y",$G171&lt;&gt;"Restock",N($M171)&gt;Settings!$B$4,$I171&lt;&gt;"Y"),"Get host OK",IF(AND($H171="Y",$F171&gt;Settings!$B$5,$I171&lt;&gt;"Y"),"Host should pay upfront",IF($J171&lt;&gt;"Y","Save receipt","OK"))))</f>
        <v/>
      </c>
      <c r="P171" s="29" t="str">
        <f aca="false">IF($A171="","",DATE(YEAR($A171),MONTH($A171),1))</f>
        <v/>
      </c>
      <c r="Q171" s="31" t="str">
        <f aca="false">IF($A171="","",IF(AND($L171='Invoice Builder'!$C$5,$P171='Invoice Builder'!$C$6,N($N171)&gt;0),COUNTIFS($L$5:$L171,'Invoice Builder'!$C$5,$P$5:$P171,'Invoice Builder'!$C$6,$N$5:$N171,"&gt;0"),""))</f>
        <v/>
      </c>
      <c r="R171" s="27" t="str">
        <f aca="false">IF($A171="","",IF($A171&gt;=DATE(YEAR($A171),4,6),YEAR($A171)&amp;"/"&amp;RIGHT(YEAR($A171)+1,2),YEAR($A171)-1&amp;"/"&amp;RIGHT(YEAR($A171),2)))</f>
        <v/>
      </c>
    </row>
    <row r="172" customFormat="false" ht="15" hidden="false" customHeight="false" outlineLevel="0" collapsed="false">
      <c r="A172" s="22"/>
      <c r="B172" s="23"/>
      <c r="C172" s="23"/>
      <c r="D172" s="23"/>
      <c r="E172" s="32"/>
      <c r="F172" s="25"/>
      <c r="G172" s="23"/>
      <c r="H172" s="23"/>
      <c r="I172" s="23"/>
      <c r="J172" s="23"/>
      <c r="K172" s="23"/>
      <c r="L172" s="27" t="str">
        <f aca="false">IF($B172="","",IFERROR(INDEX(Properties!$D$5:$D$104,MATCH($B172,Properties!$A$5:$A$104,0)),"-"))</f>
        <v/>
      </c>
      <c r="M172" s="28" t="str">
        <f aca="false">IF(OR($A172="",N($E172)=0),"",$F172/$E172)</f>
        <v/>
      </c>
      <c r="N172" s="28" t="str">
        <f aca="false">IF($A172="","",IF($H172="Y",$F172*(1+Settings!$B$3),0))</f>
        <v/>
      </c>
      <c r="O172" s="27" t="str">
        <f aca="false">IF($A172="","",IF(AND($H172="Y",$G172&lt;&gt;"Restock",N($M172)&gt;Settings!$B$4,$I172&lt;&gt;"Y"),"Get host OK",IF(AND($H172="Y",$F172&gt;Settings!$B$5,$I172&lt;&gt;"Y"),"Host should pay upfront",IF($J172&lt;&gt;"Y","Save receipt","OK"))))</f>
        <v/>
      </c>
      <c r="P172" s="29" t="str">
        <f aca="false">IF($A172="","",DATE(YEAR($A172),MONTH($A172),1))</f>
        <v/>
      </c>
      <c r="Q172" s="31" t="str">
        <f aca="false">IF($A172="","",IF(AND($L172='Invoice Builder'!$C$5,$P172='Invoice Builder'!$C$6,N($N172)&gt;0),COUNTIFS($L$5:$L172,'Invoice Builder'!$C$5,$P$5:$P172,'Invoice Builder'!$C$6,$N$5:$N172,"&gt;0"),""))</f>
        <v/>
      </c>
      <c r="R172" s="27" t="str">
        <f aca="false">IF($A172="","",IF($A172&gt;=DATE(YEAR($A172),4,6),YEAR($A172)&amp;"/"&amp;RIGHT(YEAR($A172)+1,2),YEAR($A172)-1&amp;"/"&amp;RIGHT(YEAR($A172),2)))</f>
        <v/>
      </c>
    </row>
    <row r="173" customFormat="false" ht="15" hidden="false" customHeight="false" outlineLevel="0" collapsed="false">
      <c r="A173" s="22"/>
      <c r="B173" s="23"/>
      <c r="C173" s="23"/>
      <c r="D173" s="23"/>
      <c r="E173" s="32"/>
      <c r="F173" s="25"/>
      <c r="G173" s="23"/>
      <c r="H173" s="23"/>
      <c r="I173" s="23"/>
      <c r="J173" s="23"/>
      <c r="K173" s="23"/>
      <c r="L173" s="27" t="str">
        <f aca="false">IF($B173="","",IFERROR(INDEX(Properties!$D$5:$D$104,MATCH($B173,Properties!$A$5:$A$104,0)),"-"))</f>
        <v/>
      </c>
      <c r="M173" s="28" t="str">
        <f aca="false">IF(OR($A173="",N($E173)=0),"",$F173/$E173)</f>
        <v/>
      </c>
      <c r="N173" s="28" t="str">
        <f aca="false">IF($A173="","",IF($H173="Y",$F173*(1+Settings!$B$3),0))</f>
        <v/>
      </c>
      <c r="O173" s="27" t="str">
        <f aca="false">IF($A173="","",IF(AND($H173="Y",$G173&lt;&gt;"Restock",N($M173)&gt;Settings!$B$4,$I173&lt;&gt;"Y"),"Get host OK",IF(AND($H173="Y",$F173&gt;Settings!$B$5,$I173&lt;&gt;"Y"),"Host should pay upfront",IF($J173&lt;&gt;"Y","Save receipt","OK"))))</f>
        <v/>
      </c>
      <c r="P173" s="29" t="str">
        <f aca="false">IF($A173="","",DATE(YEAR($A173),MONTH($A173),1))</f>
        <v/>
      </c>
      <c r="Q173" s="31" t="str">
        <f aca="false">IF($A173="","",IF(AND($L173='Invoice Builder'!$C$5,$P173='Invoice Builder'!$C$6,N($N173)&gt;0),COUNTIFS($L$5:$L173,'Invoice Builder'!$C$5,$P$5:$P173,'Invoice Builder'!$C$6,$N$5:$N173,"&gt;0"),""))</f>
        <v/>
      </c>
      <c r="R173" s="27" t="str">
        <f aca="false">IF($A173="","",IF($A173&gt;=DATE(YEAR($A173),4,6),YEAR($A173)&amp;"/"&amp;RIGHT(YEAR($A173)+1,2),YEAR($A173)-1&amp;"/"&amp;RIGHT(YEAR($A173),2)))</f>
        <v/>
      </c>
    </row>
    <row r="174" customFormat="false" ht="15" hidden="false" customHeight="false" outlineLevel="0" collapsed="false">
      <c r="A174" s="22"/>
      <c r="B174" s="23"/>
      <c r="C174" s="23"/>
      <c r="D174" s="23"/>
      <c r="E174" s="32"/>
      <c r="F174" s="25"/>
      <c r="G174" s="23"/>
      <c r="H174" s="23"/>
      <c r="I174" s="23"/>
      <c r="J174" s="23"/>
      <c r="K174" s="23"/>
      <c r="L174" s="27" t="str">
        <f aca="false">IF($B174="","",IFERROR(INDEX(Properties!$D$5:$D$104,MATCH($B174,Properties!$A$5:$A$104,0)),"-"))</f>
        <v/>
      </c>
      <c r="M174" s="28" t="str">
        <f aca="false">IF(OR($A174="",N($E174)=0),"",$F174/$E174)</f>
        <v/>
      </c>
      <c r="N174" s="28" t="str">
        <f aca="false">IF($A174="","",IF($H174="Y",$F174*(1+Settings!$B$3),0))</f>
        <v/>
      </c>
      <c r="O174" s="27" t="str">
        <f aca="false">IF($A174="","",IF(AND($H174="Y",$G174&lt;&gt;"Restock",N($M174)&gt;Settings!$B$4,$I174&lt;&gt;"Y"),"Get host OK",IF(AND($H174="Y",$F174&gt;Settings!$B$5,$I174&lt;&gt;"Y"),"Host should pay upfront",IF($J174&lt;&gt;"Y","Save receipt","OK"))))</f>
        <v/>
      </c>
      <c r="P174" s="29" t="str">
        <f aca="false">IF($A174="","",DATE(YEAR($A174),MONTH($A174),1))</f>
        <v/>
      </c>
      <c r="Q174" s="31" t="str">
        <f aca="false">IF($A174="","",IF(AND($L174='Invoice Builder'!$C$5,$P174='Invoice Builder'!$C$6,N($N174)&gt;0),COUNTIFS($L$5:$L174,'Invoice Builder'!$C$5,$P$5:$P174,'Invoice Builder'!$C$6,$N$5:$N174,"&gt;0"),""))</f>
        <v/>
      </c>
      <c r="R174" s="27" t="str">
        <f aca="false">IF($A174="","",IF($A174&gt;=DATE(YEAR($A174),4,6),YEAR($A174)&amp;"/"&amp;RIGHT(YEAR($A174)+1,2),YEAR($A174)-1&amp;"/"&amp;RIGHT(YEAR($A174),2)))</f>
        <v/>
      </c>
    </row>
    <row r="175" customFormat="false" ht="15" hidden="false" customHeight="false" outlineLevel="0" collapsed="false">
      <c r="A175" s="22"/>
      <c r="B175" s="23"/>
      <c r="C175" s="23"/>
      <c r="D175" s="23"/>
      <c r="E175" s="32"/>
      <c r="F175" s="25"/>
      <c r="G175" s="23"/>
      <c r="H175" s="23"/>
      <c r="I175" s="23"/>
      <c r="J175" s="23"/>
      <c r="K175" s="23"/>
      <c r="L175" s="27" t="str">
        <f aca="false">IF($B175="","",IFERROR(INDEX(Properties!$D$5:$D$104,MATCH($B175,Properties!$A$5:$A$104,0)),"-"))</f>
        <v/>
      </c>
      <c r="M175" s="28" t="str">
        <f aca="false">IF(OR($A175="",N($E175)=0),"",$F175/$E175)</f>
        <v/>
      </c>
      <c r="N175" s="28" t="str">
        <f aca="false">IF($A175="","",IF($H175="Y",$F175*(1+Settings!$B$3),0))</f>
        <v/>
      </c>
      <c r="O175" s="27" t="str">
        <f aca="false">IF($A175="","",IF(AND($H175="Y",$G175&lt;&gt;"Restock",N($M175)&gt;Settings!$B$4,$I175&lt;&gt;"Y"),"Get host OK",IF(AND($H175="Y",$F175&gt;Settings!$B$5,$I175&lt;&gt;"Y"),"Host should pay upfront",IF($J175&lt;&gt;"Y","Save receipt","OK"))))</f>
        <v/>
      </c>
      <c r="P175" s="29" t="str">
        <f aca="false">IF($A175="","",DATE(YEAR($A175),MONTH($A175),1))</f>
        <v/>
      </c>
      <c r="Q175" s="31" t="str">
        <f aca="false">IF($A175="","",IF(AND($L175='Invoice Builder'!$C$5,$P175='Invoice Builder'!$C$6,N($N175)&gt;0),COUNTIFS($L$5:$L175,'Invoice Builder'!$C$5,$P$5:$P175,'Invoice Builder'!$C$6,$N$5:$N175,"&gt;0"),""))</f>
        <v/>
      </c>
      <c r="R175" s="27" t="str">
        <f aca="false">IF($A175="","",IF($A175&gt;=DATE(YEAR($A175),4,6),YEAR($A175)&amp;"/"&amp;RIGHT(YEAR($A175)+1,2),YEAR($A175)-1&amp;"/"&amp;RIGHT(YEAR($A175),2)))</f>
        <v/>
      </c>
    </row>
    <row r="176" customFormat="false" ht="15" hidden="false" customHeight="false" outlineLevel="0" collapsed="false">
      <c r="A176" s="22"/>
      <c r="B176" s="23"/>
      <c r="C176" s="23"/>
      <c r="D176" s="23"/>
      <c r="E176" s="32"/>
      <c r="F176" s="25"/>
      <c r="G176" s="23"/>
      <c r="H176" s="23"/>
      <c r="I176" s="23"/>
      <c r="J176" s="23"/>
      <c r="K176" s="23"/>
      <c r="L176" s="27" t="str">
        <f aca="false">IF($B176="","",IFERROR(INDEX(Properties!$D$5:$D$104,MATCH($B176,Properties!$A$5:$A$104,0)),"-"))</f>
        <v/>
      </c>
      <c r="M176" s="28" t="str">
        <f aca="false">IF(OR($A176="",N($E176)=0),"",$F176/$E176)</f>
        <v/>
      </c>
      <c r="N176" s="28" t="str">
        <f aca="false">IF($A176="","",IF($H176="Y",$F176*(1+Settings!$B$3),0))</f>
        <v/>
      </c>
      <c r="O176" s="27" t="str">
        <f aca="false">IF($A176="","",IF(AND($H176="Y",$G176&lt;&gt;"Restock",N($M176)&gt;Settings!$B$4,$I176&lt;&gt;"Y"),"Get host OK",IF(AND($H176="Y",$F176&gt;Settings!$B$5,$I176&lt;&gt;"Y"),"Host should pay upfront",IF($J176&lt;&gt;"Y","Save receipt","OK"))))</f>
        <v/>
      </c>
      <c r="P176" s="29" t="str">
        <f aca="false">IF($A176="","",DATE(YEAR($A176),MONTH($A176),1))</f>
        <v/>
      </c>
      <c r="Q176" s="31" t="str">
        <f aca="false">IF($A176="","",IF(AND($L176='Invoice Builder'!$C$5,$P176='Invoice Builder'!$C$6,N($N176)&gt;0),COUNTIFS($L$5:$L176,'Invoice Builder'!$C$5,$P$5:$P176,'Invoice Builder'!$C$6,$N$5:$N176,"&gt;0"),""))</f>
        <v/>
      </c>
      <c r="R176" s="27" t="str">
        <f aca="false">IF($A176="","",IF($A176&gt;=DATE(YEAR($A176),4,6),YEAR($A176)&amp;"/"&amp;RIGHT(YEAR($A176)+1,2),YEAR($A176)-1&amp;"/"&amp;RIGHT(YEAR($A176),2)))</f>
        <v/>
      </c>
    </row>
    <row r="177" customFormat="false" ht="15" hidden="false" customHeight="false" outlineLevel="0" collapsed="false">
      <c r="A177" s="22"/>
      <c r="B177" s="23"/>
      <c r="C177" s="23"/>
      <c r="D177" s="23"/>
      <c r="E177" s="32"/>
      <c r="F177" s="25"/>
      <c r="G177" s="23"/>
      <c r="H177" s="23"/>
      <c r="I177" s="23"/>
      <c r="J177" s="23"/>
      <c r="K177" s="23"/>
      <c r="L177" s="27" t="str">
        <f aca="false">IF($B177="","",IFERROR(INDEX(Properties!$D$5:$D$104,MATCH($B177,Properties!$A$5:$A$104,0)),"-"))</f>
        <v/>
      </c>
      <c r="M177" s="28" t="str">
        <f aca="false">IF(OR($A177="",N($E177)=0),"",$F177/$E177)</f>
        <v/>
      </c>
      <c r="N177" s="28" t="str">
        <f aca="false">IF($A177="","",IF($H177="Y",$F177*(1+Settings!$B$3),0))</f>
        <v/>
      </c>
      <c r="O177" s="27" t="str">
        <f aca="false">IF($A177="","",IF(AND($H177="Y",$G177&lt;&gt;"Restock",N($M177)&gt;Settings!$B$4,$I177&lt;&gt;"Y"),"Get host OK",IF(AND($H177="Y",$F177&gt;Settings!$B$5,$I177&lt;&gt;"Y"),"Host should pay upfront",IF($J177&lt;&gt;"Y","Save receipt","OK"))))</f>
        <v/>
      </c>
      <c r="P177" s="29" t="str">
        <f aca="false">IF($A177="","",DATE(YEAR($A177),MONTH($A177),1))</f>
        <v/>
      </c>
      <c r="Q177" s="31" t="str">
        <f aca="false">IF($A177="","",IF(AND($L177='Invoice Builder'!$C$5,$P177='Invoice Builder'!$C$6,N($N177)&gt;0),COUNTIFS($L$5:$L177,'Invoice Builder'!$C$5,$P$5:$P177,'Invoice Builder'!$C$6,$N$5:$N177,"&gt;0"),""))</f>
        <v/>
      </c>
      <c r="R177" s="27" t="str">
        <f aca="false">IF($A177="","",IF($A177&gt;=DATE(YEAR($A177),4,6),YEAR($A177)&amp;"/"&amp;RIGHT(YEAR($A177)+1,2),YEAR($A177)-1&amp;"/"&amp;RIGHT(YEAR($A177),2)))</f>
        <v/>
      </c>
    </row>
    <row r="178" customFormat="false" ht="15" hidden="false" customHeight="false" outlineLevel="0" collapsed="false">
      <c r="A178" s="22"/>
      <c r="B178" s="23"/>
      <c r="C178" s="23"/>
      <c r="D178" s="23"/>
      <c r="E178" s="32"/>
      <c r="F178" s="25"/>
      <c r="G178" s="23"/>
      <c r="H178" s="23"/>
      <c r="I178" s="23"/>
      <c r="J178" s="23"/>
      <c r="K178" s="23"/>
      <c r="L178" s="27" t="str">
        <f aca="false">IF($B178="","",IFERROR(INDEX(Properties!$D$5:$D$104,MATCH($B178,Properties!$A$5:$A$104,0)),"-"))</f>
        <v/>
      </c>
      <c r="M178" s="28" t="str">
        <f aca="false">IF(OR($A178="",N($E178)=0),"",$F178/$E178)</f>
        <v/>
      </c>
      <c r="N178" s="28" t="str">
        <f aca="false">IF($A178="","",IF($H178="Y",$F178*(1+Settings!$B$3),0))</f>
        <v/>
      </c>
      <c r="O178" s="27" t="str">
        <f aca="false">IF($A178="","",IF(AND($H178="Y",$G178&lt;&gt;"Restock",N($M178)&gt;Settings!$B$4,$I178&lt;&gt;"Y"),"Get host OK",IF(AND($H178="Y",$F178&gt;Settings!$B$5,$I178&lt;&gt;"Y"),"Host should pay upfront",IF($J178&lt;&gt;"Y","Save receipt","OK"))))</f>
        <v/>
      </c>
      <c r="P178" s="29" t="str">
        <f aca="false">IF($A178="","",DATE(YEAR($A178),MONTH($A178),1))</f>
        <v/>
      </c>
      <c r="Q178" s="31" t="str">
        <f aca="false">IF($A178="","",IF(AND($L178='Invoice Builder'!$C$5,$P178='Invoice Builder'!$C$6,N($N178)&gt;0),COUNTIFS($L$5:$L178,'Invoice Builder'!$C$5,$P$5:$P178,'Invoice Builder'!$C$6,$N$5:$N178,"&gt;0"),""))</f>
        <v/>
      </c>
      <c r="R178" s="27" t="str">
        <f aca="false">IF($A178="","",IF($A178&gt;=DATE(YEAR($A178),4,6),YEAR($A178)&amp;"/"&amp;RIGHT(YEAR($A178)+1,2),YEAR($A178)-1&amp;"/"&amp;RIGHT(YEAR($A178),2)))</f>
        <v/>
      </c>
    </row>
    <row r="179" customFormat="false" ht="15" hidden="false" customHeight="false" outlineLevel="0" collapsed="false">
      <c r="A179" s="22"/>
      <c r="B179" s="23"/>
      <c r="C179" s="23"/>
      <c r="D179" s="23"/>
      <c r="E179" s="32"/>
      <c r="F179" s="25"/>
      <c r="G179" s="23"/>
      <c r="H179" s="23"/>
      <c r="I179" s="23"/>
      <c r="J179" s="23"/>
      <c r="K179" s="23"/>
      <c r="L179" s="27" t="str">
        <f aca="false">IF($B179="","",IFERROR(INDEX(Properties!$D$5:$D$104,MATCH($B179,Properties!$A$5:$A$104,0)),"-"))</f>
        <v/>
      </c>
      <c r="M179" s="28" t="str">
        <f aca="false">IF(OR($A179="",N($E179)=0),"",$F179/$E179)</f>
        <v/>
      </c>
      <c r="N179" s="28" t="str">
        <f aca="false">IF($A179="","",IF($H179="Y",$F179*(1+Settings!$B$3),0))</f>
        <v/>
      </c>
      <c r="O179" s="27" t="str">
        <f aca="false">IF($A179="","",IF(AND($H179="Y",$G179&lt;&gt;"Restock",N($M179)&gt;Settings!$B$4,$I179&lt;&gt;"Y"),"Get host OK",IF(AND($H179="Y",$F179&gt;Settings!$B$5,$I179&lt;&gt;"Y"),"Host should pay upfront",IF($J179&lt;&gt;"Y","Save receipt","OK"))))</f>
        <v/>
      </c>
      <c r="P179" s="29" t="str">
        <f aca="false">IF($A179="","",DATE(YEAR($A179),MONTH($A179),1))</f>
        <v/>
      </c>
      <c r="Q179" s="31" t="str">
        <f aca="false">IF($A179="","",IF(AND($L179='Invoice Builder'!$C$5,$P179='Invoice Builder'!$C$6,N($N179)&gt;0),COUNTIFS($L$5:$L179,'Invoice Builder'!$C$5,$P$5:$P179,'Invoice Builder'!$C$6,$N$5:$N179,"&gt;0"),""))</f>
        <v/>
      </c>
      <c r="R179" s="27" t="str">
        <f aca="false">IF($A179="","",IF($A179&gt;=DATE(YEAR($A179),4,6),YEAR($A179)&amp;"/"&amp;RIGHT(YEAR($A179)+1,2),YEAR($A179)-1&amp;"/"&amp;RIGHT(YEAR($A179),2)))</f>
        <v/>
      </c>
    </row>
    <row r="180" customFormat="false" ht="15" hidden="false" customHeight="false" outlineLevel="0" collapsed="false">
      <c r="A180" s="22"/>
      <c r="B180" s="23"/>
      <c r="C180" s="23"/>
      <c r="D180" s="23"/>
      <c r="E180" s="32"/>
      <c r="F180" s="25"/>
      <c r="G180" s="23"/>
      <c r="H180" s="23"/>
      <c r="I180" s="23"/>
      <c r="J180" s="23"/>
      <c r="K180" s="23"/>
      <c r="L180" s="27" t="str">
        <f aca="false">IF($B180="","",IFERROR(INDEX(Properties!$D$5:$D$104,MATCH($B180,Properties!$A$5:$A$104,0)),"-"))</f>
        <v/>
      </c>
      <c r="M180" s="28" t="str">
        <f aca="false">IF(OR($A180="",N($E180)=0),"",$F180/$E180)</f>
        <v/>
      </c>
      <c r="N180" s="28" t="str">
        <f aca="false">IF($A180="","",IF($H180="Y",$F180*(1+Settings!$B$3),0))</f>
        <v/>
      </c>
      <c r="O180" s="27" t="str">
        <f aca="false">IF($A180="","",IF(AND($H180="Y",$G180&lt;&gt;"Restock",N($M180)&gt;Settings!$B$4,$I180&lt;&gt;"Y"),"Get host OK",IF(AND($H180="Y",$F180&gt;Settings!$B$5,$I180&lt;&gt;"Y"),"Host should pay upfront",IF($J180&lt;&gt;"Y","Save receipt","OK"))))</f>
        <v/>
      </c>
      <c r="P180" s="29" t="str">
        <f aca="false">IF($A180="","",DATE(YEAR($A180),MONTH($A180),1))</f>
        <v/>
      </c>
      <c r="Q180" s="31" t="str">
        <f aca="false">IF($A180="","",IF(AND($L180='Invoice Builder'!$C$5,$P180='Invoice Builder'!$C$6,N($N180)&gt;0),COUNTIFS($L$5:$L180,'Invoice Builder'!$C$5,$P$5:$P180,'Invoice Builder'!$C$6,$N$5:$N180,"&gt;0"),""))</f>
        <v/>
      </c>
      <c r="R180" s="27" t="str">
        <f aca="false">IF($A180="","",IF($A180&gt;=DATE(YEAR($A180),4,6),YEAR($A180)&amp;"/"&amp;RIGHT(YEAR($A180)+1,2),YEAR($A180)-1&amp;"/"&amp;RIGHT(YEAR($A180),2)))</f>
        <v/>
      </c>
    </row>
    <row r="181" customFormat="false" ht="15" hidden="false" customHeight="false" outlineLevel="0" collapsed="false">
      <c r="A181" s="22"/>
      <c r="B181" s="23"/>
      <c r="C181" s="23"/>
      <c r="D181" s="23"/>
      <c r="E181" s="32"/>
      <c r="F181" s="25"/>
      <c r="G181" s="23"/>
      <c r="H181" s="23"/>
      <c r="I181" s="23"/>
      <c r="J181" s="23"/>
      <c r="K181" s="23"/>
      <c r="L181" s="27" t="str">
        <f aca="false">IF($B181="","",IFERROR(INDEX(Properties!$D$5:$D$104,MATCH($B181,Properties!$A$5:$A$104,0)),"-"))</f>
        <v/>
      </c>
      <c r="M181" s="28" t="str">
        <f aca="false">IF(OR($A181="",N($E181)=0),"",$F181/$E181)</f>
        <v/>
      </c>
      <c r="N181" s="28" t="str">
        <f aca="false">IF($A181="","",IF($H181="Y",$F181*(1+Settings!$B$3),0))</f>
        <v/>
      </c>
      <c r="O181" s="27" t="str">
        <f aca="false">IF($A181="","",IF(AND($H181="Y",$G181&lt;&gt;"Restock",N($M181)&gt;Settings!$B$4,$I181&lt;&gt;"Y"),"Get host OK",IF(AND($H181="Y",$F181&gt;Settings!$B$5,$I181&lt;&gt;"Y"),"Host should pay upfront",IF($J181&lt;&gt;"Y","Save receipt","OK"))))</f>
        <v/>
      </c>
      <c r="P181" s="29" t="str">
        <f aca="false">IF($A181="","",DATE(YEAR($A181),MONTH($A181),1))</f>
        <v/>
      </c>
      <c r="Q181" s="31" t="str">
        <f aca="false">IF($A181="","",IF(AND($L181='Invoice Builder'!$C$5,$P181='Invoice Builder'!$C$6,N($N181)&gt;0),COUNTIFS($L$5:$L181,'Invoice Builder'!$C$5,$P$5:$P181,'Invoice Builder'!$C$6,$N$5:$N181,"&gt;0"),""))</f>
        <v/>
      </c>
      <c r="R181" s="27" t="str">
        <f aca="false">IF($A181="","",IF($A181&gt;=DATE(YEAR($A181),4,6),YEAR($A181)&amp;"/"&amp;RIGHT(YEAR($A181)+1,2),YEAR($A181)-1&amp;"/"&amp;RIGHT(YEAR($A181),2)))</f>
        <v/>
      </c>
    </row>
    <row r="182" customFormat="false" ht="15" hidden="false" customHeight="false" outlineLevel="0" collapsed="false">
      <c r="A182" s="22"/>
      <c r="B182" s="23"/>
      <c r="C182" s="23"/>
      <c r="D182" s="23"/>
      <c r="E182" s="32"/>
      <c r="F182" s="25"/>
      <c r="G182" s="23"/>
      <c r="H182" s="23"/>
      <c r="I182" s="23"/>
      <c r="J182" s="23"/>
      <c r="K182" s="23"/>
      <c r="L182" s="27" t="str">
        <f aca="false">IF($B182="","",IFERROR(INDEX(Properties!$D$5:$D$104,MATCH($B182,Properties!$A$5:$A$104,0)),"-"))</f>
        <v/>
      </c>
      <c r="M182" s="28" t="str">
        <f aca="false">IF(OR($A182="",N($E182)=0),"",$F182/$E182)</f>
        <v/>
      </c>
      <c r="N182" s="28" t="str">
        <f aca="false">IF($A182="","",IF($H182="Y",$F182*(1+Settings!$B$3),0))</f>
        <v/>
      </c>
      <c r="O182" s="27" t="str">
        <f aca="false">IF($A182="","",IF(AND($H182="Y",$G182&lt;&gt;"Restock",N($M182)&gt;Settings!$B$4,$I182&lt;&gt;"Y"),"Get host OK",IF(AND($H182="Y",$F182&gt;Settings!$B$5,$I182&lt;&gt;"Y"),"Host should pay upfront",IF($J182&lt;&gt;"Y","Save receipt","OK"))))</f>
        <v/>
      </c>
      <c r="P182" s="29" t="str">
        <f aca="false">IF($A182="","",DATE(YEAR($A182),MONTH($A182),1))</f>
        <v/>
      </c>
      <c r="Q182" s="31" t="str">
        <f aca="false">IF($A182="","",IF(AND($L182='Invoice Builder'!$C$5,$P182='Invoice Builder'!$C$6,N($N182)&gt;0),COUNTIFS($L$5:$L182,'Invoice Builder'!$C$5,$P$5:$P182,'Invoice Builder'!$C$6,$N$5:$N182,"&gt;0"),""))</f>
        <v/>
      </c>
      <c r="R182" s="27" t="str">
        <f aca="false">IF($A182="","",IF($A182&gt;=DATE(YEAR($A182),4,6),YEAR($A182)&amp;"/"&amp;RIGHT(YEAR($A182)+1,2),YEAR($A182)-1&amp;"/"&amp;RIGHT(YEAR($A182),2)))</f>
        <v/>
      </c>
    </row>
    <row r="183" customFormat="false" ht="15" hidden="false" customHeight="false" outlineLevel="0" collapsed="false">
      <c r="A183" s="22"/>
      <c r="B183" s="23"/>
      <c r="C183" s="23"/>
      <c r="D183" s="23"/>
      <c r="E183" s="32"/>
      <c r="F183" s="25"/>
      <c r="G183" s="23"/>
      <c r="H183" s="23"/>
      <c r="I183" s="23"/>
      <c r="J183" s="23"/>
      <c r="K183" s="23"/>
      <c r="L183" s="27" t="str">
        <f aca="false">IF($B183="","",IFERROR(INDEX(Properties!$D$5:$D$104,MATCH($B183,Properties!$A$5:$A$104,0)),"-"))</f>
        <v/>
      </c>
      <c r="M183" s="28" t="str">
        <f aca="false">IF(OR($A183="",N($E183)=0),"",$F183/$E183)</f>
        <v/>
      </c>
      <c r="N183" s="28" t="str">
        <f aca="false">IF($A183="","",IF($H183="Y",$F183*(1+Settings!$B$3),0))</f>
        <v/>
      </c>
      <c r="O183" s="27" t="str">
        <f aca="false">IF($A183="","",IF(AND($H183="Y",$G183&lt;&gt;"Restock",N($M183)&gt;Settings!$B$4,$I183&lt;&gt;"Y"),"Get host OK",IF(AND($H183="Y",$F183&gt;Settings!$B$5,$I183&lt;&gt;"Y"),"Host should pay upfront",IF($J183&lt;&gt;"Y","Save receipt","OK"))))</f>
        <v/>
      </c>
      <c r="P183" s="29" t="str">
        <f aca="false">IF($A183="","",DATE(YEAR($A183),MONTH($A183),1))</f>
        <v/>
      </c>
      <c r="Q183" s="31" t="str">
        <f aca="false">IF($A183="","",IF(AND($L183='Invoice Builder'!$C$5,$P183='Invoice Builder'!$C$6,N($N183)&gt;0),COUNTIFS($L$5:$L183,'Invoice Builder'!$C$5,$P$5:$P183,'Invoice Builder'!$C$6,$N$5:$N183,"&gt;0"),""))</f>
        <v/>
      </c>
      <c r="R183" s="27" t="str">
        <f aca="false">IF($A183="","",IF($A183&gt;=DATE(YEAR($A183),4,6),YEAR($A183)&amp;"/"&amp;RIGHT(YEAR($A183)+1,2),YEAR($A183)-1&amp;"/"&amp;RIGHT(YEAR($A183),2)))</f>
        <v/>
      </c>
    </row>
    <row r="184" customFormat="false" ht="15" hidden="false" customHeight="false" outlineLevel="0" collapsed="false">
      <c r="A184" s="22"/>
      <c r="B184" s="23"/>
      <c r="C184" s="23"/>
      <c r="D184" s="23"/>
      <c r="E184" s="32"/>
      <c r="F184" s="25"/>
      <c r="G184" s="23"/>
      <c r="H184" s="23"/>
      <c r="I184" s="23"/>
      <c r="J184" s="23"/>
      <c r="K184" s="23"/>
      <c r="L184" s="27" t="str">
        <f aca="false">IF($B184="","",IFERROR(INDEX(Properties!$D$5:$D$104,MATCH($B184,Properties!$A$5:$A$104,0)),"-"))</f>
        <v/>
      </c>
      <c r="M184" s="28" t="str">
        <f aca="false">IF(OR($A184="",N($E184)=0),"",$F184/$E184)</f>
        <v/>
      </c>
      <c r="N184" s="28" t="str">
        <f aca="false">IF($A184="","",IF($H184="Y",$F184*(1+Settings!$B$3),0))</f>
        <v/>
      </c>
      <c r="O184" s="27" t="str">
        <f aca="false">IF($A184="","",IF(AND($H184="Y",$G184&lt;&gt;"Restock",N($M184)&gt;Settings!$B$4,$I184&lt;&gt;"Y"),"Get host OK",IF(AND($H184="Y",$F184&gt;Settings!$B$5,$I184&lt;&gt;"Y"),"Host should pay upfront",IF($J184&lt;&gt;"Y","Save receipt","OK"))))</f>
        <v/>
      </c>
      <c r="P184" s="29" t="str">
        <f aca="false">IF($A184="","",DATE(YEAR($A184),MONTH($A184),1))</f>
        <v/>
      </c>
      <c r="Q184" s="31" t="str">
        <f aca="false">IF($A184="","",IF(AND($L184='Invoice Builder'!$C$5,$P184='Invoice Builder'!$C$6,N($N184)&gt;0),COUNTIFS($L$5:$L184,'Invoice Builder'!$C$5,$P$5:$P184,'Invoice Builder'!$C$6,$N$5:$N184,"&gt;0"),""))</f>
        <v/>
      </c>
      <c r="R184" s="27" t="str">
        <f aca="false">IF($A184="","",IF($A184&gt;=DATE(YEAR($A184),4,6),YEAR($A184)&amp;"/"&amp;RIGHT(YEAR($A184)+1,2),YEAR($A184)-1&amp;"/"&amp;RIGHT(YEAR($A184),2)))</f>
        <v/>
      </c>
    </row>
    <row r="185" customFormat="false" ht="15" hidden="false" customHeight="false" outlineLevel="0" collapsed="false">
      <c r="A185" s="22"/>
      <c r="B185" s="23"/>
      <c r="C185" s="23"/>
      <c r="D185" s="23"/>
      <c r="E185" s="32"/>
      <c r="F185" s="25"/>
      <c r="G185" s="23"/>
      <c r="H185" s="23"/>
      <c r="I185" s="23"/>
      <c r="J185" s="23"/>
      <c r="K185" s="23"/>
      <c r="L185" s="27" t="str">
        <f aca="false">IF($B185="","",IFERROR(INDEX(Properties!$D$5:$D$104,MATCH($B185,Properties!$A$5:$A$104,0)),"-"))</f>
        <v/>
      </c>
      <c r="M185" s="28" t="str">
        <f aca="false">IF(OR($A185="",N($E185)=0),"",$F185/$E185)</f>
        <v/>
      </c>
      <c r="N185" s="28" t="str">
        <f aca="false">IF($A185="","",IF($H185="Y",$F185*(1+Settings!$B$3),0))</f>
        <v/>
      </c>
      <c r="O185" s="27" t="str">
        <f aca="false">IF($A185="","",IF(AND($H185="Y",$G185&lt;&gt;"Restock",N($M185)&gt;Settings!$B$4,$I185&lt;&gt;"Y"),"Get host OK",IF(AND($H185="Y",$F185&gt;Settings!$B$5,$I185&lt;&gt;"Y"),"Host should pay upfront",IF($J185&lt;&gt;"Y","Save receipt","OK"))))</f>
        <v/>
      </c>
      <c r="P185" s="29" t="str">
        <f aca="false">IF($A185="","",DATE(YEAR($A185),MONTH($A185),1))</f>
        <v/>
      </c>
      <c r="Q185" s="31" t="str">
        <f aca="false">IF($A185="","",IF(AND($L185='Invoice Builder'!$C$5,$P185='Invoice Builder'!$C$6,N($N185)&gt;0),COUNTIFS($L$5:$L185,'Invoice Builder'!$C$5,$P$5:$P185,'Invoice Builder'!$C$6,$N$5:$N185,"&gt;0"),""))</f>
        <v/>
      </c>
      <c r="R185" s="27" t="str">
        <f aca="false">IF($A185="","",IF($A185&gt;=DATE(YEAR($A185),4,6),YEAR($A185)&amp;"/"&amp;RIGHT(YEAR($A185)+1,2),YEAR($A185)-1&amp;"/"&amp;RIGHT(YEAR($A185),2)))</f>
        <v/>
      </c>
    </row>
    <row r="186" customFormat="false" ht="15" hidden="false" customHeight="false" outlineLevel="0" collapsed="false">
      <c r="A186" s="22"/>
      <c r="B186" s="23"/>
      <c r="C186" s="23"/>
      <c r="D186" s="23"/>
      <c r="E186" s="32"/>
      <c r="F186" s="25"/>
      <c r="G186" s="23"/>
      <c r="H186" s="23"/>
      <c r="I186" s="23"/>
      <c r="J186" s="23"/>
      <c r="K186" s="23"/>
      <c r="L186" s="27" t="str">
        <f aca="false">IF($B186="","",IFERROR(INDEX(Properties!$D$5:$D$104,MATCH($B186,Properties!$A$5:$A$104,0)),"-"))</f>
        <v/>
      </c>
      <c r="M186" s="28" t="str">
        <f aca="false">IF(OR($A186="",N($E186)=0),"",$F186/$E186)</f>
        <v/>
      </c>
      <c r="N186" s="28" t="str">
        <f aca="false">IF($A186="","",IF($H186="Y",$F186*(1+Settings!$B$3),0))</f>
        <v/>
      </c>
      <c r="O186" s="27" t="str">
        <f aca="false">IF($A186="","",IF(AND($H186="Y",$G186&lt;&gt;"Restock",N($M186)&gt;Settings!$B$4,$I186&lt;&gt;"Y"),"Get host OK",IF(AND($H186="Y",$F186&gt;Settings!$B$5,$I186&lt;&gt;"Y"),"Host should pay upfront",IF($J186&lt;&gt;"Y","Save receipt","OK"))))</f>
        <v/>
      </c>
      <c r="P186" s="29" t="str">
        <f aca="false">IF($A186="","",DATE(YEAR($A186),MONTH($A186),1))</f>
        <v/>
      </c>
      <c r="Q186" s="31" t="str">
        <f aca="false">IF($A186="","",IF(AND($L186='Invoice Builder'!$C$5,$P186='Invoice Builder'!$C$6,N($N186)&gt;0),COUNTIFS($L$5:$L186,'Invoice Builder'!$C$5,$P$5:$P186,'Invoice Builder'!$C$6,$N$5:$N186,"&gt;0"),""))</f>
        <v/>
      </c>
      <c r="R186" s="27" t="str">
        <f aca="false">IF($A186="","",IF($A186&gt;=DATE(YEAR($A186),4,6),YEAR($A186)&amp;"/"&amp;RIGHT(YEAR($A186)+1,2),YEAR($A186)-1&amp;"/"&amp;RIGHT(YEAR($A186),2)))</f>
        <v/>
      </c>
    </row>
    <row r="187" customFormat="false" ht="15" hidden="false" customHeight="false" outlineLevel="0" collapsed="false">
      <c r="A187" s="22"/>
      <c r="B187" s="23"/>
      <c r="C187" s="23"/>
      <c r="D187" s="23"/>
      <c r="E187" s="32"/>
      <c r="F187" s="25"/>
      <c r="G187" s="23"/>
      <c r="H187" s="23"/>
      <c r="I187" s="23"/>
      <c r="J187" s="23"/>
      <c r="K187" s="23"/>
      <c r="L187" s="27" t="str">
        <f aca="false">IF($B187="","",IFERROR(INDEX(Properties!$D$5:$D$104,MATCH($B187,Properties!$A$5:$A$104,0)),"-"))</f>
        <v/>
      </c>
      <c r="M187" s="28" t="str">
        <f aca="false">IF(OR($A187="",N($E187)=0),"",$F187/$E187)</f>
        <v/>
      </c>
      <c r="N187" s="28" t="str">
        <f aca="false">IF($A187="","",IF($H187="Y",$F187*(1+Settings!$B$3),0))</f>
        <v/>
      </c>
      <c r="O187" s="27" t="str">
        <f aca="false">IF($A187="","",IF(AND($H187="Y",$G187&lt;&gt;"Restock",N($M187)&gt;Settings!$B$4,$I187&lt;&gt;"Y"),"Get host OK",IF(AND($H187="Y",$F187&gt;Settings!$B$5,$I187&lt;&gt;"Y"),"Host should pay upfront",IF($J187&lt;&gt;"Y","Save receipt","OK"))))</f>
        <v/>
      </c>
      <c r="P187" s="29" t="str">
        <f aca="false">IF($A187="","",DATE(YEAR($A187),MONTH($A187),1))</f>
        <v/>
      </c>
      <c r="Q187" s="31" t="str">
        <f aca="false">IF($A187="","",IF(AND($L187='Invoice Builder'!$C$5,$P187='Invoice Builder'!$C$6,N($N187)&gt;0),COUNTIFS($L$5:$L187,'Invoice Builder'!$C$5,$P$5:$P187,'Invoice Builder'!$C$6,$N$5:$N187,"&gt;0"),""))</f>
        <v/>
      </c>
      <c r="R187" s="27" t="str">
        <f aca="false">IF($A187="","",IF($A187&gt;=DATE(YEAR($A187),4,6),YEAR($A187)&amp;"/"&amp;RIGHT(YEAR($A187)+1,2),YEAR($A187)-1&amp;"/"&amp;RIGHT(YEAR($A187),2)))</f>
        <v/>
      </c>
    </row>
    <row r="188" customFormat="false" ht="15" hidden="false" customHeight="false" outlineLevel="0" collapsed="false">
      <c r="A188" s="22"/>
      <c r="B188" s="23"/>
      <c r="C188" s="23"/>
      <c r="D188" s="23"/>
      <c r="E188" s="32"/>
      <c r="F188" s="25"/>
      <c r="G188" s="23"/>
      <c r="H188" s="23"/>
      <c r="I188" s="23"/>
      <c r="J188" s="23"/>
      <c r="K188" s="23"/>
      <c r="L188" s="27" t="str">
        <f aca="false">IF($B188="","",IFERROR(INDEX(Properties!$D$5:$D$104,MATCH($B188,Properties!$A$5:$A$104,0)),"-"))</f>
        <v/>
      </c>
      <c r="M188" s="28" t="str">
        <f aca="false">IF(OR($A188="",N($E188)=0),"",$F188/$E188)</f>
        <v/>
      </c>
      <c r="N188" s="28" t="str">
        <f aca="false">IF($A188="","",IF($H188="Y",$F188*(1+Settings!$B$3),0))</f>
        <v/>
      </c>
      <c r="O188" s="27" t="str">
        <f aca="false">IF($A188="","",IF(AND($H188="Y",$G188&lt;&gt;"Restock",N($M188)&gt;Settings!$B$4,$I188&lt;&gt;"Y"),"Get host OK",IF(AND($H188="Y",$F188&gt;Settings!$B$5,$I188&lt;&gt;"Y"),"Host should pay upfront",IF($J188&lt;&gt;"Y","Save receipt","OK"))))</f>
        <v/>
      </c>
      <c r="P188" s="29" t="str">
        <f aca="false">IF($A188="","",DATE(YEAR($A188),MONTH($A188),1))</f>
        <v/>
      </c>
      <c r="Q188" s="31" t="str">
        <f aca="false">IF($A188="","",IF(AND($L188='Invoice Builder'!$C$5,$P188='Invoice Builder'!$C$6,N($N188)&gt;0),COUNTIFS($L$5:$L188,'Invoice Builder'!$C$5,$P$5:$P188,'Invoice Builder'!$C$6,$N$5:$N188,"&gt;0"),""))</f>
        <v/>
      </c>
      <c r="R188" s="27" t="str">
        <f aca="false">IF($A188="","",IF($A188&gt;=DATE(YEAR($A188),4,6),YEAR($A188)&amp;"/"&amp;RIGHT(YEAR($A188)+1,2),YEAR($A188)-1&amp;"/"&amp;RIGHT(YEAR($A188),2)))</f>
        <v/>
      </c>
    </row>
    <row r="189" customFormat="false" ht="15" hidden="false" customHeight="false" outlineLevel="0" collapsed="false">
      <c r="A189" s="22"/>
      <c r="B189" s="23"/>
      <c r="C189" s="23"/>
      <c r="D189" s="23"/>
      <c r="E189" s="32"/>
      <c r="F189" s="25"/>
      <c r="G189" s="23"/>
      <c r="H189" s="23"/>
      <c r="I189" s="23"/>
      <c r="J189" s="23"/>
      <c r="K189" s="23"/>
      <c r="L189" s="27" t="str">
        <f aca="false">IF($B189="","",IFERROR(INDEX(Properties!$D$5:$D$104,MATCH($B189,Properties!$A$5:$A$104,0)),"-"))</f>
        <v/>
      </c>
      <c r="M189" s="28" t="str">
        <f aca="false">IF(OR($A189="",N($E189)=0),"",$F189/$E189)</f>
        <v/>
      </c>
      <c r="N189" s="28" t="str">
        <f aca="false">IF($A189="","",IF($H189="Y",$F189*(1+Settings!$B$3),0))</f>
        <v/>
      </c>
      <c r="O189" s="27" t="str">
        <f aca="false">IF($A189="","",IF(AND($H189="Y",$G189&lt;&gt;"Restock",N($M189)&gt;Settings!$B$4,$I189&lt;&gt;"Y"),"Get host OK",IF(AND($H189="Y",$F189&gt;Settings!$B$5,$I189&lt;&gt;"Y"),"Host should pay upfront",IF($J189&lt;&gt;"Y","Save receipt","OK"))))</f>
        <v/>
      </c>
      <c r="P189" s="29" t="str">
        <f aca="false">IF($A189="","",DATE(YEAR($A189),MONTH($A189),1))</f>
        <v/>
      </c>
      <c r="Q189" s="31" t="str">
        <f aca="false">IF($A189="","",IF(AND($L189='Invoice Builder'!$C$5,$P189='Invoice Builder'!$C$6,N($N189)&gt;0),COUNTIFS($L$5:$L189,'Invoice Builder'!$C$5,$P$5:$P189,'Invoice Builder'!$C$6,$N$5:$N189,"&gt;0"),""))</f>
        <v/>
      </c>
      <c r="R189" s="27" t="str">
        <f aca="false">IF($A189="","",IF($A189&gt;=DATE(YEAR($A189),4,6),YEAR($A189)&amp;"/"&amp;RIGHT(YEAR($A189)+1,2),YEAR($A189)-1&amp;"/"&amp;RIGHT(YEAR($A189),2)))</f>
        <v/>
      </c>
    </row>
    <row r="190" customFormat="false" ht="15" hidden="false" customHeight="false" outlineLevel="0" collapsed="false">
      <c r="A190" s="22"/>
      <c r="B190" s="23"/>
      <c r="C190" s="23"/>
      <c r="D190" s="23"/>
      <c r="E190" s="32"/>
      <c r="F190" s="25"/>
      <c r="G190" s="23"/>
      <c r="H190" s="23"/>
      <c r="I190" s="23"/>
      <c r="J190" s="23"/>
      <c r="K190" s="23"/>
      <c r="L190" s="27" t="str">
        <f aca="false">IF($B190="","",IFERROR(INDEX(Properties!$D$5:$D$104,MATCH($B190,Properties!$A$5:$A$104,0)),"-"))</f>
        <v/>
      </c>
      <c r="M190" s="28" t="str">
        <f aca="false">IF(OR($A190="",N($E190)=0),"",$F190/$E190)</f>
        <v/>
      </c>
      <c r="N190" s="28" t="str">
        <f aca="false">IF($A190="","",IF($H190="Y",$F190*(1+Settings!$B$3),0))</f>
        <v/>
      </c>
      <c r="O190" s="27" t="str">
        <f aca="false">IF($A190="","",IF(AND($H190="Y",$G190&lt;&gt;"Restock",N($M190)&gt;Settings!$B$4,$I190&lt;&gt;"Y"),"Get host OK",IF(AND($H190="Y",$F190&gt;Settings!$B$5,$I190&lt;&gt;"Y"),"Host should pay upfront",IF($J190&lt;&gt;"Y","Save receipt","OK"))))</f>
        <v/>
      </c>
      <c r="P190" s="29" t="str">
        <f aca="false">IF($A190="","",DATE(YEAR($A190),MONTH($A190),1))</f>
        <v/>
      </c>
      <c r="Q190" s="31" t="str">
        <f aca="false">IF($A190="","",IF(AND($L190='Invoice Builder'!$C$5,$P190='Invoice Builder'!$C$6,N($N190)&gt;0),COUNTIFS($L$5:$L190,'Invoice Builder'!$C$5,$P$5:$P190,'Invoice Builder'!$C$6,$N$5:$N190,"&gt;0"),""))</f>
        <v/>
      </c>
      <c r="R190" s="27" t="str">
        <f aca="false">IF($A190="","",IF($A190&gt;=DATE(YEAR($A190),4,6),YEAR($A190)&amp;"/"&amp;RIGHT(YEAR($A190)+1,2),YEAR($A190)-1&amp;"/"&amp;RIGHT(YEAR($A190),2)))</f>
        <v/>
      </c>
    </row>
    <row r="191" customFormat="false" ht="15" hidden="false" customHeight="false" outlineLevel="0" collapsed="false">
      <c r="A191" s="22"/>
      <c r="B191" s="23"/>
      <c r="C191" s="23"/>
      <c r="D191" s="23"/>
      <c r="E191" s="32"/>
      <c r="F191" s="25"/>
      <c r="G191" s="23"/>
      <c r="H191" s="23"/>
      <c r="I191" s="23"/>
      <c r="J191" s="23"/>
      <c r="K191" s="23"/>
      <c r="L191" s="27" t="str">
        <f aca="false">IF($B191="","",IFERROR(INDEX(Properties!$D$5:$D$104,MATCH($B191,Properties!$A$5:$A$104,0)),"-"))</f>
        <v/>
      </c>
      <c r="M191" s="28" t="str">
        <f aca="false">IF(OR($A191="",N($E191)=0),"",$F191/$E191)</f>
        <v/>
      </c>
      <c r="N191" s="28" t="str">
        <f aca="false">IF($A191="","",IF($H191="Y",$F191*(1+Settings!$B$3),0))</f>
        <v/>
      </c>
      <c r="O191" s="27" t="str">
        <f aca="false">IF($A191="","",IF(AND($H191="Y",$G191&lt;&gt;"Restock",N($M191)&gt;Settings!$B$4,$I191&lt;&gt;"Y"),"Get host OK",IF(AND($H191="Y",$F191&gt;Settings!$B$5,$I191&lt;&gt;"Y"),"Host should pay upfront",IF($J191&lt;&gt;"Y","Save receipt","OK"))))</f>
        <v/>
      </c>
      <c r="P191" s="29" t="str">
        <f aca="false">IF($A191="","",DATE(YEAR($A191),MONTH($A191),1))</f>
        <v/>
      </c>
      <c r="Q191" s="31" t="str">
        <f aca="false">IF($A191="","",IF(AND($L191='Invoice Builder'!$C$5,$P191='Invoice Builder'!$C$6,N($N191)&gt;0),COUNTIFS($L$5:$L191,'Invoice Builder'!$C$5,$P$5:$P191,'Invoice Builder'!$C$6,$N$5:$N191,"&gt;0"),""))</f>
        <v/>
      </c>
      <c r="R191" s="27" t="str">
        <f aca="false">IF($A191="","",IF($A191&gt;=DATE(YEAR($A191),4,6),YEAR($A191)&amp;"/"&amp;RIGHT(YEAR($A191)+1,2),YEAR($A191)-1&amp;"/"&amp;RIGHT(YEAR($A191),2)))</f>
        <v/>
      </c>
    </row>
    <row r="192" customFormat="false" ht="15" hidden="false" customHeight="false" outlineLevel="0" collapsed="false">
      <c r="A192" s="22"/>
      <c r="B192" s="23"/>
      <c r="C192" s="23"/>
      <c r="D192" s="23"/>
      <c r="E192" s="32"/>
      <c r="F192" s="25"/>
      <c r="G192" s="23"/>
      <c r="H192" s="23"/>
      <c r="I192" s="23"/>
      <c r="J192" s="23"/>
      <c r="K192" s="23"/>
      <c r="L192" s="27" t="str">
        <f aca="false">IF($B192="","",IFERROR(INDEX(Properties!$D$5:$D$104,MATCH($B192,Properties!$A$5:$A$104,0)),"-"))</f>
        <v/>
      </c>
      <c r="M192" s="28" t="str">
        <f aca="false">IF(OR($A192="",N($E192)=0),"",$F192/$E192)</f>
        <v/>
      </c>
      <c r="N192" s="28" t="str">
        <f aca="false">IF($A192="","",IF($H192="Y",$F192*(1+Settings!$B$3),0))</f>
        <v/>
      </c>
      <c r="O192" s="27" t="str">
        <f aca="false">IF($A192="","",IF(AND($H192="Y",$G192&lt;&gt;"Restock",N($M192)&gt;Settings!$B$4,$I192&lt;&gt;"Y"),"Get host OK",IF(AND($H192="Y",$F192&gt;Settings!$B$5,$I192&lt;&gt;"Y"),"Host should pay upfront",IF($J192&lt;&gt;"Y","Save receipt","OK"))))</f>
        <v/>
      </c>
      <c r="P192" s="29" t="str">
        <f aca="false">IF($A192="","",DATE(YEAR($A192),MONTH($A192),1))</f>
        <v/>
      </c>
      <c r="Q192" s="31" t="str">
        <f aca="false">IF($A192="","",IF(AND($L192='Invoice Builder'!$C$5,$P192='Invoice Builder'!$C$6,N($N192)&gt;0),COUNTIFS($L$5:$L192,'Invoice Builder'!$C$5,$P$5:$P192,'Invoice Builder'!$C$6,$N$5:$N192,"&gt;0"),""))</f>
        <v/>
      </c>
      <c r="R192" s="27" t="str">
        <f aca="false">IF($A192="","",IF($A192&gt;=DATE(YEAR($A192),4,6),YEAR($A192)&amp;"/"&amp;RIGHT(YEAR($A192)+1,2),YEAR($A192)-1&amp;"/"&amp;RIGHT(YEAR($A192),2)))</f>
        <v/>
      </c>
    </row>
    <row r="193" customFormat="false" ht="15" hidden="false" customHeight="false" outlineLevel="0" collapsed="false">
      <c r="A193" s="22"/>
      <c r="B193" s="23"/>
      <c r="C193" s="23"/>
      <c r="D193" s="23"/>
      <c r="E193" s="32"/>
      <c r="F193" s="25"/>
      <c r="G193" s="23"/>
      <c r="H193" s="23"/>
      <c r="I193" s="23"/>
      <c r="J193" s="23"/>
      <c r="K193" s="23"/>
      <c r="L193" s="27" t="str">
        <f aca="false">IF($B193="","",IFERROR(INDEX(Properties!$D$5:$D$104,MATCH($B193,Properties!$A$5:$A$104,0)),"-"))</f>
        <v/>
      </c>
      <c r="M193" s="28" t="str">
        <f aca="false">IF(OR($A193="",N($E193)=0),"",$F193/$E193)</f>
        <v/>
      </c>
      <c r="N193" s="28" t="str">
        <f aca="false">IF($A193="","",IF($H193="Y",$F193*(1+Settings!$B$3),0))</f>
        <v/>
      </c>
      <c r="O193" s="27" t="str">
        <f aca="false">IF($A193="","",IF(AND($H193="Y",$G193&lt;&gt;"Restock",N($M193)&gt;Settings!$B$4,$I193&lt;&gt;"Y"),"Get host OK",IF(AND($H193="Y",$F193&gt;Settings!$B$5,$I193&lt;&gt;"Y"),"Host should pay upfront",IF($J193&lt;&gt;"Y","Save receipt","OK"))))</f>
        <v/>
      </c>
      <c r="P193" s="29" t="str">
        <f aca="false">IF($A193="","",DATE(YEAR($A193),MONTH($A193),1))</f>
        <v/>
      </c>
      <c r="Q193" s="31" t="str">
        <f aca="false">IF($A193="","",IF(AND($L193='Invoice Builder'!$C$5,$P193='Invoice Builder'!$C$6,N($N193)&gt;0),COUNTIFS($L$5:$L193,'Invoice Builder'!$C$5,$P$5:$P193,'Invoice Builder'!$C$6,$N$5:$N193,"&gt;0"),""))</f>
        <v/>
      </c>
      <c r="R193" s="27" t="str">
        <f aca="false">IF($A193="","",IF($A193&gt;=DATE(YEAR($A193),4,6),YEAR($A193)&amp;"/"&amp;RIGHT(YEAR($A193)+1,2),YEAR($A193)-1&amp;"/"&amp;RIGHT(YEAR($A193),2)))</f>
        <v/>
      </c>
    </row>
    <row r="194" customFormat="false" ht="15" hidden="false" customHeight="false" outlineLevel="0" collapsed="false">
      <c r="A194" s="22"/>
      <c r="B194" s="23"/>
      <c r="C194" s="23"/>
      <c r="D194" s="23"/>
      <c r="E194" s="32"/>
      <c r="F194" s="25"/>
      <c r="G194" s="23"/>
      <c r="H194" s="23"/>
      <c r="I194" s="23"/>
      <c r="J194" s="23"/>
      <c r="K194" s="23"/>
      <c r="L194" s="27" t="str">
        <f aca="false">IF($B194="","",IFERROR(INDEX(Properties!$D$5:$D$104,MATCH($B194,Properties!$A$5:$A$104,0)),"-"))</f>
        <v/>
      </c>
      <c r="M194" s="28" t="str">
        <f aca="false">IF(OR($A194="",N($E194)=0),"",$F194/$E194)</f>
        <v/>
      </c>
      <c r="N194" s="28" t="str">
        <f aca="false">IF($A194="","",IF($H194="Y",$F194*(1+Settings!$B$3),0))</f>
        <v/>
      </c>
      <c r="O194" s="27" t="str">
        <f aca="false">IF($A194="","",IF(AND($H194="Y",$G194&lt;&gt;"Restock",N($M194)&gt;Settings!$B$4,$I194&lt;&gt;"Y"),"Get host OK",IF(AND($H194="Y",$F194&gt;Settings!$B$5,$I194&lt;&gt;"Y"),"Host should pay upfront",IF($J194&lt;&gt;"Y","Save receipt","OK"))))</f>
        <v/>
      </c>
      <c r="P194" s="29" t="str">
        <f aca="false">IF($A194="","",DATE(YEAR($A194),MONTH($A194),1))</f>
        <v/>
      </c>
      <c r="Q194" s="31" t="str">
        <f aca="false">IF($A194="","",IF(AND($L194='Invoice Builder'!$C$5,$P194='Invoice Builder'!$C$6,N($N194)&gt;0),COUNTIFS($L$5:$L194,'Invoice Builder'!$C$5,$P$5:$P194,'Invoice Builder'!$C$6,$N$5:$N194,"&gt;0"),""))</f>
        <v/>
      </c>
      <c r="R194" s="27" t="str">
        <f aca="false">IF($A194="","",IF($A194&gt;=DATE(YEAR($A194),4,6),YEAR($A194)&amp;"/"&amp;RIGHT(YEAR($A194)+1,2),YEAR($A194)-1&amp;"/"&amp;RIGHT(YEAR($A194),2)))</f>
        <v/>
      </c>
    </row>
    <row r="195" customFormat="false" ht="15" hidden="false" customHeight="false" outlineLevel="0" collapsed="false">
      <c r="A195" s="22"/>
      <c r="B195" s="23"/>
      <c r="C195" s="23"/>
      <c r="D195" s="23"/>
      <c r="E195" s="32"/>
      <c r="F195" s="25"/>
      <c r="G195" s="23"/>
      <c r="H195" s="23"/>
      <c r="I195" s="23"/>
      <c r="J195" s="23"/>
      <c r="K195" s="23"/>
      <c r="L195" s="27" t="str">
        <f aca="false">IF($B195="","",IFERROR(INDEX(Properties!$D$5:$D$104,MATCH($B195,Properties!$A$5:$A$104,0)),"-"))</f>
        <v/>
      </c>
      <c r="M195" s="28" t="str">
        <f aca="false">IF(OR($A195="",N($E195)=0),"",$F195/$E195)</f>
        <v/>
      </c>
      <c r="N195" s="28" t="str">
        <f aca="false">IF($A195="","",IF($H195="Y",$F195*(1+Settings!$B$3),0))</f>
        <v/>
      </c>
      <c r="O195" s="27" t="str">
        <f aca="false">IF($A195="","",IF(AND($H195="Y",$G195&lt;&gt;"Restock",N($M195)&gt;Settings!$B$4,$I195&lt;&gt;"Y"),"Get host OK",IF(AND($H195="Y",$F195&gt;Settings!$B$5,$I195&lt;&gt;"Y"),"Host should pay upfront",IF($J195&lt;&gt;"Y","Save receipt","OK"))))</f>
        <v/>
      </c>
      <c r="P195" s="29" t="str">
        <f aca="false">IF($A195="","",DATE(YEAR($A195),MONTH($A195),1))</f>
        <v/>
      </c>
      <c r="Q195" s="31" t="str">
        <f aca="false">IF($A195="","",IF(AND($L195='Invoice Builder'!$C$5,$P195='Invoice Builder'!$C$6,N($N195)&gt;0),COUNTIFS($L$5:$L195,'Invoice Builder'!$C$5,$P$5:$P195,'Invoice Builder'!$C$6,$N$5:$N195,"&gt;0"),""))</f>
        <v/>
      </c>
      <c r="R195" s="27" t="str">
        <f aca="false">IF($A195="","",IF($A195&gt;=DATE(YEAR($A195),4,6),YEAR($A195)&amp;"/"&amp;RIGHT(YEAR($A195)+1,2),YEAR($A195)-1&amp;"/"&amp;RIGHT(YEAR($A195),2)))</f>
        <v/>
      </c>
    </row>
    <row r="196" customFormat="false" ht="15" hidden="false" customHeight="false" outlineLevel="0" collapsed="false">
      <c r="A196" s="22"/>
      <c r="B196" s="23"/>
      <c r="C196" s="23"/>
      <c r="D196" s="23"/>
      <c r="E196" s="32"/>
      <c r="F196" s="25"/>
      <c r="G196" s="23"/>
      <c r="H196" s="23"/>
      <c r="I196" s="23"/>
      <c r="J196" s="23"/>
      <c r="K196" s="23"/>
      <c r="L196" s="27" t="str">
        <f aca="false">IF($B196="","",IFERROR(INDEX(Properties!$D$5:$D$104,MATCH($B196,Properties!$A$5:$A$104,0)),"-"))</f>
        <v/>
      </c>
      <c r="M196" s="28" t="str">
        <f aca="false">IF(OR($A196="",N($E196)=0),"",$F196/$E196)</f>
        <v/>
      </c>
      <c r="N196" s="28" t="str">
        <f aca="false">IF($A196="","",IF($H196="Y",$F196*(1+Settings!$B$3),0))</f>
        <v/>
      </c>
      <c r="O196" s="27" t="str">
        <f aca="false">IF($A196="","",IF(AND($H196="Y",$G196&lt;&gt;"Restock",N($M196)&gt;Settings!$B$4,$I196&lt;&gt;"Y"),"Get host OK",IF(AND($H196="Y",$F196&gt;Settings!$B$5,$I196&lt;&gt;"Y"),"Host should pay upfront",IF($J196&lt;&gt;"Y","Save receipt","OK"))))</f>
        <v/>
      </c>
      <c r="P196" s="29" t="str">
        <f aca="false">IF($A196="","",DATE(YEAR($A196),MONTH($A196),1))</f>
        <v/>
      </c>
      <c r="Q196" s="31" t="str">
        <f aca="false">IF($A196="","",IF(AND($L196='Invoice Builder'!$C$5,$P196='Invoice Builder'!$C$6,N($N196)&gt;0),COUNTIFS($L$5:$L196,'Invoice Builder'!$C$5,$P$5:$P196,'Invoice Builder'!$C$6,$N$5:$N196,"&gt;0"),""))</f>
        <v/>
      </c>
      <c r="R196" s="27" t="str">
        <f aca="false">IF($A196="","",IF($A196&gt;=DATE(YEAR($A196),4,6),YEAR($A196)&amp;"/"&amp;RIGHT(YEAR($A196)+1,2),YEAR($A196)-1&amp;"/"&amp;RIGHT(YEAR($A196),2)))</f>
        <v/>
      </c>
    </row>
    <row r="197" customFormat="false" ht="15" hidden="false" customHeight="false" outlineLevel="0" collapsed="false">
      <c r="A197" s="22"/>
      <c r="B197" s="23"/>
      <c r="C197" s="23"/>
      <c r="D197" s="23"/>
      <c r="E197" s="32"/>
      <c r="F197" s="25"/>
      <c r="G197" s="23"/>
      <c r="H197" s="23"/>
      <c r="I197" s="23"/>
      <c r="J197" s="23"/>
      <c r="K197" s="23"/>
      <c r="L197" s="27" t="str">
        <f aca="false">IF($B197="","",IFERROR(INDEX(Properties!$D$5:$D$104,MATCH($B197,Properties!$A$5:$A$104,0)),"-"))</f>
        <v/>
      </c>
      <c r="M197" s="28" t="str">
        <f aca="false">IF(OR($A197="",N($E197)=0),"",$F197/$E197)</f>
        <v/>
      </c>
      <c r="N197" s="28" t="str">
        <f aca="false">IF($A197="","",IF($H197="Y",$F197*(1+Settings!$B$3),0))</f>
        <v/>
      </c>
      <c r="O197" s="27" t="str">
        <f aca="false">IF($A197="","",IF(AND($H197="Y",$G197&lt;&gt;"Restock",N($M197)&gt;Settings!$B$4,$I197&lt;&gt;"Y"),"Get host OK",IF(AND($H197="Y",$F197&gt;Settings!$B$5,$I197&lt;&gt;"Y"),"Host should pay upfront",IF($J197&lt;&gt;"Y","Save receipt","OK"))))</f>
        <v/>
      </c>
      <c r="P197" s="29" t="str">
        <f aca="false">IF($A197="","",DATE(YEAR($A197),MONTH($A197),1))</f>
        <v/>
      </c>
      <c r="Q197" s="31" t="str">
        <f aca="false">IF($A197="","",IF(AND($L197='Invoice Builder'!$C$5,$P197='Invoice Builder'!$C$6,N($N197)&gt;0),COUNTIFS($L$5:$L197,'Invoice Builder'!$C$5,$P$5:$P197,'Invoice Builder'!$C$6,$N$5:$N197,"&gt;0"),""))</f>
        <v/>
      </c>
      <c r="R197" s="27" t="str">
        <f aca="false">IF($A197="","",IF($A197&gt;=DATE(YEAR($A197),4,6),YEAR($A197)&amp;"/"&amp;RIGHT(YEAR($A197)+1,2),YEAR($A197)-1&amp;"/"&amp;RIGHT(YEAR($A197),2)))</f>
        <v/>
      </c>
    </row>
    <row r="198" customFormat="false" ht="15" hidden="false" customHeight="false" outlineLevel="0" collapsed="false">
      <c r="A198" s="22"/>
      <c r="B198" s="23"/>
      <c r="C198" s="23"/>
      <c r="D198" s="23"/>
      <c r="E198" s="32"/>
      <c r="F198" s="25"/>
      <c r="G198" s="23"/>
      <c r="H198" s="23"/>
      <c r="I198" s="23"/>
      <c r="J198" s="23"/>
      <c r="K198" s="23"/>
      <c r="L198" s="27" t="str">
        <f aca="false">IF($B198="","",IFERROR(INDEX(Properties!$D$5:$D$104,MATCH($B198,Properties!$A$5:$A$104,0)),"-"))</f>
        <v/>
      </c>
      <c r="M198" s="28" t="str">
        <f aca="false">IF(OR($A198="",N($E198)=0),"",$F198/$E198)</f>
        <v/>
      </c>
      <c r="N198" s="28" t="str">
        <f aca="false">IF($A198="","",IF($H198="Y",$F198*(1+Settings!$B$3),0))</f>
        <v/>
      </c>
      <c r="O198" s="27" t="str">
        <f aca="false">IF($A198="","",IF(AND($H198="Y",$G198&lt;&gt;"Restock",N($M198)&gt;Settings!$B$4,$I198&lt;&gt;"Y"),"Get host OK",IF(AND($H198="Y",$F198&gt;Settings!$B$5,$I198&lt;&gt;"Y"),"Host should pay upfront",IF($J198&lt;&gt;"Y","Save receipt","OK"))))</f>
        <v/>
      </c>
      <c r="P198" s="29" t="str">
        <f aca="false">IF($A198="","",DATE(YEAR($A198),MONTH($A198),1))</f>
        <v/>
      </c>
      <c r="Q198" s="31" t="str">
        <f aca="false">IF($A198="","",IF(AND($L198='Invoice Builder'!$C$5,$P198='Invoice Builder'!$C$6,N($N198)&gt;0),COUNTIFS($L$5:$L198,'Invoice Builder'!$C$5,$P$5:$P198,'Invoice Builder'!$C$6,$N$5:$N198,"&gt;0"),""))</f>
        <v/>
      </c>
      <c r="R198" s="27" t="str">
        <f aca="false">IF($A198="","",IF($A198&gt;=DATE(YEAR($A198),4,6),YEAR($A198)&amp;"/"&amp;RIGHT(YEAR($A198)+1,2),YEAR($A198)-1&amp;"/"&amp;RIGHT(YEAR($A198),2)))</f>
        <v/>
      </c>
    </row>
    <row r="199" customFormat="false" ht="15" hidden="false" customHeight="false" outlineLevel="0" collapsed="false">
      <c r="A199" s="22"/>
      <c r="B199" s="23"/>
      <c r="C199" s="23"/>
      <c r="D199" s="23"/>
      <c r="E199" s="32"/>
      <c r="F199" s="25"/>
      <c r="G199" s="23"/>
      <c r="H199" s="23"/>
      <c r="I199" s="23"/>
      <c r="J199" s="23"/>
      <c r="K199" s="23"/>
      <c r="L199" s="27" t="str">
        <f aca="false">IF($B199="","",IFERROR(INDEX(Properties!$D$5:$D$104,MATCH($B199,Properties!$A$5:$A$104,0)),"-"))</f>
        <v/>
      </c>
      <c r="M199" s="28" t="str">
        <f aca="false">IF(OR($A199="",N($E199)=0),"",$F199/$E199)</f>
        <v/>
      </c>
      <c r="N199" s="28" t="str">
        <f aca="false">IF($A199="","",IF($H199="Y",$F199*(1+Settings!$B$3),0))</f>
        <v/>
      </c>
      <c r="O199" s="27" t="str">
        <f aca="false">IF($A199="","",IF(AND($H199="Y",$G199&lt;&gt;"Restock",N($M199)&gt;Settings!$B$4,$I199&lt;&gt;"Y"),"Get host OK",IF(AND($H199="Y",$F199&gt;Settings!$B$5,$I199&lt;&gt;"Y"),"Host should pay upfront",IF($J199&lt;&gt;"Y","Save receipt","OK"))))</f>
        <v/>
      </c>
      <c r="P199" s="29" t="str">
        <f aca="false">IF($A199="","",DATE(YEAR($A199),MONTH($A199),1))</f>
        <v/>
      </c>
      <c r="Q199" s="31" t="str">
        <f aca="false">IF($A199="","",IF(AND($L199='Invoice Builder'!$C$5,$P199='Invoice Builder'!$C$6,N($N199)&gt;0),COUNTIFS($L$5:$L199,'Invoice Builder'!$C$5,$P$5:$P199,'Invoice Builder'!$C$6,$N$5:$N199,"&gt;0"),""))</f>
        <v/>
      </c>
      <c r="R199" s="27" t="str">
        <f aca="false">IF($A199="","",IF($A199&gt;=DATE(YEAR($A199),4,6),YEAR($A199)&amp;"/"&amp;RIGHT(YEAR($A199)+1,2),YEAR($A199)-1&amp;"/"&amp;RIGHT(YEAR($A199),2)))</f>
        <v/>
      </c>
    </row>
    <row r="200" customFormat="false" ht="15" hidden="false" customHeight="false" outlineLevel="0" collapsed="false">
      <c r="A200" s="22"/>
      <c r="B200" s="23"/>
      <c r="C200" s="23"/>
      <c r="D200" s="23"/>
      <c r="E200" s="32"/>
      <c r="F200" s="25"/>
      <c r="G200" s="23"/>
      <c r="H200" s="23"/>
      <c r="I200" s="23"/>
      <c r="J200" s="23"/>
      <c r="K200" s="23"/>
      <c r="L200" s="27" t="str">
        <f aca="false">IF($B200="","",IFERROR(INDEX(Properties!$D$5:$D$104,MATCH($B200,Properties!$A$5:$A$104,0)),"-"))</f>
        <v/>
      </c>
      <c r="M200" s="28" t="str">
        <f aca="false">IF(OR($A200="",N($E200)=0),"",$F200/$E200)</f>
        <v/>
      </c>
      <c r="N200" s="28" t="str">
        <f aca="false">IF($A200="","",IF($H200="Y",$F200*(1+Settings!$B$3),0))</f>
        <v/>
      </c>
      <c r="O200" s="27" t="str">
        <f aca="false">IF($A200="","",IF(AND($H200="Y",$G200&lt;&gt;"Restock",N($M200)&gt;Settings!$B$4,$I200&lt;&gt;"Y"),"Get host OK",IF(AND($H200="Y",$F200&gt;Settings!$B$5,$I200&lt;&gt;"Y"),"Host should pay upfront",IF($J200&lt;&gt;"Y","Save receipt","OK"))))</f>
        <v/>
      </c>
      <c r="P200" s="29" t="str">
        <f aca="false">IF($A200="","",DATE(YEAR($A200),MONTH($A200),1))</f>
        <v/>
      </c>
      <c r="Q200" s="31" t="str">
        <f aca="false">IF($A200="","",IF(AND($L200='Invoice Builder'!$C$5,$P200='Invoice Builder'!$C$6,N($N200)&gt;0),COUNTIFS($L$5:$L200,'Invoice Builder'!$C$5,$P$5:$P200,'Invoice Builder'!$C$6,$N$5:$N200,"&gt;0"),""))</f>
        <v/>
      </c>
      <c r="R200" s="27" t="str">
        <f aca="false">IF($A200="","",IF($A200&gt;=DATE(YEAR($A200),4,6),YEAR($A200)&amp;"/"&amp;RIGHT(YEAR($A200)+1,2),YEAR($A200)-1&amp;"/"&amp;RIGHT(YEAR($A200),2)))</f>
        <v/>
      </c>
    </row>
    <row r="201" customFormat="false" ht="15" hidden="false" customHeight="false" outlineLevel="0" collapsed="false">
      <c r="A201" s="22"/>
      <c r="B201" s="23"/>
      <c r="C201" s="23"/>
      <c r="D201" s="23"/>
      <c r="E201" s="32"/>
      <c r="F201" s="25"/>
      <c r="G201" s="23"/>
      <c r="H201" s="23"/>
      <c r="I201" s="23"/>
      <c r="J201" s="23"/>
      <c r="K201" s="23"/>
      <c r="L201" s="27" t="str">
        <f aca="false">IF($B201="","",IFERROR(INDEX(Properties!$D$5:$D$104,MATCH($B201,Properties!$A$5:$A$104,0)),"-"))</f>
        <v/>
      </c>
      <c r="M201" s="28" t="str">
        <f aca="false">IF(OR($A201="",N($E201)=0),"",$F201/$E201)</f>
        <v/>
      </c>
      <c r="N201" s="28" t="str">
        <f aca="false">IF($A201="","",IF($H201="Y",$F201*(1+Settings!$B$3),0))</f>
        <v/>
      </c>
      <c r="O201" s="27" t="str">
        <f aca="false">IF($A201="","",IF(AND($H201="Y",$G201&lt;&gt;"Restock",N($M201)&gt;Settings!$B$4,$I201&lt;&gt;"Y"),"Get host OK",IF(AND($H201="Y",$F201&gt;Settings!$B$5,$I201&lt;&gt;"Y"),"Host should pay upfront",IF($J201&lt;&gt;"Y","Save receipt","OK"))))</f>
        <v/>
      </c>
      <c r="P201" s="29" t="str">
        <f aca="false">IF($A201="","",DATE(YEAR($A201),MONTH($A201),1))</f>
        <v/>
      </c>
      <c r="Q201" s="31" t="str">
        <f aca="false">IF($A201="","",IF(AND($L201='Invoice Builder'!$C$5,$P201='Invoice Builder'!$C$6,N($N201)&gt;0),COUNTIFS($L$5:$L201,'Invoice Builder'!$C$5,$P$5:$P201,'Invoice Builder'!$C$6,$N$5:$N201,"&gt;0"),""))</f>
        <v/>
      </c>
      <c r="R201" s="27" t="str">
        <f aca="false">IF($A201="","",IF($A201&gt;=DATE(YEAR($A201),4,6),YEAR($A201)&amp;"/"&amp;RIGHT(YEAR($A201)+1,2),YEAR($A201)-1&amp;"/"&amp;RIGHT(YEAR($A201),2)))</f>
        <v/>
      </c>
    </row>
    <row r="202" customFormat="false" ht="15" hidden="false" customHeight="false" outlineLevel="0" collapsed="false">
      <c r="A202" s="22"/>
      <c r="B202" s="23"/>
      <c r="C202" s="23"/>
      <c r="D202" s="23"/>
      <c r="E202" s="32"/>
      <c r="F202" s="25"/>
      <c r="G202" s="23"/>
      <c r="H202" s="23"/>
      <c r="I202" s="23"/>
      <c r="J202" s="23"/>
      <c r="K202" s="23"/>
      <c r="L202" s="27" t="str">
        <f aca="false">IF($B202="","",IFERROR(INDEX(Properties!$D$5:$D$104,MATCH($B202,Properties!$A$5:$A$104,0)),"-"))</f>
        <v/>
      </c>
      <c r="M202" s="28" t="str">
        <f aca="false">IF(OR($A202="",N($E202)=0),"",$F202/$E202)</f>
        <v/>
      </c>
      <c r="N202" s="28" t="str">
        <f aca="false">IF($A202="","",IF($H202="Y",$F202*(1+Settings!$B$3),0))</f>
        <v/>
      </c>
      <c r="O202" s="27" t="str">
        <f aca="false">IF($A202="","",IF(AND($H202="Y",$G202&lt;&gt;"Restock",N($M202)&gt;Settings!$B$4,$I202&lt;&gt;"Y"),"Get host OK",IF(AND($H202="Y",$F202&gt;Settings!$B$5,$I202&lt;&gt;"Y"),"Host should pay upfront",IF($J202&lt;&gt;"Y","Save receipt","OK"))))</f>
        <v/>
      </c>
      <c r="P202" s="29" t="str">
        <f aca="false">IF($A202="","",DATE(YEAR($A202),MONTH($A202),1))</f>
        <v/>
      </c>
      <c r="Q202" s="31" t="str">
        <f aca="false">IF($A202="","",IF(AND($L202='Invoice Builder'!$C$5,$P202='Invoice Builder'!$C$6,N($N202)&gt;0),COUNTIFS($L$5:$L202,'Invoice Builder'!$C$5,$P$5:$P202,'Invoice Builder'!$C$6,$N$5:$N202,"&gt;0"),""))</f>
        <v/>
      </c>
      <c r="R202" s="27" t="str">
        <f aca="false">IF($A202="","",IF($A202&gt;=DATE(YEAR($A202),4,6),YEAR($A202)&amp;"/"&amp;RIGHT(YEAR($A202)+1,2),YEAR($A202)-1&amp;"/"&amp;RIGHT(YEAR($A202),2)))</f>
        <v/>
      </c>
    </row>
    <row r="203" customFormat="false" ht="15" hidden="false" customHeight="false" outlineLevel="0" collapsed="false">
      <c r="A203" s="22"/>
      <c r="B203" s="23"/>
      <c r="C203" s="23"/>
      <c r="D203" s="23"/>
      <c r="E203" s="32"/>
      <c r="F203" s="25"/>
      <c r="G203" s="23"/>
      <c r="H203" s="23"/>
      <c r="I203" s="23"/>
      <c r="J203" s="23"/>
      <c r="K203" s="23"/>
      <c r="L203" s="27" t="str">
        <f aca="false">IF($B203="","",IFERROR(INDEX(Properties!$D$5:$D$104,MATCH($B203,Properties!$A$5:$A$104,0)),"-"))</f>
        <v/>
      </c>
      <c r="M203" s="28" t="str">
        <f aca="false">IF(OR($A203="",N($E203)=0),"",$F203/$E203)</f>
        <v/>
      </c>
      <c r="N203" s="28" t="str">
        <f aca="false">IF($A203="","",IF($H203="Y",$F203*(1+Settings!$B$3),0))</f>
        <v/>
      </c>
      <c r="O203" s="27" t="str">
        <f aca="false">IF($A203="","",IF(AND($H203="Y",$G203&lt;&gt;"Restock",N($M203)&gt;Settings!$B$4,$I203&lt;&gt;"Y"),"Get host OK",IF(AND($H203="Y",$F203&gt;Settings!$B$5,$I203&lt;&gt;"Y"),"Host should pay upfront",IF($J203&lt;&gt;"Y","Save receipt","OK"))))</f>
        <v/>
      </c>
      <c r="P203" s="29" t="str">
        <f aca="false">IF($A203="","",DATE(YEAR($A203),MONTH($A203),1))</f>
        <v/>
      </c>
      <c r="Q203" s="31" t="str">
        <f aca="false">IF($A203="","",IF(AND($L203='Invoice Builder'!$C$5,$P203='Invoice Builder'!$C$6,N($N203)&gt;0),COUNTIFS($L$5:$L203,'Invoice Builder'!$C$5,$P$5:$P203,'Invoice Builder'!$C$6,$N$5:$N203,"&gt;0"),""))</f>
        <v/>
      </c>
      <c r="R203" s="27" t="str">
        <f aca="false">IF($A203="","",IF($A203&gt;=DATE(YEAR($A203),4,6),YEAR($A203)&amp;"/"&amp;RIGHT(YEAR($A203)+1,2),YEAR($A203)-1&amp;"/"&amp;RIGHT(YEAR($A203),2)))</f>
        <v/>
      </c>
    </row>
    <row r="204" customFormat="false" ht="15" hidden="false" customHeight="false" outlineLevel="0" collapsed="false">
      <c r="A204" s="22"/>
      <c r="B204" s="23"/>
      <c r="C204" s="23"/>
      <c r="D204" s="23"/>
      <c r="E204" s="32"/>
      <c r="F204" s="25"/>
      <c r="G204" s="23"/>
      <c r="H204" s="23"/>
      <c r="I204" s="23"/>
      <c r="J204" s="23"/>
      <c r="K204" s="23"/>
      <c r="L204" s="27" t="str">
        <f aca="false">IF($B204="","",IFERROR(INDEX(Properties!$D$5:$D$104,MATCH($B204,Properties!$A$5:$A$104,0)),"-"))</f>
        <v/>
      </c>
      <c r="M204" s="28" t="str">
        <f aca="false">IF(OR($A204="",N($E204)=0),"",$F204/$E204)</f>
        <v/>
      </c>
      <c r="N204" s="28" t="str">
        <f aca="false">IF($A204="","",IF($H204="Y",$F204*(1+Settings!$B$3),0))</f>
        <v/>
      </c>
      <c r="O204" s="27" t="str">
        <f aca="false">IF($A204="","",IF(AND($H204="Y",$G204&lt;&gt;"Restock",N($M204)&gt;Settings!$B$4,$I204&lt;&gt;"Y"),"Get host OK",IF(AND($H204="Y",$F204&gt;Settings!$B$5,$I204&lt;&gt;"Y"),"Host should pay upfront",IF($J204&lt;&gt;"Y","Save receipt","OK"))))</f>
        <v/>
      </c>
      <c r="P204" s="29" t="str">
        <f aca="false">IF($A204="","",DATE(YEAR($A204),MONTH($A204),1))</f>
        <v/>
      </c>
      <c r="Q204" s="31" t="str">
        <f aca="false">IF($A204="","",IF(AND($L204='Invoice Builder'!$C$5,$P204='Invoice Builder'!$C$6,N($N204)&gt;0),COUNTIFS($L$5:$L204,'Invoice Builder'!$C$5,$P$5:$P204,'Invoice Builder'!$C$6,$N$5:$N204,"&gt;0"),""))</f>
        <v/>
      </c>
      <c r="R204" s="27" t="str">
        <f aca="false">IF($A204="","",IF($A204&gt;=DATE(YEAR($A204),4,6),YEAR($A204)&amp;"/"&amp;RIGHT(YEAR($A204)+1,2),YEAR($A204)-1&amp;"/"&amp;RIGHT(YEAR($A204),2)))</f>
        <v/>
      </c>
    </row>
    <row r="205" customFormat="false" ht="15" hidden="false" customHeight="false" outlineLevel="0" collapsed="false">
      <c r="A205" s="22"/>
      <c r="B205" s="23"/>
      <c r="C205" s="23"/>
      <c r="D205" s="23"/>
      <c r="E205" s="32"/>
      <c r="F205" s="25"/>
      <c r="G205" s="23"/>
      <c r="H205" s="23"/>
      <c r="I205" s="23"/>
      <c r="J205" s="23"/>
      <c r="K205" s="23"/>
      <c r="L205" s="27" t="str">
        <f aca="false">IF($B205="","",IFERROR(INDEX(Properties!$D$5:$D$104,MATCH($B205,Properties!$A$5:$A$104,0)),"-"))</f>
        <v/>
      </c>
      <c r="M205" s="28" t="str">
        <f aca="false">IF(OR($A205="",N($E205)=0),"",$F205/$E205)</f>
        <v/>
      </c>
      <c r="N205" s="28" t="str">
        <f aca="false">IF($A205="","",IF($H205="Y",$F205*(1+Settings!$B$3),0))</f>
        <v/>
      </c>
      <c r="O205" s="27" t="str">
        <f aca="false">IF($A205="","",IF(AND($H205="Y",$G205&lt;&gt;"Restock",N($M205)&gt;Settings!$B$4,$I205&lt;&gt;"Y"),"Get host OK",IF(AND($H205="Y",$F205&gt;Settings!$B$5,$I205&lt;&gt;"Y"),"Host should pay upfront",IF($J205&lt;&gt;"Y","Save receipt","OK"))))</f>
        <v/>
      </c>
      <c r="P205" s="29" t="str">
        <f aca="false">IF($A205="","",DATE(YEAR($A205),MONTH($A205),1))</f>
        <v/>
      </c>
      <c r="Q205" s="31" t="str">
        <f aca="false">IF($A205="","",IF(AND($L205='Invoice Builder'!$C$5,$P205='Invoice Builder'!$C$6,N($N205)&gt;0),COUNTIFS($L$5:$L205,'Invoice Builder'!$C$5,$P$5:$P205,'Invoice Builder'!$C$6,$N$5:$N205,"&gt;0"),""))</f>
        <v/>
      </c>
      <c r="R205" s="27" t="str">
        <f aca="false">IF($A205="","",IF($A205&gt;=DATE(YEAR($A205),4,6),YEAR($A205)&amp;"/"&amp;RIGHT(YEAR($A205)+1,2),YEAR($A205)-1&amp;"/"&amp;RIGHT(YEAR($A205),2)))</f>
        <v/>
      </c>
    </row>
    <row r="206" customFormat="false" ht="15" hidden="false" customHeight="false" outlineLevel="0" collapsed="false">
      <c r="A206" s="22"/>
      <c r="B206" s="23"/>
      <c r="C206" s="23"/>
      <c r="D206" s="23"/>
      <c r="E206" s="32"/>
      <c r="F206" s="25"/>
      <c r="G206" s="23"/>
      <c r="H206" s="23"/>
      <c r="I206" s="23"/>
      <c r="J206" s="23"/>
      <c r="K206" s="23"/>
      <c r="L206" s="27" t="str">
        <f aca="false">IF($B206="","",IFERROR(INDEX(Properties!$D$5:$D$104,MATCH($B206,Properties!$A$5:$A$104,0)),"-"))</f>
        <v/>
      </c>
      <c r="M206" s="28" t="str">
        <f aca="false">IF(OR($A206="",N($E206)=0),"",$F206/$E206)</f>
        <v/>
      </c>
      <c r="N206" s="28" t="str">
        <f aca="false">IF($A206="","",IF($H206="Y",$F206*(1+Settings!$B$3),0))</f>
        <v/>
      </c>
      <c r="O206" s="27" t="str">
        <f aca="false">IF($A206="","",IF(AND($H206="Y",$G206&lt;&gt;"Restock",N($M206)&gt;Settings!$B$4,$I206&lt;&gt;"Y"),"Get host OK",IF(AND($H206="Y",$F206&gt;Settings!$B$5,$I206&lt;&gt;"Y"),"Host should pay upfront",IF($J206&lt;&gt;"Y","Save receipt","OK"))))</f>
        <v/>
      </c>
      <c r="P206" s="29" t="str">
        <f aca="false">IF($A206="","",DATE(YEAR($A206),MONTH($A206),1))</f>
        <v/>
      </c>
      <c r="Q206" s="31" t="str">
        <f aca="false">IF($A206="","",IF(AND($L206='Invoice Builder'!$C$5,$P206='Invoice Builder'!$C$6,N($N206)&gt;0),COUNTIFS($L$5:$L206,'Invoice Builder'!$C$5,$P$5:$P206,'Invoice Builder'!$C$6,$N$5:$N206,"&gt;0"),""))</f>
        <v/>
      </c>
      <c r="R206" s="27" t="str">
        <f aca="false">IF($A206="","",IF($A206&gt;=DATE(YEAR($A206),4,6),YEAR($A206)&amp;"/"&amp;RIGHT(YEAR($A206)+1,2),YEAR($A206)-1&amp;"/"&amp;RIGHT(YEAR($A206),2)))</f>
        <v/>
      </c>
    </row>
    <row r="207" customFormat="false" ht="15" hidden="false" customHeight="false" outlineLevel="0" collapsed="false">
      <c r="A207" s="22"/>
      <c r="B207" s="23"/>
      <c r="C207" s="23"/>
      <c r="D207" s="23"/>
      <c r="E207" s="32"/>
      <c r="F207" s="25"/>
      <c r="G207" s="23"/>
      <c r="H207" s="23"/>
      <c r="I207" s="23"/>
      <c r="J207" s="23"/>
      <c r="K207" s="23"/>
      <c r="L207" s="27" t="str">
        <f aca="false">IF($B207="","",IFERROR(INDEX(Properties!$D$5:$D$104,MATCH($B207,Properties!$A$5:$A$104,0)),"-"))</f>
        <v/>
      </c>
      <c r="M207" s="28" t="str">
        <f aca="false">IF(OR($A207="",N($E207)=0),"",$F207/$E207)</f>
        <v/>
      </c>
      <c r="N207" s="28" t="str">
        <f aca="false">IF($A207="","",IF($H207="Y",$F207*(1+Settings!$B$3),0))</f>
        <v/>
      </c>
      <c r="O207" s="27" t="str">
        <f aca="false">IF($A207="","",IF(AND($H207="Y",$G207&lt;&gt;"Restock",N($M207)&gt;Settings!$B$4,$I207&lt;&gt;"Y"),"Get host OK",IF(AND($H207="Y",$F207&gt;Settings!$B$5,$I207&lt;&gt;"Y"),"Host should pay upfront",IF($J207&lt;&gt;"Y","Save receipt","OK"))))</f>
        <v/>
      </c>
      <c r="P207" s="29" t="str">
        <f aca="false">IF($A207="","",DATE(YEAR($A207),MONTH($A207),1))</f>
        <v/>
      </c>
      <c r="Q207" s="31" t="str">
        <f aca="false">IF($A207="","",IF(AND($L207='Invoice Builder'!$C$5,$P207='Invoice Builder'!$C$6,N($N207)&gt;0),COUNTIFS($L$5:$L207,'Invoice Builder'!$C$5,$P$5:$P207,'Invoice Builder'!$C$6,$N$5:$N207,"&gt;0"),""))</f>
        <v/>
      </c>
      <c r="R207" s="27" t="str">
        <f aca="false">IF($A207="","",IF($A207&gt;=DATE(YEAR($A207),4,6),YEAR($A207)&amp;"/"&amp;RIGHT(YEAR($A207)+1,2),YEAR($A207)-1&amp;"/"&amp;RIGHT(YEAR($A207),2)))</f>
        <v/>
      </c>
    </row>
    <row r="208" customFormat="false" ht="15" hidden="false" customHeight="false" outlineLevel="0" collapsed="false">
      <c r="A208" s="22"/>
      <c r="B208" s="23"/>
      <c r="C208" s="23"/>
      <c r="D208" s="23"/>
      <c r="E208" s="32"/>
      <c r="F208" s="25"/>
      <c r="G208" s="23"/>
      <c r="H208" s="23"/>
      <c r="I208" s="23"/>
      <c r="J208" s="23"/>
      <c r="K208" s="23"/>
      <c r="L208" s="27" t="str">
        <f aca="false">IF($B208="","",IFERROR(INDEX(Properties!$D$5:$D$104,MATCH($B208,Properties!$A$5:$A$104,0)),"-"))</f>
        <v/>
      </c>
      <c r="M208" s="28" t="str">
        <f aca="false">IF(OR($A208="",N($E208)=0),"",$F208/$E208)</f>
        <v/>
      </c>
      <c r="N208" s="28" t="str">
        <f aca="false">IF($A208="","",IF($H208="Y",$F208*(1+Settings!$B$3),0))</f>
        <v/>
      </c>
      <c r="O208" s="27" t="str">
        <f aca="false">IF($A208="","",IF(AND($H208="Y",$G208&lt;&gt;"Restock",N($M208)&gt;Settings!$B$4,$I208&lt;&gt;"Y"),"Get host OK",IF(AND($H208="Y",$F208&gt;Settings!$B$5,$I208&lt;&gt;"Y"),"Host should pay upfront",IF($J208&lt;&gt;"Y","Save receipt","OK"))))</f>
        <v/>
      </c>
      <c r="P208" s="29" t="str">
        <f aca="false">IF($A208="","",DATE(YEAR($A208),MONTH($A208),1))</f>
        <v/>
      </c>
      <c r="Q208" s="31" t="str">
        <f aca="false">IF($A208="","",IF(AND($L208='Invoice Builder'!$C$5,$P208='Invoice Builder'!$C$6,N($N208)&gt;0),COUNTIFS($L$5:$L208,'Invoice Builder'!$C$5,$P$5:$P208,'Invoice Builder'!$C$6,$N$5:$N208,"&gt;0"),""))</f>
        <v/>
      </c>
      <c r="R208" s="27" t="str">
        <f aca="false">IF($A208="","",IF($A208&gt;=DATE(YEAR($A208),4,6),YEAR($A208)&amp;"/"&amp;RIGHT(YEAR($A208)+1,2),YEAR($A208)-1&amp;"/"&amp;RIGHT(YEAR($A208),2)))</f>
        <v/>
      </c>
    </row>
    <row r="209" customFormat="false" ht="15" hidden="false" customHeight="false" outlineLevel="0" collapsed="false">
      <c r="A209" s="22"/>
      <c r="B209" s="23"/>
      <c r="C209" s="23"/>
      <c r="D209" s="23"/>
      <c r="E209" s="32"/>
      <c r="F209" s="25"/>
      <c r="G209" s="23"/>
      <c r="H209" s="23"/>
      <c r="I209" s="23"/>
      <c r="J209" s="23"/>
      <c r="K209" s="23"/>
      <c r="L209" s="27" t="str">
        <f aca="false">IF($B209="","",IFERROR(INDEX(Properties!$D$5:$D$104,MATCH($B209,Properties!$A$5:$A$104,0)),"-"))</f>
        <v/>
      </c>
      <c r="M209" s="28" t="str">
        <f aca="false">IF(OR($A209="",N($E209)=0),"",$F209/$E209)</f>
        <v/>
      </c>
      <c r="N209" s="28" t="str">
        <f aca="false">IF($A209="","",IF($H209="Y",$F209*(1+Settings!$B$3),0))</f>
        <v/>
      </c>
      <c r="O209" s="27" t="str">
        <f aca="false">IF($A209="","",IF(AND($H209="Y",$G209&lt;&gt;"Restock",N($M209)&gt;Settings!$B$4,$I209&lt;&gt;"Y"),"Get host OK",IF(AND($H209="Y",$F209&gt;Settings!$B$5,$I209&lt;&gt;"Y"),"Host should pay upfront",IF($J209&lt;&gt;"Y","Save receipt","OK"))))</f>
        <v/>
      </c>
      <c r="P209" s="29" t="str">
        <f aca="false">IF($A209="","",DATE(YEAR($A209),MONTH($A209),1))</f>
        <v/>
      </c>
      <c r="Q209" s="31" t="str">
        <f aca="false">IF($A209="","",IF(AND($L209='Invoice Builder'!$C$5,$P209='Invoice Builder'!$C$6,N($N209)&gt;0),COUNTIFS($L$5:$L209,'Invoice Builder'!$C$5,$P$5:$P209,'Invoice Builder'!$C$6,$N$5:$N209,"&gt;0"),""))</f>
        <v/>
      </c>
      <c r="R209" s="27" t="str">
        <f aca="false">IF($A209="","",IF($A209&gt;=DATE(YEAR($A209),4,6),YEAR($A209)&amp;"/"&amp;RIGHT(YEAR($A209)+1,2),YEAR($A209)-1&amp;"/"&amp;RIGHT(YEAR($A209),2)))</f>
        <v/>
      </c>
    </row>
    <row r="210" customFormat="false" ht="15" hidden="false" customHeight="false" outlineLevel="0" collapsed="false">
      <c r="A210" s="22"/>
      <c r="B210" s="23"/>
      <c r="C210" s="23"/>
      <c r="D210" s="23"/>
      <c r="E210" s="32"/>
      <c r="F210" s="25"/>
      <c r="G210" s="23"/>
      <c r="H210" s="23"/>
      <c r="I210" s="23"/>
      <c r="J210" s="23"/>
      <c r="K210" s="23"/>
      <c r="L210" s="27" t="str">
        <f aca="false">IF($B210="","",IFERROR(INDEX(Properties!$D$5:$D$104,MATCH($B210,Properties!$A$5:$A$104,0)),"-"))</f>
        <v/>
      </c>
      <c r="M210" s="28" t="str">
        <f aca="false">IF(OR($A210="",N($E210)=0),"",$F210/$E210)</f>
        <v/>
      </c>
      <c r="N210" s="28" t="str">
        <f aca="false">IF($A210="","",IF($H210="Y",$F210*(1+Settings!$B$3),0))</f>
        <v/>
      </c>
      <c r="O210" s="27" t="str">
        <f aca="false">IF($A210="","",IF(AND($H210="Y",$G210&lt;&gt;"Restock",N($M210)&gt;Settings!$B$4,$I210&lt;&gt;"Y"),"Get host OK",IF(AND($H210="Y",$F210&gt;Settings!$B$5,$I210&lt;&gt;"Y"),"Host should pay upfront",IF($J210&lt;&gt;"Y","Save receipt","OK"))))</f>
        <v/>
      </c>
      <c r="P210" s="29" t="str">
        <f aca="false">IF($A210="","",DATE(YEAR($A210),MONTH($A210),1))</f>
        <v/>
      </c>
      <c r="Q210" s="31" t="str">
        <f aca="false">IF($A210="","",IF(AND($L210='Invoice Builder'!$C$5,$P210='Invoice Builder'!$C$6,N($N210)&gt;0),COUNTIFS($L$5:$L210,'Invoice Builder'!$C$5,$P$5:$P210,'Invoice Builder'!$C$6,$N$5:$N210,"&gt;0"),""))</f>
        <v/>
      </c>
      <c r="R210" s="27" t="str">
        <f aca="false">IF($A210="","",IF($A210&gt;=DATE(YEAR($A210),4,6),YEAR($A210)&amp;"/"&amp;RIGHT(YEAR($A210)+1,2),YEAR($A210)-1&amp;"/"&amp;RIGHT(YEAR($A210),2)))</f>
        <v/>
      </c>
    </row>
    <row r="211" customFormat="false" ht="15" hidden="false" customHeight="false" outlineLevel="0" collapsed="false">
      <c r="A211" s="22"/>
      <c r="B211" s="23"/>
      <c r="C211" s="23"/>
      <c r="D211" s="23"/>
      <c r="E211" s="32"/>
      <c r="F211" s="25"/>
      <c r="G211" s="23"/>
      <c r="H211" s="23"/>
      <c r="I211" s="23"/>
      <c r="J211" s="23"/>
      <c r="K211" s="23"/>
      <c r="L211" s="27" t="str">
        <f aca="false">IF($B211="","",IFERROR(INDEX(Properties!$D$5:$D$104,MATCH($B211,Properties!$A$5:$A$104,0)),"-"))</f>
        <v/>
      </c>
      <c r="M211" s="28" t="str">
        <f aca="false">IF(OR($A211="",N($E211)=0),"",$F211/$E211)</f>
        <v/>
      </c>
      <c r="N211" s="28" t="str">
        <f aca="false">IF($A211="","",IF($H211="Y",$F211*(1+Settings!$B$3),0))</f>
        <v/>
      </c>
      <c r="O211" s="27" t="str">
        <f aca="false">IF($A211="","",IF(AND($H211="Y",$G211&lt;&gt;"Restock",N($M211)&gt;Settings!$B$4,$I211&lt;&gt;"Y"),"Get host OK",IF(AND($H211="Y",$F211&gt;Settings!$B$5,$I211&lt;&gt;"Y"),"Host should pay upfront",IF($J211&lt;&gt;"Y","Save receipt","OK"))))</f>
        <v/>
      </c>
      <c r="P211" s="29" t="str">
        <f aca="false">IF($A211="","",DATE(YEAR($A211),MONTH($A211),1))</f>
        <v/>
      </c>
      <c r="Q211" s="31" t="str">
        <f aca="false">IF($A211="","",IF(AND($L211='Invoice Builder'!$C$5,$P211='Invoice Builder'!$C$6,N($N211)&gt;0),COUNTIFS($L$5:$L211,'Invoice Builder'!$C$5,$P$5:$P211,'Invoice Builder'!$C$6,$N$5:$N211,"&gt;0"),""))</f>
        <v/>
      </c>
      <c r="R211" s="27" t="str">
        <f aca="false">IF($A211="","",IF($A211&gt;=DATE(YEAR($A211),4,6),YEAR($A211)&amp;"/"&amp;RIGHT(YEAR($A211)+1,2),YEAR($A211)-1&amp;"/"&amp;RIGHT(YEAR($A211),2)))</f>
        <v/>
      </c>
    </row>
    <row r="212" customFormat="false" ht="15" hidden="false" customHeight="false" outlineLevel="0" collapsed="false">
      <c r="A212" s="22"/>
      <c r="B212" s="23"/>
      <c r="C212" s="23"/>
      <c r="D212" s="23"/>
      <c r="E212" s="32"/>
      <c r="F212" s="25"/>
      <c r="G212" s="23"/>
      <c r="H212" s="23"/>
      <c r="I212" s="23"/>
      <c r="J212" s="23"/>
      <c r="K212" s="23"/>
      <c r="L212" s="27" t="str">
        <f aca="false">IF($B212="","",IFERROR(INDEX(Properties!$D$5:$D$104,MATCH($B212,Properties!$A$5:$A$104,0)),"-"))</f>
        <v/>
      </c>
      <c r="M212" s="28" t="str">
        <f aca="false">IF(OR($A212="",N($E212)=0),"",$F212/$E212)</f>
        <v/>
      </c>
      <c r="N212" s="28" t="str">
        <f aca="false">IF($A212="","",IF($H212="Y",$F212*(1+Settings!$B$3),0))</f>
        <v/>
      </c>
      <c r="O212" s="27" t="str">
        <f aca="false">IF($A212="","",IF(AND($H212="Y",$G212&lt;&gt;"Restock",N($M212)&gt;Settings!$B$4,$I212&lt;&gt;"Y"),"Get host OK",IF(AND($H212="Y",$F212&gt;Settings!$B$5,$I212&lt;&gt;"Y"),"Host should pay upfront",IF($J212&lt;&gt;"Y","Save receipt","OK"))))</f>
        <v/>
      </c>
      <c r="P212" s="29" t="str">
        <f aca="false">IF($A212="","",DATE(YEAR($A212),MONTH($A212),1))</f>
        <v/>
      </c>
      <c r="Q212" s="31" t="str">
        <f aca="false">IF($A212="","",IF(AND($L212='Invoice Builder'!$C$5,$P212='Invoice Builder'!$C$6,N($N212)&gt;0),COUNTIFS($L$5:$L212,'Invoice Builder'!$C$5,$P$5:$P212,'Invoice Builder'!$C$6,$N$5:$N212,"&gt;0"),""))</f>
        <v/>
      </c>
      <c r="R212" s="27" t="str">
        <f aca="false">IF($A212="","",IF($A212&gt;=DATE(YEAR($A212),4,6),YEAR($A212)&amp;"/"&amp;RIGHT(YEAR($A212)+1,2),YEAR($A212)-1&amp;"/"&amp;RIGHT(YEAR($A212),2)))</f>
        <v/>
      </c>
    </row>
    <row r="213" customFormat="false" ht="15" hidden="false" customHeight="false" outlineLevel="0" collapsed="false">
      <c r="A213" s="22"/>
      <c r="B213" s="23"/>
      <c r="C213" s="23"/>
      <c r="D213" s="23"/>
      <c r="E213" s="32"/>
      <c r="F213" s="25"/>
      <c r="G213" s="23"/>
      <c r="H213" s="23"/>
      <c r="I213" s="23"/>
      <c r="J213" s="23"/>
      <c r="K213" s="23"/>
      <c r="L213" s="27" t="str">
        <f aca="false">IF($B213="","",IFERROR(INDEX(Properties!$D$5:$D$104,MATCH($B213,Properties!$A$5:$A$104,0)),"-"))</f>
        <v/>
      </c>
      <c r="M213" s="28" t="str">
        <f aca="false">IF(OR($A213="",N($E213)=0),"",$F213/$E213)</f>
        <v/>
      </c>
      <c r="N213" s="28" t="str">
        <f aca="false">IF($A213="","",IF($H213="Y",$F213*(1+Settings!$B$3),0))</f>
        <v/>
      </c>
      <c r="O213" s="27" t="str">
        <f aca="false">IF($A213="","",IF(AND($H213="Y",$G213&lt;&gt;"Restock",N($M213)&gt;Settings!$B$4,$I213&lt;&gt;"Y"),"Get host OK",IF(AND($H213="Y",$F213&gt;Settings!$B$5,$I213&lt;&gt;"Y"),"Host should pay upfront",IF($J213&lt;&gt;"Y","Save receipt","OK"))))</f>
        <v/>
      </c>
      <c r="P213" s="29" t="str">
        <f aca="false">IF($A213="","",DATE(YEAR($A213),MONTH($A213),1))</f>
        <v/>
      </c>
      <c r="Q213" s="31" t="str">
        <f aca="false">IF($A213="","",IF(AND($L213='Invoice Builder'!$C$5,$P213='Invoice Builder'!$C$6,N($N213)&gt;0),COUNTIFS($L$5:$L213,'Invoice Builder'!$C$5,$P$5:$P213,'Invoice Builder'!$C$6,$N$5:$N213,"&gt;0"),""))</f>
        <v/>
      </c>
      <c r="R213" s="27" t="str">
        <f aca="false">IF($A213="","",IF($A213&gt;=DATE(YEAR($A213),4,6),YEAR($A213)&amp;"/"&amp;RIGHT(YEAR($A213)+1,2),YEAR($A213)-1&amp;"/"&amp;RIGHT(YEAR($A213),2)))</f>
        <v/>
      </c>
    </row>
    <row r="214" customFormat="false" ht="15" hidden="false" customHeight="false" outlineLevel="0" collapsed="false">
      <c r="A214" s="22"/>
      <c r="B214" s="23"/>
      <c r="C214" s="23"/>
      <c r="D214" s="23"/>
      <c r="E214" s="32"/>
      <c r="F214" s="25"/>
      <c r="G214" s="23"/>
      <c r="H214" s="23"/>
      <c r="I214" s="23"/>
      <c r="J214" s="23"/>
      <c r="K214" s="23"/>
      <c r="L214" s="27" t="str">
        <f aca="false">IF($B214="","",IFERROR(INDEX(Properties!$D$5:$D$104,MATCH($B214,Properties!$A$5:$A$104,0)),"-"))</f>
        <v/>
      </c>
      <c r="M214" s="28" t="str">
        <f aca="false">IF(OR($A214="",N($E214)=0),"",$F214/$E214)</f>
        <v/>
      </c>
      <c r="N214" s="28" t="str">
        <f aca="false">IF($A214="","",IF($H214="Y",$F214*(1+Settings!$B$3),0))</f>
        <v/>
      </c>
      <c r="O214" s="27" t="str">
        <f aca="false">IF($A214="","",IF(AND($H214="Y",$G214&lt;&gt;"Restock",N($M214)&gt;Settings!$B$4,$I214&lt;&gt;"Y"),"Get host OK",IF(AND($H214="Y",$F214&gt;Settings!$B$5,$I214&lt;&gt;"Y"),"Host should pay upfront",IF($J214&lt;&gt;"Y","Save receipt","OK"))))</f>
        <v/>
      </c>
      <c r="P214" s="29" t="str">
        <f aca="false">IF($A214="","",DATE(YEAR($A214),MONTH($A214),1))</f>
        <v/>
      </c>
      <c r="Q214" s="31" t="str">
        <f aca="false">IF($A214="","",IF(AND($L214='Invoice Builder'!$C$5,$P214='Invoice Builder'!$C$6,N($N214)&gt;0),COUNTIFS($L$5:$L214,'Invoice Builder'!$C$5,$P$5:$P214,'Invoice Builder'!$C$6,$N$5:$N214,"&gt;0"),""))</f>
        <v/>
      </c>
      <c r="R214" s="27" t="str">
        <f aca="false">IF($A214="","",IF($A214&gt;=DATE(YEAR($A214),4,6),YEAR($A214)&amp;"/"&amp;RIGHT(YEAR($A214)+1,2),YEAR($A214)-1&amp;"/"&amp;RIGHT(YEAR($A214),2)))</f>
        <v/>
      </c>
    </row>
    <row r="215" customFormat="false" ht="15" hidden="false" customHeight="false" outlineLevel="0" collapsed="false">
      <c r="A215" s="22"/>
      <c r="B215" s="23"/>
      <c r="C215" s="23"/>
      <c r="D215" s="23"/>
      <c r="E215" s="32"/>
      <c r="F215" s="25"/>
      <c r="G215" s="23"/>
      <c r="H215" s="23"/>
      <c r="I215" s="23"/>
      <c r="J215" s="23"/>
      <c r="K215" s="23"/>
      <c r="L215" s="27" t="str">
        <f aca="false">IF($B215="","",IFERROR(INDEX(Properties!$D$5:$D$104,MATCH($B215,Properties!$A$5:$A$104,0)),"-"))</f>
        <v/>
      </c>
      <c r="M215" s="28" t="str">
        <f aca="false">IF(OR($A215="",N($E215)=0),"",$F215/$E215)</f>
        <v/>
      </c>
      <c r="N215" s="28" t="str">
        <f aca="false">IF($A215="","",IF($H215="Y",$F215*(1+Settings!$B$3),0))</f>
        <v/>
      </c>
      <c r="O215" s="27" t="str">
        <f aca="false">IF($A215="","",IF(AND($H215="Y",$G215&lt;&gt;"Restock",N($M215)&gt;Settings!$B$4,$I215&lt;&gt;"Y"),"Get host OK",IF(AND($H215="Y",$F215&gt;Settings!$B$5,$I215&lt;&gt;"Y"),"Host should pay upfront",IF($J215&lt;&gt;"Y","Save receipt","OK"))))</f>
        <v/>
      </c>
      <c r="P215" s="29" t="str">
        <f aca="false">IF($A215="","",DATE(YEAR($A215),MONTH($A215),1))</f>
        <v/>
      </c>
      <c r="Q215" s="31" t="str">
        <f aca="false">IF($A215="","",IF(AND($L215='Invoice Builder'!$C$5,$P215='Invoice Builder'!$C$6,N($N215)&gt;0),COUNTIFS($L$5:$L215,'Invoice Builder'!$C$5,$P$5:$P215,'Invoice Builder'!$C$6,$N$5:$N215,"&gt;0"),""))</f>
        <v/>
      </c>
      <c r="R215" s="27" t="str">
        <f aca="false">IF($A215="","",IF($A215&gt;=DATE(YEAR($A215),4,6),YEAR($A215)&amp;"/"&amp;RIGHT(YEAR($A215)+1,2),YEAR($A215)-1&amp;"/"&amp;RIGHT(YEAR($A215),2)))</f>
        <v/>
      </c>
    </row>
    <row r="216" customFormat="false" ht="15" hidden="false" customHeight="false" outlineLevel="0" collapsed="false">
      <c r="A216" s="22"/>
      <c r="B216" s="23"/>
      <c r="C216" s="23"/>
      <c r="D216" s="23"/>
      <c r="E216" s="32"/>
      <c r="F216" s="25"/>
      <c r="G216" s="23"/>
      <c r="H216" s="23"/>
      <c r="I216" s="23"/>
      <c r="J216" s="23"/>
      <c r="K216" s="23"/>
      <c r="L216" s="27" t="str">
        <f aca="false">IF($B216="","",IFERROR(INDEX(Properties!$D$5:$D$104,MATCH($B216,Properties!$A$5:$A$104,0)),"-"))</f>
        <v/>
      </c>
      <c r="M216" s="28" t="str">
        <f aca="false">IF(OR($A216="",N($E216)=0),"",$F216/$E216)</f>
        <v/>
      </c>
      <c r="N216" s="28" t="str">
        <f aca="false">IF($A216="","",IF($H216="Y",$F216*(1+Settings!$B$3),0))</f>
        <v/>
      </c>
      <c r="O216" s="27" t="str">
        <f aca="false">IF($A216="","",IF(AND($H216="Y",$G216&lt;&gt;"Restock",N($M216)&gt;Settings!$B$4,$I216&lt;&gt;"Y"),"Get host OK",IF(AND($H216="Y",$F216&gt;Settings!$B$5,$I216&lt;&gt;"Y"),"Host should pay upfront",IF($J216&lt;&gt;"Y","Save receipt","OK"))))</f>
        <v/>
      </c>
      <c r="P216" s="29" t="str">
        <f aca="false">IF($A216="","",DATE(YEAR($A216),MONTH($A216),1))</f>
        <v/>
      </c>
      <c r="Q216" s="31" t="str">
        <f aca="false">IF($A216="","",IF(AND($L216='Invoice Builder'!$C$5,$P216='Invoice Builder'!$C$6,N($N216)&gt;0),COUNTIFS($L$5:$L216,'Invoice Builder'!$C$5,$P$5:$P216,'Invoice Builder'!$C$6,$N$5:$N216,"&gt;0"),""))</f>
        <v/>
      </c>
      <c r="R216" s="27" t="str">
        <f aca="false">IF($A216="","",IF($A216&gt;=DATE(YEAR($A216),4,6),YEAR($A216)&amp;"/"&amp;RIGHT(YEAR($A216)+1,2),YEAR($A216)-1&amp;"/"&amp;RIGHT(YEAR($A216),2)))</f>
        <v/>
      </c>
    </row>
    <row r="217" customFormat="false" ht="15" hidden="false" customHeight="false" outlineLevel="0" collapsed="false">
      <c r="A217" s="22"/>
      <c r="B217" s="23"/>
      <c r="C217" s="23"/>
      <c r="D217" s="23"/>
      <c r="E217" s="32"/>
      <c r="F217" s="25"/>
      <c r="G217" s="23"/>
      <c r="H217" s="23"/>
      <c r="I217" s="23"/>
      <c r="J217" s="23"/>
      <c r="K217" s="23"/>
      <c r="L217" s="27" t="str">
        <f aca="false">IF($B217="","",IFERROR(INDEX(Properties!$D$5:$D$104,MATCH($B217,Properties!$A$5:$A$104,0)),"-"))</f>
        <v/>
      </c>
      <c r="M217" s="28" t="str">
        <f aca="false">IF(OR($A217="",N($E217)=0),"",$F217/$E217)</f>
        <v/>
      </c>
      <c r="N217" s="28" t="str">
        <f aca="false">IF($A217="","",IF($H217="Y",$F217*(1+Settings!$B$3),0))</f>
        <v/>
      </c>
      <c r="O217" s="27" t="str">
        <f aca="false">IF($A217="","",IF(AND($H217="Y",$G217&lt;&gt;"Restock",N($M217)&gt;Settings!$B$4,$I217&lt;&gt;"Y"),"Get host OK",IF(AND($H217="Y",$F217&gt;Settings!$B$5,$I217&lt;&gt;"Y"),"Host should pay upfront",IF($J217&lt;&gt;"Y","Save receipt","OK"))))</f>
        <v/>
      </c>
      <c r="P217" s="29" t="str">
        <f aca="false">IF($A217="","",DATE(YEAR($A217),MONTH($A217),1))</f>
        <v/>
      </c>
      <c r="Q217" s="31" t="str">
        <f aca="false">IF($A217="","",IF(AND($L217='Invoice Builder'!$C$5,$P217='Invoice Builder'!$C$6,N($N217)&gt;0),COUNTIFS($L$5:$L217,'Invoice Builder'!$C$5,$P$5:$P217,'Invoice Builder'!$C$6,$N$5:$N217,"&gt;0"),""))</f>
        <v/>
      </c>
      <c r="R217" s="27" t="str">
        <f aca="false">IF($A217="","",IF($A217&gt;=DATE(YEAR($A217),4,6),YEAR($A217)&amp;"/"&amp;RIGHT(YEAR($A217)+1,2),YEAR($A217)-1&amp;"/"&amp;RIGHT(YEAR($A217),2)))</f>
        <v/>
      </c>
    </row>
    <row r="218" customFormat="false" ht="15" hidden="false" customHeight="false" outlineLevel="0" collapsed="false">
      <c r="A218" s="22"/>
      <c r="B218" s="23"/>
      <c r="C218" s="23"/>
      <c r="D218" s="23"/>
      <c r="E218" s="32"/>
      <c r="F218" s="25"/>
      <c r="G218" s="23"/>
      <c r="H218" s="23"/>
      <c r="I218" s="23"/>
      <c r="J218" s="23"/>
      <c r="K218" s="23"/>
      <c r="L218" s="27" t="str">
        <f aca="false">IF($B218="","",IFERROR(INDEX(Properties!$D$5:$D$104,MATCH($B218,Properties!$A$5:$A$104,0)),"-"))</f>
        <v/>
      </c>
      <c r="M218" s="28" t="str">
        <f aca="false">IF(OR($A218="",N($E218)=0),"",$F218/$E218)</f>
        <v/>
      </c>
      <c r="N218" s="28" t="str">
        <f aca="false">IF($A218="","",IF($H218="Y",$F218*(1+Settings!$B$3),0))</f>
        <v/>
      </c>
      <c r="O218" s="27" t="str">
        <f aca="false">IF($A218="","",IF(AND($H218="Y",$G218&lt;&gt;"Restock",N($M218)&gt;Settings!$B$4,$I218&lt;&gt;"Y"),"Get host OK",IF(AND($H218="Y",$F218&gt;Settings!$B$5,$I218&lt;&gt;"Y"),"Host should pay upfront",IF($J218&lt;&gt;"Y","Save receipt","OK"))))</f>
        <v/>
      </c>
      <c r="P218" s="29" t="str">
        <f aca="false">IF($A218="","",DATE(YEAR($A218),MONTH($A218),1))</f>
        <v/>
      </c>
      <c r="Q218" s="31" t="str">
        <f aca="false">IF($A218="","",IF(AND($L218='Invoice Builder'!$C$5,$P218='Invoice Builder'!$C$6,N($N218)&gt;0),COUNTIFS($L$5:$L218,'Invoice Builder'!$C$5,$P$5:$P218,'Invoice Builder'!$C$6,$N$5:$N218,"&gt;0"),""))</f>
        <v/>
      </c>
      <c r="R218" s="27" t="str">
        <f aca="false">IF($A218="","",IF($A218&gt;=DATE(YEAR($A218),4,6),YEAR($A218)&amp;"/"&amp;RIGHT(YEAR($A218)+1,2),YEAR($A218)-1&amp;"/"&amp;RIGHT(YEAR($A218),2)))</f>
        <v/>
      </c>
    </row>
    <row r="219" customFormat="false" ht="15" hidden="false" customHeight="false" outlineLevel="0" collapsed="false">
      <c r="A219" s="22"/>
      <c r="B219" s="23"/>
      <c r="C219" s="23"/>
      <c r="D219" s="23"/>
      <c r="E219" s="32"/>
      <c r="F219" s="25"/>
      <c r="G219" s="23"/>
      <c r="H219" s="23"/>
      <c r="I219" s="23"/>
      <c r="J219" s="23"/>
      <c r="K219" s="23"/>
      <c r="L219" s="27" t="str">
        <f aca="false">IF($B219="","",IFERROR(INDEX(Properties!$D$5:$D$104,MATCH($B219,Properties!$A$5:$A$104,0)),"-"))</f>
        <v/>
      </c>
      <c r="M219" s="28" t="str">
        <f aca="false">IF(OR($A219="",N($E219)=0),"",$F219/$E219)</f>
        <v/>
      </c>
      <c r="N219" s="28" t="str">
        <f aca="false">IF($A219="","",IF($H219="Y",$F219*(1+Settings!$B$3),0))</f>
        <v/>
      </c>
      <c r="O219" s="27" t="str">
        <f aca="false">IF($A219="","",IF(AND($H219="Y",$G219&lt;&gt;"Restock",N($M219)&gt;Settings!$B$4,$I219&lt;&gt;"Y"),"Get host OK",IF(AND($H219="Y",$F219&gt;Settings!$B$5,$I219&lt;&gt;"Y"),"Host should pay upfront",IF($J219&lt;&gt;"Y","Save receipt","OK"))))</f>
        <v/>
      </c>
      <c r="P219" s="29" t="str">
        <f aca="false">IF($A219="","",DATE(YEAR($A219),MONTH($A219),1))</f>
        <v/>
      </c>
      <c r="Q219" s="31" t="str">
        <f aca="false">IF($A219="","",IF(AND($L219='Invoice Builder'!$C$5,$P219='Invoice Builder'!$C$6,N($N219)&gt;0),COUNTIFS($L$5:$L219,'Invoice Builder'!$C$5,$P$5:$P219,'Invoice Builder'!$C$6,$N$5:$N219,"&gt;0"),""))</f>
        <v/>
      </c>
      <c r="R219" s="27" t="str">
        <f aca="false">IF($A219="","",IF($A219&gt;=DATE(YEAR($A219),4,6),YEAR($A219)&amp;"/"&amp;RIGHT(YEAR($A219)+1,2),YEAR($A219)-1&amp;"/"&amp;RIGHT(YEAR($A219),2)))</f>
        <v/>
      </c>
    </row>
    <row r="220" customFormat="false" ht="15" hidden="false" customHeight="false" outlineLevel="0" collapsed="false">
      <c r="A220" s="22"/>
      <c r="B220" s="23"/>
      <c r="C220" s="23"/>
      <c r="D220" s="23"/>
      <c r="E220" s="32"/>
      <c r="F220" s="25"/>
      <c r="G220" s="23"/>
      <c r="H220" s="23"/>
      <c r="I220" s="23"/>
      <c r="J220" s="23"/>
      <c r="K220" s="23"/>
      <c r="L220" s="27" t="str">
        <f aca="false">IF($B220="","",IFERROR(INDEX(Properties!$D$5:$D$104,MATCH($B220,Properties!$A$5:$A$104,0)),"-"))</f>
        <v/>
      </c>
      <c r="M220" s="28" t="str">
        <f aca="false">IF(OR($A220="",N($E220)=0),"",$F220/$E220)</f>
        <v/>
      </c>
      <c r="N220" s="28" t="str">
        <f aca="false">IF($A220="","",IF($H220="Y",$F220*(1+Settings!$B$3),0))</f>
        <v/>
      </c>
      <c r="O220" s="27" t="str">
        <f aca="false">IF($A220="","",IF(AND($H220="Y",$G220&lt;&gt;"Restock",N($M220)&gt;Settings!$B$4,$I220&lt;&gt;"Y"),"Get host OK",IF(AND($H220="Y",$F220&gt;Settings!$B$5,$I220&lt;&gt;"Y"),"Host should pay upfront",IF($J220&lt;&gt;"Y","Save receipt","OK"))))</f>
        <v/>
      </c>
      <c r="P220" s="29" t="str">
        <f aca="false">IF($A220="","",DATE(YEAR($A220),MONTH($A220),1))</f>
        <v/>
      </c>
      <c r="Q220" s="31" t="str">
        <f aca="false">IF($A220="","",IF(AND($L220='Invoice Builder'!$C$5,$P220='Invoice Builder'!$C$6,N($N220)&gt;0),COUNTIFS($L$5:$L220,'Invoice Builder'!$C$5,$P$5:$P220,'Invoice Builder'!$C$6,$N$5:$N220,"&gt;0"),""))</f>
        <v/>
      </c>
      <c r="R220" s="27" t="str">
        <f aca="false">IF($A220="","",IF($A220&gt;=DATE(YEAR($A220),4,6),YEAR($A220)&amp;"/"&amp;RIGHT(YEAR($A220)+1,2),YEAR($A220)-1&amp;"/"&amp;RIGHT(YEAR($A220),2)))</f>
        <v/>
      </c>
    </row>
    <row r="221" customFormat="false" ht="15" hidden="false" customHeight="false" outlineLevel="0" collapsed="false">
      <c r="A221" s="22"/>
      <c r="B221" s="23"/>
      <c r="C221" s="23"/>
      <c r="D221" s="23"/>
      <c r="E221" s="32"/>
      <c r="F221" s="25"/>
      <c r="G221" s="23"/>
      <c r="H221" s="23"/>
      <c r="I221" s="23"/>
      <c r="J221" s="23"/>
      <c r="K221" s="23"/>
      <c r="L221" s="27" t="str">
        <f aca="false">IF($B221="","",IFERROR(INDEX(Properties!$D$5:$D$104,MATCH($B221,Properties!$A$5:$A$104,0)),"-"))</f>
        <v/>
      </c>
      <c r="M221" s="28" t="str">
        <f aca="false">IF(OR($A221="",N($E221)=0),"",$F221/$E221)</f>
        <v/>
      </c>
      <c r="N221" s="28" t="str">
        <f aca="false">IF($A221="","",IF($H221="Y",$F221*(1+Settings!$B$3),0))</f>
        <v/>
      </c>
      <c r="O221" s="27" t="str">
        <f aca="false">IF($A221="","",IF(AND($H221="Y",$G221&lt;&gt;"Restock",N($M221)&gt;Settings!$B$4,$I221&lt;&gt;"Y"),"Get host OK",IF(AND($H221="Y",$F221&gt;Settings!$B$5,$I221&lt;&gt;"Y"),"Host should pay upfront",IF($J221&lt;&gt;"Y","Save receipt","OK"))))</f>
        <v/>
      </c>
      <c r="P221" s="29" t="str">
        <f aca="false">IF($A221="","",DATE(YEAR($A221),MONTH($A221),1))</f>
        <v/>
      </c>
      <c r="Q221" s="31" t="str">
        <f aca="false">IF($A221="","",IF(AND($L221='Invoice Builder'!$C$5,$P221='Invoice Builder'!$C$6,N($N221)&gt;0),COUNTIFS($L$5:$L221,'Invoice Builder'!$C$5,$P$5:$P221,'Invoice Builder'!$C$6,$N$5:$N221,"&gt;0"),""))</f>
        <v/>
      </c>
      <c r="R221" s="27" t="str">
        <f aca="false">IF($A221="","",IF($A221&gt;=DATE(YEAR($A221),4,6),YEAR($A221)&amp;"/"&amp;RIGHT(YEAR($A221)+1,2),YEAR($A221)-1&amp;"/"&amp;RIGHT(YEAR($A221),2)))</f>
        <v/>
      </c>
    </row>
    <row r="222" customFormat="false" ht="15" hidden="false" customHeight="false" outlineLevel="0" collapsed="false">
      <c r="A222" s="22"/>
      <c r="B222" s="23"/>
      <c r="C222" s="23"/>
      <c r="D222" s="23"/>
      <c r="E222" s="32"/>
      <c r="F222" s="25"/>
      <c r="G222" s="23"/>
      <c r="H222" s="23"/>
      <c r="I222" s="23"/>
      <c r="J222" s="23"/>
      <c r="K222" s="23"/>
      <c r="L222" s="27" t="str">
        <f aca="false">IF($B222="","",IFERROR(INDEX(Properties!$D$5:$D$104,MATCH($B222,Properties!$A$5:$A$104,0)),"-"))</f>
        <v/>
      </c>
      <c r="M222" s="28" t="str">
        <f aca="false">IF(OR($A222="",N($E222)=0),"",$F222/$E222)</f>
        <v/>
      </c>
      <c r="N222" s="28" t="str">
        <f aca="false">IF($A222="","",IF($H222="Y",$F222*(1+Settings!$B$3),0))</f>
        <v/>
      </c>
      <c r="O222" s="27" t="str">
        <f aca="false">IF($A222="","",IF(AND($H222="Y",$G222&lt;&gt;"Restock",N($M222)&gt;Settings!$B$4,$I222&lt;&gt;"Y"),"Get host OK",IF(AND($H222="Y",$F222&gt;Settings!$B$5,$I222&lt;&gt;"Y"),"Host should pay upfront",IF($J222&lt;&gt;"Y","Save receipt","OK"))))</f>
        <v/>
      </c>
      <c r="P222" s="29" t="str">
        <f aca="false">IF($A222="","",DATE(YEAR($A222),MONTH($A222),1))</f>
        <v/>
      </c>
      <c r="Q222" s="31" t="str">
        <f aca="false">IF($A222="","",IF(AND($L222='Invoice Builder'!$C$5,$P222='Invoice Builder'!$C$6,N($N222)&gt;0),COUNTIFS($L$5:$L222,'Invoice Builder'!$C$5,$P$5:$P222,'Invoice Builder'!$C$6,$N$5:$N222,"&gt;0"),""))</f>
        <v/>
      </c>
      <c r="R222" s="27" t="str">
        <f aca="false">IF($A222="","",IF($A222&gt;=DATE(YEAR($A222),4,6),YEAR($A222)&amp;"/"&amp;RIGHT(YEAR($A222)+1,2),YEAR($A222)-1&amp;"/"&amp;RIGHT(YEAR($A222),2)))</f>
        <v/>
      </c>
    </row>
    <row r="223" customFormat="false" ht="15" hidden="false" customHeight="false" outlineLevel="0" collapsed="false">
      <c r="A223" s="22"/>
      <c r="B223" s="23"/>
      <c r="C223" s="23"/>
      <c r="D223" s="23"/>
      <c r="E223" s="32"/>
      <c r="F223" s="25"/>
      <c r="G223" s="23"/>
      <c r="H223" s="23"/>
      <c r="I223" s="23"/>
      <c r="J223" s="23"/>
      <c r="K223" s="23"/>
      <c r="L223" s="27" t="str">
        <f aca="false">IF($B223="","",IFERROR(INDEX(Properties!$D$5:$D$104,MATCH($B223,Properties!$A$5:$A$104,0)),"-"))</f>
        <v/>
      </c>
      <c r="M223" s="28" t="str">
        <f aca="false">IF(OR($A223="",N($E223)=0),"",$F223/$E223)</f>
        <v/>
      </c>
      <c r="N223" s="28" t="str">
        <f aca="false">IF($A223="","",IF($H223="Y",$F223*(1+Settings!$B$3),0))</f>
        <v/>
      </c>
      <c r="O223" s="27" t="str">
        <f aca="false">IF($A223="","",IF(AND($H223="Y",$G223&lt;&gt;"Restock",N($M223)&gt;Settings!$B$4,$I223&lt;&gt;"Y"),"Get host OK",IF(AND($H223="Y",$F223&gt;Settings!$B$5,$I223&lt;&gt;"Y"),"Host should pay upfront",IF($J223&lt;&gt;"Y","Save receipt","OK"))))</f>
        <v/>
      </c>
      <c r="P223" s="29" t="str">
        <f aca="false">IF($A223="","",DATE(YEAR($A223),MONTH($A223),1))</f>
        <v/>
      </c>
      <c r="Q223" s="31" t="str">
        <f aca="false">IF($A223="","",IF(AND($L223='Invoice Builder'!$C$5,$P223='Invoice Builder'!$C$6,N($N223)&gt;0),COUNTIFS($L$5:$L223,'Invoice Builder'!$C$5,$P$5:$P223,'Invoice Builder'!$C$6,$N$5:$N223,"&gt;0"),""))</f>
        <v/>
      </c>
      <c r="R223" s="27" t="str">
        <f aca="false">IF($A223="","",IF($A223&gt;=DATE(YEAR($A223),4,6),YEAR($A223)&amp;"/"&amp;RIGHT(YEAR($A223)+1,2),YEAR($A223)-1&amp;"/"&amp;RIGHT(YEAR($A223),2)))</f>
        <v/>
      </c>
    </row>
    <row r="224" customFormat="false" ht="15" hidden="false" customHeight="false" outlineLevel="0" collapsed="false">
      <c r="A224" s="22"/>
      <c r="B224" s="23"/>
      <c r="C224" s="23"/>
      <c r="D224" s="23"/>
      <c r="E224" s="32"/>
      <c r="F224" s="25"/>
      <c r="G224" s="23"/>
      <c r="H224" s="23"/>
      <c r="I224" s="23"/>
      <c r="J224" s="23"/>
      <c r="K224" s="23"/>
      <c r="L224" s="27" t="str">
        <f aca="false">IF($B224="","",IFERROR(INDEX(Properties!$D$5:$D$104,MATCH($B224,Properties!$A$5:$A$104,0)),"-"))</f>
        <v/>
      </c>
      <c r="M224" s="28" t="str">
        <f aca="false">IF(OR($A224="",N($E224)=0),"",$F224/$E224)</f>
        <v/>
      </c>
      <c r="N224" s="28" t="str">
        <f aca="false">IF($A224="","",IF($H224="Y",$F224*(1+Settings!$B$3),0))</f>
        <v/>
      </c>
      <c r="O224" s="27" t="str">
        <f aca="false">IF($A224="","",IF(AND($H224="Y",$G224&lt;&gt;"Restock",N($M224)&gt;Settings!$B$4,$I224&lt;&gt;"Y"),"Get host OK",IF(AND($H224="Y",$F224&gt;Settings!$B$5,$I224&lt;&gt;"Y"),"Host should pay upfront",IF($J224&lt;&gt;"Y","Save receipt","OK"))))</f>
        <v/>
      </c>
      <c r="P224" s="29" t="str">
        <f aca="false">IF($A224="","",DATE(YEAR($A224),MONTH($A224),1))</f>
        <v/>
      </c>
      <c r="Q224" s="31" t="str">
        <f aca="false">IF($A224="","",IF(AND($L224='Invoice Builder'!$C$5,$P224='Invoice Builder'!$C$6,N($N224)&gt;0),COUNTIFS($L$5:$L224,'Invoice Builder'!$C$5,$P$5:$P224,'Invoice Builder'!$C$6,$N$5:$N224,"&gt;0"),""))</f>
        <v/>
      </c>
      <c r="R224" s="27" t="str">
        <f aca="false">IF($A224="","",IF($A224&gt;=DATE(YEAR($A224),4,6),YEAR($A224)&amp;"/"&amp;RIGHT(YEAR($A224)+1,2),YEAR($A224)-1&amp;"/"&amp;RIGHT(YEAR($A224),2)))</f>
        <v/>
      </c>
    </row>
    <row r="225" customFormat="false" ht="15" hidden="false" customHeight="false" outlineLevel="0" collapsed="false">
      <c r="A225" s="22"/>
      <c r="B225" s="23"/>
      <c r="C225" s="23"/>
      <c r="D225" s="23"/>
      <c r="E225" s="32"/>
      <c r="F225" s="25"/>
      <c r="G225" s="23"/>
      <c r="H225" s="23"/>
      <c r="I225" s="23"/>
      <c r="J225" s="23"/>
      <c r="K225" s="23"/>
      <c r="L225" s="27" t="str">
        <f aca="false">IF($B225="","",IFERROR(INDEX(Properties!$D$5:$D$104,MATCH($B225,Properties!$A$5:$A$104,0)),"-"))</f>
        <v/>
      </c>
      <c r="M225" s="28" t="str">
        <f aca="false">IF(OR($A225="",N($E225)=0),"",$F225/$E225)</f>
        <v/>
      </c>
      <c r="N225" s="28" t="str">
        <f aca="false">IF($A225="","",IF($H225="Y",$F225*(1+Settings!$B$3),0))</f>
        <v/>
      </c>
      <c r="O225" s="27" t="str">
        <f aca="false">IF($A225="","",IF(AND($H225="Y",$G225&lt;&gt;"Restock",N($M225)&gt;Settings!$B$4,$I225&lt;&gt;"Y"),"Get host OK",IF(AND($H225="Y",$F225&gt;Settings!$B$5,$I225&lt;&gt;"Y"),"Host should pay upfront",IF($J225&lt;&gt;"Y","Save receipt","OK"))))</f>
        <v/>
      </c>
      <c r="P225" s="29" t="str">
        <f aca="false">IF($A225="","",DATE(YEAR($A225),MONTH($A225),1))</f>
        <v/>
      </c>
      <c r="Q225" s="31" t="str">
        <f aca="false">IF($A225="","",IF(AND($L225='Invoice Builder'!$C$5,$P225='Invoice Builder'!$C$6,N($N225)&gt;0),COUNTIFS($L$5:$L225,'Invoice Builder'!$C$5,$P$5:$P225,'Invoice Builder'!$C$6,$N$5:$N225,"&gt;0"),""))</f>
        <v/>
      </c>
      <c r="R225" s="27" t="str">
        <f aca="false">IF($A225="","",IF($A225&gt;=DATE(YEAR($A225),4,6),YEAR($A225)&amp;"/"&amp;RIGHT(YEAR($A225)+1,2),YEAR($A225)-1&amp;"/"&amp;RIGHT(YEAR($A225),2)))</f>
        <v/>
      </c>
    </row>
    <row r="226" customFormat="false" ht="15" hidden="false" customHeight="false" outlineLevel="0" collapsed="false">
      <c r="A226" s="22"/>
      <c r="B226" s="23"/>
      <c r="C226" s="23"/>
      <c r="D226" s="23"/>
      <c r="E226" s="32"/>
      <c r="F226" s="25"/>
      <c r="G226" s="23"/>
      <c r="H226" s="23"/>
      <c r="I226" s="23"/>
      <c r="J226" s="23"/>
      <c r="K226" s="23"/>
      <c r="L226" s="27" t="str">
        <f aca="false">IF($B226="","",IFERROR(INDEX(Properties!$D$5:$D$104,MATCH($B226,Properties!$A$5:$A$104,0)),"-"))</f>
        <v/>
      </c>
      <c r="M226" s="28" t="str">
        <f aca="false">IF(OR($A226="",N($E226)=0),"",$F226/$E226)</f>
        <v/>
      </c>
      <c r="N226" s="28" t="str">
        <f aca="false">IF($A226="","",IF($H226="Y",$F226*(1+Settings!$B$3),0))</f>
        <v/>
      </c>
      <c r="O226" s="27" t="str">
        <f aca="false">IF($A226="","",IF(AND($H226="Y",$G226&lt;&gt;"Restock",N($M226)&gt;Settings!$B$4,$I226&lt;&gt;"Y"),"Get host OK",IF(AND($H226="Y",$F226&gt;Settings!$B$5,$I226&lt;&gt;"Y"),"Host should pay upfront",IF($J226&lt;&gt;"Y","Save receipt","OK"))))</f>
        <v/>
      </c>
      <c r="P226" s="29" t="str">
        <f aca="false">IF($A226="","",DATE(YEAR($A226),MONTH($A226),1))</f>
        <v/>
      </c>
      <c r="Q226" s="31" t="str">
        <f aca="false">IF($A226="","",IF(AND($L226='Invoice Builder'!$C$5,$P226='Invoice Builder'!$C$6,N($N226)&gt;0),COUNTIFS($L$5:$L226,'Invoice Builder'!$C$5,$P$5:$P226,'Invoice Builder'!$C$6,$N$5:$N226,"&gt;0"),""))</f>
        <v/>
      </c>
      <c r="R226" s="27" t="str">
        <f aca="false">IF($A226="","",IF($A226&gt;=DATE(YEAR($A226),4,6),YEAR($A226)&amp;"/"&amp;RIGHT(YEAR($A226)+1,2),YEAR($A226)-1&amp;"/"&amp;RIGHT(YEAR($A226),2)))</f>
        <v/>
      </c>
    </row>
    <row r="227" customFormat="false" ht="15" hidden="false" customHeight="false" outlineLevel="0" collapsed="false">
      <c r="A227" s="22"/>
      <c r="B227" s="23"/>
      <c r="C227" s="23"/>
      <c r="D227" s="23"/>
      <c r="E227" s="32"/>
      <c r="F227" s="25"/>
      <c r="G227" s="23"/>
      <c r="H227" s="23"/>
      <c r="I227" s="23"/>
      <c r="J227" s="23"/>
      <c r="K227" s="23"/>
      <c r="L227" s="27" t="str">
        <f aca="false">IF($B227="","",IFERROR(INDEX(Properties!$D$5:$D$104,MATCH($B227,Properties!$A$5:$A$104,0)),"-"))</f>
        <v/>
      </c>
      <c r="M227" s="28" t="str">
        <f aca="false">IF(OR($A227="",N($E227)=0),"",$F227/$E227)</f>
        <v/>
      </c>
      <c r="N227" s="28" t="str">
        <f aca="false">IF($A227="","",IF($H227="Y",$F227*(1+Settings!$B$3),0))</f>
        <v/>
      </c>
      <c r="O227" s="27" t="str">
        <f aca="false">IF($A227="","",IF(AND($H227="Y",$G227&lt;&gt;"Restock",N($M227)&gt;Settings!$B$4,$I227&lt;&gt;"Y"),"Get host OK",IF(AND($H227="Y",$F227&gt;Settings!$B$5,$I227&lt;&gt;"Y"),"Host should pay upfront",IF($J227&lt;&gt;"Y","Save receipt","OK"))))</f>
        <v/>
      </c>
      <c r="P227" s="29" t="str">
        <f aca="false">IF($A227="","",DATE(YEAR($A227),MONTH($A227),1))</f>
        <v/>
      </c>
      <c r="Q227" s="31" t="str">
        <f aca="false">IF($A227="","",IF(AND($L227='Invoice Builder'!$C$5,$P227='Invoice Builder'!$C$6,N($N227)&gt;0),COUNTIFS($L$5:$L227,'Invoice Builder'!$C$5,$P$5:$P227,'Invoice Builder'!$C$6,$N$5:$N227,"&gt;0"),""))</f>
        <v/>
      </c>
      <c r="R227" s="27" t="str">
        <f aca="false">IF($A227="","",IF($A227&gt;=DATE(YEAR($A227),4,6),YEAR($A227)&amp;"/"&amp;RIGHT(YEAR($A227)+1,2),YEAR($A227)-1&amp;"/"&amp;RIGHT(YEAR($A227),2)))</f>
        <v/>
      </c>
    </row>
    <row r="228" customFormat="false" ht="15" hidden="false" customHeight="false" outlineLevel="0" collapsed="false">
      <c r="A228" s="22"/>
      <c r="B228" s="23"/>
      <c r="C228" s="23"/>
      <c r="D228" s="23"/>
      <c r="E228" s="32"/>
      <c r="F228" s="25"/>
      <c r="G228" s="23"/>
      <c r="H228" s="23"/>
      <c r="I228" s="23"/>
      <c r="J228" s="23"/>
      <c r="K228" s="23"/>
      <c r="L228" s="27" t="str">
        <f aca="false">IF($B228="","",IFERROR(INDEX(Properties!$D$5:$D$104,MATCH($B228,Properties!$A$5:$A$104,0)),"-"))</f>
        <v/>
      </c>
      <c r="M228" s="28" t="str">
        <f aca="false">IF(OR($A228="",N($E228)=0),"",$F228/$E228)</f>
        <v/>
      </c>
      <c r="N228" s="28" t="str">
        <f aca="false">IF($A228="","",IF($H228="Y",$F228*(1+Settings!$B$3),0))</f>
        <v/>
      </c>
      <c r="O228" s="27" t="str">
        <f aca="false">IF($A228="","",IF(AND($H228="Y",$G228&lt;&gt;"Restock",N($M228)&gt;Settings!$B$4,$I228&lt;&gt;"Y"),"Get host OK",IF(AND($H228="Y",$F228&gt;Settings!$B$5,$I228&lt;&gt;"Y"),"Host should pay upfront",IF($J228&lt;&gt;"Y","Save receipt","OK"))))</f>
        <v/>
      </c>
      <c r="P228" s="29" t="str">
        <f aca="false">IF($A228="","",DATE(YEAR($A228),MONTH($A228),1))</f>
        <v/>
      </c>
      <c r="Q228" s="31" t="str">
        <f aca="false">IF($A228="","",IF(AND($L228='Invoice Builder'!$C$5,$P228='Invoice Builder'!$C$6,N($N228)&gt;0),COUNTIFS($L$5:$L228,'Invoice Builder'!$C$5,$P$5:$P228,'Invoice Builder'!$C$6,$N$5:$N228,"&gt;0"),""))</f>
        <v/>
      </c>
      <c r="R228" s="27" t="str">
        <f aca="false">IF($A228="","",IF($A228&gt;=DATE(YEAR($A228),4,6),YEAR($A228)&amp;"/"&amp;RIGHT(YEAR($A228)+1,2),YEAR($A228)-1&amp;"/"&amp;RIGHT(YEAR($A228),2)))</f>
        <v/>
      </c>
    </row>
    <row r="229" customFormat="false" ht="15" hidden="false" customHeight="false" outlineLevel="0" collapsed="false">
      <c r="A229" s="22"/>
      <c r="B229" s="23"/>
      <c r="C229" s="23"/>
      <c r="D229" s="23"/>
      <c r="E229" s="32"/>
      <c r="F229" s="25"/>
      <c r="G229" s="23"/>
      <c r="H229" s="23"/>
      <c r="I229" s="23"/>
      <c r="J229" s="23"/>
      <c r="K229" s="23"/>
      <c r="L229" s="27" t="str">
        <f aca="false">IF($B229="","",IFERROR(INDEX(Properties!$D$5:$D$104,MATCH($B229,Properties!$A$5:$A$104,0)),"-"))</f>
        <v/>
      </c>
      <c r="M229" s="28" t="str">
        <f aca="false">IF(OR($A229="",N($E229)=0),"",$F229/$E229)</f>
        <v/>
      </c>
      <c r="N229" s="28" t="str">
        <f aca="false">IF($A229="","",IF($H229="Y",$F229*(1+Settings!$B$3),0))</f>
        <v/>
      </c>
      <c r="O229" s="27" t="str">
        <f aca="false">IF($A229="","",IF(AND($H229="Y",$G229&lt;&gt;"Restock",N($M229)&gt;Settings!$B$4,$I229&lt;&gt;"Y"),"Get host OK",IF(AND($H229="Y",$F229&gt;Settings!$B$5,$I229&lt;&gt;"Y"),"Host should pay upfront",IF($J229&lt;&gt;"Y","Save receipt","OK"))))</f>
        <v/>
      </c>
      <c r="P229" s="29" t="str">
        <f aca="false">IF($A229="","",DATE(YEAR($A229),MONTH($A229),1))</f>
        <v/>
      </c>
      <c r="Q229" s="31" t="str">
        <f aca="false">IF($A229="","",IF(AND($L229='Invoice Builder'!$C$5,$P229='Invoice Builder'!$C$6,N($N229)&gt;0),COUNTIFS($L$5:$L229,'Invoice Builder'!$C$5,$P$5:$P229,'Invoice Builder'!$C$6,$N$5:$N229,"&gt;0"),""))</f>
        <v/>
      </c>
      <c r="R229" s="27" t="str">
        <f aca="false">IF($A229="","",IF($A229&gt;=DATE(YEAR($A229),4,6),YEAR($A229)&amp;"/"&amp;RIGHT(YEAR($A229)+1,2),YEAR($A229)-1&amp;"/"&amp;RIGHT(YEAR($A229),2)))</f>
        <v/>
      </c>
    </row>
    <row r="230" customFormat="false" ht="15" hidden="false" customHeight="false" outlineLevel="0" collapsed="false">
      <c r="A230" s="22"/>
      <c r="B230" s="23"/>
      <c r="C230" s="23"/>
      <c r="D230" s="23"/>
      <c r="E230" s="32"/>
      <c r="F230" s="25"/>
      <c r="G230" s="23"/>
      <c r="H230" s="23"/>
      <c r="I230" s="23"/>
      <c r="J230" s="23"/>
      <c r="K230" s="23"/>
      <c r="L230" s="27" t="str">
        <f aca="false">IF($B230="","",IFERROR(INDEX(Properties!$D$5:$D$104,MATCH($B230,Properties!$A$5:$A$104,0)),"-"))</f>
        <v/>
      </c>
      <c r="M230" s="28" t="str">
        <f aca="false">IF(OR($A230="",N($E230)=0),"",$F230/$E230)</f>
        <v/>
      </c>
      <c r="N230" s="28" t="str">
        <f aca="false">IF($A230="","",IF($H230="Y",$F230*(1+Settings!$B$3),0))</f>
        <v/>
      </c>
      <c r="O230" s="27" t="str">
        <f aca="false">IF($A230="","",IF(AND($H230="Y",$G230&lt;&gt;"Restock",N($M230)&gt;Settings!$B$4,$I230&lt;&gt;"Y"),"Get host OK",IF(AND($H230="Y",$F230&gt;Settings!$B$5,$I230&lt;&gt;"Y"),"Host should pay upfront",IF($J230&lt;&gt;"Y","Save receipt","OK"))))</f>
        <v/>
      </c>
      <c r="P230" s="29" t="str">
        <f aca="false">IF($A230="","",DATE(YEAR($A230),MONTH($A230),1))</f>
        <v/>
      </c>
      <c r="Q230" s="31" t="str">
        <f aca="false">IF($A230="","",IF(AND($L230='Invoice Builder'!$C$5,$P230='Invoice Builder'!$C$6,N($N230)&gt;0),COUNTIFS($L$5:$L230,'Invoice Builder'!$C$5,$P$5:$P230,'Invoice Builder'!$C$6,$N$5:$N230,"&gt;0"),""))</f>
        <v/>
      </c>
      <c r="R230" s="27" t="str">
        <f aca="false">IF($A230="","",IF($A230&gt;=DATE(YEAR($A230),4,6),YEAR($A230)&amp;"/"&amp;RIGHT(YEAR($A230)+1,2),YEAR($A230)-1&amp;"/"&amp;RIGHT(YEAR($A230),2)))</f>
        <v/>
      </c>
    </row>
    <row r="231" customFormat="false" ht="15" hidden="false" customHeight="false" outlineLevel="0" collapsed="false">
      <c r="A231" s="22"/>
      <c r="B231" s="23"/>
      <c r="C231" s="23"/>
      <c r="D231" s="23"/>
      <c r="E231" s="32"/>
      <c r="F231" s="25"/>
      <c r="G231" s="23"/>
      <c r="H231" s="23"/>
      <c r="I231" s="23"/>
      <c r="J231" s="23"/>
      <c r="K231" s="23"/>
      <c r="L231" s="27" t="str">
        <f aca="false">IF($B231="","",IFERROR(INDEX(Properties!$D$5:$D$104,MATCH($B231,Properties!$A$5:$A$104,0)),"-"))</f>
        <v/>
      </c>
      <c r="M231" s="28" t="str">
        <f aca="false">IF(OR($A231="",N($E231)=0),"",$F231/$E231)</f>
        <v/>
      </c>
      <c r="N231" s="28" t="str">
        <f aca="false">IF($A231="","",IF($H231="Y",$F231*(1+Settings!$B$3),0))</f>
        <v/>
      </c>
      <c r="O231" s="27" t="str">
        <f aca="false">IF($A231="","",IF(AND($H231="Y",$G231&lt;&gt;"Restock",N($M231)&gt;Settings!$B$4,$I231&lt;&gt;"Y"),"Get host OK",IF(AND($H231="Y",$F231&gt;Settings!$B$5,$I231&lt;&gt;"Y"),"Host should pay upfront",IF($J231&lt;&gt;"Y","Save receipt","OK"))))</f>
        <v/>
      </c>
      <c r="P231" s="29" t="str">
        <f aca="false">IF($A231="","",DATE(YEAR($A231),MONTH($A231),1))</f>
        <v/>
      </c>
      <c r="Q231" s="31" t="str">
        <f aca="false">IF($A231="","",IF(AND($L231='Invoice Builder'!$C$5,$P231='Invoice Builder'!$C$6,N($N231)&gt;0),COUNTIFS($L$5:$L231,'Invoice Builder'!$C$5,$P$5:$P231,'Invoice Builder'!$C$6,$N$5:$N231,"&gt;0"),""))</f>
        <v/>
      </c>
      <c r="R231" s="27" t="str">
        <f aca="false">IF($A231="","",IF($A231&gt;=DATE(YEAR($A231),4,6),YEAR($A231)&amp;"/"&amp;RIGHT(YEAR($A231)+1,2),YEAR($A231)-1&amp;"/"&amp;RIGHT(YEAR($A231),2)))</f>
        <v/>
      </c>
    </row>
    <row r="232" customFormat="false" ht="15" hidden="false" customHeight="false" outlineLevel="0" collapsed="false">
      <c r="A232" s="22"/>
      <c r="B232" s="23"/>
      <c r="C232" s="23"/>
      <c r="D232" s="23"/>
      <c r="E232" s="32"/>
      <c r="F232" s="25"/>
      <c r="G232" s="23"/>
      <c r="H232" s="23"/>
      <c r="I232" s="23"/>
      <c r="J232" s="23"/>
      <c r="K232" s="23"/>
      <c r="L232" s="27" t="str">
        <f aca="false">IF($B232="","",IFERROR(INDEX(Properties!$D$5:$D$104,MATCH($B232,Properties!$A$5:$A$104,0)),"-"))</f>
        <v/>
      </c>
      <c r="M232" s="28" t="str">
        <f aca="false">IF(OR($A232="",N($E232)=0),"",$F232/$E232)</f>
        <v/>
      </c>
      <c r="N232" s="28" t="str">
        <f aca="false">IF($A232="","",IF($H232="Y",$F232*(1+Settings!$B$3),0))</f>
        <v/>
      </c>
      <c r="O232" s="27" t="str">
        <f aca="false">IF($A232="","",IF(AND($H232="Y",$G232&lt;&gt;"Restock",N($M232)&gt;Settings!$B$4,$I232&lt;&gt;"Y"),"Get host OK",IF(AND($H232="Y",$F232&gt;Settings!$B$5,$I232&lt;&gt;"Y"),"Host should pay upfront",IF($J232&lt;&gt;"Y","Save receipt","OK"))))</f>
        <v/>
      </c>
      <c r="P232" s="29" t="str">
        <f aca="false">IF($A232="","",DATE(YEAR($A232),MONTH($A232),1))</f>
        <v/>
      </c>
      <c r="Q232" s="31" t="str">
        <f aca="false">IF($A232="","",IF(AND($L232='Invoice Builder'!$C$5,$P232='Invoice Builder'!$C$6,N($N232)&gt;0),COUNTIFS($L$5:$L232,'Invoice Builder'!$C$5,$P$5:$P232,'Invoice Builder'!$C$6,$N$5:$N232,"&gt;0"),""))</f>
        <v/>
      </c>
      <c r="R232" s="27" t="str">
        <f aca="false">IF($A232="","",IF($A232&gt;=DATE(YEAR($A232),4,6),YEAR($A232)&amp;"/"&amp;RIGHT(YEAR($A232)+1,2),YEAR($A232)-1&amp;"/"&amp;RIGHT(YEAR($A232),2)))</f>
        <v/>
      </c>
    </row>
    <row r="233" customFormat="false" ht="15" hidden="false" customHeight="false" outlineLevel="0" collapsed="false">
      <c r="A233" s="22"/>
      <c r="B233" s="23"/>
      <c r="C233" s="23"/>
      <c r="D233" s="23"/>
      <c r="E233" s="32"/>
      <c r="F233" s="25"/>
      <c r="G233" s="23"/>
      <c r="H233" s="23"/>
      <c r="I233" s="23"/>
      <c r="J233" s="23"/>
      <c r="K233" s="23"/>
      <c r="L233" s="27" t="str">
        <f aca="false">IF($B233="","",IFERROR(INDEX(Properties!$D$5:$D$104,MATCH($B233,Properties!$A$5:$A$104,0)),"-"))</f>
        <v/>
      </c>
      <c r="M233" s="28" t="str">
        <f aca="false">IF(OR($A233="",N($E233)=0),"",$F233/$E233)</f>
        <v/>
      </c>
      <c r="N233" s="28" t="str">
        <f aca="false">IF($A233="","",IF($H233="Y",$F233*(1+Settings!$B$3),0))</f>
        <v/>
      </c>
      <c r="O233" s="27" t="str">
        <f aca="false">IF($A233="","",IF(AND($H233="Y",$G233&lt;&gt;"Restock",N($M233)&gt;Settings!$B$4,$I233&lt;&gt;"Y"),"Get host OK",IF(AND($H233="Y",$F233&gt;Settings!$B$5,$I233&lt;&gt;"Y"),"Host should pay upfront",IF($J233&lt;&gt;"Y","Save receipt","OK"))))</f>
        <v/>
      </c>
      <c r="P233" s="29" t="str">
        <f aca="false">IF($A233="","",DATE(YEAR($A233),MONTH($A233),1))</f>
        <v/>
      </c>
      <c r="Q233" s="31" t="str">
        <f aca="false">IF($A233="","",IF(AND($L233='Invoice Builder'!$C$5,$P233='Invoice Builder'!$C$6,N($N233)&gt;0),COUNTIFS($L$5:$L233,'Invoice Builder'!$C$5,$P$5:$P233,'Invoice Builder'!$C$6,$N$5:$N233,"&gt;0"),""))</f>
        <v/>
      </c>
      <c r="R233" s="27" t="str">
        <f aca="false">IF($A233="","",IF($A233&gt;=DATE(YEAR($A233),4,6),YEAR($A233)&amp;"/"&amp;RIGHT(YEAR($A233)+1,2),YEAR($A233)-1&amp;"/"&amp;RIGHT(YEAR($A233),2)))</f>
        <v/>
      </c>
    </row>
    <row r="234" customFormat="false" ht="15" hidden="false" customHeight="false" outlineLevel="0" collapsed="false">
      <c r="A234" s="22"/>
      <c r="B234" s="23"/>
      <c r="C234" s="23"/>
      <c r="D234" s="23"/>
      <c r="E234" s="32"/>
      <c r="F234" s="25"/>
      <c r="G234" s="23"/>
      <c r="H234" s="23"/>
      <c r="I234" s="23"/>
      <c r="J234" s="23"/>
      <c r="K234" s="23"/>
      <c r="L234" s="27" t="str">
        <f aca="false">IF($B234="","",IFERROR(INDEX(Properties!$D$5:$D$104,MATCH($B234,Properties!$A$5:$A$104,0)),"-"))</f>
        <v/>
      </c>
      <c r="M234" s="28" t="str">
        <f aca="false">IF(OR($A234="",N($E234)=0),"",$F234/$E234)</f>
        <v/>
      </c>
      <c r="N234" s="28" t="str">
        <f aca="false">IF($A234="","",IF($H234="Y",$F234*(1+Settings!$B$3),0))</f>
        <v/>
      </c>
      <c r="O234" s="27" t="str">
        <f aca="false">IF($A234="","",IF(AND($H234="Y",$G234&lt;&gt;"Restock",N($M234)&gt;Settings!$B$4,$I234&lt;&gt;"Y"),"Get host OK",IF(AND($H234="Y",$F234&gt;Settings!$B$5,$I234&lt;&gt;"Y"),"Host should pay upfront",IF($J234&lt;&gt;"Y","Save receipt","OK"))))</f>
        <v/>
      </c>
      <c r="P234" s="29" t="str">
        <f aca="false">IF($A234="","",DATE(YEAR($A234),MONTH($A234),1))</f>
        <v/>
      </c>
      <c r="Q234" s="31" t="str">
        <f aca="false">IF($A234="","",IF(AND($L234='Invoice Builder'!$C$5,$P234='Invoice Builder'!$C$6,N($N234)&gt;0),COUNTIFS($L$5:$L234,'Invoice Builder'!$C$5,$P$5:$P234,'Invoice Builder'!$C$6,$N$5:$N234,"&gt;0"),""))</f>
        <v/>
      </c>
      <c r="R234" s="27" t="str">
        <f aca="false">IF($A234="","",IF($A234&gt;=DATE(YEAR($A234),4,6),YEAR($A234)&amp;"/"&amp;RIGHT(YEAR($A234)+1,2),YEAR($A234)-1&amp;"/"&amp;RIGHT(YEAR($A234),2)))</f>
        <v/>
      </c>
    </row>
    <row r="235" customFormat="false" ht="15" hidden="false" customHeight="false" outlineLevel="0" collapsed="false">
      <c r="A235" s="22"/>
      <c r="B235" s="23"/>
      <c r="C235" s="23"/>
      <c r="D235" s="23"/>
      <c r="E235" s="32"/>
      <c r="F235" s="25"/>
      <c r="G235" s="23"/>
      <c r="H235" s="23"/>
      <c r="I235" s="23"/>
      <c r="J235" s="23"/>
      <c r="K235" s="23"/>
      <c r="L235" s="27" t="str">
        <f aca="false">IF($B235="","",IFERROR(INDEX(Properties!$D$5:$D$104,MATCH($B235,Properties!$A$5:$A$104,0)),"-"))</f>
        <v/>
      </c>
      <c r="M235" s="28" t="str">
        <f aca="false">IF(OR($A235="",N($E235)=0),"",$F235/$E235)</f>
        <v/>
      </c>
      <c r="N235" s="28" t="str">
        <f aca="false">IF($A235="","",IF($H235="Y",$F235*(1+Settings!$B$3),0))</f>
        <v/>
      </c>
      <c r="O235" s="27" t="str">
        <f aca="false">IF($A235="","",IF(AND($H235="Y",$G235&lt;&gt;"Restock",N($M235)&gt;Settings!$B$4,$I235&lt;&gt;"Y"),"Get host OK",IF(AND($H235="Y",$F235&gt;Settings!$B$5,$I235&lt;&gt;"Y"),"Host should pay upfront",IF($J235&lt;&gt;"Y","Save receipt","OK"))))</f>
        <v/>
      </c>
      <c r="P235" s="29" t="str">
        <f aca="false">IF($A235="","",DATE(YEAR($A235),MONTH($A235),1))</f>
        <v/>
      </c>
      <c r="Q235" s="31" t="str">
        <f aca="false">IF($A235="","",IF(AND($L235='Invoice Builder'!$C$5,$P235='Invoice Builder'!$C$6,N($N235)&gt;0),COUNTIFS($L$5:$L235,'Invoice Builder'!$C$5,$P$5:$P235,'Invoice Builder'!$C$6,$N$5:$N235,"&gt;0"),""))</f>
        <v/>
      </c>
      <c r="R235" s="27" t="str">
        <f aca="false">IF($A235="","",IF($A235&gt;=DATE(YEAR($A235),4,6),YEAR($A235)&amp;"/"&amp;RIGHT(YEAR($A235)+1,2),YEAR($A235)-1&amp;"/"&amp;RIGHT(YEAR($A235),2)))</f>
        <v/>
      </c>
    </row>
    <row r="236" customFormat="false" ht="15" hidden="false" customHeight="false" outlineLevel="0" collapsed="false">
      <c r="A236" s="22"/>
      <c r="B236" s="23"/>
      <c r="C236" s="23"/>
      <c r="D236" s="23"/>
      <c r="E236" s="32"/>
      <c r="F236" s="25"/>
      <c r="G236" s="23"/>
      <c r="H236" s="23"/>
      <c r="I236" s="23"/>
      <c r="J236" s="23"/>
      <c r="K236" s="23"/>
      <c r="L236" s="27" t="str">
        <f aca="false">IF($B236="","",IFERROR(INDEX(Properties!$D$5:$D$104,MATCH($B236,Properties!$A$5:$A$104,0)),"-"))</f>
        <v/>
      </c>
      <c r="M236" s="28" t="str">
        <f aca="false">IF(OR($A236="",N($E236)=0),"",$F236/$E236)</f>
        <v/>
      </c>
      <c r="N236" s="28" t="str">
        <f aca="false">IF($A236="","",IF($H236="Y",$F236*(1+Settings!$B$3),0))</f>
        <v/>
      </c>
      <c r="O236" s="27" t="str">
        <f aca="false">IF($A236="","",IF(AND($H236="Y",$G236&lt;&gt;"Restock",N($M236)&gt;Settings!$B$4,$I236&lt;&gt;"Y"),"Get host OK",IF(AND($H236="Y",$F236&gt;Settings!$B$5,$I236&lt;&gt;"Y"),"Host should pay upfront",IF($J236&lt;&gt;"Y","Save receipt","OK"))))</f>
        <v/>
      </c>
      <c r="P236" s="29" t="str">
        <f aca="false">IF($A236="","",DATE(YEAR($A236),MONTH($A236),1))</f>
        <v/>
      </c>
      <c r="Q236" s="31" t="str">
        <f aca="false">IF($A236="","",IF(AND($L236='Invoice Builder'!$C$5,$P236='Invoice Builder'!$C$6,N($N236)&gt;0),COUNTIFS($L$5:$L236,'Invoice Builder'!$C$5,$P$5:$P236,'Invoice Builder'!$C$6,$N$5:$N236,"&gt;0"),""))</f>
        <v/>
      </c>
      <c r="R236" s="27" t="str">
        <f aca="false">IF($A236="","",IF($A236&gt;=DATE(YEAR($A236),4,6),YEAR($A236)&amp;"/"&amp;RIGHT(YEAR($A236)+1,2),YEAR($A236)-1&amp;"/"&amp;RIGHT(YEAR($A236),2)))</f>
        <v/>
      </c>
    </row>
    <row r="237" customFormat="false" ht="15" hidden="false" customHeight="false" outlineLevel="0" collapsed="false">
      <c r="A237" s="22"/>
      <c r="B237" s="23"/>
      <c r="C237" s="23"/>
      <c r="D237" s="23"/>
      <c r="E237" s="32"/>
      <c r="F237" s="25"/>
      <c r="G237" s="23"/>
      <c r="H237" s="23"/>
      <c r="I237" s="23"/>
      <c r="J237" s="23"/>
      <c r="K237" s="23"/>
      <c r="L237" s="27" t="str">
        <f aca="false">IF($B237="","",IFERROR(INDEX(Properties!$D$5:$D$104,MATCH($B237,Properties!$A$5:$A$104,0)),"-"))</f>
        <v/>
      </c>
      <c r="M237" s="28" t="str">
        <f aca="false">IF(OR($A237="",N($E237)=0),"",$F237/$E237)</f>
        <v/>
      </c>
      <c r="N237" s="28" t="str">
        <f aca="false">IF($A237="","",IF($H237="Y",$F237*(1+Settings!$B$3),0))</f>
        <v/>
      </c>
      <c r="O237" s="27" t="str">
        <f aca="false">IF($A237="","",IF(AND($H237="Y",$G237&lt;&gt;"Restock",N($M237)&gt;Settings!$B$4,$I237&lt;&gt;"Y"),"Get host OK",IF(AND($H237="Y",$F237&gt;Settings!$B$5,$I237&lt;&gt;"Y"),"Host should pay upfront",IF($J237&lt;&gt;"Y","Save receipt","OK"))))</f>
        <v/>
      </c>
      <c r="P237" s="29" t="str">
        <f aca="false">IF($A237="","",DATE(YEAR($A237),MONTH($A237),1))</f>
        <v/>
      </c>
      <c r="Q237" s="31" t="str">
        <f aca="false">IF($A237="","",IF(AND($L237='Invoice Builder'!$C$5,$P237='Invoice Builder'!$C$6,N($N237)&gt;0),COUNTIFS($L$5:$L237,'Invoice Builder'!$C$5,$P$5:$P237,'Invoice Builder'!$C$6,$N$5:$N237,"&gt;0"),""))</f>
        <v/>
      </c>
      <c r="R237" s="27" t="str">
        <f aca="false">IF($A237="","",IF($A237&gt;=DATE(YEAR($A237),4,6),YEAR($A237)&amp;"/"&amp;RIGHT(YEAR($A237)+1,2),YEAR($A237)-1&amp;"/"&amp;RIGHT(YEAR($A237),2)))</f>
        <v/>
      </c>
    </row>
    <row r="238" customFormat="false" ht="15" hidden="false" customHeight="false" outlineLevel="0" collapsed="false">
      <c r="A238" s="22"/>
      <c r="B238" s="23"/>
      <c r="C238" s="23"/>
      <c r="D238" s="23"/>
      <c r="E238" s="32"/>
      <c r="F238" s="25"/>
      <c r="G238" s="23"/>
      <c r="H238" s="23"/>
      <c r="I238" s="23"/>
      <c r="J238" s="23"/>
      <c r="K238" s="23"/>
      <c r="L238" s="27" t="str">
        <f aca="false">IF($B238="","",IFERROR(INDEX(Properties!$D$5:$D$104,MATCH($B238,Properties!$A$5:$A$104,0)),"-"))</f>
        <v/>
      </c>
      <c r="M238" s="28" t="str">
        <f aca="false">IF(OR($A238="",N($E238)=0),"",$F238/$E238)</f>
        <v/>
      </c>
      <c r="N238" s="28" t="str">
        <f aca="false">IF($A238="","",IF($H238="Y",$F238*(1+Settings!$B$3),0))</f>
        <v/>
      </c>
      <c r="O238" s="27" t="str">
        <f aca="false">IF($A238="","",IF(AND($H238="Y",$G238&lt;&gt;"Restock",N($M238)&gt;Settings!$B$4,$I238&lt;&gt;"Y"),"Get host OK",IF(AND($H238="Y",$F238&gt;Settings!$B$5,$I238&lt;&gt;"Y"),"Host should pay upfront",IF($J238&lt;&gt;"Y","Save receipt","OK"))))</f>
        <v/>
      </c>
      <c r="P238" s="29" t="str">
        <f aca="false">IF($A238="","",DATE(YEAR($A238),MONTH($A238),1))</f>
        <v/>
      </c>
      <c r="Q238" s="31" t="str">
        <f aca="false">IF($A238="","",IF(AND($L238='Invoice Builder'!$C$5,$P238='Invoice Builder'!$C$6,N($N238)&gt;0),COUNTIFS($L$5:$L238,'Invoice Builder'!$C$5,$P$5:$P238,'Invoice Builder'!$C$6,$N$5:$N238,"&gt;0"),""))</f>
        <v/>
      </c>
      <c r="R238" s="27" t="str">
        <f aca="false">IF($A238="","",IF($A238&gt;=DATE(YEAR($A238),4,6),YEAR($A238)&amp;"/"&amp;RIGHT(YEAR($A238)+1,2),YEAR($A238)-1&amp;"/"&amp;RIGHT(YEAR($A238),2)))</f>
        <v/>
      </c>
    </row>
    <row r="239" customFormat="false" ht="15" hidden="false" customHeight="false" outlineLevel="0" collapsed="false">
      <c r="A239" s="22"/>
      <c r="B239" s="23"/>
      <c r="C239" s="23"/>
      <c r="D239" s="23"/>
      <c r="E239" s="32"/>
      <c r="F239" s="25"/>
      <c r="G239" s="23"/>
      <c r="H239" s="23"/>
      <c r="I239" s="23"/>
      <c r="J239" s="23"/>
      <c r="K239" s="23"/>
      <c r="L239" s="27" t="str">
        <f aca="false">IF($B239="","",IFERROR(INDEX(Properties!$D$5:$D$104,MATCH($B239,Properties!$A$5:$A$104,0)),"-"))</f>
        <v/>
      </c>
      <c r="M239" s="28" t="str">
        <f aca="false">IF(OR($A239="",N($E239)=0),"",$F239/$E239)</f>
        <v/>
      </c>
      <c r="N239" s="28" t="str">
        <f aca="false">IF($A239="","",IF($H239="Y",$F239*(1+Settings!$B$3),0))</f>
        <v/>
      </c>
      <c r="O239" s="27" t="str">
        <f aca="false">IF($A239="","",IF(AND($H239="Y",$G239&lt;&gt;"Restock",N($M239)&gt;Settings!$B$4,$I239&lt;&gt;"Y"),"Get host OK",IF(AND($H239="Y",$F239&gt;Settings!$B$5,$I239&lt;&gt;"Y"),"Host should pay upfront",IF($J239&lt;&gt;"Y","Save receipt","OK"))))</f>
        <v/>
      </c>
      <c r="P239" s="29" t="str">
        <f aca="false">IF($A239="","",DATE(YEAR($A239),MONTH($A239),1))</f>
        <v/>
      </c>
      <c r="Q239" s="31" t="str">
        <f aca="false">IF($A239="","",IF(AND($L239='Invoice Builder'!$C$5,$P239='Invoice Builder'!$C$6,N($N239)&gt;0),COUNTIFS($L$5:$L239,'Invoice Builder'!$C$5,$P$5:$P239,'Invoice Builder'!$C$6,$N$5:$N239,"&gt;0"),""))</f>
        <v/>
      </c>
      <c r="R239" s="27" t="str">
        <f aca="false">IF($A239="","",IF($A239&gt;=DATE(YEAR($A239),4,6),YEAR($A239)&amp;"/"&amp;RIGHT(YEAR($A239)+1,2),YEAR($A239)-1&amp;"/"&amp;RIGHT(YEAR($A239),2)))</f>
        <v/>
      </c>
    </row>
    <row r="240" customFormat="false" ht="15" hidden="false" customHeight="false" outlineLevel="0" collapsed="false">
      <c r="A240" s="22"/>
      <c r="B240" s="23"/>
      <c r="C240" s="23"/>
      <c r="D240" s="23"/>
      <c r="E240" s="32"/>
      <c r="F240" s="25"/>
      <c r="G240" s="23"/>
      <c r="H240" s="23"/>
      <c r="I240" s="23"/>
      <c r="J240" s="23"/>
      <c r="K240" s="23"/>
      <c r="L240" s="27" t="str">
        <f aca="false">IF($B240="","",IFERROR(INDEX(Properties!$D$5:$D$104,MATCH($B240,Properties!$A$5:$A$104,0)),"-"))</f>
        <v/>
      </c>
      <c r="M240" s="28" t="str">
        <f aca="false">IF(OR($A240="",N($E240)=0),"",$F240/$E240)</f>
        <v/>
      </c>
      <c r="N240" s="28" t="str">
        <f aca="false">IF($A240="","",IF($H240="Y",$F240*(1+Settings!$B$3),0))</f>
        <v/>
      </c>
      <c r="O240" s="27" t="str">
        <f aca="false">IF($A240="","",IF(AND($H240="Y",$G240&lt;&gt;"Restock",N($M240)&gt;Settings!$B$4,$I240&lt;&gt;"Y"),"Get host OK",IF(AND($H240="Y",$F240&gt;Settings!$B$5,$I240&lt;&gt;"Y"),"Host should pay upfront",IF($J240&lt;&gt;"Y","Save receipt","OK"))))</f>
        <v/>
      </c>
      <c r="P240" s="29" t="str">
        <f aca="false">IF($A240="","",DATE(YEAR($A240),MONTH($A240),1))</f>
        <v/>
      </c>
      <c r="Q240" s="31" t="str">
        <f aca="false">IF($A240="","",IF(AND($L240='Invoice Builder'!$C$5,$P240='Invoice Builder'!$C$6,N($N240)&gt;0),COUNTIFS($L$5:$L240,'Invoice Builder'!$C$5,$P$5:$P240,'Invoice Builder'!$C$6,$N$5:$N240,"&gt;0"),""))</f>
        <v/>
      </c>
      <c r="R240" s="27" t="str">
        <f aca="false">IF($A240="","",IF($A240&gt;=DATE(YEAR($A240),4,6),YEAR($A240)&amp;"/"&amp;RIGHT(YEAR($A240)+1,2),YEAR($A240)-1&amp;"/"&amp;RIGHT(YEAR($A240),2)))</f>
        <v/>
      </c>
    </row>
    <row r="241" customFormat="false" ht="15" hidden="false" customHeight="false" outlineLevel="0" collapsed="false">
      <c r="A241" s="22"/>
      <c r="B241" s="23"/>
      <c r="C241" s="23"/>
      <c r="D241" s="23"/>
      <c r="E241" s="32"/>
      <c r="F241" s="25"/>
      <c r="G241" s="23"/>
      <c r="H241" s="23"/>
      <c r="I241" s="23"/>
      <c r="J241" s="23"/>
      <c r="K241" s="23"/>
      <c r="L241" s="27" t="str">
        <f aca="false">IF($B241="","",IFERROR(INDEX(Properties!$D$5:$D$104,MATCH($B241,Properties!$A$5:$A$104,0)),"-"))</f>
        <v/>
      </c>
      <c r="M241" s="28" t="str">
        <f aca="false">IF(OR($A241="",N($E241)=0),"",$F241/$E241)</f>
        <v/>
      </c>
      <c r="N241" s="28" t="str">
        <f aca="false">IF($A241="","",IF($H241="Y",$F241*(1+Settings!$B$3),0))</f>
        <v/>
      </c>
      <c r="O241" s="27" t="str">
        <f aca="false">IF($A241="","",IF(AND($H241="Y",$G241&lt;&gt;"Restock",N($M241)&gt;Settings!$B$4,$I241&lt;&gt;"Y"),"Get host OK",IF(AND($H241="Y",$F241&gt;Settings!$B$5,$I241&lt;&gt;"Y"),"Host should pay upfront",IF($J241&lt;&gt;"Y","Save receipt","OK"))))</f>
        <v/>
      </c>
      <c r="P241" s="29" t="str">
        <f aca="false">IF($A241="","",DATE(YEAR($A241),MONTH($A241),1))</f>
        <v/>
      </c>
      <c r="Q241" s="31" t="str">
        <f aca="false">IF($A241="","",IF(AND($L241='Invoice Builder'!$C$5,$P241='Invoice Builder'!$C$6,N($N241)&gt;0),COUNTIFS($L$5:$L241,'Invoice Builder'!$C$5,$P$5:$P241,'Invoice Builder'!$C$6,$N$5:$N241,"&gt;0"),""))</f>
        <v/>
      </c>
      <c r="R241" s="27" t="str">
        <f aca="false">IF($A241="","",IF($A241&gt;=DATE(YEAR($A241),4,6),YEAR($A241)&amp;"/"&amp;RIGHT(YEAR($A241)+1,2),YEAR($A241)-1&amp;"/"&amp;RIGHT(YEAR($A241),2)))</f>
        <v/>
      </c>
    </row>
    <row r="242" customFormat="false" ht="15" hidden="false" customHeight="false" outlineLevel="0" collapsed="false">
      <c r="A242" s="22"/>
      <c r="B242" s="23"/>
      <c r="C242" s="23"/>
      <c r="D242" s="23"/>
      <c r="E242" s="32"/>
      <c r="F242" s="25"/>
      <c r="G242" s="23"/>
      <c r="H242" s="23"/>
      <c r="I242" s="23"/>
      <c r="J242" s="23"/>
      <c r="K242" s="23"/>
      <c r="L242" s="27" t="str">
        <f aca="false">IF($B242="","",IFERROR(INDEX(Properties!$D$5:$D$104,MATCH($B242,Properties!$A$5:$A$104,0)),"-"))</f>
        <v/>
      </c>
      <c r="M242" s="28" t="str">
        <f aca="false">IF(OR($A242="",N($E242)=0),"",$F242/$E242)</f>
        <v/>
      </c>
      <c r="N242" s="28" t="str">
        <f aca="false">IF($A242="","",IF($H242="Y",$F242*(1+Settings!$B$3),0))</f>
        <v/>
      </c>
      <c r="O242" s="27" t="str">
        <f aca="false">IF($A242="","",IF(AND($H242="Y",$G242&lt;&gt;"Restock",N($M242)&gt;Settings!$B$4,$I242&lt;&gt;"Y"),"Get host OK",IF(AND($H242="Y",$F242&gt;Settings!$B$5,$I242&lt;&gt;"Y"),"Host should pay upfront",IF($J242&lt;&gt;"Y","Save receipt","OK"))))</f>
        <v/>
      </c>
      <c r="P242" s="29" t="str">
        <f aca="false">IF($A242="","",DATE(YEAR($A242),MONTH($A242),1))</f>
        <v/>
      </c>
      <c r="Q242" s="31" t="str">
        <f aca="false">IF($A242="","",IF(AND($L242='Invoice Builder'!$C$5,$P242='Invoice Builder'!$C$6,N($N242)&gt;0),COUNTIFS($L$5:$L242,'Invoice Builder'!$C$5,$P$5:$P242,'Invoice Builder'!$C$6,$N$5:$N242,"&gt;0"),""))</f>
        <v/>
      </c>
      <c r="R242" s="27" t="str">
        <f aca="false">IF($A242="","",IF($A242&gt;=DATE(YEAR($A242),4,6),YEAR($A242)&amp;"/"&amp;RIGHT(YEAR($A242)+1,2),YEAR($A242)-1&amp;"/"&amp;RIGHT(YEAR($A242),2)))</f>
        <v/>
      </c>
    </row>
    <row r="243" customFormat="false" ht="15" hidden="false" customHeight="false" outlineLevel="0" collapsed="false">
      <c r="A243" s="22"/>
      <c r="B243" s="23"/>
      <c r="C243" s="23"/>
      <c r="D243" s="23"/>
      <c r="E243" s="32"/>
      <c r="F243" s="25"/>
      <c r="G243" s="23"/>
      <c r="H243" s="23"/>
      <c r="I243" s="23"/>
      <c r="J243" s="23"/>
      <c r="K243" s="23"/>
      <c r="L243" s="27" t="str">
        <f aca="false">IF($B243="","",IFERROR(INDEX(Properties!$D$5:$D$104,MATCH($B243,Properties!$A$5:$A$104,0)),"-"))</f>
        <v/>
      </c>
      <c r="M243" s="28" t="str">
        <f aca="false">IF(OR($A243="",N($E243)=0),"",$F243/$E243)</f>
        <v/>
      </c>
      <c r="N243" s="28" t="str">
        <f aca="false">IF($A243="","",IF($H243="Y",$F243*(1+Settings!$B$3),0))</f>
        <v/>
      </c>
      <c r="O243" s="27" t="str">
        <f aca="false">IF($A243="","",IF(AND($H243="Y",$G243&lt;&gt;"Restock",N($M243)&gt;Settings!$B$4,$I243&lt;&gt;"Y"),"Get host OK",IF(AND($H243="Y",$F243&gt;Settings!$B$5,$I243&lt;&gt;"Y"),"Host should pay upfront",IF($J243&lt;&gt;"Y","Save receipt","OK"))))</f>
        <v/>
      </c>
      <c r="P243" s="29" t="str">
        <f aca="false">IF($A243="","",DATE(YEAR($A243),MONTH($A243),1))</f>
        <v/>
      </c>
      <c r="Q243" s="31" t="str">
        <f aca="false">IF($A243="","",IF(AND($L243='Invoice Builder'!$C$5,$P243='Invoice Builder'!$C$6,N($N243)&gt;0),COUNTIFS($L$5:$L243,'Invoice Builder'!$C$5,$P$5:$P243,'Invoice Builder'!$C$6,$N$5:$N243,"&gt;0"),""))</f>
        <v/>
      </c>
      <c r="R243" s="27" t="str">
        <f aca="false">IF($A243="","",IF($A243&gt;=DATE(YEAR($A243),4,6),YEAR($A243)&amp;"/"&amp;RIGHT(YEAR($A243)+1,2),YEAR($A243)-1&amp;"/"&amp;RIGHT(YEAR($A243),2)))</f>
        <v/>
      </c>
    </row>
    <row r="244" customFormat="false" ht="15" hidden="false" customHeight="false" outlineLevel="0" collapsed="false">
      <c r="A244" s="22"/>
      <c r="B244" s="23"/>
      <c r="C244" s="23"/>
      <c r="D244" s="23"/>
      <c r="E244" s="32"/>
      <c r="F244" s="25"/>
      <c r="G244" s="23"/>
      <c r="H244" s="23"/>
      <c r="I244" s="23"/>
      <c r="J244" s="23"/>
      <c r="K244" s="23"/>
      <c r="L244" s="27" t="str">
        <f aca="false">IF($B244="","",IFERROR(INDEX(Properties!$D$5:$D$104,MATCH($B244,Properties!$A$5:$A$104,0)),"-"))</f>
        <v/>
      </c>
      <c r="M244" s="28" t="str">
        <f aca="false">IF(OR($A244="",N($E244)=0),"",$F244/$E244)</f>
        <v/>
      </c>
      <c r="N244" s="28" t="str">
        <f aca="false">IF($A244="","",IF($H244="Y",$F244*(1+Settings!$B$3),0))</f>
        <v/>
      </c>
      <c r="O244" s="27" t="str">
        <f aca="false">IF($A244="","",IF(AND($H244="Y",$G244&lt;&gt;"Restock",N($M244)&gt;Settings!$B$4,$I244&lt;&gt;"Y"),"Get host OK",IF(AND($H244="Y",$F244&gt;Settings!$B$5,$I244&lt;&gt;"Y"),"Host should pay upfront",IF($J244&lt;&gt;"Y","Save receipt","OK"))))</f>
        <v/>
      </c>
      <c r="P244" s="29" t="str">
        <f aca="false">IF($A244="","",DATE(YEAR($A244),MONTH($A244),1))</f>
        <v/>
      </c>
      <c r="Q244" s="31" t="str">
        <f aca="false">IF($A244="","",IF(AND($L244='Invoice Builder'!$C$5,$P244='Invoice Builder'!$C$6,N($N244)&gt;0),COUNTIFS($L$5:$L244,'Invoice Builder'!$C$5,$P$5:$P244,'Invoice Builder'!$C$6,$N$5:$N244,"&gt;0"),""))</f>
        <v/>
      </c>
      <c r="R244" s="27" t="str">
        <f aca="false">IF($A244="","",IF($A244&gt;=DATE(YEAR($A244),4,6),YEAR($A244)&amp;"/"&amp;RIGHT(YEAR($A244)+1,2),YEAR($A244)-1&amp;"/"&amp;RIGHT(YEAR($A244),2)))</f>
        <v/>
      </c>
    </row>
    <row r="245" customFormat="false" ht="15" hidden="false" customHeight="false" outlineLevel="0" collapsed="false">
      <c r="A245" s="22"/>
      <c r="B245" s="23"/>
      <c r="C245" s="23"/>
      <c r="D245" s="23"/>
      <c r="E245" s="32"/>
      <c r="F245" s="25"/>
      <c r="G245" s="23"/>
      <c r="H245" s="23"/>
      <c r="I245" s="23"/>
      <c r="J245" s="23"/>
      <c r="K245" s="23"/>
      <c r="L245" s="27" t="str">
        <f aca="false">IF($B245="","",IFERROR(INDEX(Properties!$D$5:$D$104,MATCH($B245,Properties!$A$5:$A$104,0)),"-"))</f>
        <v/>
      </c>
      <c r="M245" s="28" t="str">
        <f aca="false">IF(OR($A245="",N($E245)=0),"",$F245/$E245)</f>
        <v/>
      </c>
      <c r="N245" s="28" t="str">
        <f aca="false">IF($A245="","",IF($H245="Y",$F245*(1+Settings!$B$3),0))</f>
        <v/>
      </c>
      <c r="O245" s="27" t="str">
        <f aca="false">IF($A245="","",IF(AND($H245="Y",$G245&lt;&gt;"Restock",N($M245)&gt;Settings!$B$4,$I245&lt;&gt;"Y"),"Get host OK",IF(AND($H245="Y",$F245&gt;Settings!$B$5,$I245&lt;&gt;"Y"),"Host should pay upfront",IF($J245&lt;&gt;"Y","Save receipt","OK"))))</f>
        <v/>
      </c>
      <c r="P245" s="29" t="str">
        <f aca="false">IF($A245="","",DATE(YEAR($A245),MONTH($A245),1))</f>
        <v/>
      </c>
      <c r="Q245" s="31" t="str">
        <f aca="false">IF($A245="","",IF(AND($L245='Invoice Builder'!$C$5,$P245='Invoice Builder'!$C$6,N($N245)&gt;0),COUNTIFS($L$5:$L245,'Invoice Builder'!$C$5,$P$5:$P245,'Invoice Builder'!$C$6,$N$5:$N245,"&gt;0"),""))</f>
        <v/>
      </c>
      <c r="R245" s="27" t="str">
        <f aca="false">IF($A245="","",IF($A245&gt;=DATE(YEAR($A245),4,6),YEAR($A245)&amp;"/"&amp;RIGHT(YEAR($A245)+1,2),YEAR($A245)-1&amp;"/"&amp;RIGHT(YEAR($A245),2)))</f>
        <v/>
      </c>
    </row>
    <row r="246" customFormat="false" ht="15" hidden="false" customHeight="false" outlineLevel="0" collapsed="false">
      <c r="A246" s="22"/>
      <c r="B246" s="23"/>
      <c r="C246" s="23"/>
      <c r="D246" s="23"/>
      <c r="E246" s="32"/>
      <c r="F246" s="25"/>
      <c r="G246" s="23"/>
      <c r="H246" s="23"/>
      <c r="I246" s="23"/>
      <c r="J246" s="23"/>
      <c r="K246" s="23"/>
      <c r="L246" s="27" t="str">
        <f aca="false">IF($B246="","",IFERROR(INDEX(Properties!$D$5:$D$104,MATCH($B246,Properties!$A$5:$A$104,0)),"-"))</f>
        <v/>
      </c>
      <c r="M246" s="28" t="str">
        <f aca="false">IF(OR($A246="",N($E246)=0),"",$F246/$E246)</f>
        <v/>
      </c>
      <c r="N246" s="28" t="str">
        <f aca="false">IF($A246="","",IF($H246="Y",$F246*(1+Settings!$B$3),0))</f>
        <v/>
      </c>
      <c r="O246" s="27" t="str">
        <f aca="false">IF($A246="","",IF(AND($H246="Y",$G246&lt;&gt;"Restock",N($M246)&gt;Settings!$B$4,$I246&lt;&gt;"Y"),"Get host OK",IF(AND($H246="Y",$F246&gt;Settings!$B$5,$I246&lt;&gt;"Y"),"Host should pay upfront",IF($J246&lt;&gt;"Y","Save receipt","OK"))))</f>
        <v/>
      </c>
      <c r="P246" s="29" t="str">
        <f aca="false">IF($A246="","",DATE(YEAR($A246),MONTH($A246),1))</f>
        <v/>
      </c>
      <c r="Q246" s="31" t="str">
        <f aca="false">IF($A246="","",IF(AND($L246='Invoice Builder'!$C$5,$P246='Invoice Builder'!$C$6,N($N246)&gt;0),COUNTIFS($L$5:$L246,'Invoice Builder'!$C$5,$P$5:$P246,'Invoice Builder'!$C$6,$N$5:$N246,"&gt;0"),""))</f>
        <v/>
      </c>
      <c r="R246" s="27" t="str">
        <f aca="false">IF($A246="","",IF($A246&gt;=DATE(YEAR($A246),4,6),YEAR($A246)&amp;"/"&amp;RIGHT(YEAR($A246)+1,2),YEAR($A246)-1&amp;"/"&amp;RIGHT(YEAR($A246),2)))</f>
        <v/>
      </c>
    </row>
    <row r="247" customFormat="false" ht="15" hidden="false" customHeight="false" outlineLevel="0" collapsed="false">
      <c r="A247" s="22"/>
      <c r="B247" s="23"/>
      <c r="C247" s="23"/>
      <c r="D247" s="23"/>
      <c r="E247" s="32"/>
      <c r="F247" s="25"/>
      <c r="G247" s="23"/>
      <c r="H247" s="23"/>
      <c r="I247" s="23"/>
      <c r="J247" s="23"/>
      <c r="K247" s="23"/>
      <c r="L247" s="27" t="str">
        <f aca="false">IF($B247="","",IFERROR(INDEX(Properties!$D$5:$D$104,MATCH($B247,Properties!$A$5:$A$104,0)),"-"))</f>
        <v/>
      </c>
      <c r="M247" s="28" t="str">
        <f aca="false">IF(OR($A247="",N($E247)=0),"",$F247/$E247)</f>
        <v/>
      </c>
      <c r="N247" s="28" t="str">
        <f aca="false">IF($A247="","",IF($H247="Y",$F247*(1+Settings!$B$3),0))</f>
        <v/>
      </c>
      <c r="O247" s="27" t="str">
        <f aca="false">IF($A247="","",IF(AND($H247="Y",$G247&lt;&gt;"Restock",N($M247)&gt;Settings!$B$4,$I247&lt;&gt;"Y"),"Get host OK",IF(AND($H247="Y",$F247&gt;Settings!$B$5,$I247&lt;&gt;"Y"),"Host should pay upfront",IF($J247&lt;&gt;"Y","Save receipt","OK"))))</f>
        <v/>
      </c>
      <c r="P247" s="29" t="str">
        <f aca="false">IF($A247="","",DATE(YEAR($A247),MONTH($A247),1))</f>
        <v/>
      </c>
      <c r="Q247" s="31" t="str">
        <f aca="false">IF($A247="","",IF(AND($L247='Invoice Builder'!$C$5,$P247='Invoice Builder'!$C$6,N($N247)&gt;0),COUNTIFS($L$5:$L247,'Invoice Builder'!$C$5,$P$5:$P247,'Invoice Builder'!$C$6,$N$5:$N247,"&gt;0"),""))</f>
        <v/>
      </c>
      <c r="R247" s="27" t="str">
        <f aca="false">IF($A247="","",IF($A247&gt;=DATE(YEAR($A247),4,6),YEAR($A247)&amp;"/"&amp;RIGHT(YEAR($A247)+1,2),YEAR($A247)-1&amp;"/"&amp;RIGHT(YEAR($A247),2)))</f>
        <v/>
      </c>
    </row>
    <row r="248" customFormat="false" ht="15" hidden="false" customHeight="false" outlineLevel="0" collapsed="false">
      <c r="A248" s="22"/>
      <c r="B248" s="23"/>
      <c r="C248" s="23"/>
      <c r="D248" s="23"/>
      <c r="E248" s="32"/>
      <c r="F248" s="25"/>
      <c r="G248" s="23"/>
      <c r="H248" s="23"/>
      <c r="I248" s="23"/>
      <c r="J248" s="23"/>
      <c r="K248" s="23"/>
      <c r="L248" s="27" t="str">
        <f aca="false">IF($B248="","",IFERROR(INDEX(Properties!$D$5:$D$104,MATCH($B248,Properties!$A$5:$A$104,0)),"-"))</f>
        <v/>
      </c>
      <c r="M248" s="28" t="str">
        <f aca="false">IF(OR($A248="",N($E248)=0),"",$F248/$E248)</f>
        <v/>
      </c>
      <c r="N248" s="28" t="str">
        <f aca="false">IF($A248="","",IF($H248="Y",$F248*(1+Settings!$B$3),0))</f>
        <v/>
      </c>
      <c r="O248" s="27" t="str">
        <f aca="false">IF($A248="","",IF(AND($H248="Y",$G248&lt;&gt;"Restock",N($M248)&gt;Settings!$B$4,$I248&lt;&gt;"Y"),"Get host OK",IF(AND($H248="Y",$F248&gt;Settings!$B$5,$I248&lt;&gt;"Y"),"Host should pay upfront",IF($J248&lt;&gt;"Y","Save receipt","OK"))))</f>
        <v/>
      </c>
      <c r="P248" s="29" t="str">
        <f aca="false">IF($A248="","",DATE(YEAR($A248),MONTH($A248),1))</f>
        <v/>
      </c>
      <c r="Q248" s="31" t="str">
        <f aca="false">IF($A248="","",IF(AND($L248='Invoice Builder'!$C$5,$P248='Invoice Builder'!$C$6,N($N248)&gt;0),COUNTIFS($L$5:$L248,'Invoice Builder'!$C$5,$P$5:$P248,'Invoice Builder'!$C$6,$N$5:$N248,"&gt;0"),""))</f>
        <v/>
      </c>
      <c r="R248" s="27" t="str">
        <f aca="false">IF($A248="","",IF($A248&gt;=DATE(YEAR($A248),4,6),YEAR($A248)&amp;"/"&amp;RIGHT(YEAR($A248)+1,2),YEAR($A248)-1&amp;"/"&amp;RIGHT(YEAR($A248),2)))</f>
        <v/>
      </c>
    </row>
    <row r="249" customFormat="false" ht="15" hidden="false" customHeight="false" outlineLevel="0" collapsed="false">
      <c r="A249" s="22"/>
      <c r="B249" s="23"/>
      <c r="C249" s="23"/>
      <c r="D249" s="23"/>
      <c r="E249" s="32"/>
      <c r="F249" s="25"/>
      <c r="G249" s="23"/>
      <c r="H249" s="23"/>
      <c r="I249" s="23"/>
      <c r="J249" s="23"/>
      <c r="K249" s="23"/>
      <c r="L249" s="27" t="str">
        <f aca="false">IF($B249="","",IFERROR(INDEX(Properties!$D$5:$D$104,MATCH($B249,Properties!$A$5:$A$104,0)),"-"))</f>
        <v/>
      </c>
      <c r="M249" s="28" t="str">
        <f aca="false">IF(OR($A249="",N($E249)=0),"",$F249/$E249)</f>
        <v/>
      </c>
      <c r="N249" s="28" t="str">
        <f aca="false">IF($A249="","",IF($H249="Y",$F249*(1+Settings!$B$3),0))</f>
        <v/>
      </c>
      <c r="O249" s="27" t="str">
        <f aca="false">IF($A249="","",IF(AND($H249="Y",$G249&lt;&gt;"Restock",N($M249)&gt;Settings!$B$4,$I249&lt;&gt;"Y"),"Get host OK",IF(AND($H249="Y",$F249&gt;Settings!$B$5,$I249&lt;&gt;"Y"),"Host should pay upfront",IF($J249&lt;&gt;"Y","Save receipt","OK"))))</f>
        <v/>
      </c>
      <c r="P249" s="29" t="str">
        <f aca="false">IF($A249="","",DATE(YEAR($A249),MONTH($A249),1))</f>
        <v/>
      </c>
      <c r="Q249" s="31" t="str">
        <f aca="false">IF($A249="","",IF(AND($L249='Invoice Builder'!$C$5,$P249='Invoice Builder'!$C$6,N($N249)&gt;0),COUNTIFS($L$5:$L249,'Invoice Builder'!$C$5,$P$5:$P249,'Invoice Builder'!$C$6,$N$5:$N249,"&gt;0"),""))</f>
        <v/>
      </c>
      <c r="R249" s="27" t="str">
        <f aca="false">IF($A249="","",IF($A249&gt;=DATE(YEAR($A249),4,6),YEAR($A249)&amp;"/"&amp;RIGHT(YEAR($A249)+1,2),YEAR($A249)-1&amp;"/"&amp;RIGHT(YEAR($A249),2)))</f>
        <v/>
      </c>
    </row>
    <row r="250" customFormat="false" ht="15" hidden="false" customHeight="false" outlineLevel="0" collapsed="false">
      <c r="A250" s="22"/>
      <c r="B250" s="23"/>
      <c r="C250" s="23"/>
      <c r="D250" s="23"/>
      <c r="E250" s="32"/>
      <c r="F250" s="25"/>
      <c r="G250" s="23"/>
      <c r="H250" s="23"/>
      <c r="I250" s="23"/>
      <c r="J250" s="23"/>
      <c r="K250" s="23"/>
      <c r="L250" s="27" t="str">
        <f aca="false">IF($B250="","",IFERROR(INDEX(Properties!$D$5:$D$104,MATCH($B250,Properties!$A$5:$A$104,0)),"-"))</f>
        <v/>
      </c>
      <c r="M250" s="28" t="str">
        <f aca="false">IF(OR($A250="",N($E250)=0),"",$F250/$E250)</f>
        <v/>
      </c>
      <c r="N250" s="28" t="str">
        <f aca="false">IF($A250="","",IF($H250="Y",$F250*(1+Settings!$B$3),0))</f>
        <v/>
      </c>
      <c r="O250" s="27" t="str">
        <f aca="false">IF($A250="","",IF(AND($H250="Y",$G250&lt;&gt;"Restock",N($M250)&gt;Settings!$B$4,$I250&lt;&gt;"Y"),"Get host OK",IF(AND($H250="Y",$F250&gt;Settings!$B$5,$I250&lt;&gt;"Y"),"Host should pay upfront",IF($J250&lt;&gt;"Y","Save receipt","OK"))))</f>
        <v/>
      </c>
      <c r="P250" s="29" t="str">
        <f aca="false">IF($A250="","",DATE(YEAR($A250),MONTH($A250),1))</f>
        <v/>
      </c>
      <c r="Q250" s="31" t="str">
        <f aca="false">IF($A250="","",IF(AND($L250='Invoice Builder'!$C$5,$P250='Invoice Builder'!$C$6,N($N250)&gt;0),COUNTIFS($L$5:$L250,'Invoice Builder'!$C$5,$P$5:$P250,'Invoice Builder'!$C$6,$N$5:$N250,"&gt;0"),""))</f>
        <v/>
      </c>
      <c r="R250" s="27" t="str">
        <f aca="false">IF($A250="","",IF($A250&gt;=DATE(YEAR($A250),4,6),YEAR($A250)&amp;"/"&amp;RIGHT(YEAR($A250)+1,2),YEAR($A250)-1&amp;"/"&amp;RIGHT(YEAR($A250),2)))</f>
        <v/>
      </c>
    </row>
    <row r="251" customFormat="false" ht="15" hidden="false" customHeight="false" outlineLevel="0" collapsed="false">
      <c r="A251" s="22"/>
      <c r="B251" s="23"/>
      <c r="C251" s="23"/>
      <c r="D251" s="23"/>
      <c r="E251" s="32"/>
      <c r="F251" s="25"/>
      <c r="G251" s="23"/>
      <c r="H251" s="23"/>
      <c r="I251" s="23"/>
      <c r="J251" s="23"/>
      <c r="K251" s="23"/>
      <c r="L251" s="27" t="str">
        <f aca="false">IF($B251="","",IFERROR(INDEX(Properties!$D$5:$D$104,MATCH($B251,Properties!$A$5:$A$104,0)),"-"))</f>
        <v/>
      </c>
      <c r="M251" s="28" t="str">
        <f aca="false">IF(OR($A251="",N($E251)=0),"",$F251/$E251)</f>
        <v/>
      </c>
      <c r="N251" s="28" t="str">
        <f aca="false">IF($A251="","",IF($H251="Y",$F251*(1+Settings!$B$3),0))</f>
        <v/>
      </c>
      <c r="O251" s="27" t="str">
        <f aca="false">IF($A251="","",IF(AND($H251="Y",$G251&lt;&gt;"Restock",N($M251)&gt;Settings!$B$4,$I251&lt;&gt;"Y"),"Get host OK",IF(AND($H251="Y",$F251&gt;Settings!$B$5,$I251&lt;&gt;"Y"),"Host should pay upfront",IF($J251&lt;&gt;"Y","Save receipt","OK"))))</f>
        <v/>
      </c>
      <c r="P251" s="29" t="str">
        <f aca="false">IF($A251="","",DATE(YEAR($A251),MONTH($A251),1))</f>
        <v/>
      </c>
      <c r="Q251" s="31" t="str">
        <f aca="false">IF($A251="","",IF(AND($L251='Invoice Builder'!$C$5,$P251='Invoice Builder'!$C$6,N($N251)&gt;0),COUNTIFS($L$5:$L251,'Invoice Builder'!$C$5,$P$5:$P251,'Invoice Builder'!$C$6,$N$5:$N251,"&gt;0"),""))</f>
        <v/>
      </c>
      <c r="R251" s="27" t="str">
        <f aca="false">IF($A251="","",IF($A251&gt;=DATE(YEAR($A251),4,6),YEAR($A251)&amp;"/"&amp;RIGHT(YEAR($A251)+1,2),YEAR($A251)-1&amp;"/"&amp;RIGHT(YEAR($A251),2)))</f>
        <v/>
      </c>
    </row>
    <row r="252" customFormat="false" ht="15" hidden="false" customHeight="false" outlineLevel="0" collapsed="false">
      <c r="A252" s="22"/>
      <c r="B252" s="23"/>
      <c r="C252" s="23"/>
      <c r="D252" s="23"/>
      <c r="E252" s="32"/>
      <c r="F252" s="25"/>
      <c r="G252" s="23"/>
      <c r="H252" s="23"/>
      <c r="I252" s="23"/>
      <c r="J252" s="23"/>
      <c r="K252" s="23"/>
      <c r="L252" s="27" t="str">
        <f aca="false">IF($B252="","",IFERROR(INDEX(Properties!$D$5:$D$104,MATCH($B252,Properties!$A$5:$A$104,0)),"-"))</f>
        <v/>
      </c>
      <c r="M252" s="28" t="str">
        <f aca="false">IF(OR($A252="",N($E252)=0),"",$F252/$E252)</f>
        <v/>
      </c>
      <c r="N252" s="28" t="str">
        <f aca="false">IF($A252="","",IF($H252="Y",$F252*(1+Settings!$B$3),0))</f>
        <v/>
      </c>
      <c r="O252" s="27" t="str">
        <f aca="false">IF($A252="","",IF(AND($H252="Y",$G252&lt;&gt;"Restock",N($M252)&gt;Settings!$B$4,$I252&lt;&gt;"Y"),"Get host OK",IF(AND($H252="Y",$F252&gt;Settings!$B$5,$I252&lt;&gt;"Y"),"Host should pay upfront",IF($J252&lt;&gt;"Y","Save receipt","OK"))))</f>
        <v/>
      </c>
      <c r="P252" s="29" t="str">
        <f aca="false">IF($A252="","",DATE(YEAR($A252),MONTH($A252),1))</f>
        <v/>
      </c>
      <c r="Q252" s="31" t="str">
        <f aca="false">IF($A252="","",IF(AND($L252='Invoice Builder'!$C$5,$P252='Invoice Builder'!$C$6,N($N252)&gt;0),COUNTIFS($L$5:$L252,'Invoice Builder'!$C$5,$P$5:$P252,'Invoice Builder'!$C$6,$N$5:$N252,"&gt;0"),""))</f>
        <v/>
      </c>
      <c r="R252" s="27" t="str">
        <f aca="false">IF($A252="","",IF($A252&gt;=DATE(YEAR($A252),4,6),YEAR($A252)&amp;"/"&amp;RIGHT(YEAR($A252)+1,2),YEAR($A252)-1&amp;"/"&amp;RIGHT(YEAR($A252),2)))</f>
        <v/>
      </c>
    </row>
    <row r="253" customFormat="false" ht="15" hidden="false" customHeight="false" outlineLevel="0" collapsed="false">
      <c r="A253" s="22"/>
      <c r="B253" s="23"/>
      <c r="C253" s="23"/>
      <c r="D253" s="23"/>
      <c r="E253" s="32"/>
      <c r="F253" s="25"/>
      <c r="G253" s="23"/>
      <c r="H253" s="23"/>
      <c r="I253" s="23"/>
      <c r="J253" s="23"/>
      <c r="K253" s="23"/>
      <c r="L253" s="27" t="str">
        <f aca="false">IF($B253="","",IFERROR(INDEX(Properties!$D$5:$D$104,MATCH($B253,Properties!$A$5:$A$104,0)),"-"))</f>
        <v/>
      </c>
      <c r="M253" s="28" t="str">
        <f aca="false">IF(OR($A253="",N($E253)=0),"",$F253/$E253)</f>
        <v/>
      </c>
      <c r="N253" s="28" t="str">
        <f aca="false">IF($A253="","",IF($H253="Y",$F253*(1+Settings!$B$3),0))</f>
        <v/>
      </c>
      <c r="O253" s="27" t="str">
        <f aca="false">IF($A253="","",IF(AND($H253="Y",$G253&lt;&gt;"Restock",N($M253)&gt;Settings!$B$4,$I253&lt;&gt;"Y"),"Get host OK",IF(AND($H253="Y",$F253&gt;Settings!$B$5,$I253&lt;&gt;"Y"),"Host should pay upfront",IF($J253&lt;&gt;"Y","Save receipt","OK"))))</f>
        <v/>
      </c>
      <c r="P253" s="29" t="str">
        <f aca="false">IF($A253="","",DATE(YEAR($A253),MONTH($A253),1))</f>
        <v/>
      </c>
      <c r="Q253" s="31" t="str">
        <f aca="false">IF($A253="","",IF(AND($L253='Invoice Builder'!$C$5,$P253='Invoice Builder'!$C$6,N($N253)&gt;0),COUNTIFS($L$5:$L253,'Invoice Builder'!$C$5,$P$5:$P253,'Invoice Builder'!$C$6,$N$5:$N253,"&gt;0"),""))</f>
        <v/>
      </c>
      <c r="R253" s="27" t="str">
        <f aca="false">IF($A253="","",IF($A253&gt;=DATE(YEAR($A253),4,6),YEAR($A253)&amp;"/"&amp;RIGHT(YEAR($A253)+1,2),YEAR($A253)-1&amp;"/"&amp;RIGHT(YEAR($A253),2)))</f>
        <v/>
      </c>
    </row>
    <row r="254" customFormat="false" ht="15" hidden="false" customHeight="false" outlineLevel="0" collapsed="false">
      <c r="A254" s="22"/>
      <c r="B254" s="23"/>
      <c r="C254" s="23"/>
      <c r="D254" s="23"/>
      <c r="E254" s="32"/>
      <c r="F254" s="25"/>
      <c r="G254" s="23"/>
      <c r="H254" s="23"/>
      <c r="I254" s="23"/>
      <c r="J254" s="23"/>
      <c r="K254" s="23"/>
      <c r="L254" s="27" t="str">
        <f aca="false">IF($B254="","",IFERROR(INDEX(Properties!$D$5:$D$104,MATCH($B254,Properties!$A$5:$A$104,0)),"-"))</f>
        <v/>
      </c>
      <c r="M254" s="28" t="str">
        <f aca="false">IF(OR($A254="",N($E254)=0),"",$F254/$E254)</f>
        <v/>
      </c>
      <c r="N254" s="28" t="str">
        <f aca="false">IF($A254="","",IF($H254="Y",$F254*(1+Settings!$B$3),0))</f>
        <v/>
      </c>
      <c r="O254" s="27" t="str">
        <f aca="false">IF($A254="","",IF(AND($H254="Y",$G254&lt;&gt;"Restock",N($M254)&gt;Settings!$B$4,$I254&lt;&gt;"Y"),"Get host OK",IF(AND($H254="Y",$F254&gt;Settings!$B$5,$I254&lt;&gt;"Y"),"Host should pay upfront",IF($J254&lt;&gt;"Y","Save receipt","OK"))))</f>
        <v/>
      </c>
      <c r="P254" s="29" t="str">
        <f aca="false">IF($A254="","",DATE(YEAR($A254),MONTH($A254),1))</f>
        <v/>
      </c>
      <c r="Q254" s="31" t="str">
        <f aca="false">IF($A254="","",IF(AND($L254='Invoice Builder'!$C$5,$P254='Invoice Builder'!$C$6,N($N254)&gt;0),COUNTIFS($L$5:$L254,'Invoice Builder'!$C$5,$P$5:$P254,'Invoice Builder'!$C$6,$N$5:$N254,"&gt;0"),""))</f>
        <v/>
      </c>
      <c r="R254" s="27" t="str">
        <f aca="false">IF($A254="","",IF($A254&gt;=DATE(YEAR($A254),4,6),YEAR($A254)&amp;"/"&amp;RIGHT(YEAR($A254)+1,2),YEAR($A254)-1&amp;"/"&amp;RIGHT(YEAR($A254),2)))</f>
        <v/>
      </c>
    </row>
    <row r="255" customFormat="false" ht="15" hidden="false" customHeight="false" outlineLevel="0" collapsed="false">
      <c r="A255" s="22"/>
      <c r="B255" s="23"/>
      <c r="C255" s="23"/>
      <c r="D255" s="23"/>
      <c r="E255" s="32"/>
      <c r="F255" s="25"/>
      <c r="G255" s="23"/>
      <c r="H255" s="23"/>
      <c r="I255" s="23"/>
      <c r="J255" s="23"/>
      <c r="K255" s="23"/>
      <c r="L255" s="27" t="str">
        <f aca="false">IF($B255="","",IFERROR(INDEX(Properties!$D$5:$D$104,MATCH($B255,Properties!$A$5:$A$104,0)),"-"))</f>
        <v/>
      </c>
      <c r="M255" s="28" t="str">
        <f aca="false">IF(OR($A255="",N($E255)=0),"",$F255/$E255)</f>
        <v/>
      </c>
      <c r="N255" s="28" t="str">
        <f aca="false">IF($A255="","",IF($H255="Y",$F255*(1+Settings!$B$3),0))</f>
        <v/>
      </c>
      <c r="O255" s="27" t="str">
        <f aca="false">IF($A255="","",IF(AND($H255="Y",$G255&lt;&gt;"Restock",N($M255)&gt;Settings!$B$4,$I255&lt;&gt;"Y"),"Get host OK",IF(AND($H255="Y",$F255&gt;Settings!$B$5,$I255&lt;&gt;"Y"),"Host should pay upfront",IF($J255&lt;&gt;"Y","Save receipt","OK"))))</f>
        <v/>
      </c>
      <c r="P255" s="29" t="str">
        <f aca="false">IF($A255="","",DATE(YEAR($A255),MONTH($A255),1))</f>
        <v/>
      </c>
      <c r="Q255" s="31" t="str">
        <f aca="false">IF($A255="","",IF(AND($L255='Invoice Builder'!$C$5,$P255='Invoice Builder'!$C$6,N($N255)&gt;0),COUNTIFS($L$5:$L255,'Invoice Builder'!$C$5,$P$5:$P255,'Invoice Builder'!$C$6,$N$5:$N255,"&gt;0"),""))</f>
        <v/>
      </c>
      <c r="R255" s="27" t="str">
        <f aca="false">IF($A255="","",IF($A255&gt;=DATE(YEAR($A255),4,6),YEAR($A255)&amp;"/"&amp;RIGHT(YEAR($A255)+1,2),YEAR($A255)-1&amp;"/"&amp;RIGHT(YEAR($A255),2)))</f>
        <v/>
      </c>
    </row>
    <row r="256" customFormat="false" ht="15" hidden="false" customHeight="false" outlineLevel="0" collapsed="false">
      <c r="A256" s="22"/>
      <c r="B256" s="23"/>
      <c r="C256" s="23"/>
      <c r="D256" s="23"/>
      <c r="E256" s="32"/>
      <c r="F256" s="25"/>
      <c r="G256" s="23"/>
      <c r="H256" s="23"/>
      <c r="I256" s="23"/>
      <c r="J256" s="23"/>
      <c r="K256" s="23"/>
      <c r="L256" s="27" t="str">
        <f aca="false">IF($B256="","",IFERROR(INDEX(Properties!$D$5:$D$104,MATCH($B256,Properties!$A$5:$A$104,0)),"-"))</f>
        <v/>
      </c>
      <c r="M256" s="28" t="str">
        <f aca="false">IF(OR($A256="",N($E256)=0),"",$F256/$E256)</f>
        <v/>
      </c>
      <c r="N256" s="28" t="str">
        <f aca="false">IF($A256="","",IF($H256="Y",$F256*(1+Settings!$B$3),0))</f>
        <v/>
      </c>
      <c r="O256" s="27" t="str">
        <f aca="false">IF($A256="","",IF(AND($H256="Y",$G256&lt;&gt;"Restock",N($M256)&gt;Settings!$B$4,$I256&lt;&gt;"Y"),"Get host OK",IF(AND($H256="Y",$F256&gt;Settings!$B$5,$I256&lt;&gt;"Y"),"Host should pay upfront",IF($J256&lt;&gt;"Y","Save receipt","OK"))))</f>
        <v/>
      </c>
      <c r="P256" s="29" t="str">
        <f aca="false">IF($A256="","",DATE(YEAR($A256),MONTH($A256),1))</f>
        <v/>
      </c>
      <c r="Q256" s="31" t="str">
        <f aca="false">IF($A256="","",IF(AND($L256='Invoice Builder'!$C$5,$P256='Invoice Builder'!$C$6,N($N256)&gt;0),COUNTIFS($L$5:$L256,'Invoice Builder'!$C$5,$P$5:$P256,'Invoice Builder'!$C$6,$N$5:$N256,"&gt;0"),""))</f>
        <v/>
      </c>
      <c r="R256" s="27" t="str">
        <f aca="false">IF($A256="","",IF($A256&gt;=DATE(YEAR($A256),4,6),YEAR($A256)&amp;"/"&amp;RIGHT(YEAR($A256)+1,2),YEAR($A256)-1&amp;"/"&amp;RIGHT(YEAR($A256),2)))</f>
        <v/>
      </c>
    </row>
    <row r="257" customFormat="false" ht="15" hidden="false" customHeight="false" outlineLevel="0" collapsed="false">
      <c r="A257" s="22"/>
      <c r="B257" s="23"/>
      <c r="C257" s="23"/>
      <c r="D257" s="23"/>
      <c r="E257" s="32"/>
      <c r="F257" s="25"/>
      <c r="G257" s="23"/>
      <c r="H257" s="23"/>
      <c r="I257" s="23"/>
      <c r="J257" s="23"/>
      <c r="K257" s="23"/>
      <c r="L257" s="27" t="str">
        <f aca="false">IF($B257="","",IFERROR(INDEX(Properties!$D$5:$D$104,MATCH($B257,Properties!$A$5:$A$104,0)),"-"))</f>
        <v/>
      </c>
      <c r="M257" s="28" t="str">
        <f aca="false">IF(OR($A257="",N($E257)=0),"",$F257/$E257)</f>
        <v/>
      </c>
      <c r="N257" s="28" t="str">
        <f aca="false">IF($A257="","",IF($H257="Y",$F257*(1+Settings!$B$3),0))</f>
        <v/>
      </c>
      <c r="O257" s="27" t="str">
        <f aca="false">IF($A257="","",IF(AND($H257="Y",$G257&lt;&gt;"Restock",N($M257)&gt;Settings!$B$4,$I257&lt;&gt;"Y"),"Get host OK",IF(AND($H257="Y",$F257&gt;Settings!$B$5,$I257&lt;&gt;"Y"),"Host should pay upfront",IF($J257&lt;&gt;"Y","Save receipt","OK"))))</f>
        <v/>
      </c>
      <c r="P257" s="29" t="str">
        <f aca="false">IF($A257="","",DATE(YEAR($A257),MONTH($A257),1))</f>
        <v/>
      </c>
      <c r="Q257" s="31" t="str">
        <f aca="false">IF($A257="","",IF(AND($L257='Invoice Builder'!$C$5,$P257='Invoice Builder'!$C$6,N($N257)&gt;0),COUNTIFS($L$5:$L257,'Invoice Builder'!$C$5,$P$5:$P257,'Invoice Builder'!$C$6,$N$5:$N257,"&gt;0"),""))</f>
        <v/>
      </c>
      <c r="R257" s="27" t="str">
        <f aca="false">IF($A257="","",IF($A257&gt;=DATE(YEAR($A257),4,6),YEAR($A257)&amp;"/"&amp;RIGHT(YEAR($A257)+1,2),YEAR($A257)-1&amp;"/"&amp;RIGHT(YEAR($A257),2)))</f>
        <v/>
      </c>
    </row>
    <row r="258" customFormat="false" ht="15" hidden="false" customHeight="false" outlineLevel="0" collapsed="false">
      <c r="A258" s="22"/>
      <c r="B258" s="23"/>
      <c r="C258" s="23"/>
      <c r="D258" s="23"/>
      <c r="E258" s="32"/>
      <c r="F258" s="25"/>
      <c r="G258" s="23"/>
      <c r="H258" s="23"/>
      <c r="I258" s="23"/>
      <c r="J258" s="23"/>
      <c r="K258" s="23"/>
      <c r="L258" s="27" t="str">
        <f aca="false">IF($B258="","",IFERROR(INDEX(Properties!$D$5:$D$104,MATCH($B258,Properties!$A$5:$A$104,0)),"-"))</f>
        <v/>
      </c>
      <c r="M258" s="28" t="str">
        <f aca="false">IF(OR($A258="",N($E258)=0),"",$F258/$E258)</f>
        <v/>
      </c>
      <c r="N258" s="28" t="str">
        <f aca="false">IF($A258="","",IF($H258="Y",$F258*(1+Settings!$B$3),0))</f>
        <v/>
      </c>
      <c r="O258" s="27" t="str">
        <f aca="false">IF($A258="","",IF(AND($H258="Y",$G258&lt;&gt;"Restock",N($M258)&gt;Settings!$B$4,$I258&lt;&gt;"Y"),"Get host OK",IF(AND($H258="Y",$F258&gt;Settings!$B$5,$I258&lt;&gt;"Y"),"Host should pay upfront",IF($J258&lt;&gt;"Y","Save receipt","OK"))))</f>
        <v/>
      </c>
      <c r="P258" s="29" t="str">
        <f aca="false">IF($A258="","",DATE(YEAR($A258),MONTH($A258),1))</f>
        <v/>
      </c>
      <c r="Q258" s="31" t="str">
        <f aca="false">IF($A258="","",IF(AND($L258='Invoice Builder'!$C$5,$P258='Invoice Builder'!$C$6,N($N258)&gt;0),COUNTIFS($L$5:$L258,'Invoice Builder'!$C$5,$P$5:$P258,'Invoice Builder'!$C$6,$N$5:$N258,"&gt;0"),""))</f>
        <v/>
      </c>
      <c r="R258" s="27" t="str">
        <f aca="false">IF($A258="","",IF($A258&gt;=DATE(YEAR($A258),4,6),YEAR($A258)&amp;"/"&amp;RIGHT(YEAR($A258)+1,2),YEAR($A258)-1&amp;"/"&amp;RIGHT(YEAR($A258),2)))</f>
        <v/>
      </c>
    </row>
    <row r="259" customFormat="false" ht="15" hidden="false" customHeight="false" outlineLevel="0" collapsed="false">
      <c r="A259" s="22"/>
      <c r="B259" s="23"/>
      <c r="C259" s="23"/>
      <c r="D259" s="23"/>
      <c r="E259" s="32"/>
      <c r="F259" s="25"/>
      <c r="G259" s="23"/>
      <c r="H259" s="23"/>
      <c r="I259" s="23"/>
      <c r="J259" s="23"/>
      <c r="K259" s="23"/>
      <c r="L259" s="27" t="str">
        <f aca="false">IF($B259="","",IFERROR(INDEX(Properties!$D$5:$D$104,MATCH($B259,Properties!$A$5:$A$104,0)),"-"))</f>
        <v/>
      </c>
      <c r="M259" s="28" t="str">
        <f aca="false">IF(OR($A259="",N($E259)=0),"",$F259/$E259)</f>
        <v/>
      </c>
      <c r="N259" s="28" t="str">
        <f aca="false">IF($A259="","",IF($H259="Y",$F259*(1+Settings!$B$3),0))</f>
        <v/>
      </c>
      <c r="O259" s="27" t="str">
        <f aca="false">IF($A259="","",IF(AND($H259="Y",$G259&lt;&gt;"Restock",N($M259)&gt;Settings!$B$4,$I259&lt;&gt;"Y"),"Get host OK",IF(AND($H259="Y",$F259&gt;Settings!$B$5,$I259&lt;&gt;"Y"),"Host should pay upfront",IF($J259&lt;&gt;"Y","Save receipt","OK"))))</f>
        <v/>
      </c>
      <c r="P259" s="29" t="str">
        <f aca="false">IF($A259="","",DATE(YEAR($A259),MONTH($A259),1))</f>
        <v/>
      </c>
      <c r="Q259" s="31" t="str">
        <f aca="false">IF($A259="","",IF(AND($L259='Invoice Builder'!$C$5,$P259='Invoice Builder'!$C$6,N($N259)&gt;0),COUNTIFS($L$5:$L259,'Invoice Builder'!$C$5,$P$5:$P259,'Invoice Builder'!$C$6,$N$5:$N259,"&gt;0"),""))</f>
        <v/>
      </c>
      <c r="R259" s="27" t="str">
        <f aca="false">IF($A259="","",IF($A259&gt;=DATE(YEAR($A259),4,6),YEAR($A259)&amp;"/"&amp;RIGHT(YEAR($A259)+1,2),YEAR($A259)-1&amp;"/"&amp;RIGHT(YEAR($A259),2)))</f>
        <v/>
      </c>
    </row>
    <row r="260" customFormat="false" ht="15" hidden="false" customHeight="false" outlineLevel="0" collapsed="false">
      <c r="A260" s="22"/>
      <c r="B260" s="23"/>
      <c r="C260" s="23"/>
      <c r="D260" s="23"/>
      <c r="E260" s="32"/>
      <c r="F260" s="25"/>
      <c r="G260" s="23"/>
      <c r="H260" s="23"/>
      <c r="I260" s="23"/>
      <c r="J260" s="23"/>
      <c r="K260" s="23"/>
      <c r="L260" s="27" t="str">
        <f aca="false">IF($B260="","",IFERROR(INDEX(Properties!$D$5:$D$104,MATCH($B260,Properties!$A$5:$A$104,0)),"-"))</f>
        <v/>
      </c>
      <c r="M260" s="28" t="str">
        <f aca="false">IF(OR($A260="",N($E260)=0),"",$F260/$E260)</f>
        <v/>
      </c>
      <c r="N260" s="28" t="str">
        <f aca="false">IF($A260="","",IF($H260="Y",$F260*(1+Settings!$B$3),0))</f>
        <v/>
      </c>
      <c r="O260" s="27" t="str">
        <f aca="false">IF($A260="","",IF(AND($H260="Y",$G260&lt;&gt;"Restock",N($M260)&gt;Settings!$B$4,$I260&lt;&gt;"Y"),"Get host OK",IF(AND($H260="Y",$F260&gt;Settings!$B$5,$I260&lt;&gt;"Y"),"Host should pay upfront",IF($J260&lt;&gt;"Y","Save receipt","OK"))))</f>
        <v/>
      </c>
      <c r="P260" s="29" t="str">
        <f aca="false">IF($A260="","",DATE(YEAR($A260),MONTH($A260),1))</f>
        <v/>
      </c>
      <c r="Q260" s="31" t="str">
        <f aca="false">IF($A260="","",IF(AND($L260='Invoice Builder'!$C$5,$P260='Invoice Builder'!$C$6,N($N260)&gt;0),COUNTIFS($L$5:$L260,'Invoice Builder'!$C$5,$P$5:$P260,'Invoice Builder'!$C$6,$N$5:$N260,"&gt;0"),""))</f>
        <v/>
      </c>
      <c r="R260" s="27" t="str">
        <f aca="false">IF($A260="","",IF($A260&gt;=DATE(YEAR($A260),4,6),YEAR($A260)&amp;"/"&amp;RIGHT(YEAR($A260)+1,2),YEAR($A260)-1&amp;"/"&amp;RIGHT(YEAR($A260),2)))</f>
        <v/>
      </c>
    </row>
    <row r="261" customFormat="false" ht="15" hidden="false" customHeight="false" outlineLevel="0" collapsed="false">
      <c r="A261" s="22"/>
      <c r="B261" s="23"/>
      <c r="C261" s="23"/>
      <c r="D261" s="23"/>
      <c r="E261" s="32"/>
      <c r="F261" s="25"/>
      <c r="G261" s="23"/>
      <c r="H261" s="23"/>
      <c r="I261" s="23"/>
      <c r="J261" s="23"/>
      <c r="K261" s="23"/>
      <c r="L261" s="27" t="str">
        <f aca="false">IF($B261="","",IFERROR(INDEX(Properties!$D$5:$D$104,MATCH($B261,Properties!$A$5:$A$104,0)),"-"))</f>
        <v/>
      </c>
      <c r="M261" s="28" t="str">
        <f aca="false">IF(OR($A261="",N($E261)=0),"",$F261/$E261)</f>
        <v/>
      </c>
      <c r="N261" s="28" t="str">
        <f aca="false">IF($A261="","",IF($H261="Y",$F261*(1+Settings!$B$3),0))</f>
        <v/>
      </c>
      <c r="O261" s="27" t="str">
        <f aca="false">IF($A261="","",IF(AND($H261="Y",$G261&lt;&gt;"Restock",N($M261)&gt;Settings!$B$4,$I261&lt;&gt;"Y"),"Get host OK",IF(AND($H261="Y",$F261&gt;Settings!$B$5,$I261&lt;&gt;"Y"),"Host should pay upfront",IF($J261&lt;&gt;"Y","Save receipt","OK"))))</f>
        <v/>
      </c>
      <c r="P261" s="29" t="str">
        <f aca="false">IF($A261="","",DATE(YEAR($A261),MONTH($A261),1))</f>
        <v/>
      </c>
      <c r="Q261" s="31" t="str">
        <f aca="false">IF($A261="","",IF(AND($L261='Invoice Builder'!$C$5,$P261='Invoice Builder'!$C$6,N($N261)&gt;0),COUNTIFS($L$5:$L261,'Invoice Builder'!$C$5,$P$5:$P261,'Invoice Builder'!$C$6,$N$5:$N261,"&gt;0"),""))</f>
        <v/>
      </c>
      <c r="R261" s="27" t="str">
        <f aca="false">IF($A261="","",IF($A261&gt;=DATE(YEAR($A261),4,6),YEAR($A261)&amp;"/"&amp;RIGHT(YEAR($A261)+1,2),YEAR($A261)-1&amp;"/"&amp;RIGHT(YEAR($A261),2)))</f>
        <v/>
      </c>
    </row>
    <row r="262" customFormat="false" ht="15" hidden="false" customHeight="false" outlineLevel="0" collapsed="false">
      <c r="A262" s="22"/>
      <c r="B262" s="23"/>
      <c r="C262" s="23"/>
      <c r="D262" s="23"/>
      <c r="E262" s="32"/>
      <c r="F262" s="25"/>
      <c r="G262" s="23"/>
      <c r="H262" s="23"/>
      <c r="I262" s="23"/>
      <c r="J262" s="23"/>
      <c r="K262" s="23"/>
      <c r="L262" s="27" t="str">
        <f aca="false">IF($B262="","",IFERROR(INDEX(Properties!$D$5:$D$104,MATCH($B262,Properties!$A$5:$A$104,0)),"-"))</f>
        <v/>
      </c>
      <c r="M262" s="28" t="str">
        <f aca="false">IF(OR($A262="",N($E262)=0),"",$F262/$E262)</f>
        <v/>
      </c>
      <c r="N262" s="28" t="str">
        <f aca="false">IF($A262="","",IF($H262="Y",$F262*(1+Settings!$B$3),0))</f>
        <v/>
      </c>
      <c r="O262" s="27" t="str">
        <f aca="false">IF($A262="","",IF(AND($H262="Y",$G262&lt;&gt;"Restock",N($M262)&gt;Settings!$B$4,$I262&lt;&gt;"Y"),"Get host OK",IF(AND($H262="Y",$F262&gt;Settings!$B$5,$I262&lt;&gt;"Y"),"Host should pay upfront",IF($J262&lt;&gt;"Y","Save receipt","OK"))))</f>
        <v/>
      </c>
      <c r="P262" s="29" t="str">
        <f aca="false">IF($A262="","",DATE(YEAR($A262),MONTH($A262),1))</f>
        <v/>
      </c>
      <c r="Q262" s="31" t="str">
        <f aca="false">IF($A262="","",IF(AND($L262='Invoice Builder'!$C$5,$P262='Invoice Builder'!$C$6,N($N262)&gt;0),COUNTIFS($L$5:$L262,'Invoice Builder'!$C$5,$P$5:$P262,'Invoice Builder'!$C$6,$N$5:$N262,"&gt;0"),""))</f>
        <v/>
      </c>
      <c r="R262" s="27" t="str">
        <f aca="false">IF($A262="","",IF($A262&gt;=DATE(YEAR($A262),4,6),YEAR($A262)&amp;"/"&amp;RIGHT(YEAR($A262)+1,2),YEAR($A262)-1&amp;"/"&amp;RIGHT(YEAR($A262),2)))</f>
        <v/>
      </c>
    </row>
    <row r="263" customFormat="false" ht="15" hidden="false" customHeight="false" outlineLevel="0" collapsed="false">
      <c r="A263" s="22"/>
      <c r="B263" s="23"/>
      <c r="C263" s="23"/>
      <c r="D263" s="23"/>
      <c r="E263" s="32"/>
      <c r="F263" s="25"/>
      <c r="G263" s="23"/>
      <c r="H263" s="23"/>
      <c r="I263" s="23"/>
      <c r="J263" s="23"/>
      <c r="K263" s="23"/>
      <c r="L263" s="27" t="str">
        <f aca="false">IF($B263="","",IFERROR(INDEX(Properties!$D$5:$D$104,MATCH($B263,Properties!$A$5:$A$104,0)),"-"))</f>
        <v/>
      </c>
      <c r="M263" s="28" t="str">
        <f aca="false">IF(OR($A263="",N($E263)=0),"",$F263/$E263)</f>
        <v/>
      </c>
      <c r="N263" s="28" t="str">
        <f aca="false">IF($A263="","",IF($H263="Y",$F263*(1+Settings!$B$3),0))</f>
        <v/>
      </c>
      <c r="O263" s="27" t="str">
        <f aca="false">IF($A263="","",IF(AND($H263="Y",$G263&lt;&gt;"Restock",N($M263)&gt;Settings!$B$4,$I263&lt;&gt;"Y"),"Get host OK",IF(AND($H263="Y",$F263&gt;Settings!$B$5,$I263&lt;&gt;"Y"),"Host should pay upfront",IF($J263&lt;&gt;"Y","Save receipt","OK"))))</f>
        <v/>
      </c>
      <c r="P263" s="29" t="str">
        <f aca="false">IF($A263="","",DATE(YEAR($A263),MONTH($A263),1))</f>
        <v/>
      </c>
      <c r="Q263" s="31" t="str">
        <f aca="false">IF($A263="","",IF(AND($L263='Invoice Builder'!$C$5,$P263='Invoice Builder'!$C$6,N($N263)&gt;0),COUNTIFS($L$5:$L263,'Invoice Builder'!$C$5,$P$5:$P263,'Invoice Builder'!$C$6,$N$5:$N263,"&gt;0"),""))</f>
        <v/>
      </c>
      <c r="R263" s="27" t="str">
        <f aca="false">IF($A263="","",IF($A263&gt;=DATE(YEAR($A263),4,6),YEAR($A263)&amp;"/"&amp;RIGHT(YEAR($A263)+1,2),YEAR($A263)-1&amp;"/"&amp;RIGHT(YEAR($A263),2)))</f>
        <v/>
      </c>
    </row>
    <row r="264" customFormat="false" ht="15" hidden="false" customHeight="false" outlineLevel="0" collapsed="false">
      <c r="A264" s="22"/>
      <c r="B264" s="23"/>
      <c r="C264" s="23"/>
      <c r="D264" s="23"/>
      <c r="E264" s="32"/>
      <c r="F264" s="25"/>
      <c r="G264" s="23"/>
      <c r="H264" s="23"/>
      <c r="I264" s="23"/>
      <c r="J264" s="23"/>
      <c r="K264" s="23"/>
      <c r="L264" s="27" t="str">
        <f aca="false">IF($B264="","",IFERROR(INDEX(Properties!$D$5:$D$104,MATCH($B264,Properties!$A$5:$A$104,0)),"-"))</f>
        <v/>
      </c>
      <c r="M264" s="28" t="str">
        <f aca="false">IF(OR($A264="",N($E264)=0),"",$F264/$E264)</f>
        <v/>
      </c>
      <c r="N264" s="28" t="str">
        <f aca="false">IF($A264="","",IF($H264="Y",$F264*(1+Settings!$B$3),0))</f>
        <v/>
      </c>
      <c r="O264" s="27" t="str">
        <f aca="false">IF($A264="","",IF(AND($H264="Y",$G264&lt;&gt;"Restock",N($M264)&gt;Settings!$B$4,$I264&lt;&gt;"Y"),"Get host OK",IF(AND($H264="Y",$F264&gt;Settings!$B$5,$I264&lt;&gt;"Y"),"Host should pay upfront",IF($J264&lt;&gt;"Y","Save receipt","OK"))))</f>
        <v/>
      </c>
      <c r="P264" s="29" t="str">
        <f aca="false">IF($A264="","",DATE(YEAR($A264),MONTH($A264),1))</f>
        <v/>
      </c>
      <c r="Q264" s="31" t="str">
        <f aca="false">IF($A264="","",IF(AND($L264='Invoice Builder'!$C$5,$P264='Invoice Builder'!$C$6,N($N264)&gt;0),COUNTIFS($L$5:$L264,'Invoice Builder'!$C$5,$P$5:$P264,'Invoice Builder'!$C$6,$N$5:$N264,"&gt;0"),""))</f>
        <v/>
      </c>
      <c r="R264" s="27" t="str">
        <f aca="false">IF($A264="","",IF($A264&gt;=DATE(YEAR($A264),4,6),YEAR($A264)&amp;"/"&amp;RIGHT(YEAR($A264)+1,2),YEAR($A264)-1&amp;"/"&amp;RIGHT(YEAR($A264),2)))</f>
        <v/>
      </c>
    </row>
    <row r="265" customFormat="false" ht="15" hidden="false" customHeight="false" outlineLevel="0" collapsed="false">
      <c r="A265" s="22"/>
      <c r="B265" s="23"/>
      <c r="C265" s="23"/>
      <c r="D265" s="23"/>
      <c r="E265" s="32"/>
      <c r="F265" s="25"/>
      <c r="G265" s="23"/>
      <c r="H265" s="23"/>
      <c r="I265" s="23"/>
      <c r="J265" s="23"/>
      <c r="K265" s="23"/>
      <c r="L265" s="27" t="str">
        <f aca="false">IF($B265="","",IFERROR(INDEX(Properties!$D$5:$D$104,MATCH($B265,Properties!$A$5:$A$104,0)),"-"))</f>
        <v/>
      </c>
      <c r="M265" s="28" t="str">
        <f aca="false">IF(OR($A265="",N($E265)=0),"",$F265/$E265)</f>
        <v/>
      </c>
      <c r="N265" s="28" t="str">
        <f aca="false">IF($A265="","",IF($H265="Y",$F265*(1+Settings!$B$3),0))</f>
        <v/>
      </c>
      <c r="O265" s="27" t="str">
        <f aca="false">IF($A265="","",IF(AND($H265="Y",$G265&lt;&gt;"Restock",N($M265)&gt;Settings!$B$4,$I265&lt;&gt;"Y"),"Get host OK",IF(AND($H265="Y",$F265&gt;Settings!$B$5,$I265&lt;&gt;"Y"),"Host should pay upfront",IF($J265&lt;&gt;"Y","Save receipt","OK"))))</f>
        <v/>
      </c>
      <c r="P265" s="29" t="str">
        <f aca="false">IF($A265="","",DATE(YEAR($A265),MONTH($A265),1))</f>
        <v/>
      </c>
      <c r="Q265" s="31" t="str">
        <f aca="false">IF($A265="","",IF(AND($L265='Invoice Builder'!$C$5,$P265='Invoice Builder'!$C$6,N($N265)&gt;0),COUNTIFS($L$5:$L265,'Invoice Builder'!$C$5,$P$5:$P265,'Invoice Builder'!$C$6,$N$5:$N265,"&gt;0"),""))</f>
        <v/>
      </c>
      <c r="R265" s="27" t="str">
        <f aca="false">IF($A265="","",IF($A265&gt;=DATE(YEAR($A265),4,6),YEAR($A265)&amp;"/"&amp;RIGHT(YEAR($A265)+1,2),YEAR($A265)-1&amp;"/"&amp;RIGHT(YEAR($A265),2)))</f>
        <v/>
      </c>
    </row>
    <row r="266" customFormat="false" ht="15" hidden="false" customHeight="false" outlineLevel="0" collapsed="false">
      <c r="A266" s="22"/>
      <c r="B266" s="23"/>
      <c r="C266" s="23"/>
      <c r="D266" s="23"/>
      <c r="E266" s="32"/>
      <c r="F266" s="25"/>
      <c r="G266" s="23"/>
      <c r="H266" s="23"/>
      <c r="I266" s="23"/>
      <c r="J266" s="23"/>
      <c r="K266" s="23"/>
      <c r="L266" s="27" t="str">
        <f aca="false">IF($B266="","",IFERROR(INDEX(Properties!$D$5:$D$104,MATCH($B266,Properties!$A$5:$A$104,0)),"-"))</f>
        <v/>
      </c>
      <c r="M266" s="28" t="str">
        <f aca="false">IF(OR($A266="",N($E266)=0),"",$F266/$E266)</f>
        <v/>
      </c>
      <c r="N266" s="28" t="str">
        <f aca="false">IF($A266="","",IF($H266="Y",$F266*(1+Settings!$B$3),0))</f>
        <v/>
      </c>
      <c r="O266" s="27" t="str">
        <f aca="false">IF($A266="","",IF(AND($H266="Y",$G266&lt;&gt;"Restock",N($M266)&gt;Settings!$B$4,$I266&lt;&gt;"Y"),"Get host OK",IF(AND($H266="Y",$F266&gt;Settings!$B$5,$I266&lt;&gt;"Y"),"Host should pay upfront",IF($J266&lt;&gt;"Y","Save receipt","OK"))))</f>
        <v/>
      </c>
      <c r="P266" s="29" t="str">
        <f aca="false">IF($A266="","",DATE(YEAR($A266),MONTH($A266),1))</f>
        <v/>
      </c>
      <c r="Q266" s="31" t="str">
        <f aca="false">IF($A266="","",IF(AND($L266='Invoice Builder'!$C$5,$P266='Invoice Builder'!$C$6,N($N266)&gt;0),COUNTIFS($L$5:$L266,'Invoice Builder'!$C$5,$P$5:$P266,'Invoice Builder'!$C$6,$N$5:$N266,"&gt;0"),""))</f>
        <v/>
      </c>
      <c r="R266" s="27" t="str">
        <f aca="false">IF($A266="","",IF($A266&gt;=DATE(YEAR($A266),4,6),YEAR($A266)&amp;"/"&amp;RIGHT(YEAR($A266)+1,2),YEAR($A266)-1&amp;"/"&amp;RIGHT(YEAR($A266),2)))</f>
        <v/>
      </c>
    </row>
    <row r="267" customFormat="false" ht="15" hidden="false" customHeight="false" outlineLevel="0" collapsed="false">
      <c r="A267" s="22"/>
      <c r="B267" s="23"/>
      <c r="C267" s="23"/>
      <c r="D267" s="23"/>
      <c r="E267" s="32"/>
      <c r="F267" s="25"/>
      <c r="G267" s="23"/>
      <c r="H267" s="23"/>
      <c r="I267" s="23"/>
      <c r="J267" s="23"/>
      <c r="K267" s="23"/>
      <c r="L267" s="27" t="str">
        <f aca="false">IF($B267="","",IFERROR(INDEX(Properties!$D$5:$D$104,MATCH($B267,Properties!$A$5:$A$104,0)),"-"))</f>
        <v/>
      </c>
      <c r="M267" s="28" t="str">
        <f aca="false">IF(OR($A267="",N($E267)=0),"",$F267/$E267)</f>
        <v/>
      </c>
      <c r="N267" s="28" t="str">
        <f aca="false">IF($A267="","",IF($H267="Y",$F267*(1+Settings!$B$3),0))</f>
        <v/>
      </c>
      <c r="O267" s="27" t="str">
        <f aca="false">IF($A267="","",IF(AND($H267="Y",$G267&lt;&gt;"Restock",N($M267)&gt;Settings!$B$4,$I267&lt;&gt;"Y"),"Get host OK",IF(AND($H267="Y",$F267&gt;Settings!$B$5,$I267&lt;&gt;"Y"),"Host should pay upfront",IF($J267&lt;&gt;"Y","Save receipt","OK"))))</f>
        <v/>
      </c>
      <c r="P267" s="29" t="str">
        <f aca="false">IF($A267="","",DATE(YEAR($A267),MONTH($A267),1))</f>
        <v/>
      </c>
      <c r="Q267" s="31" t="str">
        <f aca="false">IF($A267="","",IF(AND($L267='Invoice Builder'!$C$5,$P267='Invoice Builder'!$C$6,N($N267)&gt;0),COUNTIFS($L$5:$L267,'Invoice Builder'!$C$5,$P$5:$P267,'Invoice Builder'!$C$6,$N$5:$N267,"&gt;0"),""))</f>
        <v/>
      </c>
      <c r="R267" s="27" t="str">
        <f aca="false">IF($A267="","",IF($A267&gt;=DATE(YEAR($A267),4,6),YEAR($A267)&amp;"/"&amp;RIGHT(YEAR($A267)+1,2),YEAR($A267)-1&amp;"/"&amp;RIGHT(YEAR($A267),2)))</f>
        <v/>
      </c>
    </row>
    <row r="268" customFormat="false" ht="15" hidden="false" customHeight="false" outlineLevel="0" collapsed="false">
      <c r="A268" s="22"/>
      <c r="B268" s="23"/>
      <c r="C268" s="23"/>
      <c r="D268" s="23"/>
      <c r="E268" s="32"/>
      <c r="F268" s="25"/>
      <c r="G268" s="23"/>
      <c r="H268" s="23"/>
      <c r="I268" s="23"/>
      <c r="J268" s="23"/>
      <c r="K268" s="23"/>
      <c r="L268" s="27" t="str">
        <f aca="false">IF($B268="","",IFERROR(INDEX(Properties!$D$5:$D$104,MATCH($B268,Properties!$A$5:$A$104,0)),"-"))</f>
        <v/>
      </c>
      <c r="M268" s="28" t="str">
        <f aca="false">IF(OR($A268="",N($E268)=0),"",$F268/$E268)</f>
        <v/>
      </c>
      <c r="N268" s="28" t="str">
        <f aca="false">IF($A268="","",IF($H268="Y",$F268*(1+Settings!$B$3),0))</f>
        <v/>
      </c>
      <c r="O268" s="27" t="str">
        <f aca="false">IF($A268="","",IF(AND($H268="Y",$G268&lt;&gt;"Restock",N($M268)&gt;Settings!$B$4,$I268&lt;&gt;"Y"),"Get host OK",IF(AND($H268="Y",$F268&gt;Settings!$B$5,$I268&lt;&gt;"Y"),"Host should pay upfront",IF($J268&lt;&gt;"Y","Save receipt","OK"))))</f>
        <v/>
      </c>
      <c r="P268" s="29" t="str">
        <f aca="false">IF($A268="","",DATE(YEAR($A268),MONTH($A268),1))</f>
        <v/>
      </c>
      <c r="Q268" s="31" t="str">
        <f aca="false">IF($A268="","",IF(AND($L268='Invoice Builder'!$C$5,$P268='Invoice Builder'!$C$6,N($N268)&gt;0),COUNTIFS($L$5:$L268,'Invoice Builder'!$C$5,$P$5:$P268,'Invoice Builder'!$C$6,$N$5:$N268,"&gt;0"),""))</f>
        <v/>
      </c>
      <c r="R268" s="27" t="str">
        <f aca="false">IF($A268="","",IF($A268&gt;=DATE(YEAR($A268),4,6),YEAR($A268)&amp;"/"&amp;RIGHT(YEAR($A268)+1,2),YEAR($A268)-1&amp;"/"&amp;RIGHT(YEAR($A268),2)))</f>
        <v/>
      </c>
    </row>
    <row r="269" customFormat="false" ht="15" hidden="false" customHeight="false" outlineLevel="0" collapsed="false">
      <c r="A269" s="22"/>
      <c r="B269" s="23"/>
      <c r="C269" s="23"/>
      <c r="D269" s="23"/>
      <c r="E269" s="32"/>
      <c r="F269" s="25"/>
      <c r="G269" s="23"/>
      <c r="H269" s="23"/>
      <c r="I269" s="23"/>
      <c r="J269" s="23"/>
      <c r="K269" s="23"/>
      <c r="L269" s="27" t="str">
        <f aca="false">IF($B269="","",IFERROR(INDEX(Properties!$D$5:$D$104,MATCH($B269,Properties!$A$5:$A$104,0)),"-"))</f>
        <v/>
      </c>
      <c r="M269" s="28" t="str">
        <f aca="false">IF(OR($A269="",N($E269)=0),"",$F269/$E269)</f>
        <v/>
      </c>
      <c r="N269" s="28" t="str">
        <f aca="false">IF($A269="","",IF($H269="Y",$F269*(1+Settings!$B$3),0))</f>
        <v/>
      </c>
      <c r="O269" s="27" t="str">
        <f aca="false">IF($A269="","",IF(AND($H269="Y",$G269&lt;&gt;"Restock",N($M269)&gt;Settings!$B$4,$I269&lt;&gt;"Y"),"Get host OK",IF(AND($H269="Y",$F269&gt;Settings!$B$5,$I269&lt;&gt;"Y"),"Host should pay upfront",IF($J269&lt;&gt;"Y","Save receipt","OK"))))</f>
        <v/>
      </c>
      <c r="P269" s="29" t="str">
        <f aca="false">IF($A269="","",DATE(YEAR($A269),MONTH($A269),1))</f>
        <v/>
      </c>
      <c r="Q269" s="31" t="str">
        <f aca="false">IF($A269="","",IF(AND($L269='Invoice Builder'!$C$5,$P269='Invoice Builder'!$C$6,N($N269)&gt;0),COUNTIFS($L$5:$L269,'Invoice Builder'!$C$5,$P$5:$P269,'Invoice Builder'!$C$6,$N$5:$N269,"&gt;0"),""))</f>
        <v/>
      </c>
      <c r="R269" s="27" t="str">
        <f aca="false">IF($A269="","",IF($A269&gt;=DATE(YEAR($A269),4,6),YEAR($A269)&amp;"/"&amp;RIGHT(YEAR($A269)+1,2),YEAR($A269)-1&amp;"/"&amp;RIGHT(YEAR($A269),2)))</f>
        <v/>
      </c>
    </row>
    <row r="270" customFormat="false" ht="15" hidden="false" customHeight="false" outlineLevel="0" collapsed="false">
      <c r="A270" s="22"/>
      <c r="B270" s="23"/>
      <c r="C270" s="23"/>
      <c r="D270" s="23"/>
      <c r="E270" s="32"/>
      <c r="F270" s="25"/>
      <c r="G270" s="23"/>
      <c r="H270" s="23"/>
      <c r="I270" s="23"/>
      <c r="J270" s="23"/>
      <c r="K270" s="23"/>
      <c r="L270" s="27" t="str">
        <f aca="false">IF($B270="","",IFERROR(INDEX(Properties!$D$5:$D$104,MATCH($B270,Properties!$A$5:$A$104,0)),"-"))</f>
        <v/>
      </c>
      <c r="M270" s="28" t="str">
        <f aca="false">IF(OR($A270="",N($E270)=0),"",$F270/$E270)</f>
        <v/>
      </c>
      <c r="N270" s="28" t="str">
        <f aca="false">IF($A270="","",IF($H270="Y",$F270*(1+Settings!$B$3),0))</f>
        <v/>
      </c>
      <c r="O270" s="27" t="str">
        <f aca="false">IF($A270="","",IF(AND($H270="Y",$G270&lt;&gt;"Restock",N($M270)&gt;Settings!$B$4,$I270&lt;&gt;"Y"),"Get host OK",IF(AND($H270="Y",$F270&gt;Settings!$B$5,$I270&lt;&gt;"Y"),"Host should pay upfront",IF($J270&lt;&gt;"Y","Save receipt","OK"))))</f>
        <v/>
      </c>
      <c r="P270" s="29" t="str">
        <f aca="false">IF($A270="","",DATE(YEAR($A270),MONTH($A270),1))</f>
        <v/>
      </c>
      <c r="Q270" s="31" t="str">
        <f aca="false">IF($A270="","",IF(AND($L270='Invoice Builder'!$C$5,$P270='Invoice Builder'!$C$6,N($N270)&gt;0),COUNTIFS($L$5:$L270,'Invoice Builder'!$C$5,$P$5:$P270,'Invoice Builder'!$C$6,$N$5:$N270,"&gt;0"),""))</f>
        <v/>
      </c>
      <c r="R270" s="27" t="str">
        <f aca="false">IF($A270="","",IF($A270&gt;=DATE(YEAR($A270),4,6),YEAR($A270)&amp;"/"&amp;RIGHT(YEAR($A270)+1,2),YEAR($A270)-1&amp;"/"&amp;RIGHT(YEAR($A270),2)))</f>
        <v/>
      </c>
    </row>
    <row r="271" customFormat="false" ht="15" hidden="false" customHeight="false" outlineLevel="0" collapsed="false">
      <c r="A271" s="22"/>
      <c r="B271" s="23"/>
      <c r="C271" s="23"/>
      <c r="D271" s="23"/>
      <c r="E271" s="32"/>
      <c r="F271" s="25"/>
      <c r="G271" s="23"/>
      <c r="H271" s="23"/>
      <c r="I271" s="23"/>
      <c r="J271" s="23"/>
      <c r="K271" s="23"/>
      <c r="L271" s="27" t="str">
        <f aca="false">IF($B271="","",IFERROR(INDEX(Properties!$D$5:$D$104,MATCH($B271,Properties!$A$5:$A$104,0)),"-"))</f>
        <v/>
      </c>
      <c r="M271" s="28" t="str">
        <f aca="false">IF(OR($A271="",N($E271)=0),"",$F271/$E271)</f>
        <v/>
      </c>
      <c r="N271" s="28" t="str">
        <f aca="false">IF($A271="","",IF($H271="Y",$F271*(1+Settings!$B$3),0))</f>
        <v/>
      </c>
      <c r="O271" s="27" t="str">
        <f aca="false">IF($A271="","",IF(AND($H271="Y",$G271&lt;&gt;"Restock",N($M271)&gt;Settings!$B$4,$I271&lt;&gt;"Y"),"Get host OK",IF(AND($H271="Y",$F271&gt;Settings!$B$5,$I271&lt;&gt;"Y"),"Host should pay upfront",IF($J271&lt;&gt;"Y","Save receipt","OK"))))</f>
        <v/>
      </c>
      <c r="P271" s="29" t="str">
        <f aca="false">IF($A271="","",DATE(YEAR($A271),MONTH($A271),1))</f>
        <v/>
      </c>
      <c r="Q271" s="31" t="str">
        <f aca="false">IF($A271="","",IF(AND($L271='Invoice Builder'!$C$5,$P271='Invoice Builder'!$C$6,N($N271)&gt;0),COUNTIFS($L$5:$L271,'Invoice Builder'!$C$5,$P$5:$P271,'Invoice Builder'!$C$6,$N$5:$N271,"&gt;0"),""))</f>
        <v/>
      </c>
      <c r="R271" s="27" t="str">
        <f aca="false">IF($A271="","",IF($A271&gt;=DATE(YEAR($A271),4,6),YEAR($A271)&amp;"/"&amp;RIGHT(YEAR($A271)+1,2),YEAR($A271)-1&amp;"/"&amp;RIGHT(YEAR($A271),2)))</f>
        <v/>
      </c>
    </row>
    <row r="272" customFormat="false" ht="15" hidden="false" customHeight="false" outlineLevel="0" collapsed="false">
      <c r="A272" s="22"/>
      <c r="B272" s="23"/>
      <c r="C272" s="23"/>
      <c r="D272" s="23"/>
      <c r="E272" s="32"/>
      <c r="F272" s="25"/>
      <c r="G272" s="23"/>
      <c r="H272" s="23"/>
      <c r="I272" s="23"/>
      <c r="J272" s="23"/>
      <c r="K272" s="23"/>
      <c r="L272" s="27" t="str">
        <f aca="false">IF($B272="","",IFERROR(INDEX(Properties!$D$5:$D$104,MATCH($B272,Properties!$A$5:$A$104,0)),"-"))</f>
        <v/>
      </c>
      <c r="M272" s="28" t="str">
        <f aca="false">IF(OR($A272="",N($E272)=0),"",$F272/$E272)</f>
        <v/>
      </c>
      <c r="N272" s="28" t="str">
        <f aca="false">IF($A272="","",IF($H272="Y",$F272*(1+Settings!$B$3),0))</f>
        <v/>
      </c>
      <c r="O272" s="27" t="str">
        <f aca="false">IF($A272="","",IF(AND($H272="Y",$G272&lt;&gt;"Restock",N($M272)&gt;Settings!$B$4,$I272&lt;&gt;"Y"),"Get host OK",IF(AND($H272="Y",$F272&gt;Settings!$B$5,$I272&lt;&gt;"Y"),"Host should pay upfront",IF($J272&lt;&gt;"Y","Save receipt","OK"))))</f>
        <v/>
      </c>
      <c r="P272" s="29" t="str">
        <f aca="false">IF($A272="","",DATE(YEAR($A272),MONTH($A272),1))</f>
        <v/>
      </c>
      <c r="Q272" s="31" t="str">
        <f aca="false">IF($A272="","",IF(AND($L272='Invoice Builder'!$C$5,$P272='Invoice Builder'!$C$6,N($N272)&gt;0),COUNTIFS($L$5:$L272,'Invoice Builder'!$C$5,$P$5:$P272,'Invoice Builder'!$C$6,$N$5:$N272,"&gt;0"),""))</f>
        <v/>
      </c>
      <c r="R272" s="27" t="str">
        <f aca="false">IF($A272="","",IF($A272&gt;=DATE(YEAR($A272),4,6),YEAR($A272)&amp;"/"&amp;RIGHT(YEAR($A272)+1,2),YEAR($A272)-1&amp;"/"&amp;RIGHT(YEAR($A272),2)))</f>
        <v/>
      </c>
    </row>
    <row r="273" customFormat="false" ht="15" hidden="false" customHeight="false" outlineLevel="0" collapsed="false">
      <c r="A273" s="22"/>
      <c r="B273" s="23"/>
      <c r="C273" s="23"/>
      <c r="D273" s="23"/>
      <c r="E273" s="32"/>
      <c r="F273" s="25"/>
      <c r="G273" s="23"/>
      <c r="H273" s="23"/>
      <c r="I273" s="23"/>
      <c r="J273" s="23"/>
      <c r="K273" s="23"/>
      <c r="L273" s="27" t="str">
        <f aca="false">IF($B273="","",IFERROR(INDEX(Properties!$D$5:$D$104,MATCH($B273,Properties!$A$5:$A$104,0)),"-"))</f>
        <v/>
      </c>
      <c r="M273" s="28" t="str">
        <f aca="false">IF(OR($A273="",N($E273)=0),"",$F273/$E273)</f>
        <v/>
      </c>
      <c r="N273" s="28" t="str">
        <f aca="false">IF($A273="","",IF($H273="Y",$F273*(1+Settings!$B$3),0))</f>
        <v/>
      </c>
      <c r="O273" s="27" t="str">
        <f aca="false">IF($A273="","",IF(AND($H273="Y",$G273&lt;&gt;"Restock",N($M273)&gt;Settings!$B$4,$I273&lt;&gt;"Y"),"Get host OK",IF(AND($H273="Y",$F273&gt;Settings!$B$5,$I273&lt;&gt;"Y"),"Host should pay upfront",IF($J273&lt;&gt;"Y","Save receipt","OK"))))</f>
        <v/>
      </c>
      <c r="P273" s="29" t="str">
        <f aca="false">IF($A273="","",DATE(YEAR($A273),MONTH($A273),1))</f>
        <v/>
      </c>
      <c r="Q273" s="31" t="str">
        <f aca="false">IF($A273="","",IF(AND($L273='Invoice Builder'!$C$5,$P273='Invoice Builder'!$C$6,N($N273)&gt;0),COUNTIFS($L$5:$L273,'Invoice Builder'!$C$5,$P$5:$P273,'Invoice Builder'!$C$6,$N$5:$N273,"&gt;0"),""))</f>
        <v/>
      </c>
      <c r="R273" s="27" t="str">
        <f aca="false">IF($A273="","",IF($A273&gt;=DATE(YEAR($A273),4,6),YEAR($A273)&amp;"/"&amp;RIGHT(YEAR($A273)+1,2),YEAR($A273)-1&amp;"/"&amp;RIGHT(YEAR($A273),2)))</f>
        <v/>
      </c>
    </row>
    <row r="274" customFormat="false" ht="15" hidden="false" customHeight="false" outlineLevel="0" collapsed="false">
      <c r="A274" s="22"/>
      <c r="B274" s="23"/>
      <c r="C274" s="23"/>
      <c r="D274" s="23"/>
      <c r="E274" s="32"/>
      <c r="F274" s="25"/>
      <c r="G274" s="23"/>
      <c r="H274" s="23"/>
      <c r="I274" s="23"/>
      <c r="J274" s="23"/>
      <c r="K274" s="23"/>
      <c r="L274" s="27" t="str">
        <f aca="false">IF($B274="","",IFERROR(INDEX(Properties!$D$5:$D$104,MATCH($B274,Properties!$A$5:$A$104,0)),"-"))</f>
        <v/>
      </c>
      <c r="M274" s="28" t="str">
        <f aca="false">IF(OR($A274="",N($E274)=0),"",$F274/$E274)</f>
        <v/>
      </c>
      <c r="N274" s="28" t="str">
        <f aca="false">IF($A274="","",IF($H274="Y",$F274*(1+Settings!$B$3),0))</f>
        <v/>
      </c>
      <c r="O274" s="27" t="str">
        <f aca="false">IF($A274="","",IF(AND($H274="Y",$G274&lt;&gt;"Restock",N($M274)&gt;Settings!$B$4,$I274&lt;&gt;"Y"),"Get host OK",IF(AND($H274="Y",$F274&gt;Settings!$B$5,$I274&lt;&gt;"Y"),"Host should pay upfront",IF($J274&lt;&gt;"Y","Save receipt","OK"))))</f>
        <v/>
      </c>
      <c r="P274" s="29" t="str">
        <f aca="false">IF($A274="","",DATE(YEAR($A274),MONTH($A274),1))</f>
        <v/>
      </c>
      <c r="Q274" s="31" t="str">
        <f aca="false">IF($A274="","",IF(AND($L274='Invoice Builder'!$C$5,$P274='Invoice Builder'!$C$6,N($N274)&gt;0),COUNTIFS($L$5:$L274,'Invoice Builder'!$C$5,$P$5:$P274,'Invoice Builder'!$C$6,$N$5:$N274,"&gt;0"),""))</f>
        <v/>
      </c>
      <c r="R274" s="27" t="str">
        <f aca="false">IF($A274="","",IF($A274&gt;=DATE(YEAR($A274),4,6),YEAR($A274)&amp;"/"&amp;RIGHT(YEAR($A274)+1,2),YEAR($A274)-1&amp;"/"&amp;RIGHT(YEAR($A274),2)))</f>
        <v/>
      </c>
    </row>
    <row r="275" customFormat="false" ht="15" hidden="false" customHeight="false" outlineLevel="0" collapsed="false">
      <c r="A275" s="22"/>
      <c r="B275" s="23"/>
      <c r="C275" s="23"/>
      <c r="D275" s="23"/>
      <c r="E275" s="32"/>
      <c r="F275" s="25"/>
      <c r="G275" s="23"/>
      <c r="H275" s="23"/>
      <c r="I275" s="23"/>
      <c r="J275" s="23"/>
      <c r="K275" s="23"/>
      <c r="L275" s="27" t="str">
        <f aca="false">IF($B275="","",IFERROR(INDEX(Properties!$D$5:$D$104,MATCH($B275,Properties!$A$5:$A$104,0)),"-"))</f>
        <v/>
      </c>
      <c r="M275" s="28" t="str">
        <f aca="false">IF(OR($A275="",N($E275)=0),"",$F275/$E275)</f>
        <v/>
      </c>
      <c r="N275" s="28" t="str">
        <f aca="false">IF($A275="","",IF($H275="Y",$F275*(1+Settings!$B$3),0))</f>
        <v/>
      </c>
      <c r="O275" s="27" t="str">
        <f aca="false">IF($A275="","",IF(AND($H275="Y",$G275&lt;&gt;"Restock",N($M275)&gt;Settings!$B$4,$I275&lt;&gt;"Y"),"Get host OK",IF(AND($H275="Y",$F275&gt;Settings!$B$5,$I275&lt;&gt;"Y"),"Host should pay upfront",IF($J275&lt;&gt;"Y","Save receipt","OK"))))</f>
        <v/>
      </c>
      <c r="P275" s="29" t="str">
        <f aca="false">IF($A275="","",DATE(YEAR($A275),MONTH($A275),1))</f>
        <v/>
      </c>
      <c r="Q275" s="31" t="str">
        <f aca="false">IF($A275="","",IF(AND($L275='Invoice Builder'!$C$5,$P275='Invoice Builder'!$C$6,N($N275)&gt;0),COUNTIFS($L$5:$L275,'Invoice Builder'!$C$5,$P$5:$P275,'Invoice Builder'!$C$6,$N$5:$N275,"&gt;0"),""))</f>
        <v/>
      </c>
      <c r="R275" s="27" t="str">
        <f aca="false">IF($A275="","",IF($A275&gt;=DATE(YEAR($A275),4,6),YEAR($A275)&amp;"/"&amp;RIGHT(YEAR($A275)+1,2),YEAR($A275)-1&amp;"/"&amp;RIGHT(YEAR($A275),2)))</f>
        <v/>
      </c>
    </row>
    <row r="276" customFormat="false" ht="15" hidden="false" customHeight="false" outlineLevel="0" collapsed="false">
      <c r="A276" s="22"/>
      <c r="B276" s="23"/>
      <c r="C276" s="23"/>
      <c r="D276" s="23"/>
      <c r="E276" s="32"/>
      <c r="F276" s="25"/>
      <c r="G276" s="23"/>
      <c r="H276" s="23"/>
      <c r="I276" s="23"/>
      <c r="J276" s="23"/>
      <c r="K276" s="23"/>
      <c r="L276" s="27" t="str">
        <f aca="false">IF($B276="","",IFERROR(INDEX(Properties!$D$5:$D$104,MATCH($B276,Properties!$A$5:$A$104,0)),"-"))</f>
        <v/>
      </c>
      <c r="M276" s="28" t="str">
        <f aca="false">IF(OR($A276="",N($E276)=0),"",$F276/$E276)</f>
        <v/>
      </c>
      <c r="N276" s="28" t="str">
        <f aca="false">IF($A276="","",IF($H276="Y",$F276*(1+Settings!$B$3),0))</f>
        <v/>
      </c>
      <c r="O276" s="27" t="str">
        <f aca="false">IF($A276="","",IF(AND($H276="Y",$G276&lt;&gt;"Restock",N($M276)&gt;Settings!$B$4,$I276&lt;&gt;"Y"),"Get host OK",IF(AND($H276="Y",$F276&gt;Settings!$B$5,$I276&lt;&gt;"Y"),"Host should pay upfront",IF($J276&lt;&gt;"Y","Save receipt","OK"))))</f>
        <v/>
      </c>
      <c r="P276" s="29" t="str">
        <f aca="false">IF($A276="","",DATE(YEAR($A276),MONTH($A276),1))</f>
        <v/>
      </c>
      <c r="Q276" s="31" t="str">
        <f aca="false">IF($A276="","",IF(AND($L276='Invoice Builder'!$C$5,$P276='Invoice Builder'!$C$6,N($N276)&gt;0),COUNTIFS($L$5:$L276,'Invoice Builder'!$C$5,$P$5:$P276,'Invoice Builder'!$C$6,$N$5:$N276,"&gt;0"),""))</f>
        <v/>
      </c>
      <c r="R276" s="27" t="str">
        <f aca="false">IF($A276="","",IF($A276&gt;=DATE(YEAR($A276),4,6),YEAR($A276)&amp;"/"&amp;RIGHT(YEAR($A276)+1,2),YEAR($A276)-1&amp;"/"&amp;RIGHT(YEAR($A276),2)))</f>
        <v/>
      </c>
    </row>
    <row r="277" customFormat="false" ht="15" hidden="false" customHeight="false" outlineLevel="0" collapsed="false">
      <c r="A277" s="22"/>
      <c r="B277" s="23"/>
      <c r="C277" s="23"/>
      <c r="D277" s="23"/>
      <c r="E277" s="32"/>
      <c r="F277" s="25"/>
      <c r="G277" s="23"/>
      <c r="H277" s="23"/>
      <c r="I277" s="23"/>
      <c r="J277" s="23"/>
      <c r="K277" s="23"/>
      <c r="L277" s="27" t="str">
        <f aca="false">IF($B277="","",IFERROR(INDEX(Properties!$D$5:$D$104,MATCH($B277,Properties!$A$5:$A$104,0)),"-"))</f>
        <v/>
      </c>
      <c r="M277" s="28" t="str">
        <f aca="false">IF(OR($A277="",N($E277)=0),"",$F277/$E277)</f>
        <v/>
      </c>
      <c r="N277" s="28" t="str">
        <f aca="false">IF($A277="","",IF($H277="Y",$F277*(1+Settings!$B$3),0))</f>
        <v/>
      </c>
      <c r="O277" s="27" t="str">
        <f aca="false">IF($A277="","",IF(AND($H277="Y",$G277&lt;&gt;"Restock",N($M277)&gt;Settings!$B$4,$I277&lt;&gt;"Y"),"Get host OK",IF(AND($H277="Y",$F277&gt;Settings!$B$5,$I277&lt;&gt;"Y"),"Host should pay upfront",IF($J277&lt;&gt;"Y","Save receipt","OK"))))</f>
        <v/>
      </c>
      <c r="P277" s="29" t="str">
        <f aca="false">IF($A277="","",DATE(YEAR($A277),MONTH($A277),1))</f>
        <v/>
      </c>
      <c r="Q277" s="31" t="str">
        <f aca="false">IF($A277="","",IF(AND($L277='Invoice Builder'!$C$5,$P277='Invoice Builder'!$C$6,N($N277)&gt;0),COUNTIFS($L$5:$L277,'Invoice Builder'!$C$5,$P$5:$P277,'Invoice Builder'!$C$6,$N$5:$N277,"&gt;0"),""))</f>
        <v/>
      </c>
      <c r="R277" s="27" t="str">
        <f aca="false">IF($A277="","",IF($A277&gt;=DATE(YEAR($A277),4,6),YEAR($A277)&amp;"/"&amp;RIGHT(YEAR($A277)+1,2),YEAR($A277)-1&amp;"/"&amp;RIGHT(YEAR($A277),2)))</f>
        <v/>
      </c>
    </row>
    <row r="278" customFormat="false" ht="15" hidden="false" customHeight="false" outlineLevel="0" collapsed="false">
      <c r="A278" s="22"/>
      <c r="B278" s="23"/>
      <c r="C278" s="23"/>
      <c r="D278" s="23"/>
      <c r="E278" s="32"/>
      <c r="F278" s="25"/>
      <c r="G278" s="23"/>
      <c r="H278" s="23"/>
      <c r="I278" s="23"/>
      <c r="J278" s="23"/>
      <c r="K278" s="23"/>
      <c r="L278" s="27" t="str">
        <f aca="false">IF($B278="","",IFERROR(INDEX(Properties!$D$5:$D$104,MATCH($B278,Properties!$A$5:$A$104,0)),"-"))</f>
        <v/>
      </c>
      <c r="M278" s="28" t="str">
        <f aca="false">IF(OR($A278="",N($E278)=0),"",$F278/$E278)</f>
        <v/>
      </c>
      <c r="N278" s="28" t="str">
        <f aca="false">IF($A278="","",IF($H278="Y",$F278*(1+Settings!$B$3),0))</f>
        <v/>
      </c>
      <c r="O278" s="27" t="str">
        <f aca="false">IF($A278="","",IF(AND($H278="Y",$G278&lt;&gt;"Restock",N($M278)&gt;Settings!$B$4,$I278&lt;&gt;"Y"),"Get host OK",IF(AND($H278="Y",$F278&gt;Settings!$B$5,$I278&lt;&gt;"Y"),"Host should pay upfront",IF($J278&lt;&gt;"Y","Save receipt","OK"))))</f>
        <v/>
      </c>
      <c r="P278" s="29" t="str">
        <f aca="false">IF($A278="","",DATE(YEAR($A278),MONTH($A278),1))</f>
        <v/>
      </c>
      <c r="Q278" s="31" t="str">
        <f aca="false">IF($A278="","",IF(AND($L278='Invoice Builder'!$C$5,$P278='Invoice Builder'!$C$6,N($N278)&gt;0),COUNTIFS($L$5:$L278,'Invoice Builder'!$C$5,$P$5:$P278,'Invoice Builder'!$C$6,$N$5:$N278,"&gt;0"),""))</f>
        <v/>
      </c>
      <c r="R278" s="27" t="str">
        <f aca="false">IF($A278="","",IF($A278&gt;=DATE(YEAR($A278),4,6),YEAR($A278)&amp;"/"&amp;RIGHT(YEAR($A278)+1,2),YEAR($A278)-1&amp;"/"&amp;RIGHT(YEAR($A278),2)))</f>
        <v/>
      </c>
    </row>
    <row r="279" customFormat="false" ht="15" hidden="false" customHeight="false" outlineLevel="0" collapsed="false">
      <c r="A279" s="22"/>
      <c r="B279" s="23"/>
      <c r="C279" s="23"/>
      <c r="D279" s="23"/>
      <c r="E279" s="32"/>
      <c r="F279" s="25"/>
      <c r="G279" s="23"/>
      <c r="H279" s="23"/>
      <c r="I279" s="23"/>
      <c r="J279" s="23"/>
      <c r="K279" s="23"/>
      <c r="L279" s="27" t="str">
        <f aca="false">IF($B279="","",IFERROR(INDEX(Properties!$D$5:$D$104,MATCH($B279,Properties!$A$5:$A$104,0)),"-"))</f>
        <v/>
      </c>
      <c r="M279" s="28" t="str">
        <f aca="false">IF(OR($A279="",N($E279)=0),"",$F279/$E279)</f>
        <v/>
      </c>
      <c r="N279" s="28" t="str">
        <f aca="false">IF($A279="","",IF($H279="Y",$F279*(1+Settings!$B$3),0))</f>
        <v/>
      </c>
      <c r="O279" s="27" t="str">
        <f aca="false">IF($A279="","",IF(AND($H279="Y",$G279&lt;&gt;"Restock",N($M279)&gt;Settings!$B$4,$I279&lt;&gt;"Y"),"Get host OK",IF(AND($H279="Y",$F279&gt;Settings!$B$5,$I279&lt;&gt;"Y"),"Host should pay upfront",IF($J279&lt;&gt;"Y","Save receipt","OK"))))</f>
        <v/>
      </c>
      <c r="P279" s="29" t="str">
        <f aca="false">IF($A279="","",DATE(YEAR($A279),MONTH($A279),1))</f>
        <v/>
      </c>
      <c r="Q279" s="31" t="str">
        <f aca="false">IF($A279="","",IF(AND($L279='Invoice Builder'!$C$5,$P279='Invoice Builder'!$C$6,N($N279)&gt;0),COUNTIFS($L$5:$L279,'Invoice Builder'!$C$5,$P$5:$P279,'Invoice Builder'!$C$6,$N$5:$N279,"&gt;0"),""))</f>
        <v/>
      </c>
      <c r="R279" s="27" t="str">
        <f aca="false">IF($A279="","",IF($A279&gt;=DATE(YEAR($A279),4,6),YEAR($A279)&amp;"/"&amp;RIGHT(YEAR($A279)+1,2),YEAR($A279)-1&amp;"/"&amp;RIGHT(YEAR($A279),2)))</f>
        <v/>
      </c>
    </row>
    <row r="280" customFormat="false" ht="15" hidden="false" customHeight="false" outlineLevel="0" collapsed="false">
      <c r="A280" s="22"/>
      <c r="B280" s="23"/>
      <c r="C280" s="23"/>
      <c r="D280" s="23"/>
      <c r="E280" s="32"/>
      <c r="F280" s="25"/>
      <c r="G280" s="23"/>
      <c r="H280" s="23"/>
      <c r="I280" s="23"/>
      <c r="J280" s="23"/>
      <c r="K280" s="23"/>
      <c r="L280" s="27" t="str">
        <f aca="false">IF($B280="","",IFERROR(INDEX(Properties!$D$5:$D$104,MATCH($B280,Properties!$A$5:$A$104,0)),"-"))</f>
        <v/>
      </c>
      <c r="M280" s="28" t="str">
        <f aca="false">IF(OR($A280="",N($E280)=0),"",$F280/$E280)</f>
        <v/>
      </c>
      <c r="N280" s="28" t="str">
        <f aca="false">IF($A280="","",IF($H280="Y",$F280*(1+Settings!$B$3),0))</f>
        <v/>
      </c>
      <c r="O280" s="27" t="str">
        <f aca="false">IF($A280="","",IF(AND($H280="Y",$G280&lt;&gt;"Restock",N($M280)&gt;Settings!$B$4,$I280&lt;&gt;"Y"),"Get host OK",IF(AND($H280="Y",$F280&gt;Settings!$B$5,$I280&lt;&gt;"Y"),"Host should pay upfront",IF($J280&lt;&gt;"Y","Save receipt","OK"))))</f>
        <v/>
      </c>
      <c r="P280" s="29" t="str">
        <f aca="false">IF($A280="","",DATE(YEAR($A280),MONTH($A280),1))</f>
        <v/>
      </c>
      <c r="Q280" s="31" t="str">
        <f aca="false">IF($A280="","",IF(AND($L280='Invoice Builder'!$C$5,$P280='Invoice Builder'!$C$6,N($N280)&gt;0),COUNTIFS($L$5:$L280,'Invoice Builder'!$C$5,$P$5:$P280,'Invoice Builder'!$C$6,$N$5:$N280,"&gt;0"),""))</f>
        <v/>
      </c>
      <c r="R280" s="27" t="str">
        <f aca="false">IF($A280="","",IF($A280&gt;=DATE(YEAR($A280),4,6),YEAR($A280)&amp;"/"&amp;RIGHT(YEAR($A280)+1,2),YEAR($A280)-1&amp;"/"&amp;RIGHT(YEAR($A280),2)))</f>
        <v/>
      </c>
    </row>
    <row r="281" customFormat="false" ht="15" hidden="false" customHeight="false" outlineLevel="0" collapsed="false">
      <c r="A281" s="22"/>
      <c r="B281" s="23"/>
      <c r="C281" s="23"/>
      <c r="D281" s="23"/>
      <c r="E281" s="32"/>
      <c r="F281" s="25"/>
      <c r="G281" s="23"/>
      <c r="H281" s="23"/>
      <c r="I281" s="23"/>
      <c r="J281" s="23"/>
      <c r="K281" s="23"/>
      <c r="L281" s="27" t="str">
        <f aca="false">IF($B281="","",IFERROR(INDEX(Properties!$D$5:$D$104,MATCH($B281,Properties!$A$5:$A$104,0)),"-"))</f>
        <v/>
      </c>
      <c r="M281" s="28" t="str">
        <f aca="false">IF(OR($A281="",N($E281)=0),"",$F281/$E281)</f>
        <v/>
      </c>
      <c r="N281" s="28" t="str">
        <f aca="false">IF($A281="","",IF($H281="Y",$F281*(1+Settings!$B$3),0))</f>
        <v/>
      </c>
      <c r="O281" s="27" t="str">
        <f aca="false">IF($A281="","",IF(AND($H281="Y",$G281&lt;&gt;"Restock",N($M281)&gt;Settings!$B$4,$I281&lt;&gt;"Y"),"Get host OK",IF(AND($H281="Y",$F281&gt;Settings!$B$5,$I281&lt;&gt;"Y"),"Host should pay upfront",IF($J281&lt;&gt;"Y","Save receipt","OK"))))</f>
        <v/>
      </c>
      <c r="P281" s="29" t="str">
        <f aca="false">IF($A281="","",DATE(YEAR($A281),MONTH($A281),1))</f>
        <v/>
      </c>
      <c r="Q281" s="31" t="str">
        <f aca="false">IF($A281="","",IF(AND($L281='Invoice Builder'!$C$5,$P281='Invoice Builder'!$C$6,N($N281)&gt;0),COUNTIFS($L$5:$L281,'Invoice Builder'!$C$5,$P$5:$P281,'Invoice Builder'!$C$6,$N$5:$N281,"&gt;0"),""))</f>
        <v/>
      </c>
      <c r="R281" s="27" t="str">
        <f aca="false">IF($A281="","",IF($A281&gt;=DATE(YEAR($A281),4,6),YEAR($A281)&amp;"/"&amp;RIGHT(YEAR($A281)+1,2),YEAR($A281)-1&amp;"/"&amp;RIGHT(YEAR($A281),2)))</f>
        <v/>
      </c>
    </row>
    <row r="282" customFormat="false" ht="15" hidden="false" customHeight="false" outlineLevel="0" collapsed="false">
      <c r="A282" s="22"/>
      <c r="B282" s="23"/>
      <c r="C282" s="23"/>
      <c r="D282" s="23"/>
      <c r="E282" s="32"/>
      <c r="F282" s="25"/>
      <c r="G282" s="23"/>
      <c r="H282" s="23"/>
      <c r="I282" s="23"/>
      <c r="J282" s="23"/>
      <c r="K282" s="23"/>
      <c r="L282" s="27" t="str">
        <f aca="false">IF($B282="","",IFERROR(INDEX(Properties!$D$5:$D$104,MATCH($B282,Properties!$A$5:$A$104,0)),"-"))</f>
        <v/>
      </c>
      <c r="M282" s="28" t="str">
        <f aca="false">IF(OR($A282="",N($E282)=0),"",$F282/$E282)</f>
        <v/>
      </c>
      <c r="N282" s="28" t="str">
        <f aca="false">IF($A282="","",IF($H282="Y",$F282*(1+Settings!$B$3),0))</f>
        <v/>
      </c>
      <c r="O282" s="27" t="str">
        <f aca="false">IF($A282="","",IF(AND($H282="Y",$G282&lt;&gt;"Restock",N($M282)&gt;Settings!$B$4,$I282&lt;&gt;"Y"),"Get host OK",IF(AND($H282="Y",$F282&gt;Settings!$B$5,$I282&lt;&gt;"Y"),"Host should pay upfront",IF($J282&lt;&gt;"Y","Save receipt","OK"))))</f>
        <v/>
      </c>
      <c r="P282" s="29" t="str">
        <f aca="false">IF($A282="","",DATE(YEAR($A282),MONTH($A282),1))</f>
        <v/>
      </c>
      <c r="Q282" s="31" t="str">
        <f aca="false">IF($A282="","",IF(AND($L282='Invoice Builder'!$C$5,$P282='Invoice Builder'!$C$6,N($N282)&gt;0),COUNTIFS($L$5:$L282,'Invoice Builder'!$C$5,$P$5:$P282,'Invoice Builder'!$C$6,$N$5:$N282,"&gt;0"),""))</f>
        <v/>
      </c>
      <c r="R282" s="27" t="str">
        <f aca="false">IF($A282="","",IF($A282&gt;=DATE(YEAR($A282),4,6),YEAR($A282)&amp;"/"&amp;RIGHT(YEAR($A282)+1,2),YEAR($A282)-1&amp;"/"&amp;RIGHT(YEAR($A282),2)))</f>
        <v/>
      </c>
    </row>
    <row r="283" customFormat="false" ht="15" hidden="false" customHeight="false" outlineLevel="0" collapsed="false">
      <c r="A283" s="22"/>
      <c r="B283" s="23"/>
      <c r="C283" s="23"/>
      <c r="D283" s="23"/>
      <c r="E283" s="32"/>
      <c r="F283" s="25"/>
      <c r="G283" s="23"/>
      <c r="H283" s="23"/>
      <c r="I283" s="23"/>
      <c r="J283" s="23"/>
      <c r="K283" s="23"/>
      <c r="L283" s="27" t="str">
        <f aca="false">IF($B283="","",IFERROR(INDEX(Properties!$D$5:$D$104,MATCH($B283,Properties!$A$5:$A$104,0)),"-"))</f>
        <v/>
      </c>
      <c r="M283" s="28" t="str">
        <f aca="false">IF(OR($A283="",N($E283)=0),"",$F283/$E283)</f>
        <v/>
      </c>
      <c r="N283" s="28" t="str">
        <f aca="false">IF($A283="","",IF($H283="Y",$F283*(1+Settings!$B$3),0))</f>
        <v/>
      </c>
      <c r="O283" s="27" t="str">
        <f aca="false">IF($A283="","",IF(AND($H283="Y",$G283&lt;&gt;"Restock",N($M283)&gt;Settings!$B$4,$I283&lt;&gt;"Y"),"Get host OK",IF(AND($H283="Y",$F283&gt;Settings!$B$5,$I283&lt;&gt;"Y"),"Host should pay upfront",IF($J283&lt;&gt;"Y","Save receipt","OK"))))</f>
        <v/>
      </c>
      <c r="P283" s="29" t="str">
        <f aca="false">IF($A283="","",DATE(YEAR($A283),MONTH($A283),1))</f>
        <v/>
      </c>
      <c r="Q283" s="31" t="str">
        <f aca="false">IF($A283="","",IF(AND($L283='Invoice Builder'!$C$5,$P283='Invoice Builder'!$C$6,N($N283)&gt;0),COUNTIFS($L$5:$L283,'Invoice Builder'!$C$5,$P$5:$P283,'Invoice Builder'!$C$6,$N$5:$N283,"&gt;0"),""))</f>
        <v/>
      </c>
      <c r="R283" s="27" t="str">
        <f aca="false">IF($A283="","",IF($A283&gt;=DATE(YEAR($A283),4,6),YEAR($A283)&amp;"/"&amp;RIGHT(YEAR($A283)+1,2),YEAR($A283)-1&amp;"/"&amp;RIGHT(YEAR($A283),2)))</f>
        <v/>
      </c>
    </row>
    <row r="284" customFormat="false" ht="15" hidden="false" customHeight="false" outlineLevel="0" collapsed="false">
      <c r="A284" s="22"/>
      <c r="B284" s="23"/>
      <c r="C284" s="23"/>
      <c r="D284" s="23"/>
      <c r="E284" s="32"/>
      <c r="F284" s="25"/>
      <c r="G284" s="23"/>
      <c r="H284" s="23"/>
      <c r="I284" s="23"/>
      <c r="J284" s="23"/>
      <c r="K284" s="23"/>
      <c r="L284" s="27" t="str">
        <f aca="false">IF($B284="","",IFERROR(INDEX(Properties!$D$5:$D$104,MATCH($B284,Properties!$A$5:$A$104,0)),"-"))</f>
        <v/>
      </c>
      <c r="M284" s="28" t="str">
        <f aca="false">IF(OR($A284="",N($E284)=0),"",$F284/$E284)</f>
        <v/>
      </c>
      <c r="N284" s="28" t="str">
        <f aca="false">IF($A284="","",IF($H284="Y",$F284*(1+Settings!$B$3),0))</f>
        <v/>
      </c>
      <c r="O284" s="27" t="str">
        <f aca="false">IF($A284="","",IF(AND($H284="Y",$G284&lt;&gt;"Restock",N($M284)&gt;Settings!$B$4,$I284&lt;&gt;"Y"),"Get host OK",IF(AND($H284="Y",$F284&gt;Settings!$B$5,$I284&lt;&gt;"Y"),"Host should pay upfront",IF($J284&lt;&gt;"Y","Save receipt","OK"))))</f>
        <v/>
      </c>
      <c r="P284" s="29" t="str">
        <f aca="false">IF($A284="","",DATE(YEAR($A284),MONTH($A284),1))</f>
        <v/>
      </c>
      <c r="Q284" s="31" t="str">
        <f aca="false">IF($A284="","",IF(AND($L284='Invoice Builder'!$C$5,$P284='Invoice Builder'!$C$6,N($N284)&gt;0),COUNTIFS($L$5:$L284,'Invoice Builder'!$C$5,$P$5:$P284,'Invoice Builder'!$C$6,$N$5:$N284,"&gt;0"),""))</f>
        <v/>
      </c>
      <c r="R284" s="27" t="str">
        <f aca="false">IF($A284="","",IF($A284&gt;=DATE(YEAR($A284),4,6),YEAR($A284)&amp;"/"&amp;RIGHT(YEAR($A284)+1,2),YEAR($A284)-1&amp;"/"&amp;RIGHT(YEAR($A284),2)))</f>
        <v/>
      </c>
    </row>
    <row r="285" customFormat="false" ht="15" hidden="false" customHeight="false" outlineLevel="0" collapsed="false">
      <c r="A285" s="22"/>
      <c r="B285" s="23"/>
      <c r="C285" s="23"/>
      <c r="D285" s="23"/>
      <c r="E285" s="32"/>
      <c r="F285" s="25"/>
      <c r="G285" s="23"/>
      <c r="H285" s="23"/>
      <c r="I285" s="23"/>
      <c r="J285" s="23"/>
      <c r="K285" s="23"/>
      <c r="L285" s="27" t="str">
        <f aca="false">IF($B285="","",IFERROR(INDEX(Properties!$D$5:$D$104,MATCH($B285,Properties!$A$5:$A$104,0)),"-"))</f>
        <v/>
      </c>
      <c r="M285" s="28" t="str">
        <f aca="false">IF(OR($A285="",N($E285)=0),"",$F285/$E285)</f>
        <v/>
      </c>
      <c r="N285" s="28" t="str">
        <f aca="false">IF($A285="","",IF($H285="Y",$F285*(1+Settings!$B$3),0))</f>
        <v/>
      </c>
      <c r="O285" s="27" t="str">
        <f aca="false">IF($A285="","",IF(AND($H285="Y",$G285&lt;&gt;"Restock",N($M285)&gt;Settings!$B$4,$I285&lt;&gt;"Y"),"Get host OK",IF(AND($H285="Y",$F285&gt;Settings!$B$5,$I285&lt;&gt;"Y"),"Host should pay upfront",IF($J285&lt;&gt;"Y","Save receipt","OK"))))</f>
        <v/>
      </c>
      <c r="P285" s="29" t="str">
        <f aca="false">IF($A285="","",DATE(YEAR($A285),MONTH($A285),1))</f>
        <v/>
      </c>
      <c r="Q285" s="31" t="str">
        <f aca="false">IF($A285="","",IF(AND($L285='Invoice Builder'!$C$5,$P285='Invoice Builder'!$C$6,N($N285)&gt;0),COUNTIFS($L$5:$L285,'Invoice Builder'!$C$5,$P$5:$P285,'Invoice Builder'!$C$6,$N$5:$N285,"&gt;0"),""))</f>
        <v/>
      </c>
      <c r="R285" s="27" t="str">
        <f aca="false">IF($A285="","",IF($A285&gt;=DATE(YEAR($A285),4,6),YEAR($A285)&amp;"/"&amp;RIGHT(YEAR($A285)+1,2),YEAR($A285)-1&amp;"/"&amp;RIGHT(YEAR($A285),2)))</f>
        <v/>
      </c>
    </row>
    <row r="286" customFormat="false" ht="15" hidden="false" customHeight="false" outlineLevel="0" collapsed="false">
      <c r="A286" s="22"/>
      <c r="B286" s="23"/>
      <c r="C286" s="23"/>
      <c r="D286" s="23"/>
      <c r="E286" s="32"/>
      <c r="F286" s="25"/>
      <c r="G286" s="23"/>
      <c r="H286" s="23"/>
      <c r="I286" s="23"/>
      <c r="J286" s="23"/>
      <c r="K286" s="23"/>
      <c r="L286" s="27" t="str">
        <f aca="false">IF($B286="","",IFERROR(INDEX(Properties!$D$5:$D$104,MATCH($B286,Properties!$A$5:$A$104,0)),"-"))</f>
        <v/>
      </c>
      <c r="M286" s="28" t="str">
        <f aca="false">IF(OR($A286="",N($E286)=0),"",$F286/$E286)</f>
        <v/>
      </c>
      <c r="N286" s="28" t="str">
        <f aca="false">IF($A286="","",IF($H286="Y",$F286*(1+Settings!$B$3),0))</f>
        <v/>
      </c>
      <c r="O286" s="27" t="str">
        <f aca="false">IF($A286="","",IF(AND($H286="Y",$G286&lt;&gt;"Restock",N($M286)&gt;Settings!$B$4,$I286&lt;&gt;"Y"),"Get host OK",IF(AND($H286="Y",$F286&gt;Settings!$B$5,$I286&lt;&gt;"Y"),"Host should pay upfront",IF($J286&lt;&gt;"Y","Save receipt","OK"))))</f>
        <v/>
      </c>
      <c r="P286" s="29" t="str">
        <f aca="false">IF($A286="","",DATE(YEAR($A286),MONTH($A286),1))</f>
        <v/>
      </c>
      <c r="Q286" s="31" t="str">
        <f aca="false">IF($A286="","",IF(AND($L286='Invoice Builder'!$C$5,$P286='Invoice Builder'!$C$6,N($N286)&gt;0),COUNTIFS($L$5:$L286,'Invoice Builder'!$C$5,$P$5:$P286,'Invoice Builder'!$C$6,$N$5:$N286,"&gt;0"),""))</f>
        <v/>
      </c>
      <c r="R286" s="27" t="str">
        <f aca="false">IF($A286="","",IF($A286&gt;=DATE(YEAR($A286),4,6),YEAR($A286)&amp;"/"&amp;RIGHT(YEAR($A286)+1,2),YEAR($A286)-1&amp;"/"&amp;RIGHT(YEAR($A286),2)))</f>
        <v/>
      </c>
    </row>
    <row r="287" customFormat="false" ht="15" hidden="false" customHeight="false" outlineLevel="0" collapsed="false">
      <c r="A287" s="22"/>
      <c r="B287" s="23"/>
      <c r="C287" s="23"/>
      <c r="D287" s="23"/>
      <c r="E287" s="32"/>
      <c r="F287" s="25"/>
      <c r="G287" s="23"/>
      <c r="H287" s="23"/>
      <c r="I287" s="23"/>
      <c r="J287" s="23"/>
      <c r="K287" s="23"/>
      <c r="L287" s="27" t="str">
        <f aca="false">IF($B287="","",IFERROR(INDEX(Properties!$D$5:$D$104,MATCH($B287,Properties!$A$5:$A$104,0)),"-"))</f>
        <v/>
      </c>
      <c r="M287" s="28" t="str">
        <f aca="false">IF(OR($A287="",N($E287)=0),"",$F287/$E287)</f>
        <v/>
      </c>
      <c r="N287" s="28" t="str">
        <f aca="false">IF($A287="","",IF($H287="Y",$F287*(1+Settings!$B$3),0))</f>
        <v/>
      </c>
      <c r="O287" s="27" t="str">
        <f aca="false">IF($A287="","",IF(AND($H287="Y",$G287&lt;&gt;"Restock",N($M287)&gt;Settings!$B$4,$I287&lt;&gt;"Y"),"Get host OK",IF(AND($H287="Y",$F287&gt;Settings!$B$5,$I287&lt;&gt;"Y"),"Host should pay upfront",IF($J287&lt;&gt;"Y","Save receipt","OK"))))</f>
        <v/>
      </c>
      <c r="P287" s="29" t="str">
        <f aca="false">IF($A287="","",DATE(YEAR($A287),MONTH($A287),1))</f>
        <v/>
      </c>
      <c r="Q287" s="31" t="str">
        <f aca="false">IF($A287="","",IF(AND($L287='Invoice Builder'!$C$5,$P287='Invoice Builder'!$C$6,N($N287)&gt;0),COUNTIFS($L$5:$L287,'Invoice Builder'!$C$5,$P$5:$P287,'Invoice Builder'!$C$6,$N$5:$N287,"&gt;0"),""))</f>
        <v/>
      </c>
      <c r="R287" s="27" t="str">
        <f aca="false">IF($A287="","",IF($A287&gt;=DATE(YEAR($A287),4,6),YEAR($A287)&amp;"/"&amp;RIGHT(YEAR($A287)+1,2),YEAR($A287)-1&amp;"/"&amp;RIGHT(YEAR($A287),2)))</f>
        <v/>
      </c>
    </row>
    <row r="288" customFormat="false" ht="15" hidden="false" customHeight="false" outlineLevel="0" collapsed="false">
      <c r="A288" s="22"/>
      <c r="B288" s="23"/>
      <c r="C288" s="23"/>
      <c r="D288" s="23"/>
      <c r="E288" s="32"/>
      <c r="F288" s="25"/>
      <c r="G288" s="23"/>
      <c r="H288" s="23"/>
      <c r="I288" s="23"/>
      <c r="J288" s="23"/>
      <c r="K288" s="23"/>
      <c r="L288" s="27" t="str">
        <f aca="false">IF($B288="","",IFERROR(INDEX(Properties!$D$5:$D$104,MATCH($B288,Properties!$A$5:$A$104,0)),"-"))</f>
        <v/>
      </c>
      <c r="M288" s="28" t="str">
        <f aca="false">IF(OR($A288="",N($E288)=0),"",$F288/$E288)</f>
        <v/>
      </c>
      <c r="N288" s="28" t="str">
        <f aca="false">IF($A288="","",IF($H288="Y",$F288*(1+Settings!$B$3),0))</f>
        <v/>
      </c>
      <c r="O288" s="27" t="str">
        <f aca="false">IF($A288="","",IF(AND($H288="Y",$G288&lt;&gt;"Restock",N($M288)&gt;Settings!$B$4,$I288&lt;&gt;"Y"),"Get host OK",IF(AND($H288="Y",$F288&gt;Settings!$B$5,$I288&lt;&gt;"Y"),"Host should pay upfront",IF($J288&lt;&gt;"Y","Save receipt","OK"))))</f>
        <v/>
      </c>
      <c r="P288" s="29" t="str">
        <f aca="false">IF($A288="","",DATE(YEAR($A288),MONTH($A288),1))</f>
        <v/>
      </c>
      <c r="Q288" s="31" t="str">
        <f aca="false">IF($A288="","",IF(AND($L288='Invoice Builder'!$C$5,$P288='Invoice Builder'!$C$6,N($N288)&gt;0),COUNTIFS($L$5:$L288,'Invoice Builder'!$C$5,$P$5:$P288,'Invoice Builder'!$C$6,$N$5:$N288,"&gt;0"),""))</f>
        <v/>
      </c>
      <c r="R288" s="27" t="str">
        <f aca="false">IF($A288="","",IF($A288&gt;=DATE(YEAR($A288),4,6),YEAR($A288)&amp;"/"&amp;RIGHT(YEAR($A288)+1,2),YEAR($A288)-1&amp;"/"&amp;RIGHT(YEAR($A288),2)))</f>
        <v/>
      </c>
    </row>
    <row r="289" customFormat="false" ht="15" hidden="false" customHeight="false" outlineLevel="0" collapsed="false">
      <c r="A289" s="22"/>
      <c r="B289" s="23"/>
      <c r="C289" s="23"/>
      <c r="D289" s="23"/>
      <c r="E289" s="32"/>
      <c r="F289" s="25"/>
      <c r="G289" s="23"/>
      <c r="H289" s="23"/>
      <c r="I289" s="23"/>
      <c r="J289" s="23"/>
      <c r="K289" s="23"/>
      <c r="L289" s="27" t="str">
        <f aca="false">IF($B289="","",IFERROR(INDEX(Properties!$D$5:$D$104,MATCH($B289,Properties!$A$5:$A$104,0)),"-"))</f>
        <v/>
      </c>
      <c r="M289" s="28" t="str">
        <f aca="false">IF(OR($A289="",N($E289)=0),"",$F289/$E289)</f>
        <v/>
      </c>
      <c r="N289" s="28" t="str">
        <f aca="false">IF($A289="","",IF($H289="Y",$F289*(1+Settings!$B$3),0))</f>
        <v/>
      </c>
      <c r="O289" s="27" t="str">
        <f aca="false">IF($A289="","",IF(AND($H289="Y",$G289&lt;&gt;"Restock",N($M289)&gt;Settings!$B$4,$I289&lt;&gt;"Y"),"Get host OK",IF(AND($H289="Y",$F289&gt;Settings!$B$5,$I289&lt;&gt;"Y"),"Host should pay upfront",IF($J289&lt;&gt;"Y","Save receipt","OK"))))</f>
        <v/>
      </c>
      <c r="P289" s="29" t="str">
        <f aca="false">IF($A289="","",DATE(YEAR($A289),MONTH($A289),1))</f>
        <v/>
      </c>
      <c r="Q289" s="31" t="str">
        <f aca="false">IF($A289="","",IF(AND($L289='Invoice Builder'!$C$5,$P289='Invoice Builder'!$C$6,N($N289)&gt;0),COUNTIFS($L$5:$L289,'Invoice Builder'!$C$5,$P$5:$P289,'Invoice Builder'!$C$6,$N$5:$N289,"&gt;0"),""))</f>
        <v/>
      </c>
      <c r="R289" s="27" t="str">
        <f aca="false">IF($A289="","",IF($A289&gt;=DATE(YEAR($A289),4,6),YEAR($A289)&amp;"/"&amp;RIGHT(YEAR($A289)+1,2),YEAR($A289)-1&amp;"/"&amp;RIGHT(YEAR($A289),2)))</f>
        <v/>
      </c>
    </row>
    <row r="290" customFormat="false" ht="15" hidden="false" customHeight="false" outlineLevel="0" collapsed="false">
      <c r="A290" s="22"/>
      <c r="B290" s="23"/>
      <c r="C290" s="23"/>
      <c r="D290" s="23"/>
      <c r="E290" s="32"/>
      <c r="F290" s="25"/>
      <c r="G290" s="23"/>
      <c r="H290" s="23"/>
      <c r="I290" s="23"/>
      <c r="J290" s="23"/>
      <c r="K290" s="23"/>
      <c r="L290" s="27" t="str">
        <f aca="false">IF($B290="","",IFERROR(INDEX(Properties!$D$5:$D$104,MATCH($B290,Properties!$A$5:$A$104,0)),"-"))</f>
        <v/>
      </c>
      <c r="M290" s="28" t="str">
        <f aca="false">IF(OR($A290="",N($E290)=0),"",$F290/$E290)</f>
        <v/>
      </c>
      <c r="N290" s="28" t="str">
        <f aca="false">IF($A290="","",IF($H290="Y",$F290*(1+Settings!$B$3),0))</f>
        <v/>
      </c>
      <c r="O290" s="27" t="str">
        <f aca="false">IF($A290="","",IF(AND($H290="Y",$G290&lt;&gt;"Restock",N($M290)&gt;Settings!$B$4,$I290&lt;&gt;"Y"),"Get host OK",IF(AND($H290="Y",$F290&gt;Settings!$B$5,$I290&lt;&gt;"Y"),"Host should pay upfront",IF($J290&lt;&gt;"Y","Save receipt","OK"))))</f>
        <v/>
      </c>
      <c r="P290" s="29" t="str">
        <f aca="false">IF($A290="","",DATE(YEAR($A290),MONTH($A290),1))</f>
        <v/>
      </c>
      <c r="Q290" s="31" t="str">
        <f aca="false">IF($A290="","",IF(AND($L290='Invoice Builder'!$C$5,$P290='Invoice Builder'!$C$6,N($N290)&gt;0),COUNTIFS($L$5:$L290,'Invoice Builder'!$C$5,$P$5:$P290,'Invoice Builder'!$C$6,$N$5:$N290,"&gt;0"),""))</f>
        <v/>
      </c>
      <c r="R290" s="27" t="str">
        <f aca="false">IF($A290="","",IF($A290&gt;=DATE(YEAR($A290),4,6),YEAR($A290)&amp;"/"&amp;RIGHT(YEAR($A290)+1,2),YEAR($A290)-1&amp;"/"&amp;RIGHT(YEAR($A290),2)))</f>
        <v/>
      </c>
    </row>
    <row r="291" customFormat="false" ht="15" hidden="false" customHeight="false" outlineLevel="0" collapsed="false">
      <c r="A291" s="22"/>
      <c r="B291" s="23"/>
      <c r="C291" s="23"/>
      <c r="D291" s="23"/>
      <c r="E291" s="32"/>
      <c r="F291" s="25"/>
      <c r="G291" s="23"/>
      <c r="H291" s="23"/>
      <c r="I291" s="23"/>
      <c r="J291" s="23"/>
      <c r="K291" s="23"/>
      <c r="L291" s="27" t="str">
        <f aca="false">IF($B291="","",IFERROR(INDEX(Properties!$D$5:$D$104,MATCH($B291,Properties!$A$5:$A$104,0)),"-"))</f>
        <v/>
      </c>
      <c r="M291" s="28" t="str">
        <f aca="false">IF(OR($A291="",N($E291)=0),"",$F291/$E291)</f>
        <v/>
      </c>
      <c r="N291" s="28" t="str">
        <f aca="false">IF($A291="","",IF($H291="Y",$F291*(1+Settings!$B$3),0))</f>
        <v/>
      </c>
      <c r="O291" s="27" t="str">
        <f aca="false">IF($A291="","",IF(AND($H291="Y",$G291&lt;&gt;"Restock",N($M291)&gt;Settings!$B$4,$I291&lt;&gt;"Y"),"Get host OK",IF(AND($H291="Y",$F291&gt;Settings!$B$5,$I291&lt;&gt;"Y"),"Host should pay upfront",IF($J291&lt;&gt;"Y","Save receipt","OK"))))</f>
        <v/>
      </c>
      <c r="P291" s="29" t="str">
        <f aca="false">IF($A291="","",DATE(YEAR($A291),MONTH($A291),1))</f>
        <v/>
      </c>
      <c r="Q291" s="31" t="str">
        <f aca="false">IF($A291="","",IF(AND($L291='Invoice Builder'!$C$5,$P291='Invoice Builder'!$C$6,N($N291)&gt;0),COUNTIFS($L$5:$L291,'Invoice Builder'!$C$5,$P$5:$P291,'Invoice Builder'!$C$6,$N$5:$N291,"&gt;0"),""))</f>
        <v/>
      </c>
      <c r="R291" s="27" t="str">
        <f aca="false">IF($A291="","",IF($A291&gt;=DATE(YEAR($A291),4,6),YEAR($A291)&amp;"/"&amp;RIGHT(YEAR($A291)+1,2),YEAR($A291)-1&amp;"/"&amp;RIGHT(YEAR($A291),2)))</f>
        <v/>
      </c>
    </row>
    <row r="292" customFormat="false" ht="15" hidden="false" customHeight="false" outlineLevel="0" collapsed="false">
      <c r="A292" s="22"/>
      <c r="B292" s="23"/>
      <c r="C292" s="23"/>
      <c r="D292" s="23"/>
      <c r="E292" s="32"/>
      <c r="F292" s="25"/>
      <c r="G292" s="23"/>
      <c r="H292" s="23"/>
      <c r="I292" s="23"/>
      <c r="J292" s="23"/>
      <c r="K292" s="23"/>
      <c r="L292" s="27" t="str">
        <f aca="false">IF($B292="","",IFERROR(INDEX(Properties!$D$5:$D$104,MATCH($B292,Properties!$A$5:$A$104,0)),"-"))</f>
        <v/>
      </c>
      <c r="M292" s="28" t="str">
        <f aca="false">IF(OR($A292="",N($E292)=0),"",$F292/$E292)</f>
        <v/>
      </c>
      <c r="N292" s="28" t="str">
        <f aca="false">IF($A292="","",IF($H292="Y",$F292*(1+Settings!$B$3),0))</f>
        <v/>
      </c>
      <c r="O292" s="27" t="str">
        <f aca="false">IF($A292="","",IF(AND($H292="Y",$G292&lt;&gt;"Restock",N($M292)&gt;Settings!$B$4,$I292&lt;&gt;"Y"),"Get host OK",IF(AND($H292="Y",$F292&gt;Settings!$B$5,$I292&lt;&gt;"Y"),"Host should pay upfront",IF($J292&lt;&gt;"Y","Save receipt","OK"))))</f>
        <v/>
      </c>
      <c r="P292" s="29" t="str">
        <f aca="false">IF($A292="","",DATE(YEAR($A292),MONTH($A292),1))</f>
        <v/>
      </c>
      <c r="Q292" s="31" t="str">
        <f aca="false">IF($A292="","",IF(AND($L292='Invoice Builder'!$C$5,$P292='Invoice Builder'!$C$6,N($N292)&gt;0),COUNTIFS($L$5:$L292,'Invoice Builder'!$C$5,$P$5:$P292,'Invoice Builder'!$C$6,$N$5:$N292,"&gt;0"),""))</f>
        <v/>
      </c>
      <c r="R292" s="27" t="str">
        <f aca="false">IF($A292="","",IF($A292&gt;=DATE(YEAR($A292),4,6),YEAR($A292)&amp;"/"&amp;RIGHT(YEAR($A292)+1,2),YEAR($A292)-1&amp;"/"&amp;RIGHT(YEAR($A292),2)))</f>
        <v/>
      </c>
    </row>
    <row r="293" customFormat="false" ht="15" hidden="false" customHeight="false" outlineLevel="0" collapsed="false">
      <c r="A293" s="22"/>
      <c r="B293" s="23"/>
      <c r="C293" s="23"/>
      <c r="D293" s="23"/>
      <c r="E293" s="32"/>
      <c r="F293" s="25"/>
      <c r="G293" s="23"/>
      <c r="H293" s="23"/>
      <c r="I293" s="23"/>
      <c r="J293" s="23"/>
      <c r="K293" s="23"/>
      <c r="L293" s="27" t="str">
        <f aca="false">IF($B293="","",IFERROR(INDEX(Properties!$D$5:$D$104,MATCH($B293,Properties!$A$5:$A$104,0)),"-"))</f>
        <v/>
      </c>
      <c r="M293" s="28" t="str">
        <f aca="false">IF(OR($A293="",N($E293)=0),"",$F293/$E293)</f>
        <v/>
      </c>
      <c r="N293" s="28" t="str">
        <f aca="false">IF($A293="","",IF($H293="Y",$F293*(1+Settings!$B$3),0))</f>
        <v/>
      </c>
      <c r="O293" s="27" t="str">
        <f aca="false">IF($A293="","",IF(AND($H293="Y",$G293&lt;&gt;"Restock",N($M293)&gt;Settings!$B$4,$I293&lt;&gt;"Y"),"Get host OK",IF(AND($H293="Y",$F293&gt;Settings!$B$5,$I293&lt;&gt;"Y"),"Host should pay upfront",IF($J293&lt;&gt;"Y","Save receipt","OK"))))</f>
        <v/>
      </c>
      <c r="P293" s="29" t="str">
        <f aca="false">IF($A293="","",DATE(YEAR($A293),MONTH($A293),1))</f>
        <v/>
      </c>
      <c r="Q293" s="31" t="str">
        <f aca="false">IF($A293="","",IF(AND($L293='Invoice Builder'!$C$5,$P293='Invoice Builder'!$C$6,N($N293)&gt;0),COUNTIFS($L$5:$L293,'Invoice Builder'!$C$5,$P$5:$P293,'Invoice Builder'!$C$6,$N$5:$N293,"&gt;0"),""))</f>
        <v/>
      </c>
      <c r="R293" s="27" t="str">
        <f aca="false">IF($A293="","",IF($A293&gt;=DATE(YEAR($A293),4,6),YEAR($A293)&amp;"/"&amp;RIGHT(YEAR($A293)+1,2),YEAR($A293)-1&amp;"/"&amp;RIGHT(YEAR($A293),2)))</f>
        <v/>
      </c>
    </row>
    <row r="294" customFormat="false" ht="15" hidden="false" customHeight="false" outlineLevel="0" collapsed="false">
      <c r="A294" s="22"/>
      <c r="B294" s="23"/>
      <c r="C294" s="23"/>
      <c r="D294" s="23"/>
      <c r="E294" s="32"/>
      <c r="F294" s="25"/>
      <c r="G294" s="23"/>
      <c r="H294" s="23"/>
      <c r="I294" s="23"/>
      <c r="J294" s="23"/>
      <c r="K294" s="23"/>
      <c r="L294" s="27" t="str">
        <f aca="false">IF($B294="","",IFERROR(INDEX(Properties!$D$5:$D$104,MATCH($B294,Properties!$A$5:$A$104,0)),"-"))</f>
        <v/>
      </c>
      <c r="M294" s="28" t="str">
        <f aca="false">IF(OR($A294="",N($E294)=0),"",$F294/$E294)</f>
        <v/>
      </c>
      <c r="N294" s="28" t="str">
        <f aca="false">IF($A294="","",IF($H294="Y",$F294*(1+Settings!$B$3),0))</f>
        <v/>
      </c>
      <c r="O294" s="27" t="str">
        <f aca="false">IF($A294="","",IF(AND($H294="Y",$G294&lt;&gt;"Restock",N($M294)&gt;Settings!$B$4,$I294&lt;&gt;"Y"),"Get host OK",IF(AND($H294="Y",$F294&gt;Settings!$B$5,$I294&lt;&gt;"Y"),"Host should pay upfront",IF($J294&lt;&gt;"Y","Save receipt","OK"))))</f>
        <v/>
      </c>
      <c r="P294" s="29" t="str">
        <f aca="false">IF($A294="","",DATE(YEAR($A294),MONTH($A294),1))</f>
        <v/>
      </c>
      <c r="Q294" s="31" t="str">
        <f aca="false">IF($A294="","",IF(AND($L294='Invoice Builder'!$C$5,$P294='Invoice Builder'!$C$6,N($N294)&gt;0),COUNTIFS($L$5:$L294,'Invoice Builder'!$C$5,$P$5:$P294,'Invoice Builder'!$C$6,$N$5:$N294,"&gt;0"),""))</f>
        <v/>
      </c>
      <c r="R294" s="27" t="str">
        <f aca="false">IF($A294="","",IF($A294&gt;=DATE(YEAR($A294),4,6),YEAR($A294)&amp;"/"&amp;RIGHT(YEAR($A294)+1,2),YEAR($A294)-1&amp;"/"&amp;RIGHT(YEAR($A294),2)))</f>
        <v/>
      </c>
    </row>
    <row r="295" customFormat="false" ht="15" hidden="false" customHeight="false" outlineLevel="0" collapsed="false">
      <c r="A295" s="22"/>
      <c r="B295" s="23"/>
      <c r="C295" s="23"/>
      <c r="D295" s="23"/>
      <c r="E295" s="32"/>
      <c r="F295" s="25"/>
      <c r="G295" s="23"/>
      <c r="H295" s="23"/>
      <c r="I295" s="23"/>
      <c r="J295" s="23"/>
      <c r="K295" s="23"/>
      <c r="L295" s="27" t="str">
        <f aca="false">IF($B295="","",IFERROR(INDEX(Properties!$D$5:$D$104,MATCH($B295,Properties!$A$5:$A$104,0)),"-"))</f>
        <v/>
      </c>
      <c r="M295" s="28" t="str">
        <f aca="false">IF(OR($A295="",N($E295)=0),"",$F295/$E295)</f>
        <v/>
      </c>
      <c r="N295" s="28" t="str">
        <f aca="false">IF($A295="","",IF($H295="Y",$F295*(1+Settings!$B$3),0))</f>
        <v/>
      </c>
      <c r="O295" s="27" t="str">
        <f aca="false">IF($A295="","",IF(AND($H295="Y",$G295&lt;&gt;"Restock",N($M295)&gt;Settings!$B$4,$I295&lt;&gt;"Y"),"Get host OK",IF(AND($H295="Y",$F295&gt;Settings!$B$5,$I295&lt;&gt;"Y"),"Host should pay upfront",IF($J295&lt;&gt;"Y","Save receipt","OK"))))</f>
        <v/>
      </c>
      <c r="P295" s="29" t="str">
        <f aca="false">IF($A295="","",DATE(YEAR($A295),MONTH($A295),1))</f>
        <v/>
      </c>
      <c r="Q295" s="31" t="str">
        <f aca="false">IF($A295="","",IF(AND($L295='Invoice Builder'!$C$5,$P295='Invoice Builder'!$C$6,N($N295)&gt;0),COUNTIFS($L$5:$L295,'Invoice Builder'!$C$5,$P$5:$P295,'Invoice Builder'!$C$6,$N$5:$N295,"&gt;0"),""))</f>
        <v/>
      </c>
      <c r="R295" s="27" t="str">
        <f aca="false">IF($A295="","",IF($A295&gt;=DATE(YEAR($A295),4,6),YEAR($A295)&amp;"/"&amp;RIGHT(YEAR($A295)+1,2),YEAR($A295)-1&amp;"/"&amp;RIGHT(YEAR($A295),2)))</f>
        <v/>
      </c>
    </row>
    <row r="296" customFormat="false" ht="15" hidden="false" customHeight="false" outlineLevel="0" collapsed="false">
      <c r="A296" s="22"/>
      <c r="B296" s="23"/>
      <c r="C296" s="23"/>
      <c r="D296" s="23"/>
      <c r="E296" s="32"/>
      <c r="F296" s="25"/>
      <c r="G296" s="23"/>
      <c r="H296" s="23"/>
      <c r="I296" s="23"/>
      <c r="J296" s="23"/>
      <c r="K296" s="23"/>
      <c r="L296" s="27" t="str">
        <f aca="false">IF($B296="","",IFERROR(INDEX(Properties!$D$5:$D$104,MATCH($B296,Properties!$A$5:$A$104,0)),"-"))</f>
        <v/>
      </c>
      <c r="M296" s="28" t="str">
        <f aca="false">IF(OR($A296="",N($E296)=0),"",$F296/$E296)</f>
        <v/>
      </c>
      <c r="N296" s="28" t="str">
        <f aca="false">IF($A296="","",IF($H296="Y",$F296*(1+Settings!$B$3),0))</f>
        <v/>
      </c>
      <c r="O296" s="27" t="str">
        <f aca="false">IF($A296="","",IF(AND($H296="Y",$G296&lt;&gt;"Restock",N($M296)&gt;Settings!$B$4,$I296&lt;&gt;"Y"),"Get host OK",IF(AND($H296="Y",$F296&gt;Settings!$B$5,$I296&lt;&gt;"Y"),"Host should pay upfront",IF($J296&lt;&gt;"Y","Save receipt","OK"))))</f>
        <v/>
      </c>
      <c r="P296" s="29" t="str">
        <f aca="false">IF($A296="","",DATE(YEAR($A296),MONTH($A296),1))</f>
        <v/>
      </c>
      <c r="Q296" s="31" t="str">
        <f aca="false">IF($A296="","",IF(AND($L296='Invoice Builder'!$C$5,$P296='Invoice Builder'!$C$6,N($N296)&gt;0),COUNTIFS($L$5:$L296,'Invoice Builder'!$C$5,$P$5:$P296,'Invoice Builder'!$C$6,$N$5:$N296,"&gt;0"),""))</f>
        <v/>
      </c>
      <c r="R296" s="27" t="str">
        <f aca="false">IF($A296="","",IF($A296&gt;=DATE(YEAR($A296),4,6),YEAR($A296)&amp;"/"&amp;RIGHT(YEAR($A296)+1,2),YEAR($A296)-1&amp;"/"&amp;RIGHT(YEAR($A296),2)))</f>
        <v/>
      </c>
    </row>
    <row r="297" customFormat="false" ht="15" hidden="false" customHeight="false" outlineLevel="0" collapsed="false">
      <c r="A297" s="22"/>
      <c r="B297" s="23"/>
      <c r="C297" s="23"/>
      <c r="D297" s="23"/>
      <c r="E297" s="32"/>
      <c r="F297" s="25"/>
      <c r="G297" s="23"/>
      <c r="H297" s="23"/>
      <c r="I297" s="23"/>
      <c r="J297" s="23"/>
      <c r="K297" s="23"/>
      <c r="L297" s="27" t="str">
        <f aca="false">IF($B297="","",IFERROR(INDEX(Properties!$D$5:$D$104,MATCH($B297,Properties!$A$5:$A$104,0)),"-"))</f>
        <v/>
      </c>
      <c r="M297" s="28" t="str">
        <f aca="false">IF(OR($A297="",N($E297)=0),"",$F297/$E297)</f>
        <v/>
      </c>
      <c r="N297" s="28" t="str">
        <f aca="false">IF($A297="","",IF($H297="Y",$F297*(1+Settings!$B$3),0))</f>
        <v/>
      </c>
      <c r="O297" s="27" t="str">
        <f aca="false">IF($A297="","",IF(AND($H297="Y",$G297&lt;&gt;"Restock",N($M297)&gt;Settings!$B$4,$I297&lt;&gt;"Y"),"Get host OK",IF(AND($H297="Y",$F297&gt;Settings!$B$5,$I297&lt;&gt;"Y"),"Host should pay upfront",IF($J297&lt;&gt;"Y","Save receipt","OK"))))</f>
        <v/>
      </c>
      <c r="P297" s="29" t="str">
        <f aca="false">IF($A297="","",DATE(YEAR($A297),MONTH($A297),1))</f>
        <v/>
      </c>
      <c r="Q297" s="31" t="str">
        <f aca="false">IF($A297="","",IF(AND($L297='Invoice Builder'!$C$5,$P297='Invoice Builder'!$C$6,N($N297)&gt;0),COUNTIFS($L$5:$L297,'Invoice Builder'!$C$5,$P$5:$P297,'Invoice Builder'!$C$6,$N$5:$N297,"&gt;0"),""))</f>
        <v/>
      </c>
      <c r="R297" s="27" t="str">
        <f aca="false">IF($A297="","",IF($A297&gt;=DATE(YEAR($A297),4,6),YEAR($A297)&amp;"/"&amp;RIGHT(YEAR($A297)+1,2),YEAR($A297)-1&amp;"/"&amp;RIGHT(YEAR($A297),2)))</f>
        <v/>
      </c>
    </row>
    <row r="298" customFormat="false" ht="15" hidden="false" customHeight="false" outlineLevel="0" collapsed="false">
      <c r="A298" s="22"/>
      <c r="B298" s="23"/>
      <c r="C298" s="23"/>
      <c r="D298" s="23"/>
      <c r="E298" s="32"/>
      <c r="F298" s="25"/>
      <c r="G298" s="23"/>
      <c r="H298" s="23"/>
      <c r="I298" s="23"/>
      <c r="J298" s="23"/>
      <c r="K298" s="23"/>
      <c r="L298" s="27" t="str">
        <f aca="false">IF($B298="","",IFERROR(INDEX(Properties!$D$5:$D$104,MATCH($B298,Properties!$A$5:$A$104,0)),"-"))</f>
        <v/>
      </c>
      <c r="M298" s="28" t="str">
        <f aca="false">IF(OR($A298="",N($E298)=0),"",$F298/$E298)</f>
        <v/>
      </c>
      <c r="N298" s="28" t="str">
        <f aca="false">IF($A298="","",IF($H298="Y",$F298*(1+Settings!$B$3),0))</f>
        <v/>
      </c>
      <c r="O298" s="27" t="str">
        <f aca="false">IF($A298="","",IF(AND($H298="Y",$G298&lt;&gt;"Restock",N($M298)&gt;Settings!$B$4,$I298&lt;&gt;"Y"),"Get host OK",IF(AND($H298="Y",$F298&gt;Settings!$B$5,$I298&lt;&gt;"Y"),"Host should pay upfront",IF($J298&lt;&gt;"Y","Save receipt","OK"))))</f>
        <v/>
      </c>
      <c r="P298" s="29" t="str">
        <f aca="false">IF($A298="","",DATE(YEAR($A298),MONTH($A298),1))</f>
        <v/>
      </c>
      <c r="Q298" s="31" t="str">
        <f aca="false">IF($A298="","",IF(AND($L298='Invoice Builder'!$C$5,$P298='Invoice Builder'!$C$6,N($N298)&gt;0),COUNTIFS($L$5:$L298,'Invoice Builder'!$C$5,$P$5:$P298,'Invoice Builder'!$C$6,$N$5:$N298,"&gt;0"),""))</f>
        <v/>
      </c>
      <c r="R298" s="27" t="str">
        <f aca="false">IF($A298="","",IF($A298&gt;=DATE(YEAR($A298),4,6),YEAR($A298)&amp;"/"&amp;RIGHT(YEAR($A298)+1,2),YEAR($A298)-1&amp;"/"&amp;RIGHT(YEAR($A298),2)))</f>
        <v/>
      </c>
    </row>
    <row r="299" customFormat="false" ht="15" hidden="false" customHeight="false" outlineLevel="0" collapsed="false">
      <c r="A299" s="22"/>
      <c r="B299" s="23"/>
      <c r="C299" s="23"/>
      <c r="D299" s="23"/>
      <c r="E299" s="32"/>
      <c r="F299" s="25"/>
      <c r="G299" s="23"/>
      <c r="H299" s="23"/>
      <c r="I299" s="23"/>
      <c r="J299" s="23"/>
      <c r="K299" s="23"/>
      <c r="L299" s="27" t="str">
        <f aca="false">IF($B299="","",IFERROR(INDEX(Properties!$D$5:$D$104,MATCH($B299,Properties!$A$5:$A$104,0)),"-"))</f>
        <v/>
      </c>
      <c r="M299" s="28" t="str">
        <f aca="false">IF(OR($A299="",N($E299)=0),"",$F299/$E299)</f>
        <v/>
      </c>
      <c r="N299" s="28" t="str">
        <f aca="false">IF($A299="","",IF($H299="Y",$F299*(1+Settings!$B$3),0))</f>
        <v/>
      </c>
      <c r="O299" s="27" t="str">
        <f aca="false">IF($A299="","",IF(AND($H299="Y",$G299&lt;&gt;"Restock",N($M299)&gt;Settings!$B$4,$I299&lt;&gt;"Y"),"Get host OK",IF(AND($H299="Y",$F299&gt;Settings!$B$5,$I299&lt;&gt;"Y"),"Host should pay upfront",IF($J299&lt;&gt;"Y","Save receipt","OK"))))</f>
        <v/>
      </c>
      <c r="P299" s="29" t="str">
        <f aca="false">IF($A299="","",DATE(YEAR($A299),MONTH($A299),1))</f>
        <v/>
      </c>
      <c r="Q299" s="31" t="str">
        <f aca="false">IF($A299="","",IF(AND($L299='Invoice Builder'!$C$5,$P299='Invoice Builder'!$C$6,N($N299)&gt;0),COUNTIFS($L$5:$L299,'Invoice Builder'!$C$5,$P$5:$P299,'Invoice Builder'!$C$6,$N$5:$N299,"&gt;0"),""))</f>
        <v/>
      </c>
      <c r="R299" s="27" t="str">
        <f aca="false">IF($A299="","",IF($A299&gt;=DATE(YEAR($A299),4,6),YEAR($A299)&amp;"/"&amp;RIGHT(YEAR($A299)+1,2),YEAR($A299)-1&amp;"/"&amp;RIGHT(YEAR($A299),2)))</f>
        <v/>
      </c>
    </row>
    <row r="300" customFormat="false" ht="15" hidden="false" customHeight="false" outlineLevel="0" collapsed="false">
      <c r="A300" s="22"/>
      <c r="B300" s="23"/>
      <c r="C300" s="23"/>
      <c r="D300" s="23"/>
      <c r="E300" s="32"/>
      <c r="F300" s="25"/>
      <c r="G300" s="23"/>
      <c r="H300" s="23"/>
      <c r="I300" s="23"/>
      <c r="J300" s="23"/>
      <c r="K300" s="23"/>
      <c r="L300" s="27" t="str">
        <f aca="false">IF($B300="","",IFERROR(INDEX(Properties!$D$5:$D$104,MATCH($B300,Properties!$A$5:$A$104,0)),"-"))</f>
        <v/>
      </c>
      <c r="M300" s="28" t="str">
        <f aca="false">IF(OR($A300="",N($E300)=0),"",$F300/$E300)</f>
        <v/>
      </c>
      <c r="N300" s="28" t="str">
        <f aca="false">IF($A300="","",IF($H300="Y",$F300*(1+Settings!$B$3),0))</f>
        <v/>
      </c>
      <c r="O300" s="27" t="str">
        <f aca="false">IF($A300="","",IF(AND($H300="Y",$G300&lt;&gt;"Restock",N($M300)&gt;Settings!$B$4,$I300&lt;&gt;"Y"),"Get host OK",IF(AND($H300="Y",$F300&gt;Settings!$B$5,$I300&lt;&gt;"Y"),"Host should pay upfront",IF($J300&lt;&gt;"Y","Save receipt","OK"))))</f>
        <v/>
      </c>
      <c r="P300" s="29" t="str">
        <f aca="false">IF($A300="","",DATE(YEAR($A300),MONTH($A300),1))</f>
        <v/>
      </c>
      <c r="Q300" s="31" t="str">
        <f aca="false">IF($A300="","",IF(AND($L300='Invoice Builder'!$C$5,$P300='Invoice Builder'!$C$6,N($N300)&gt;0),COUNTIFS($L$5:$L300,'Invoice Builder'!$C$5,$P$5:$P300,'Invoice Builder'!$C$6,$N$5:$N300,"&gt;0"),""))</f>
        <v/>
      </c>
      <c r="R300" s="27" t="str">
        <f aca="false">IF($A300="","",IF($A300&gt;=DATE(YEAR($A300),4,6),YEAR($A300)&amp;"/"&amp;RIGHT(YEAR($A300)+1,2),YEAR($A300)-1&amp;"/"&amp;RIGHT(YEAR($A300),2)))</f>
        <v/>
      </c>
    </row>
    <row r="301" customFormat="false" ht="15" hidden="false" customHeight="false" outlineLevel="0" collapsed="false">
      <c r="A301" s="22"/>
      <c r="B301" s="23"/>
      <c r="C301" s="23"/>
      <c r="D301" s="23"/>
      <c r="E301" s="32"/>
      <c r="F301" s="25"/>
      <c r="G301" s="23"/>
      <c r="H301" s="23"/>
      <c r="I301" s="23"/>
      <c r="J301" s="23"/>
      <c r="K301" s="23"/>
      <c r="L301" s="27" t="str">
        <f aca="false">IF($B301="","",IFERROR(INDEX(Properties!$D$5:$D$104,MATCH($B301,Properties!$A$5:$A$104,0)),"-"))</f>
        <v/>
      </c>
      <c r="M301" s="28" t="str">
        <f aca="false">IF(OR($A301="",N($E301)=0),"",$F301/$E301)</f>
        <v/>
      </c>
      <c r="N301" s="28" t="str">
        <f aca="false">IF($A301="","",IF($H301="Y",$F301*(1+Settings!$B$3),0))</f>
        <v/>
      </c>
      <c r="O301" s="27" t="str">
        <f aca="false">IF($A301="","",IF(AND($H301="Y",$G301&lt;&gt;"Restock",N($M301)&gt;Settings!$B$4,$I301&lt;&gt;"Y"),"Get host OK",IF(AND($H301="Y",$F301&gt;Settings!$B$5,$I301&lt;&gt;"Y"),"Host should pay upfront",IF($J301&lt;&gt;"Y","Save receipt","OK"))))</f>
        <v/>
      </c>
      <c r="P301" s="29" t="str">
        <f aca="false">IF($A301="","",DATE(YEAR($A301),MONTH($A301),1))</f>
        <v/>
      </c>
      <c r="Q301" s="31" t="str">
        <f aca="false">IF($A301="","",IF(AND($L301='Invoice Builder'!$C$5,$P301='Invoice Builder'!$C$6,N($N301)&gt;0),COUNTIFS($L$5:$L301,'Invoice Builder'!$C$5,$P$5:$P301,'Invoice Builder'!$C$6,$N$5:$N301,"&gt;0"),""))</f>
        <v/>
      </c>
      <c r="R301" s="27" t="str">
        <f aca="false">IF($A301="","",IF($A301&gt;=DATE(YEAR($A301),4,6),YEAR($A301)&amp;"/"&amp;RIGHT(YEAR($A301)+1,2),YEAR($A301)-1&amp;"/"&amp;RIGHT(YEAR($A301),2)))</f>
        <v/>
      </c>
    </row>
    <row r="302" customFormat="false" ht="15" hidden="false" customHeight="false" outlineLevel="0" collapsed="false">
      <c r="A302" s="22"/>
      <c r="B302" s="23"/>
      <c r="C302" s="23"/>
      <c r="D302" s="23"/>
      <c r="E302" s="32"/>
      <c r="F302" s="25"/>
      <c r="G302" s="23"/>
      <c r="H302" s="23"/>
      <c r="I302" s="23"/>
      <c r="J302" s="23"/>
      <c r="K302" s="23"/>
      <c r="L302" s="27" t="str">
        <f aca="false">IF($B302="","",IFERROR(INDEX(Properties!$D$5:$D$104,MATCH($B302,Properties!$A$5:$A$104,0)),"-"))</f>
        <v/>
      </c>
      <c r="M302" s="28" t="str">
        <f aca="false">IF(OR($A302="",N($E302)=0),"",$F302/$E302)</f>
        <v/>
      </c>
      <c r="N302" s="28" t="str">
        <f aca="false">IF($A302="","",IF($H302="Y",$F302*(1+Settings!$B$3),0))</f>
        <v/>
      </c>
      <c r="O302" s="27" t="str">
        <f aca="false">IF($A302="","",IF(AND($H302="Y",$G302&lt;&gt;"Restock",N($M302)&gt;Settings!$B$4,$I302&lt;&gt;"Y"),"Get host OK",IF(AND($H302="Y",$F302&gt;Settings!$B$5,$I302&lt;&gt;"Y"),"Host should pay upfront",IF($J302&lt;&gt;"Y","Save receipt","OK"))))</f>
        <v/>
      </c>
      <c r="P302" s="29" t="str">
        <f aca="false">IF($A302="","",DATE(YEAR($A302),MONTH($A302),1))</f>
        <v/>
      </c>
      <c r="Q302" s="31" t="str">
        <f aca="false">IF($A302="","",IF(AND($L302='Invoice Builder'!$C$5,$P302='Invoice Builder'!$C$6,N($N302)&gt;0),COUNTIFS($L$5:$L302,'Invoice Builder'!$C$5,$P$5:$P302,'Invoice Builder'!$C$6,$N$5:$N302,"&gt;0"),""))</f>
        <v/>
      </c>
      <c r="R302" s="27" t="str">
        <f aca="false">IF($A302="","",IF($A302&gt;=DATE(YEAR($A302),4,6),YEAR($A302)&amp;"/"&amp;RIGHT(YEAR($A302)+1,2),YEAR($A302)-1&amp;"/"&amp;RIGHT(YEAR($A302),2)))</f>
        <v/>
      </c>
    </row>
    <row r="303" customFormat="false" ht="15" hidden="false" customHeight="false" outlineLevel="0" collapsed="false">
      <c r="A303" s="22"/>
      <c r="B303" s="23"/>
      <c r="C303" s="23"/>
      <c r="D303" s="23"/>
      <c r="E303" s="32"/>
      <c r="F303" s="25"/>
      <c r="G303" s="23"/>
      <c r="H303" s="23"/>
      <c r="I303" s="23"/>
      <c r="J303" s="23"/>
      <c r="K303" s="23"/>
      <c r="L303" s="27" t="str">
        <f aca="false">IF($B303="","",IFERROR(INDEX(Properties!$D$5:$D$104,MATCH($B303,Properties!$A$5:$A$104,0)),"-"))</f>
        <v/>
      </c>
      <c r="M303" s="28" t="str">
        <f aca="false">IF(OR($A303="",N($E303)=0),"",$F303/$E303)</f>
        <v/>
      </c>
      <c r="N303" s="28" t="str">
        <f aca="false">IF($A303="","",IF($H303="Y",$F303*(1+Settings!$B$3),0))</f>
        <v/>
      </c>
      <c r="O303" s="27" t="str">
        <f aca="false">IF($A303="","",IF(AND($H303="Y",$G303&lt;&gt;"Restock",N($M303)&gt;Settings!$B$4,$I303&lt;&gt;"Y"),"Get host OK",IF(AND($H303="Y",$F303&gt;Settings!$B$5,$I303&lt;&gt;"Y"),"Host should pay upfront",IF($J303&lt;&gt;"Y","Save receipt","OK"))))</f>
        <v/>
      </c>
      <c r="P303" s="29" t="str">
        <f aca="false">IF($A303="","",DATE(YEAR($A303),MONTH($A303),1))</f>
        <v/>
      </c>
      <c r="Q303" s="31" t="str">
        <f aca="false">IF($A303="","",IF(AND($L303='Invoice Builder'!$C$5,$P303='Invoice Builder'!$C$6,N($N303)&gt;0),COUNTIFS($L$5:$L303,'Invoice Builder'!$C$5,$P$5:$P303,'Invoice Builder'!$C$6,$N$5:$N303,"&gt;0"),""))</f>
        <v/>
      </c>
      <c r="R303" s="27" t="str">
        <f aca="false">IF($A303="","",IF($A303&gt;=DATE(YEAR($A303),4,6),YEAR($A303)&amp;"/"&amp;RIGHT(YEAR($A303)+1,2),YEAR($A303)-1&amp;"/"&amp;RIGHT(YEAR($A303),2)))</f>
        <v/>
      </c>
    </row>
    <row r="304" customFormat="false" ht="15" hidden="false" customHeight="false" outlineLevel="0" collapsed="false">
      <c r="A304" s="22"/>
      <c r="B304" s="23"/>
      <c r="C304" s="23"/>
      <c r="D304" s="23"/>
      <c r="E304" s="32"/>
      <c r="F304" s="25"/>
      <c r="G304" s="23"/>
      <c r="H304" s="23"/>
      <c r="I304" s="23"/>
      <c r="J304" s="23"/>
      <c r="K304" s="23"/>
      <c r="L304" s="27" t="str">
        <f aca="false">IF($B304="","",IFERROR(INDEX(Properties!$D$5:$D$104,MATCH($B304,Properties!$A$5:$A$104,0)),"-"))</f>
        <v/>
      </c>
      <c r="M304" s="28" t="str">
        <f aca="false">IF(OR($A304="",N($E304)=0),"",$F304/$E304)</f>
        <v/>
      </c>
      <c r="N304" s="28" t="str">
        <f aca="false">IF($A304="","",IF($H304="Y",$F304*(1+Settings!$B$3),0))</f>
        <v/>
      </c>
      <c r="O304" s="27" t="str">
        <f aca="false">IF($A304="","",IF(AND($H304="Y",$G304&lt;&gt;"Restock",N($M304)&gt;Settings!$B$4,$I304&lt;&gt;"Y"),"Get host OK",IF(AND($H304="Y",$F304&gt;Settings!$B$5,$I304&lt;&gt;"Y"),"Host should pay upfront",IF($J304&lt;&gt;"Y","Save receipt","OK"))))</f>
        <v/>
      </c>
      <c r="P304" s="29" t="str">
        <f aca="false">IF($A304="","",DATE(YEAR($A304),MONTH($A304),1))</f>
        <v/>
      </c>
      <c r="Q304" s="31" t="str">
        <f aca="false">IF($A304="","",IF(AND($L304='Invoice Builder'!$C$5,$P304='Invoice Builder'!$C$6,N($N304)&gt;0),COUNTIFS($L$5:$L304,'Invoice Builder'!$C$5,$P$5:$P304,'Invoice Builder'!$C$6,$N$5:$N304,"&gt;0"),""))</f>
        <v/>
      </c>
      <c r="R304" s="27" t="str">
        <f aca="false">IF($A304="","",IF($A304&gt;=DATE(YEAR($A304),4,6),YEAR($A304)&amp;"/"&amp;RIGHT(YEAR($A304)+1,2),YEAR($A304)-1&amp;"/"&amp;RIGHT(YEAR($A304),2)))</f>
        <v/>
      </c>
    </row>
    <row r="305" customFormat="false" ht="15" hidden="false" customHeight="false" outlineLevel="0" collapsed="false">
      <c r="A305" s="22"/>
      <c r="B305" s="23"/>
      <c r="C305" s="23"/>
      <c r="D305" s="23"/>
      <c r="E305" s="32"/>
      <c r="F305" s="25"/>
      <c r="G305" s="23"/>
      <c r="H305" s="23"/>
      <c r="I305" s="23"/>
      <c r="J305" s="23"/>
      <c r="K305" s="23"/>
      <c r="L305" s="27" t="str">
        <f aca="false">IF($B305="","",IFERROR(INDEX(Properties!$D$5:$D$104,MATCH($B305,Properties!$A$5:$A$104,0)),"-"))</f>
        <v/>
      </c>
      <c r="M305" s="28" t="str">
        <f aca="false">IF(OR($A305="",N($E305)=0),"",$F305/$E305)</f>
        <v/>
      </c>
      <c r="N305" s="28" t="str">
        <f aca="false">IF($A305="","",IF($H305="Y",$F305*(1+Settings!$B$3),0))</f>
        <v/>
      </c>
      <c r="O305" s="27" t="str">
        <f aca="false">IF($A305="","",IF(AND($H305="Y",$G305&lt;&gt;"Restock",N($M305)&gt;Settings!$B$4,$I305&lt;&gt;"Y"),"Get host OK",IF(AND($H305="Y",$F305&gt;Settings!$B$5,$I305&lt;&gt;"Y"),"Host should pay upfront",IF($J305&lt;&gt;"Y","Save receipt","OK"))))</f>
        <v/>
      </c>
      <c r="P305" s="29" t="str">
        <f aca="false">IF($A305="","",DATE(YEAR($A305),MONTH($A305),1))</f>
        <v/>
      </c>
      <c r="Q305" s="31" t="str">
        <f aca="false">IF($A305="","",IF(AND($L305='Invoice Builder'!$C$5,$P305='Invoice Builder'!$C$6,N($N305)&gt;0),COUNTIFS($L$5:$L305,'Invoice Builder'!$C$5,$P$5:$P305,'Invoice Builder'!$C$6,$N$5:$N305,"&gt;0"),""))</f>
        <v/>
      </c>
      <c r="R305" s="27" t="str">
        <f aca="false">IF($A305="","",IF($A305&gt;=DATE(YEAR($A305),4,6),YEAR($A305)&amp;"/"&amp;RIGHT(YEAR($A305)+1,2),YEAR($A305)-1&amp;"/"&amp;RIGHT(YEAR($A305),2)))</f>
        <v/>
      </c>
    </row>
    <row r="306" customFormat="false" ht="15" hidden="false" customHeight="false" outlineLevel="0" collapsed="false">
      <c r="A306" s="22"/>
      <c r="B306" s="23"/>
      <c r="C306" s="23"/>
      <c r="D306" s="23"/>
      <c r="E306" s="32"/>
      <c r="F306" s="25"/>
      <c r="G306" s="23"/>
      <c r="H306" s="23"/>
      <c r="I306" s="23"/>
      <c r="J306" s="23"/>
      <c r="K306" s="23"/>
      <c r="L306" s="27" t="str">
        <f aca="false">IF($B306="","",IFERROR(INDEX(Properties!$D$5:$D$104,MATCH($B306,Properties!$A$5:$A$104,0)),"-"))</f>
        <v/>
      </c>
      <c r="M306" s="28" t="str">
        <f aca="false">IF(OR($A306="",N($E306)=0),"",$F306/$E306)</f>
        <v/>
      </c>
      <c r="N306" s="28" t="str">
        <f aca="false">IF($A306="","",IF($H306="Y",$F306*(1+Settings!$B$3),0))</f>
        <v/>
      </c>
      <c r="O306" s="27" t="str">
        <f aca="false">IF($A306="","",IF(AND($H306="Y",$G306&lt;&gt;"Restock",N($M306)&gt;Settings!$B$4,$I306&lt;&gt;"Y"),"Get host OK",IF(AND($H306="Y",$F306&gt;Settings!$B$5,$I306&lt;&gt;"Y"),"Host should pay upfront",IF($J306&lt;&gt;"Y","Save receipt","OK"))))</f>
        <v/>
      </c>
      <c r="P306" s="29" t="str">
        <f aca="false">IF($A306="","",DATE(YEAR($A306),MONTH($A306),1))</f>
        <v/>
      </c>
      <c r="Q306" s="31" t="str">
        <f aca="false">IF($A306="","",IF(AND($L306='Invoice Builder'!$C$5,$P306='Invoice Builder'!$C$6,N($N306)&gt;0),COUNTIFS($L$5:$L306,'Invoice Builder'!$C$5,$P$5:$P306,'Invoice Builder'!$C$6,$N$5:$N306,"&gt;0"),""))</f>
        <v/>
      </c>
      <c r="R306" s="27" t="str">
        <f aca="false">IF($A306="","",IF($A306&gt;=DATE(YEAR($A306),4,6),YEAR($A306)&amp;"/"&amp;RIGHT(YEAR($A306)+1,2),YEAR($A306)-1&amp;"/"&amp;RIGHT(YEAR($A306),2)))</f>
        <v/>
      </c>
    </row>
    <row r="307" customFormat="false" ht="15" hidden="false" customHeight="false" outlineLevel="0" collapsed="false">
      <c r="A307" s="22"/>
      <c r="B307" s="23"/>
      <c r="C307" s="23"/>
      <c r="D307" s="23"/>
      <c r="E307" s="32"/>
      <c r="F307" s="25"/>
      <c r="G307" s="23"/>
      <c r="H307" s="23"/>
      <c r="I307" s="23"/>
      <c r="J307" s="23"/>
      <c r="K307" s="23"/>
      <c r="L307" s="27" t="str">
        <f aca="false">IF($B307="","",IFERROR(INDEX(Properties!$D$5:$D$104,MATCH($B307,Properties!$A$5:$A$104,0)),"-"))</f>
        <v/>
      </c>
      <c r="M307" s="28" t="str">
        <f aca="false">IF(OR($A307="",N($E307)=0),"",$F307/$E307)</f>
        <v/>
      </c>
      <c r="N307" s="28" t="str">
        <f aca="false">IF($A307="","",IF($H307="Y",$F307*(1+Settings!$B$3),0))</f>
        <v/>
      </c>
      <c r="O307" s="27" t="str">
        <f aca="false">IF($A307="","",IF(AND($H307="Y",$G307&lt;&gt;"Restock",N($M307)&gt;Settings!$B$4,$I307&lt;&gt;"Y"),"Get host OK",IF(AND($H307="Y",$F307&gt;Settings!$B$5,$I307&lt;&gt;"Y"),"Host should pay upfront",IF($J307&lt;&gt;"Y","Save receipt","OK"))))</f>
        <v/>
      </c>
      <c r="P307" s="29" t="str">
        <f aca="false">IF($A307="","",DATE(YEAR($A307),MONTH($A307),1))</f>
        <v/>
      </c>
      <c r="Q307" s="31" t="str">
        <f aca="false">IF($A307="","",IF(AND($L307='Invoice Builder'!$C$5,$P307='Invoice Builder'!$C$6,N($N307)&gt;0),COUNTIFS($L$5:$L307,'Invoice Builder'!$C$5,$P$5:$P307,'Invoice Builder'!$C$6,$N$5:$N307,"&gt;0"),""))</f>
        <v/>
      </c>
      <c r="R307" s="27" t="str">
        <f aca="false">IF($A307="","",IF($A307&gt;=DATE(YEAR($A307),4,6),YEAR($A307)&amp;"/"&amp;RIGHT(YEAR($A307)+1,2),YEAR($A307)-1&amp;"/"&amp;RIGHT(YEAR($A307),2)))</f>
        <v/>
      </c>
    </row>
    <row r="308" customFormat="false" ht="15" hidden="false" customHeight="false" outlineLevel="0" collapsed="false">
      <c r="A308" s="22"/>
      <c r="B308" s="23"/>
      <c r="C308" s="23"/>
      <c r="D308" s="23"/>
      <c r="E308" s="32"/>
      <c r="F308" s="25"/>
      <c r="G308" s="23"/>
      <c r="H308" s="23"/>
      <c r="I308" s="23"/>
      <c r="J308" s="23"/>
      <c r="K308" s="23"/>
      <c r="L308" s="27" t="str">
        <f aca="false">IF($B308="","",IFERROR(INDEX(Properties!$D$5:$D$104,MATCH($B308,Properties!$A$5:$A$104,0)),"-"))</f>
        <v/>
      </c>
      <c r="M308" s="28" t="str">
        <f aca="false">IF(OR($A308="",N($E308)=0),"",$F308/$E308)</f>
        <v/>
      </c>
      <c r="N308" s="28" t="str">
        <f aca="false">IF($A308="","",IF($H308="Y",$F308*(1+Settings!$B$3),0))</f>
        <v/>
      </c>
      <c r="O308" s="27" t="str">
        <f aca="false">IF($A308="","",IF(AND($H308="Y",$G308&lt;&gt;"Restock",N($M308)&gt;Settings!$B$4,$I308&lt;&gt;"Y"),"Get host OK",IF(AND($H308="Y",$F308&gt;Settings!$B$5,$I308&lt;&gt;"Y"),"Host should pay upfront",IF($J308&lt;&gt;"Y","Save receipt","OK"))))</f>
        <v/>
      </c>
      <c r="P308" s="29" t="str">
        <f aca="false">IF($A308="","",DATE(YEAR($A308),MONTH($A308),1))</f>
        <v/>
      </c>
      <c r="Q308" s="31" t="str">
        <f aca="false">IF($A308="","",IF(AND($L308='Invoice Builder'!$C$5,$P308='Invoice Builder'!$C$6,N($N308)&gt;0),COUNTIFS($L$5:$L308,'Invoice Builder'!$C$5,$P$5:$P308,'Invoice Builder'!$C$6,$N$5:$N308,"&gt;0"),""))</f>
        <v/>
      </c>
      <c r="R308" s="27" t="str">
        <f aca="false">IF($A308="","",IF($A308&gt;=DATE(YEAR($A308),4,6),YEAR($A308)&amp;"/"&amp;RIGHT(YEAR($A308)+1,2),YEAR($A308)-1&amp;"/"&amp;RIGHT(YEAR($A308),2)))</f>
        <v/>
      </c>
    </row>
    <row r="309" customFormat="false" ht="15" hidden="false" customHeight="false" outlineLevel="0" collapsed="false">
      <c r="A309" s="22"/>
      <c r="B309" s="23"/>
      <c r="C309" s="23"/>
      <c r="D309" s="23"/>
      <c r="E309" s="32"/>
      <c r="F309" s="25"/>
      <c r="G309" s="23"/>
      <c r="H309" s="23"/>
      <c r="I309" s="23"/>
      <c r="J309" s="23"/>
      <c r="K309" s="23"/>
      <c r="L309" s="27" t="str">
        <f aca="false">IF($B309="","",IFERROR(INDEX(Properties!$D$5:$D$104,MATCH($B309,Properties!$A$5:$A$104,0)),"-"))</f>
        <v/>
      </c>
      <c r="M309" s="28" t="str">
        <f aca="false">IF(OR($A309="",N($E309)=0),"",$F309/$E309)</f>
        <v/>
      </c>
      <c r="N309" s="28" t="str">
        <f aca="false">IF($A309="","",IF($H309="Y",$F309*(1+Settings!$B$3),0))</f>
        <v/>
      </c>
      <c r="O309" s="27" t="str">
        <f aca="false">IF($A309="","",IF(AND($H309="Y",$G309&lt;&gt;"Restock",N($M309)&gt;Settings!$B$4,$I309&lt;&gt;"Y"),"Get host OK",IF(AND($H309="Y",$F309&gt;Settings!$B$5,$I309&lt;&gt;"Y"),"Host should pay upfront",IF($J309&lt;&gt;"Y","Save receipt","OK"))))</f>
        <v/>
      </c>
      <c r="P309" s="29" t="str">
        <f aca="false">IF($A309="","",DATE(YEAR($A309),MONTH($A309),1))</f>
        <v/>
      </c>
      <c r="Q309" s="31" t="str">
        <f aca="false">IF($A309="","",IF(AND($L309='Invoice Builder'!$C$5,$P309='Invoice Builder'!$C$6,N($N309)&gt;0),COUNTIFS($L$5:$L309,'Invoice Builder'!$C$5,$P$5:$P309,'Invoice Builder'!$C$6,$N$5:$N309,"&gt;0"),""))</f>
        <v/>
      </c>
      <c r="R309" s="27" t="str">
        <f aca="false">IF($A309="","",IF($A309&gt;=DATE(YEAR($A309),4,6),YEAR($A309)&amp;"/"&amp;RIGHT(YEAR($A309)+1,2),YEAR($A309)-1&amp;"/"&amp;RIGHT(YEAR($A309),2)))</f>
        <v/>
      </c>
    </row>
    <row r="310" customFormat="false" ht="15" hidden="false" customHeight="false" outlineLevel="0" collapsed="false">
      <c r="A310" s="22"/>
      <c r="B310" s="23"/>
      <c r="C310" s="23"/>
      <c r="D310" s="23"/>
      <c r="E310" s="32"/>
      <c r="F310" s="25"/>
      <c r="G310" s="23"/>
      <c r="H310" s="23"/>
      <c r="I310" s="23"/>
      <c r="J310" s="23"/>
      <c r="K310" s="23"/>
      <c r="L310" s="27" t="str">
        <f aca="false">IF($B310="","",IFERROR(INDEX(Properties!$D$5:$D$104,MATCH($B310,Properties!$A$5:$A$104,0)),"-"))</f>
        <v/>
      </c>
      <c r="M310" s="28" t="str">
        <f aca="false">IF(OR($A310="",N($E310)=0),"",$F310/$E310)</f>
        <v/>
      </c>
      <c r="N310" s="28" t="str">
        <f aca="false">IF($A310="","",IF($H310="Y",$F310*(1+Settings!$B$3),0))</f>
        <v/>
      </c>
      <c r="O310" s="27" t="str">
        <f aca="false">IF($A310="","",IF(AND($H310="Y",$G310&lt;&gt;"Restock",N($M310)&gt;Settings!$B$4,$I310&lt;&gt;"Y"),"Get host OK",IF(AND($H310="Y",$F310&gt;Settings!$B$5,$I310&lt;&gt;"Y"),"Host should pay upfront",IF($J310&lt;&gt;"Y","Save receipt","OK"))))</f>
        <v/>
      </c>
      <c r="P310" s="29" t="str">
        <f aca="false">IF($A310="","",DATE(YEAR($A310),MONTH($A310),1))</f>
        <v/>
      </c>
      <c r="Q310" s="31" t="str">
        <f aca="false">IF($A310="","",IF(AND($L310='Invoice Builder'!$C$5,$P310='Invoice Builder'!$C$6,N($N310)&gt;0),COUNTIFS($L$5:$L310,'Invoice Builder'!$C$5,$P$5:$P310,'Invoice Builder'!$C$6,$N$5:$N310,"&gt;0"),""))</f>
        <v/>
      </c>
      <c r="R310" s="27" t="str">
        <f aca="false">IF($A310="","",IF($A310&gt;=DATE(YEAR($A310),4,6),YEAR($A310)&amp;"/"&amp;RIGHT(YEAR($A310)+1,2),YEAR($A310)-1&amp;"/"&amp;RIGHT(YEAR($A310),2)))</f>
        <v/>
      </c>
    </row>
    <row r="311" customFormat="false" ht="15" hidden="false" customHeight="false" outlineLevel="0" collapsed="false">
      <c r="A311" s="22"/>
      <c r="B311" s="23"/>
      <c r="C311" s="23"/>
      <c r="D311" s="23"/>
      <c r="E311" s="32"/>
      <c r="F311" s="25"/>
      <c r="G311" s="23"/>
      <c r="H311" s="23"/>
      <c r="I311" s="23"/>
      <c r="J311" s="23"/>
      <c r="K311" s="23"/>
      <c r="L311" s="27" t="str">
        <f aca="false">IF($B311="","",IFERROR(INDEX(Properties!$D$5:$D$104,MATCH($B311,Properties!$A$5:$A$104,0)),"-"))</f>
        <v/>
      </c>
      <c r="M311" s="28" t="str">
        <f aca="false">IF(OR($A311="",N($E311)=0),"",$F311/$E311)</f>
        <v/>
      </c>
      <c r="N311" s="28" t="str">
        <f aca="false">IF($A311="","",IF($H311="Y",$F311*(1+Settings!$B$3),0))</f>
        <v/>
      </c>
      <c r="O311" s="27" t="str">
        <f aca="false">IF($A311="","",IF(AND($H311="Y",$G311&lt;&gt;"Restock",N($M311)&gt;Settings!$B$4,$I311&lt;&gt;"Y"),"Get host OK",IF(AND($H311="Y",$F311&gt;Settings!$B$5,$I311&lt;&gt;"Y"),"Host should pay upfront",IF($J311&lt;&gt;"Y","Save receipt","OK"))))</f>
        <v/>
      </c>
      <c r="P311" s="29" t="str">
        <f aca="false">IF($A311="","",DATE(YEAR($A311),MONTH($A311),1))</f>
        <v/>
      </c>
      <c r="Q311" s="31" t="str">
        <f aca="false">IF($A311="","",IF(AND($L311='Invoice Builder'!$C$5,$P311='Invoice Builder'!$C$6,N($N311)&gt;0),COUNTIFS($L$5:$L311,'Invoice Builder'!$C$5,$P$5:$P311,'Invoice Builder'!$C$6,$N$5:$N311,"&gt;0"),""))</f>
        <v/>
      </c>
      <c r="R311" s="27" t="str">
        <f aca="false">IF($A311="","",IF($A311&gt;=DATE(YEAR($A311),4,6),YEAR($A311)&amp;"/"&amp;RIGHT(YEAR($A311)+1,2),YEAR($A311)-1&amp;"/"&amp;RIGHT(YEAR($A311),2)))</f>
        <v/>
      </c>
    </row>
    <row r="312" customFormat="false" ht="15" hidden="false" customHeight="false" outlineLevel="0" collapsed="false">
      <c r="A312" s="22"/>
      <c r="B312" s="23"/>
      <c r="C312" s="23"/>
      <c r="D312" s="23"/>
      <c r="E312" s="32"/>
      <c r="F312" s="25"/>
      <c r="G312" s="23"/>
      <c r="H312" s="23"/>
      <c r="I312" s="23"/>
      <c r="J312" s="23"/>
      <c r="K312" s="23"/>
      <c r="L312" s="27" t="str">
        <f aca="false">IF($B312="","",IFERROR(INDEX(Properties!$D$5:$D$104,MATCH($B312,Properties!$A$5:$A$104,0)),"-"))</f>
        <v/>
      </c>
      <c r="M312" s="28" t="str">
        <f aca="false">IF(OR($A312="",N($E312)=0),"",$F312/$E312)</f>
        <v/>
      </c>
      <c r="N312" s="28" t="str">
        <f aca="false">IF($A312="","",IF($H312="Y",$F312*(1+Settings!$B$3),0))</f>
        <v/>
      </c>
      <c r="O312" s="27" t="str">
        <f aca="false">IF($A312="","",IF(AND($H312="Y",$G312&lt;&gt;"Restock",N($M312)&gt;Settings!$B$4,$I312&lt;&gt;"Y"),"Get host OK",IF(AND($H312="Y",$F312&gt;Settings!$B$5,$I312&lt;&gt;"Y"),"Host should pay upfront",IF($J312&lt;&gt;"Y","Save receipt","OK"))))</f>
        <v/>
      </c>
      <c r="P312" s="29" t="str">
        <f aca="false">IF($A312="","",DATE(YEAR($A312),MONTH($A312),1))</f>
        <v/>
      </c>
      <c r="Q312" s="31" t="str">
        <f aca="false">IF($A312="","",IF(AND($L312='Invoice Builder'!$C$5,$P312='Invoice Builder'!$C$6,N($N312)&gt;0),COUNTIFS($L$5:$L312,'Invoice Builder'!$C$5,$P$5:$P312,'Invoice Builder'!$C$6,$N$5:$N312,"&gt;0"),""))</f>
        <v/>
      </c>
      <c r="R312" s="27" t="str">
        <f aca="false">IF($A312="","",IF($A312&gt;=DATE(YEAR($A312),4,6),YEAR($A312)&amp;"/"&amp;RIGHT(YEAR($A312)+1,2),YEAR($A312)-1&amp;"/"&amp;RIGHT(YEAR($A312),2)))</f>
        <v/>
      </c>
    </row>
    <row r="313" customFormat="false" ht="15" hidden="false" customHeight="false" outlineLevel="0" collapsed="false">
      <c r="A313" s="22"/>
      <c r="B313" s="23"/>
      <c r="C313" s="23"/>
      <c r="D313" s="23"/>
      <c r="E313" s="32"/>
      <c r="F313" s="25"/>
      <c r="G313" s="23"/>
      <c r="H313" s="23"/>
      <c r="I313" s="23"/>
      <c r="J313" s="23"/>
      <c r="K313" s="23"/>
      <c r="L313" s="27" t="str">
        <f aca="false">IF($B313="","",IFERROR(INDEX(Properties!$D$5:$D$104,MATCH($B313,Properties!$A$5:$A$104,0)),"-"))</f>
        <v/>
      </c>
      <c r="M313" s="28" t="str">
        <f aca="false">IF(OR($A313="",N($E313)=0),"",$F313/$E313)</f>
        <v/>
      </c>
      <c r="N313" s="28" t="str">
        <f aca="false">IF($A313="","",IF($H313="Y",$F313*(1+Settings!$B$3),0))</f>
        <v/>
      </c>
      <c r="O313" s="27" t="str">
        <f aca="false">IF($A313="","",IF(AND($H313="Y",$G313&lt;&gt;"Restock",N($M313)&gt;Settings!$B$4,$I313&lt;&gt;"Y"),"Get host OK",IF(AND($H313="Y",$F313&gt;Settings!$B$5,$I313&lt;&gt;"Y"),"Host should pay upfront",IF($J313&lt;&gt;"Y","Save receipt","OK"))))</f>
        <v/>
      </c>
      <c r="P313" s="29" t="str">
        <f aca="false">IF($A313="","",DATE(YEAR($A313),MONTH($A313),1))</f>
        <v/>
      </c>
      <c r="Q313" s="31" t="str">
        <f aca="false">IF($A313="","",IF(AND($L313='Invoice Builder'!$C$5,$P313='Invoice Builder'!$C$6,N($N313)&gt;0),COUNTIFS($L$5:$L313,'Invoice Builder'!$C$5,$P$5:$P313,'Invoice Builder'!$C$6,$N$5:$N313,"&gt;0"),""))</f>
        <v/>
      </c>
      <c r="R313" s="27" t="str">
        <f aca="false">IF($A313="","",IF($A313&gt;=DATE(YEAR($A313),4,6),YEAR($A313)&amp;"/"&amp;RIGHT(YEAR($A313)+1,2),YEAR($A313)-1&amp;"/"&amp;RIGHT(YEAR($A313),2)))</f>
        <v/>
      </c>
    </row>
    <row r="314" customFormat="false" ht="15" hidden="false" customHeight="false" outlineLevel="0" collapsed="false">
      <c r="A314" s="22"/>
      <c r="B314" s="23"/>
      <c r="C314" s="23"/>
      <c r="D314" s="23"/>
      <c r="E314" s="32"/>
      <c r="F314" s="25"/>
      <c r="G314" s="23"/>
      <c r="H314" s="23"/>
      <c r="I314" s="23"/>
      <c r="J314" s="23"/>
      <c r="K314" s="23"/>
      <c r="L314" s="27" t="str">
        <f aca="false">IF($B314="","",IFERROR(INDEX(Properties!$D$5:$D$104,MATCH($B314,Properties!$A$5:$A$104,0)),"-"))</f>
        <v/>
      </c>
      <c r="M314" s="28" t="str">
        <f aca="false">IF(OR($A314="",N($E314)=0),"",$F314/$E314)</f>
        <v/>
      </c>
      <c r="N314" s="28" t="str">
        <f aca="false">IF($A314="","",IF($H314="Y",$F314*(1+Settings!$B$3),0))</f>
        <v/>
      </c>
      <c r="O314" s="27" t="str">
        <f aca="false">IF($A314="","",IF(AND($H314="Y",$G314&lt;&gt;"Restock",N($M314)&gt;Settings!$B$4,$I314&lt;&gt;"Y"),"Get host OK",IF(AND($H314="Y",$F314&gt;Settings!$B$5,$I314&lt;&gt;"Y"),"Host should pay upfront",IF($J314&lt;&gt;"Y","Save receipt","OK"))))</f>
        <v/>
      </c>
      <c r="P314" s="29" t="str">
        <f aca="false">IF($A314="","",DATE(YEAR($A314),MONTH($A314),1))</f>
        <v/>
      </c>
      <c r="Q314" s="31" t="str">
        <f aca="false">IF($A314="","",IF(AND($L314='Invoice Builder'!$C$5,$P314='Invoice Builder'!$C$6,N($N314)&gt;0),COUNTIFS($L$5:$L314,'Invoice Builder'!$C$5,$P$5:$P314,'Invoice Builder'!$C$6,$N$5:$N314,"&gt;0"),""))</f>
        <v/>
      </c>
      <c r="R314" s="27" t="str">
        <f aca="false">IF($A314="","",IF($A314&gt;=DATE(YEAR($A314),4,6),YEAR($A314)&amp;"/"&amp;RIGHT(YEAR($A314)+1,2),YEAR($A314)-1&amp;"/"&amp;RIGHT(YEAR($A314),2)))</f>
        <v/>
      </c>
    </row>
    <row r="315" customFormat="false" ht="15" hidden="false" customHeight="false" outlineLevel="0" collapsed="false">
      <c r="A315" s="22"/>
      <c r="B315" s="23"/>
      <c r="C315" s="23"/>
      <c r="D315" s="23"/>
      <c r="E315" s="32"/>
      <c r="F315" s="25"/>
      <c r="G315" s="23"/>
      <c r="H315" s="23"/>
      <c r="I315" s="23"/>
      <c r="J315" s="23"/>
      <c r="K315" s="23"/>
      <c r="L315" s="27" t="str">
        <f aca="false">IF($B315="","",IFERROR(INDEX(Properties!$D$5:$D$104,MATCH($B315,Properties!$A$5:$A$104,0)),"-"))</f>
        <v/>
      </c>
      <c r="M315" s="28" t="str">
        <f aca="false">IF(OR($A315="",N($E315)=0),"",$F315/$E315)</f>
        <v/>
      </c>
      <c r="N315" s="28" t="str">
        <f aca="false">IF($A315="","",IF($H315="Y",$F315*(1+Settings!$B$3),0))</f>
        <v/>
      </c>
      <c r="O315" s="27" t="str">
        <f aca="false">IF($A315="","",IF(AND($H315="Y",$G315&lt;&gt;"Restock",N($M315)&gt;Settings!$B$4,$I315&lt;&gt;"Y"),"Get host OK",IF(AND($H315="Y",$F315&gt;Settings!$B$5,$I315&lt;&gt;"Y"),"Host should pay upfront",IF($J315&lt;&gt;"Y","Save receipt","OK"))))</f>
        <v/>
      </c>
      <c r="P315" s="29" t="str">
        <f aca="false">IF($A315="","",DATE(YEAR($A315),MONTH($A315),1))</f>
        <v/>
      </c>
      <c r="Q315" s="31" t="str">
        <f aca="false">IF($A315="","",IF(AND($L315='Invoice Builder'!$C$5,$P315='Invoice Builder'!$C$6,N($N315)&gt;0),COUNTIFS($L$5:$L315,'Invoice Builder'!$C$5,$P$5:$P315,'Invoice Builder'!$C$6,$N$5:$N315,"&gt;0"),""))</f>
        <v/>
      </c>
      <c r="R315" s="27" t="str">
        <f aca="false">IF($A315="","",IF($A315&gt;=DATE(YEAR($A315),4,6),YEAR($A315)&amp;"/"&amp;RIGHT(YEAR($A315)+1,2),YEAR($A315)-1&amp;"/"&amp;RIGHT(YEAR($A315),2)))</f>
        <v/>
      </c>
    </row>
    <row r="316" customFormat="false" ht="15" hidden="false" customHeight="false" outlineLevel="0" collapsed="false">
      <c r="A316" s="22"/>
      <c r="B316" s="23"/>
      <c r="C316" s="23"/>
      <c r="D316" s="23"/>
      <c r="E316" s="32"/>
      <c r="F316" s="25"/>
      <c r="G316" s="23"/>
      <c r="H316" s="23"/>
      <c r="I316" s="23"/>
      <c r="J316" s="23"/>
      <c r="K316" s="23"/>
      <c r="L316" s="27" t="str">
        <f aca="false">IF($B316="","",IFERROR(INDEX(Properties!$D$5:$D$104,MATCH($B316,Properties!$A$5:$A$104,0)),"-"))</f>
        <v/>
      </c>
      <c r="M316" s="28" t="str">
        <f aca="false">IF(OR($A316="",N($E316)=0),"",$F316/$E316)</f>
        <v/>
      </c>
      <c r="N316" s="28" t="str">
        <f aca="false">IF($A316="","",IF($H316="Y",$F316*(1+Settings!$B$3),0))</f>
        <v/>
      </c>
      <c r="O316" s="27" t="str">
        <f aca="false">IF($A316="","",IF(AND($H316="Y",$G316&lt;&gt;"Restock",N($M316)&gt;Settings!$B$4,$I316&lt;&gt;"Y"),"Get host OK",IF(AND($H316="Y",$F316&gt;Settings!$B$5,$I316&lt;&gt;"Y"),"Host should pay upfront",IF($J316&lt;&gt;"Y","Save receipt","OK"))))</f>
        <v/>
      </c>
      <c r="P316" s="29" t="str">
        <f aca="false">IF($A316="","",DATE(YEAR($A316),MONTH($A316),1))</f>
        <v/>
      </c>
      <c r="Q316" s="31" t="str">
        <f aca="false">IF($A316="","",IF(AND($L316='Invoice Builder'!$C$5,$P316='Invoice Builder'!$C$6,N($N316)&gt;0),COUNTIFS($L$5:$L316,'Invoice Builder'!$C$5,$P$5:$P316,'Invoice Builder'!$C$6,$N$5:$N316,"&gt;0"),""))</f>
        <v/>
      </c>
      <c r="R316" s="27" t="str">
        <f aca="false">IF($A316="","",IF($A316&gt;=DATE(YEAR($A316),4,6),YEAR($A316)&amp;"/"&amp;RIGHT(YEAR($A316)+1,2),YEAR($A316)-1&amp;"/"&amp;RIGHT(YEAR($A316),2)))</f>
        <v/>
      </c>
    </row>
    <row r="317" customFormat="false" ht="15" hidden="false" customHeight="false" outlineLevel="0" collapsed="false">
      <c r="A317" s="22"/>
      <c r="B317" s="23"/>
      <c r="C317" s="23"/>
      <c r="D317" s="23"/>
      <c r="E317" s="32"/>
      <c r="F317" s="25"/>
      <c r="G317" s="23"/>
      <c r="H317" s="23"/>
      <c r="I317" s="23"/>
      <c r="J317" s="23"/>
      <c r="K317" s="23"/>
      <c r="L317" s="27" t="str">
        <f aca="false">IF($B317="","",IFERROR(INDEX(Properties!$D$5:$D$104,MATCH($B317,Properties!$A$5:$A$104,0)),"-"))</f>
        <v/>
      </c>
      <c r="M317" s="28" t="str">
        <f aca="false">IF(OR($A317="",N($E317)=0),"",$F317/$E317)</f>
        <v/>
      </c>
      <c r="N317" s="28" t="str">
        <f aca="false">IF($A317="","",IF($H317="Y",$F317*(1+Settings!$B$3),0))</f>
        <v/>
      </c>
      <c r="O317" s="27" t="str">
        <f aca="false">IF($A317="","",IF(AND($H317="Y",$G317&lt;&gt;"Restock",N($M317)&gt;Settings!$B$4,$I317&lt;&gt;"Y"),"Get host OK",IF(AND($H317="Y",$F317&gt;Settings!$B$5,$I317&lt;&gt;"Y"),"Host should pay upfront",IF($J317&lt;&gt;"Y","Save receipt","OK"))))</f>
        <v/>
      </c>
      <c r="P317" s="29" t="str">
        <f aca="false">IF($A317="","",DATE(YEAR($A317),MONTH($A317),1))</f>
        <v/>
      </c>
      <c r="Q317" s="31" t="str">
        <f aca="false">IF($A317="","",IF(AND($L317='Invoice Builder'!$C$5,$P317='Invoice Builder'!$C$6,N($N317)&gt;0),COUNTIFS($L$5:$L317,'Invoice Builder'!$C$5,$P$5:$P317,'Invoice Builder'!$C$6,$N$5:$N317,"&gt;0"),""))</f>
        <v/>
      </c>
      <c r="R317" s="27" t="str">
        <f aca="false">IF($A317="","",IF($A317&gt;=DATE(YEAR($A317),4,6),YEAR($A317)&amp;"/"&amp;RIGHT(YEAR($A317)+1,2),YEAR($A317)-1&amp;"/"&amp;RIGHT(YEAR($A317),2)))</f>
        <v/>
      </c>
    </row>
    <row r="318" customFormat="false" ht="15" hidden="false" customHeight="false" outlineLevel="0" collapsed="false">
      <c r="A318" s="22"/>
      <c r="B318" s="23"/>
      <c r="C318" s="23"/>
      <c r="D318" s="23"/>
      <c r="E318" s="32"/>
      <c r="F318" s="25"/>
      <c r="G318" s="23"/>
      <c r="H318" s="23"/>
      <c r="I318" s="23"/>
      <c r="J318" s="23"/>
      <c r="K318" s="23"/>
      <c r="L318" s="27" t="str">
        <f aca="false">IF($B318="","",IFERROR(INDEX(Properties!$D$5:$D$104,MATCH($B318,Properties!$A$5:$A$104,0)),"-"))</f>
        <v/>
      </c>
      <c r="M318" s="28" t="str">
        <f aca="false">IF(OR($A318="",N($E318)=0),"",$F318/$E318)</f>
        <v/>
      </c>
      <c r="N318" s="28" t="str">
        <f aca="false">IF($A318="","",IF($H318="Y",$F318*(1+Settings!$B$3),0))</f>
        <v/>
      </c>
      <c r="O318" s="27" t="str">
        <f aca="false">IF($A318="","",IF(AND($H318="Y",$G318&lt;&gt;"Restock",N($M318)&gt;Settings!$B$4,$I318&lt;&gt;"Y"),"Get host OK",IF(AND($H318="Y",$F318&gt;Settings!$B$5,$I318&lt;&gt;"Y"),"Host should pay upfront",IF($J318&lt;&gt;"Y","Save receipt","OK"))))</f>
        <v/>
      </c>
      <c r="P318" s="29" t="str">
        <f aca="false">IF($A318="","",DATE(YEAR($A318),MONTH($A318),1))</f>
        <v/>
      </c>
      <c r="Q318" s="31" t="str">
        <f aca="false">IF($A318="","",IF(AND($L318='Invoice Builder'!$C$5,$P318='Invoice Builder'!$C$6,N($N318)&gt;0),COUNTIFS($L$5:$L318,'Invoice Builder'!$C$5,$P$5:$P318,'Invoice Builder'!$C$6,$N$5:$N318,"&gt;0"),""))</f>
        <v/>
      </c>
      <c r="R318" s="27" t="str">
        <f aca="false">IF($A318="","",IF($A318&gt;=DATE(YEAR($A318),4,6),YEAR($A318)&amp;"/"&amp;RIGHT(YEAR($A318)+1,2),YEAR($A318)-1&amp;"/"&amp;RIGHT(YEAR($A318),2)))</f>
        <v/>
      </c>
    </row>
    <row r="319" customFormat="false" ht="15" hidden="false" customHeight="false" outlineLevel="0" collapsed="false">
      <c r="A319" s="22"/>
      <c r="B319" s="23"/>
      <c r="C319" s="23"/>
      <c r="D319" s="23"/>
      <c r="E319" s="32"/>
      <c r="F319" s="25"/>
      <c r="G319" s="23"/>
      <c r="H319" s="23"/>
      <c r="I319" s="23"/>
      <c r="J319" s="23"/>
      <c r="K319" s="23"/>
      <c r="L319" s="27" t="str">
        <f aca="false">IF($B319="","",IFERROR(INDEX(Properties!$D$5:$D$104,MATCH($B319,Properties!$A$5:$A$104,0)),"-"))</f>
        <v/>
      </c>
      <c r="M319" s="28" t="str">
        <f aca="false">IF(OR($A319="",N($E319)=0),"",$F319/$E319)</f>
        <v/>
      </c>
      <c r="N319" s="28" t="str">
        <f aca="false">IF($A319="","",IF($H319="Y",$F319*(1+Settings!$B$3),0))</f>
        <v/>
      </c>
      <c r="O319" s="27" t="str">
        <f aca="false">IF($A319="","",IF(AND($H319="Y",$G319&lt;&gt;"Restock",N($M319)&gt;Settings!$B$4,$I319&lt;&gt;"Y"),"Get host OK",IF(AND($H319="Y",$F319&gt;Settings!$B$5,$I319&lt;&gt;"Y"),"Host should pay upfront",IF($J319&lt;&gt;"Y","Save receipt","OK"))))</f>
        <v/>
      </c>
      <c r="P319" s="29" t="str">
        <f aca="false">IF($A319="","",DATE(YEAR($A319),MONTH($A319),1))</f>
        <v/>
      </c>
      <c r="Q319" s="31" t="str">
        <f aca="false">IF($A319="","",IF(AND($L319='Invoice Builder'!$C$5,$P319='Invoice Builder'!$C$6,N($N319)&gt;0),COUNTIFS($L$5:$L319,'Invoice Builder'!$C$5,$P$5:$P319,'Invoice Builder'!$C$6,$N$5:$N319,"&gt;0"),""))</f>
        <v/>
      </c>
      <c r="R319" s="27" t="str">
        <f aca="false">IF($A319="","",IF($A319&gt;=DATE(YEAR($A319),4,6),YEAR($A319)&amp;"/"&amp;RIGHT(YEAR($A319)+1,2),YEAR($A319)-1&amp;"/"&amp;RIGHT(YEAR($A319),2)))</f>
        <v/>
      </c>
    </row>
    <row r="320" customFormat="false" ht="15" hidden="false" customHeight="false" outlineLevel="0" collapsed="false">
      <c r="A320" s="22"/>
      <c r="B320" s="23"/>
      <c r="C320" s="23"/>
      <c r="D320" s="23"/>
      <c r="E320" s="32"/>
      <c r="F320" s="25"/>
      <c r="G320" s="23"/>
      <c r="H320" s="23"/>
      <c r="I320" s="23"/>
      <c r="J320" s="23"/>
      <c r="K320" s="23"/>
      <c r="L320" s="27" t="str">
        <f aca="false">IF($B320="","",IFERROR(INDEX(Properties!$D$5:$D$104,MATCH($B320,Properties!$A$5:$A$104,0)),"-"))</f>
        <v/>
      </c>
      <c r="M320" s="28" t="str">
        <f aca="false">IF(OR($A320="",N($E320)=0),"",$F320/$E320)</f>
        <v/>
      </c>
      <c r="N320" s="28" t="str">
        <f aca="false">IF($A320="","",IF($H320="Y",$F320*(1+Settings!$B$3),0))</f>
        <v/>
      </c>
      <c r="O320" s="27" t="str">
        <f aca="false">IF($A320="","",IF(AND($H320="Y",$G320&lt;&gt;"Restock",N($M320)&gt;Settings!$B$4,$I320&lt;&gt;"Y"),"Get host OK",IF(AND($H320="Y",$F320&gt;Settings!$B$5,$I320&lt;&gt;"Y"),"Host should pay upfront",IF($J320&lt;&gt;"Y","Save receipt","OK"))))</f>
        <v/>
      </c>
      <c r="P320" s="29" t="str">
        <f aca="false">IF($A320="","",DATE(YEAR($A320),MONTH($A320),1))</f>
        <v/>
      </c>
      <c r="Q320" s="31" t="str">
        <f aca="false">IF($A320="","",IF(AND($L320='Invoice Builder'!$C$5,$P320='Invoice Builder'!$C$6,N($N320)&gt;0),COUNTIFS($L$5:$L320,'Invoice Builder'!$C$5,$P$5:$P320,'Invoice Builder'!$C$6,$N$5:$N320,"&gt;0"),""))</f>
        <v/>
      </c>
      <c r="R320" s="27" t="str">
        <f aca="false">IF($A320="","",IF($A320&gt;=DATE(YEAR($A320),4,6),YEAR($A320)&amp;"/"&amp;RIGHT(YEAR($A320)+1,2),YEAR($A320)-1&amp;"/"&amp;RIGHT(YEAR($A320),2)))</f>
        <v/>
      </c>
    </row>
    <row r="321" customFormat="false" ht="15" hidden="false" customHeight="false" outlineLevel="0" collapsed="false">
      <c r="A321" s="22"/>
      <c r="B321" s="23"/>
      <c r="C321" s="23"/>
      <c r="D321" s="23"/>
      <c r="E321" s="32"/>
      <c r="F321" s="25"/>
      <c r="G321" s="23"/>
      <c r="H321" s="23"/>
      <c r="I321" s="23"/>
      <c r="J321" s="23"/>
      <c r="K321" s="23"/>
      <c r="L321" s="27" t="str">
        <f aca="false">IF($B321="","",IFERROR(INDEX(Properties!$D$5:$D$104,MATCH($B321,Properties!$A$5:$A$104,0)),"-"))</f>
        <v/>
      </c>
      <c r="M321" s="28" t="str">
        <f aca="false">IF(OR($A321="",N($E321)=0),"",$F321/$E321)</f>
        <v/>
      </c>
      <c r="N321" s="28" t="str">
        <f aca="false">IF($A321="","",IF($H321="Y",$F321*(1+Settings!$B$3),0))</f>
        <v/>
      </c>
      <c r="O321" s="27" t="str">
        <f aca="false">IF($A321="","",IF(AND($H321="Y",$G321&lt;&gt;"Restock",N($M321)&gt;Settings!$B$4,$I321&lt;&gt;"Y"),"Get host OK",IF(AND($H321="Y",$F321&gt;Settings!$B$5,$I321&lt;&gt;"Y"),"Host should pay upfront",IF($J321&lt;&gt;"Y","Save receipt","OK"))))</f>
        <v/>
      </c>
      <c r="P321" s="29" t="str">
        <f aca="false">IF($A321="","",DATE(YEAR($A321),MONTH($A321),1))</f>
        <v/>
      </c>
      <c r="Q321" s="31" t="str">
        <f aca="false">IF($A321="","",IF(AND($L321='Invoice Builder'!$C$5,$P321='Invoice Builder'!$C$6,N($N321)&gt;0),COUNTIFS($L$5:$L321,'Invoice Builder'!$C$5,$P$5:$P321,'Invoice Builder'!$C$6,$N$5:$N321,"&gt;0"),""))</f>
        <v/>
      </c>
      <c r="R321" s="27" t="str">
        <f aca="false">IF($A321="","",IF($A321&gt;=DATE(YEAR($A321),4,6),YEAR($A321)&amp;"/"&amp;RIGHT(YEAR($A321)+1,2),YEAR($A321)-1&amp;"/"&amp;RIGHT(YEAR($A321),2)))</f>
        <v/>
      </c>
    </row>
    <row r="322" customFormat="false" ht="15" hidden="false" customHeight="false" outlineLevel="0" collapsed="false">
      <c r="A322" s="22"/>
      <c r="B322" s="23"/>
      <c r="C322" s="23"/>
      <c r="D322" s="23"/>
      <c r="E322" s="32"/>
      <c r="F322" s="25"/>
      <c r="G322" s="23"/>
      <c r="H322" s="23"/>
      <c r="I322" s="23"/>
      <c r="J322" s="23"/>
      <c r="K322" s="23"/>
      <c r="L322" s="27" t="str">
        <f aca="false">IF($B322="","",IFERROR(INDEX(Properties!$D$5:$D$104,MATCH($B322,Properties!$A$5:$A$104,0)),"-"))</f>
        <v/>
      </c>
      <c r="M322" s="28" t="str">
        <f aca="false">IF(OR($A322="",N($E322)=0),"",$F322/$E322)</f>
        <v/>
      </c>
      <c r="N322" s="28" t="str">
        <f aca="false">IF($A322="","",IF($H322="Y",$F322*(1+Settings!$B$3),0))</f>
        <v/>
      </c>
      <c r="O322" s="27" t="str">
        <f aca="false">IF($A322="","",IF(AND($H322="Y",$G322&lt;&gt;"Restock",N($M322)&gt;Settings!$B$4,$I322&lt;&gt;"Y"),"Get host OK",IF(AND($H322="Y",$F322&gt;Settings!$B$5,$I322&lt;&gt;"Y"),"Host should pay upfront",IF($J322&lt;&gt;"Y","Save receipt","OK"))))</f>
        <v/>
      </c>
      <c r="P322" s="29" t="str">
        <f aca="false">IF($A322="","",DATE(YEAR($A322),MONTH($A322),1))</f>
        <v/>
      </c>
      <c r="Q322" s="31" t="str">
        <f aca="false">IF($A322="","",IF(AND($L322='Invoice Builder'!$C$5,$P322='Invoice Builder'!$C$6,N($N322)&gt;0),COUNTIFS($L$5:$L322,'Invoice Builder'!$C$5,$P$5:$P322,'Invoice Builder'!$C$6,$N$5:$N322,"&gt;0"),""))</f>
        <v/>
      </c>
      <c r="R322" s="27" t="str">
        <f aca="false">IF($A322="","",IF($A322&gt;=DATE(YEAR($A322),4,6),YEAR($A322)&amp;"/"&amp;RIGHT(YEAR($A322)+1,2),YEAR($A322)-1&amp;"/"&amp;RIGHT(YEAR($A322),2)))</f>
        <v/>
      </c>
    </row>
    <row r="323" customFormat="false" ht="15" hidden="false" customHeight="false" outlineLevel="0" collapsed="false">
      <c r="A323" s="22"/>
      <c r="B323" s="23"/>
      <c r="C323" s="23"/>
      <c r="D323" s="23"/>
      <c r="E323" s="32"/>
      <c r="F323" s="25"/>
      <c r="G323" s="23"/>
      <c r="H323" s="23"/>
      <c r="I323" s="23"/>
      <c r="J323" s="23"/>
      <c r="K323" s="23"/>
      <c r="L323" s="27" t="str">
        <f aca="false">IF($B323="","",IFERROR(INDEX(Properties!$D$5:$D$104,MATCH($B323,Properties!$A$5:$A$104,0)),"-"))</f>
        <v/>
      </c>
      <c r="M323" s="28" t="str">
        <f aca="false">IF(OR($A323="",N($E323)=0),"",$F323/$E323)</f>
        <v/>
      </c>
      <c r="N323" s="28" t="str">
        <f aca="false">IF($A323="","",IF($H323="Y",$F323*(1+Settings!$B$3),0))</f>
        <v/>
      </c>
      <c r="O323" s="27" t="str">
        <f aca="false">IF($A323="","",IF(AND($H323="Y",$G323&lt;&gt;"Restock",N($M323)&gt;Settings!$B$4,$I323&lt;&gt;"Y"),"Get host OK",IF(AND($H323="Y",$F323&gt;Settings!$B$5,$I323&lt;&gt;"Y"),"Host should pay upfront",IF($J323&lt;&gt;"Y","Save receipt","OK"))))</f>
        <v/>
      </c>
      <c r="P323" s="29" t="str">
        <f aca="false">IF($A323="","",DATE(YEAR($A323),MONTH($A323),1))</f>
        <v/>
      </c>
      <c r="Q323" s="31" t="str">
        <f aca="false">IF($A323="","",IF(AND($L323='Invoice Builder'!$C$5,$P323='Invoice Builder'!$C$6,N($N323)&gt;0),COUNTIFS($L$5:$L323,'Invoice Builder'!$C$5,$P$5:$P323,'Invoice Builder'!$C$6,$N$5:$N323,"&gt;0"),""))</f>
        <v/>
      </c>
      <c r="R323" s="27" t="str">
        <f aca="false">IF($A323="","",IF($A323&gt;=DATE(YEAR($A323),4,6),YEAR($A323)&amp;"/"&amp;RIGHT(YEAR($A323)+1,2),YEAR($A323)-1&amp;"/"&amp;RIGHT(YEAR($A323),2)))</f>
        <v/>
      </c>
    </row>
    <row r="324" customFormat="false" ht="15" hidden="false" customHeight="false" outlineLevel="0" collapsed="false">
      <c r="A324" s="22"/>
      <c r="B324" s="23"/>
      <c r="C324" s="23"/>
      <c r="D324" s="23"/>
      <c r="E324" s="32"/>
      <c r="F324" s="25"/>
      <c r="G324" s="23"/>
      <c r="H324" s="23"/>
      <c r="I324" s="23"/>
      <c r="J324" s="23"/>
      <c r="K324" s="23"/>
      <c r="L324" s="27" t="str">
        <f aca="false">IF($B324="","",IFERROR(INDEX(Properties!$D$5:$D$104,MATCH($B324,Properties!$A$5:$A$104,0)),"-"))</f>
        <v/>
      </c>
      <c r="M324" s="28" t="str">
        <f aca="false">IF(OR($A324="",N($E324)=0),"",$F324/$E324)</f>
        <v/>
      </c>
      <c r="N324" s="28" t="str">
        <f aca="false">IF($A324="","",IF($H324="Y",$F324*(1+Settings!$B$3),0))</f>
        <v/>
      </c>
      <c r="O324" s="27" t="str">
        <f aca="false">IF($A324="","",IF(AND($H324="Y",$G324&lt;&gt;"Restock",N($M324)&gt;Settings!$B$4,$I324&lt;&gt;"Y"),"Get host OK",IF(AND($H324="Y",$F324&gt;Settings!$B$5,$I324&lt;&gt;"Y"),"Host should pay upfront",IF($J324&lt;&gt;"Y","Save receipt","OK"))))</f>
        <v/>
      </c>
      <c r="P324" s="29" t="str">
        <f aca="false">IF($A324="","",DATE(YEAR($A324),MONTH($A324),1))</f>
        <v/>
      </c>
      <c r="Q324" s="31" t="str">
        <f aca="false">IF($A324="","",IF(AND($L324='Invoice Builder'!$C$5,$P324='Invoice Builder'!$C$6,N($N324)&gt;0),COUNTIFS($L$5:$L324,'Invoice Builder'!$C$5,$P$5:$P324,'Invoice Builder'!$C$6,$N$5:$N324,"&gt;0"),""))</f>
        <v/>
      </c>
      <c r="R324" s="27" t="str">
        <f aca="false">IF($A324="","",IF($A324&gt;=DATE(YEAR($A324),4,6),YEAR($A324)&amp;"/"&amp;RIGHT(YEAR($A324)+1,2),YEAR($A324)-1&amp;"/"&amp;RIGHT(YEAR($A324),2)))</f>
        <v/>
      </c>
    </row>
    <row r="325" customFormat="false" ht="15" hidden="false" customHeight="false" outlineLevel="0" collapsed="false">
      <c r="A325" s="22"/>
      <c r="B325" s="23"/>
      <c r="C325" s="23"/>
      <c r="D325" s="23"/>
      <c r="E325" s="32"/>
      <c r="F325" s="25"/>
      <c r="G325" s="23"/>
      <c r="H325" s="23"/>
      <c r="I325" s="23"/>
      <c r="J325" s="23"/>
      <c r="K325" s="23"/>
      <c r="L325" s="27" t="str">
        <f aca="false">IF($B325="","",IFERROR(INDEX(Properties!$D$5:$D$104,MATCH($B325,Properties!$A$5:$A$104,0)),"-"))</f>
        <v/>
      </c>
      <c r="M325" s="28" t="str">
        <f aca="false">IF(OR($A325="",N($E325)=0),"",$F325/$E325)</f>
        <v/>
      </c>
      <c r="N325" s="28" t="str">
        <f aca="false">IF($A325="","",IF($H325="Y",$F325*(1+Settings!$B$3),0))</f>
        <v/>
      </c>
      <c r="O325" s="27" t="str">
        <f aca="false">IF($A325="","",IF(AND($H325="Y",$G325&lt;&gt;"Restock",N($M325)&gt;Settings!$B$4,$I325&lt;&gt;"Y"),"Get host OK",IF(AND($H325="Y",$F325&gt;Settings!$B$5,$I325&lt;&gt;"Y"),"Host should pay upfront",IF($J325&lt;&gt;"Y","Save receipt","OK"))))</f>
        <v/>
      </c>
      <c r="P325" s="29" t="str">
        <f aca="false">IF($A325="","",DATE(YEAR($A325),MONTH($A325),1))</f>
        <v/>
      </c>
      <c r="Q325" s="31" t="str">
        <f aca="false">IF($A325="","",IF(AND($L325='Invoice Builder'!$C$5,$P325='Invoice Builder'!$C$6,N($N325)&gt;0),COUNTIFS($L$5:$L325,'Invoice Builder'!$C$5,$P$5:$P325,'Invoice Builder'!$C$6,$N$5:$N325,"&gt;0"),""))</f>
        <v/>
      </c>
      <c r="R325" s="27" t="str">
        <f aca="false">IF($A325="","",IF($A325&gt;=DATE(YEAR($A325),4,6),YEAR($A325)&amp;"/"&amp;RIGHT(YEAR($A325)+1,2),YEAR($A325)-1&amp;"/"&amp;RIGHT(YEAR($A325),2)))</f>
        <v/>
      </c>
    </row>
    <row r="326" customFormat="false" ht="15" hidden="false" customHeight="false" outlineLevel="0" collapsed="false">
      <c r="A326" s="22"/>
      <c r="B326" s="23"/>
      <c r="C326" s="23"/>
      <c r="D326" s="23"/>
      <c r="E326" s="32"/>
      <c r="F326" s="25"/>
      <c r="G326" s="23"/>
      <c r="H326" s="23"/>
      <c r="I326" s="23"/>
      <c r="J326" s="23"/>
      <c r="K326" s="23"/>
      <c r="L326" s="27" t="str">
        <f aca="false">IF($B326="","",IFERROR(INDEX(Properties!$D$5:$D$104,MATCH($B326,Properties!$A$5:$A$104,0)),"-"))</f>
        <v/>
      </c>
      <c r="M326" s="28" t="str">
        <f aca="false">IF(OR($A326="",N($E326)=0),"",$F326/$E326)</f>
        <v/>
      </c>
      <c r="N326" s="28" t="str">
        <f aca="false">IF($A326="","",IF($H326="Y",$F326*(1+Settings!$B$3),0))</f>
        <v/>
      </c>
      <c r="O326" s="27" t="str">
        <f aca="false">IF($A326="","",IF(AND($H326="Y",$G326&lt;&gt;"Restock",N($M326)&gt;Settings!$B$4,$I326&lt;&gt;"Y"),"Get host OK",IF(AND($H326="Y",$F326&gt;Settings!$B$5,$I326&lt;&gt;"Y"),"Host should pay upfront",IF($J326&lt;&gt;"Y","Save receipt","OK"))))</f>
        <v/>
      </c>
      <c r="P326" s="29" t="str">
        <f aca="false">IF($A326="","",DATE(YEAR($A326),MONTH($A326),1))</f>
        <v/>
      </c>
      <c r="Q326" s="31" t="str">
        <f aca="false">IF($A326="","",IF(AND($L326='Invoice Builder'!$C$5,$P326='Invoice Builder'!$C$6,N($N326)&gt;0),COUNTIFS($L$5:$L326,'Invoice Builder'!$C$5,$P$5:$P326,'Invoice Builder'!$C$6,$N$5:$N326,"&gt;0"),""))</f>
        <v/>
      </c>
      <c r="R326" s="27" t="str">
        <f aca="false">IF($A326="","",IF($A326&gt;=DATE(YEAR($A326),4,6),YEAR($A326)&amp;"/"&amp;RIGHT(YEAR($A326)+1,2),YEAR($A326)-1&amp;"/"&amp;RIGHT(YEAR($A326),2)))</f>
        <v/>
      </c>
    </row>
    <row r="327" customFormat="false" ht="15" hidden="false" customHeight="false" outlineLevel="0" collapsed="false">
      <c r="A327" s="22"/>
      <c r="B327" s="23"/>
      <c r="C327" s="23"/>
      <c r="D327" s="23"/>
      <c r="E327" s="32"/>
      <c r="F327" s="25"/>
      <c r="G327" s="23"/>
      <c r="H327" s="23"/>
      <c r="I327" s="23"/>
      <c r="J327" s="23"/>
      <c r="K327" s="23"/>
      <c r="L327" s="27" t="str">
        <f aca="false">IF($B327="","",IFERROR(INDEX(Properties!$D$5:$D$104,MATCH($B327,Properties!$A$5:$A$104,0)),"-"))</f>
        <v/>
      </c>
      <c r="M327" s="28" t="str">
        <f aca="false">IF(OR($A327="",N($E327)=0),"",$F327/$E327)</f>
        <v/>
      </c>
      <c r="N327" s="28" t="str">
        <f aca="false">IF($A327="","",IF($H327="Y",$F327*(1+Settings!$B$3),0))</f>
        <v/>
      </c>
      <c r="O327" s="27" t="str">
        <f aca="false">IF($A327="","",IF(AND($H327="Y",$G327&lt;&gt;"Restock",N($M327)&gt;Settings!$B$4,$I327&lt;&gt;"Y"),"Get host OK",IF(AND($H327="Y",$F327&gt;Settings!$B$5,$I327&lt;&gt;"Y"),"Host should pay upfront",IF($J327&lt;&gt;"Y","Save receipt","OK"))))</f>
        <v/>
      </c>
      <c r="P327" s="29" t="str">
        <f aca="false">IF($A327="","",DATE(YEAR($A327),MONTH($A327),1))</f>
        <v/>
      </c>
      <c r="Q327" s="31" t="str">
        <f aca="false">IF($A327="","",IF(AND($L327='Invoice Builder'!$C$5,$P327='Invoice Builder'!$C$6,N($N327)&gt;0),COUNTIFS($L$5:$L327,'Invoice Builder'!$C$5,$P$5:$P327,'Invoice Builder'!$C$6,$N$5:$N327,"&gt;0"),""))</f>
        <v/>
      </c>
      <c r="R327" s="27" t="str">
        <f aca="false">IF($A327="","",IF($A327&gt;=DATE(YEAR($A327),4,6),YEAR($A327)&amp;"/"&amp;RIGHT(YEAR($A327)+1,2),YEAR($A327)-1&amp;"/"&amp;RIGHT(YEAR($A327),2)))</f>
        <v/>
      </c>
    </row>
    <row r="328" customFormat="false" ht="15" hidden="false" customHeight="false" outlineLevel="0" collapsed="false">
      <c r="A328" s="22"/>
      <c r="B328" s="23"/>
      <c r="C328" s="23"/>
      <c r="D328" s="23"/>
      <c r="E328" s="32"/>
      <c r="F328" s="25"/>
      <c r="G328" s="23"/>
      <c r="H328" s="23"/>
      <c r="I328" s="23"/>
      <c r="J328" s="23"/>
      <c r="K328" s="23"/>
      <c r="L328" s="27" t="str">
        <f aca="false">IF($B328="","",IFERROR(INDEX(Properties!$D$5:$D$104,MATCH($B328,Properties!$A$5:$A$104,0)),"-"))</f>
        <v/>
      </c>
      <c r="M328" s="28" t="str">
        <f aca="false">IF(OR($A328="",N($E328)=0),"",$F328/$E328)</f>
        <v/>
      </c>
      <c r="N328" s="28" t="str">
        <f aca="false">IF($A328="","",IF($H328="Y",$F328*(1+Settings!$B$3),0))</f>
        <v/>
      </c>
      <c r="O328" s="27" t="str">
        <f aca="false">IF($A328="","",IF(AND($H328="Y",$G328&lt;&gt;"Restock",N($M328)&gt;Settings!$B$4,$I328&lt;&gt;"Y"),"Get host OK",IF(AND($H328="Y",$F328&gt;Settings!$B$5,$I328&lt;&gt;"Y"),"Host should pay upfront",IF($J328&lt;&gt;"Y","Save receipt","OK"))))</f>
        <v/>
      </c>
      <c r="P328" s="29" t="str">
        <f aca="false">IF($A328="","",DATE(YEAR($A328),MONTH($A328),1))</f>
        <v/>
      </c>
      <c r="Q328" s="31" t="str">
        <f aca="false">IF($A328="","",IF(AND($L328='Invoice Builder'!$C$5,$P328='Invoice Builder'!$C$6,N($N328)&gt;0),COUNTIFS($L$5:$L328,'Invoice Builder'!$C$5,$P$5:$P328,'Invoice Builder'!$C$6,$N$5:$N328,"&gt;0"),""))</f>
        <v/>
      </c>
      <c r="R328" s="27" t="str">
        <f aca="false">IF($A328="","",IF($A328&gt;=DATE(YEAR($A328),4,6),YEAR($A328)&amp;"/"&amp;RIGHT(YEAR($A328)+1,2),YEAR($A328)-1&amp;"/"&amp;RIGHT(YEAR($A328),2)))</f>
        <v/>
      </c>
    </row>
    <row r="329" customFormat="false" ht="15" hidden="false" customHeight="false" outlineLevel="0" collapsed="false">
      <c r="A329" s="22"/>
      <c r="B329" s="23"/>
      <c r="C329" s="23"/>
      <c r="D329" s="23"/>
      <c r="E329" s="32"/>
      <c r="F329" s="25"/>
      <c r="G329" s="23"/>
      <c r="H329" s="23"/>
      <c r="I329" s="23"/>
      <c r="J329" s="23"/>
      <c r="K329" s="23"/>
      <c r="L329" s="27" t="str">
        <f aca="false">IF($B329="","",IFERROR(INDEX(Properties!$D$5:$D$104,MATCH($B329,Properties!$A$5:$A$104,0)),"-"))</f>
        <v/>
      </c>
      <c r="M329" s="28" t="str">
        <f aca="false">IF(OR($A329="",N($E329)=0),"",$F329/$E329)</f>
        <v/>
      </c>
      <c r="N329" s="28" t="str">
        <f aca="false">IF($A329="","",IF($H329="Y",$F329*(1+Settings!$B$3),0))</f>
        <v/>
      </c>
      <c r="O329" s="27" t="str">
        <f aca="false">IF($A329="","",IF(AND($H329="Y",$G329&lt;&gt;"Restock",N($M329)&gt;Settings!$B$4,$I329&lt;&gt;"Y"),"Get host OK",IF(AND($H329="Y",$F329&gt;Settings!$B$5,$I329&lt;&gt;"Y"),"Host should pay upfront",IF($J329&lt;&gt;"Y","Save receipt","OK"))))</f>
        <v/>
      </c>
      <c r="P329" s="29" t="str">
        <f aca="false">IF($A329="","",DATE(YEAR($A329),MONTH($A329),1))</f>
        <v/>
      </c>
      <c r="Q329" s="31" t="str">
        <f aca="false">IF($A329="","",IF(AND($L329='Invoice Builder'!$C$5,$P329='Invoice Builder'!$C$6,N($N329)&gt;0),COUNTIFS($L$5:$L329,'Invoice Builder'!$C$5,$P$5:$P329,'Invoice Builder'!$C$6,$N$5:$N329,"&gt;0"),""))</f>
        <v/>
      </c>
      <c r="R329" s="27" t="str">
        <f aca="false">IF($A329="","",IF($A329&gt;=DATE(YEAR($A329),4,6),YEAR($A329)&amp;"/"&amp;RIGHT(YEAR($A329)+1,2),YEAR($A329)-1&amp;"/"&amp;RIGHT(YEAR($A329),2)))</f>
        <v/>
      </c>
    </row>
    <row r="330" customFormat="false" ht="15" hidden="false" customHeight="false" outlineLevel="0" collapsed="false">
      <c r="A330" s="22"/>
      <c r="B330" s="23"/>
      <c r="C330" s="23"/>
      <c r="D330" s="23"/>
      <c r="E330" s="32"/>
      <c r="F330" s="25"/>
      <c r="G330" s="23"/>
      <c r="H330" s="23"/>
      <c r="I330" s="23"/>
      <c r="J330" s="23"/>
      <c r="K330" s="23"/>
      <c r="L330" s="27" t="str">
        <f aca="false">IF($B330="","",IFERROR(INDEX(Properties!$D$5:$D$104,MATCH($B330,Properties!$A$5:$A$104,0)),"-"))</f>
        <v/>
      </c>
      <c r="M330" s="28" t="str">
        <f aca="false">IF(OR($A330="",N($E330)=0),"",$F330/$E330)</f>
        <v/>
      </c>
      <c r="N330" s="28" t="str">
        <f aca="false">IF($A330="","",IF($H330="Y",$F330*(1+Settings!$B$3),0))</f>
        <v/>
      </c>
      <c r="O330" s="27" t="str">
        <f aca="false">IF($A330="","",IF(AND($H330="Y",$G330&lt;&gt;"Restock",N($M330)&gt;Settings!$B$4,$I330&lt;&gt;"Y"),"Get host OK",IF(AND($H330="Y",$F330&gt;Settings!$B$5,$I330&lt;&gt;"Y"),"Host should pay upfront",IF($J330&lt;&gt;"Y","Save receipt","OK"))))</f>
        <v/>
      </c>
      <c r="P330" s="29" t="str">
        <f aca="false">IF($A330="","",DATE(YEAR($A330),MONTH($A330),1))</f>
        <v/>
      </c>
      <c r="Q330" s="31" t="str">
        <f aca="false">IF($A330="","",IF(AND($L330='Invoice Builder'!$C$5,$P330='Invoice Builder'!$C$6,N($N330)&gt;0),COUNTIFS($L$5:$L330,'Invoice Builder'!$C$5,$P$5:$P330,'Invoice Builder'!$C$6,$N$5:$N330,"&gt;0"),""))</f>
        <v/>
      </c>
      <c r="R330" s="27" t="str">
        <f aca="false">IF($A330="","",IF($A330&gt;=DATE(YEAR($A330),4,6),YEAR($A330)&amp;"/"&amp;RIGHT(YEAR($A330)+1,2),YEAR($A330)-1&amp;"/"&amp;RIGHT(YEAR($A330),2)))</f>
        <v/>
      </c>
    </row>
    <row r="331" customFormat="false" ht="15" hidden="false" customHeight="false" outlineLevel="0" collapsed="false">
      <c r="A331" s="22"/>
      <c r="B331" s="23"/>
      <c r="C331" s="23"/>
      <c r="D331" s="23"/>
      <c r="E331" s="32"/>
      <c r="F331" s="25"/>
      <c r="G331" s="23"/>
      <c r="H331" s="23"/>
      <c r="I331" s="23"/>
      <c r="J331" s="23"/>
      <c r="K331" s="23"/>
      <c r="L331" s="27" t="str">
        <f aca="false">IF($B331="","",IFERROR(INDEX(Properties!$D$5:$D$104,MATCH($B331,Properties!$A$5:$A$104,0)),"-"))</f>
        <v/>
      </c>
      <c r="M331" s="28" t="str">
        <f aca="false">IF(OR($A331="",N($E331)=0),"",$F331/$E331)</f>
        <v/>
      </c>
      <c r="N331" s="28" t="str">
        <f aca="false">IF($A331="","",IF($H331="Y",$F331*(1+Settings!$B$3),0))</f>
        <v/>
      </c>
      <c r="O331" s="27" t="str">
        <f aca="false">IF($A331="","",IF(AND($H331="Y",$G331&lt;&gt;"Restock",N($M331)&gt;Settings!$B$4,$I331&lt;&gt;"Y"),"Get host OK",IF(AND($H331="Y",$F331&gt;Settings!$B$5,$I331&lt;&gt;"Y"),"Host should pay upfront",IF($J331&lt;&gt;"Y","Save receipt","OK"))))</f>
        <v/>
      </c>
      <c r="P331" s="29" t="str">
        <f aca="false">IF($A331="","",DATE(YEAR($A331),MONTH($A331),1))</f>
        <v/>
      </c>
      <c r="Q331" s="31" t="str">
        <f aca="false">IF($A331="","",IF(AND($L331='Invoice Builder'!$C$5,$P331='Invoice Builder'!$C$6,N($N331)&gt;0),COUNTIFS($L$5:$L331,'Invoice Builder'!$C$5,$P$5:$P331,'Invoice Builder'!$C$6,$N$5:$N331,"&gt;0"),""))</f>
        <v/>
      </c>
      <c r="R331" s="27" t="str">
        <f aca="false">IF($A331="","",IF($A331&gt;=DATE(YEAR($A331),4,6),YEAR($A331)&amp;"/"&amp;RIGHT(YEAR($A331)+1,2),YEAR($A331)-1&amp;"/"&amp;RIGHT(YEAR($A331),2)))</f>
        <v/>
      </c>
    </row>
    <row r="332" customFormat="false" ht="15" hidden="false" customHeight="false" outlineLevel="0" collapsed="false">
      <c r="A332" s="22"/>
      <c r="B332" s="23"/>
      <c r="C332" s="23"/>
      <c r="D332" s="23"/>
      <c r="E332" s="32"/>
      <c r="F332" s="25"/>
      <c r="G332" s="23"/>
      <c r="H332" s="23"/>
      <c r="I332" s="23"/>
      <c r="J332" s="23"/>
      <c r="K332" s="23"/>
      <c r="L332" s="27" t="str">
        <f aca="false">IF($B332="","",IFERROR(INDEX(Properties!$D$5:$D$104,MATCH($B332,Properties!$A$5:$A$104,0)),"-"))</f>
        <v/>
      </c>
      <c r="M332" s="28" t="str">
        <f aca="false">IF(OR($A332="",N($E332)=0),"",$F332/$E332)</f>
        <v/>
      </c>
      <c r="N332" s="28" t="str">
        <f aca="false">IF($A332="","",IF($H332="Y",$F332*(1+Settings!$B$3),0))</f>
        <v/>
      </c>
      <c r="O332" s="27" t="str">
        <f aca="false">IF($A332="","",IF(AND($H332="Y",$G332&lt;&gt;"Restock",N($M332)&gt;Settings!$B$4,$I332&lt;&gt;"Y"),"Get host OK",IF(AND($H332="Y",$F332&gt;Settings!$B$5,$I332&lt;&gt;"Y"),"Host should pay upfront",IF($J332&lt;&gt;"Y","Save receipt","OK"))))</f>
        <v/>
      </c>
      <c r="P332" s="29" t="str">
        <f aca="false">IF($A332="","",DATE(YEAR($A332),MONTH($A332),1))</f>
        <v/>
      </c>
      <c r="Q332" s="31" t="str">
        <f aca="false">IF($A332="","",IF(AND($L332='Invoice Builder'!$C$5,$P332='Invoice Builder'!$C$6,N($N332)&gt;0),COUNTIFS($L$5:$L332,'Invoice Builder'!$C$5,$P$5:$P332,'Invoice Builder'!$C$6,$N$5:$N332,"&gt;0"),""))</f>
        <v/>
      </c>
      <c r="R332" s="27" t="str">
        <f aca="false">IF($A332="","",IF($A332&gt;=DATE(YEAR($A332),4,6),YEAR($A332)&amp;"/"&amp;RIGHT(YEAR($A332)+1,2),YEAR($A332)-1&amp;"/"&amp;RIGHT(YEAR($A332),2)))</f>
        <v/>
      </c>
    </row>
    <row r="333" customFormat="false" ht="15" hidden="false" customHeight="false" outlineLevel="0" collapsed="false">
      <c r="A333" s="22"/>
      <c r="B333" s="23"/>
      <c r="C333" s="23"/>
      <c r="D333" s="23"/>
      <c r="E333" s="32"/>
      <c r="F333" s="25"/>
      <c r="G333" s="23"/>
      <c r="H333" s="23"/>
      <c r="I333" s="23"/>
      <c r="J333" s="23"/>
      <c r="K333" s="23"/>
      <c r="L333" s="27" t="str">
        <f aca="false">IF($B333="","",IFERROR(INDEX(Properties!$D$5:$D$104,MATCH($B333,Properties!$A$5:$A$104,0)),"-"))</f>
        <v/>
      </c>
      <c r="M333" s="28" t="str">
        <f aca="false">IF(OR($A333="",N($E333)=0),"",$F333/$E333)</f>
        <v/>
      </c>
      <c r="N333" s="28" t="str">
        <f aca="false">IF($A333="","",IF($H333="Y",$F333*(1+Settings!$B$3),0))</f>
        <v/>
      </c>
      <c r="O333" s="27" t="str">
        <f aca="false">IF($A333="","",IF(AND($H333="Y",$G333&lt;&gt;"Restock",N($M333)&gt;Settings!$B$4,$I333&lt;&gt;"Y"),"Get host OK",IF(AND($H333="Y",$F333&gt;Settings!$B$5,$I333&lt;&gt;"Y"),"Host should pay upfront",IF($J333&lt;&gt;"Y","Save receipt","OK"))))</f>
        <v/>
      </c>
      <c r="P333" s="29" t="str">
        <f aca="false">IF($A333="","",DATE(YEAR($A333),MONTH($A333),1))</f>
        <v/>
      </c>
      <c r="Q333" s="31" t="str">
        <f aca="false">IF($A333="","",IF(AND($L333='Invoice Builder'!$C$5,$P333='Invoice Builder'!$C$6,N($N333)&gt;0),COUNTIFS($L$5:$L333,'Invoice Builder'!$C$5,$P$5:$P333,'Invoice Builder'!$C$6,$N$5:$N333,"&gt;0"),""))</f>
        <v/>
      </c>
      <c r="R333" s="27" t="str">
        <f aca="false">IF($A333="","",IF($A333&gt;=DATE(YEAR($A333),4,6),YEAR($A333)&amp;"/"&amp;RIGHT(YEAR($A333)+1,2),YEAR($A333)-1&amp;"/"&amp;RIGHT(YEAR($A333),2)))</f>
        <v/>
      </c>
    </row>
    <row r="334" customFormat="false" ht="15" hidden="false" customHeight="false" outlineLevel="0" collapsed="false">
      <c r="A334" s="22"/>
      <c r="B334" s="23"/>
      <c r="C334" s="23"/>
      <c r="D334" s="23"/>
      <c r="E334" s="32"/>
      <c r="F334" s="25"/>
      <c r="G334" s="23"/>
      <c r="H334" s="23"/>
      <c r="I334" s="23"/>
      <c r="J334" s="23"/>
      <c r="K334" s="23"/>
      <c r="L334" s="27" t="str">
        <f aca="false">IF($B334="","",IFERROR(INDEX(Properties!$D$5:$D$104,MATCH($B334,Properties!$A$5:$A$104,0)),"-"))</f>
        <v/>
      </c>
      <c r="M334" s="28" t="str">
        <f aca="false">IF(OR($A334="",N($E334)=0),"",$F334/$E334)</f>
        <v/>
      </c>
      <c r="N334" s="28" t="str">
        <f aca="false">IF($A334="","",IF($H334="Y",$F334*(1+Settings!$B$3),0))</f>
        <v/>
      </c>
      <c r="O334" s="27" t="str">
        <f aca="false">IF($A334="","",IF(AND($H334="Y",$G334&lt;&gt;"Restock",N($M334)&gt;Settings!$B$4,$I334&lt;&gt;"Y"),"Get host OK",IF(AND($H334="Y",$F334&gt;Settings!$B$5,$I334&lt;&gt;"Y"),"Host should pay upfront",IF($J334&lt;&gt;"Y","Save receipt","OK"))))</f>
        <v/>
      </c>
      <c r="P334" s="29" t="str">
        <f aca="false">IF($A334="","",DATE(YEAR($A334),MONTH($A334),1))</f>
        <v/>
      </c>
      <c r="Q334" s="31" t="str">
        <f aca="false">IF($A334="","",IF(AND($L334='Invoice Builder'!$C$5,$P334='Invoice Builder'!$C$6,N($N334)&gt;0),COUNTIFS($L$5:$L334,'Invoice Builder'!$C$5,$P$5:$P334,'Invoice Builder'!$C$6,$N$5:$N334,"&gt;0"),""))</f>
        <v/>
      </c>
      <c r="R334" s="27" t="str">
        <f aca="false">IF($A334="","",IF($A334&gt;=DATE(YEAR($A334),4,6),YEAR($A334)&amp;"/"&amp;RIGHT(YEAR($A334)+1,2),YEAR($A334)-1&amp;"/"&amp;RIGHT(YEAR($A334),2)))</f>
        <v/>
      </c>
    </row>
    <row r="335" customFormat="false" ht="15" hidden="false" customHeight="false" outlineLevel="0" collapsed="false">
      <c r="A335" s="22"/>
      <c r="B335" s="23"/>
      <c r="C335" s="23"/>
      <c r="D335" s="23"/>
      <c r="E335" s="32"/>
      <c r="F335" s="25"/>
      <c r="G335" s="23"/>
      <c r="H335" s="23"/>
      <c r="I335" s="23"/>
      <c r="J335" s="23"/>
      <c r="K335" s="23"/>
      <c r="L335" s="27" t="str">
        <f aca="false">IF($B335="","",IFERROR(INDEX(Properties!$D$5:$D$104,MATCH($B335,Properties!$A$5:$A$104,0)),"-"))</f>
        <v/>
      </c>
      <c r="M335" s="28" t="str">
        <f aca="false">IF(OR($A335="",N($E335)=0),"",$F335/$E335)</f>
        <v/>
      </c>
      <c r="N335" s="28" t="str">
        <f aca="false">IF($A335="","",IF($H335="Y",$F335*(1+Settings!$B$3),0))</f>
        <v/>
      </c>
      <c r="O335" s="27" t="str">
        <f aca="false">IF($A335="","",IF(AND($H335="Y",$G335&lt;&gt;"Restock",N($M335)&gt;Settings!$B$4,$I335&lt;&gt;"Y"),"Get host OK",IF(AND($H335="Y",$F335&gt;Settings!$B$5,$I335&lt;&gt;"Y"),"Host should pay upfront",IF($J335&lt;&gt;"Y","Save receipt","OK"))))</f>
        <v/>
      </c>
      <c r="P335" s="29" t="str">
        <f aca="false">IF($A335="","",DATE(YEAR($A335),MONTH($A335),1))</f>
        <v/>
      </c>
      <c r="Q335" s="31" t="str">
        <f aca="false">IF($A335="","",IF(AND($L335='Invoice Builder'!$C$5,$P335='Invoice Builder'!$C$6,N($N335)&gt;0),COUNTIFS($L$5:$L335,'Invoice Builder'!$C$5,$P$5:$P335,'Invoice Builder'!$C$6,$N$5:$N335,"&gt;0"),""))</f>
        <v/>
      </c>
      <c r="R335" s="27" t="str">
        <f aca="false">IF($A335="","",IF($A335&gt;=DATE(YEAR($A335),4,6),YEAR($A335)&amp;"/"&amp;RIGHT(YEAR($A335)+1,2),YEAR($A335)-1&amp;"/"&amp;RIGHT(YEAR($A335),2)))</f>
        <v/>
      </c>
    </row>
    <row r="336" customFormat="false" ht="15" hidden="false" customHeight="false" outlineLevel="0" collapsed="false">
      <c r="A336" s="22"/>
      <c r="B336" s="23"/>
      <c r="C336" s="23"/>
      <c r="D336" s="23"/>
      <c r="E336" s="32"/>
      <c r="F336" s="25"/>
      <c r="G336" s="23"/>
      <c r="H336" s="23"/>
      <c r="I336" s="23"/>
      <c r="J336" s="23"/>
      <c r="K336" s="23"/>
      <c r="L336" s="27" t="str">
        <f aca="false">IF($B336="","",IFERROR(INDEX(Properties!$D$5:$D$104,MATCH($B336,Properties!$A$5:$A$104,0)),"-"))</f>
        <v/>
      </c>
      <c r="M336" s="28" t="str">
        <f aca="false">IF(OR($A336="",N($E336)=0),"",$F336/$E336)</f>
        <v/>
      </c>
      <c r="N336" s="28" t="str">
        <f aca="false">IF($A336="","",IF($H336="Y",$F336*(1+Settings!$B$3),0))</f>
        <v/>
      </c>
      <c r="O336" s="27" t="str">
        <f aca="false">IF($A336="","",IF(AND($H336="Y",$G336&lt;&gt;"Restock",N($M336)&gt;Settings!$B$4,$I336&lt;&gt;"Y"),"Get host OK",IF(AND($H336="Y",$F336&gt;Settings!$B$5,$I336&lt;&gt;"Y"),"Host should pay upfront",IF($J336&lt;&gt;"Y","Save receipt","OK"))))</f>
        <v/>
      </c>
      <c r="P336" s="29" t="str">
        <f aca="false">IF($A336="","",DATE(YEAR($A336),MONTH($A336),1))</f>
        <v/>
      </c>
      <c r="Q336" s="31" t="str">
        <f aca="false">IF($A336="","",IF(AND($L336='Invoice Builder'!$C$5,$P336='Invoice Builder'!$C$6,N($N336)&gt;0),COUNTIFS($L$5:$L336,'Invoice Builder'!$C$5,$P$5:$P336,'Invoice Builder'!$C$6,$N$5:$N336,"&gt;0"),""))</f>
        <v/>
      </c>
      <c r="R336" s="27" t="str">
        <f aca="false">IF($A336="","",IF($A336&gt;=DATE(YEAR($A336),4,6),YEAR($A336)&amp;"/"&amp;RIGHT(YEAR($A336)+1,2),YEAR($A336)-1&amp;"/"&amp;RIGHT(YEAR($A336),2)))</f>
        <v/>
      </c>
    </row>
    <row r="337" customFormat="false" ht="15" hidden="false" customHeight="false" outlineLevel="0" collapsed="false">
      <c r="A337" s="22"/>
      <c r="B337" s="23"/>
      <c r="C337" s="23"/>
      <c r="D337" s="23"/>
      <c r="E337" s="32"/>
      <c r="F337" s="25"/>
      <c r="G337" s="23"/>
      <c r="H337" s="23"/>
      <c r="I337" s="23"/>
      <c r="J337" s="23"/>
      <c r="K337" s="23"/>
      <c r="L337" s="27" t="str">
        <f aca="false">IF($B337="","",IFERROR(INDEX(Properties!$D$5:$D$104,MATCH($B337,Properties!$A$5:$A$104,0)),"-"))</f>
        <v/>
      </c>
      <c r="M337" s="28" t="str">
        <f aca="false">IF(OR($A337="",N($E337)=0),"",$F337/$E337)</f>
        <v/>
      </c>
      <c r="N337" s="28" t="str">
        <f aca="false">IF($A337="","",IF($H337="Y",$F337*(1+Settings!$B$3),0))</f>
        <v/>
      </c>
      <c r="O337" s="27" t="str">
        <f aca="false">IF($A337="","",IF(AND($H337="Y",$G337&lt;&gt;"Restock",N($M337)&gt;Settings!$B$4,$I337&lt;&gt;"Y"),"Get host OK",IF(AND($H337="Y",$F337&gt;Settings!$B$5,$I337&lt;&gt;"Y"),"Host should pay upfront",IF($J337&lt;&gt;"Y","Save receipt","OK"))))</f>
        <v/>
      </c>
      <c r="P337" s="29" t="str">
        <f aca="false">IF($A337="","",DATE(YEAR($A337),MONTH($A337),1))</f>
        <v/>
      </c>
      <c r="Q337" s="31" t="str">
        <f aca="false">IF($A337="","",IF(AND($L337='Invoice Builder'!$C$5,$P337='Invoice Builder'!$C$6,N($N337)&gt;0),COUNTIFS($L$5:$L337,'Invoice Builder'!$C$5,$P$5:$P337,'Invoice Builder'!$C$6,$N$5:$N337,"&gt;0"),""))</f>
        <v/>
      </c>
      <c r="R337" s="27" t="str">
        <f aca="false">IF($A337="","",IF($A337&gt;=DATE(YEAR($A337),4,6),YEAR($A337)&amp;"/"&amp;RIGHT(YEAR($A337)+1,2),YEAR($A337)-1&amp;"/"&amp;RIGHT(YEAR($A337),2)))</f>
        <v/>
      </c>
    </row>
    <row r="338" customFormat="false" ht="15" hidden="false" customHeight="false" outlineLevel="0" collapsed="false">
      <c r="A338" s="22"/>
      <c r="B338" s="23"/>
      <c r="C338" s="23"/>
      <c r="D338" s="23"/>
      <c r="E338" s="32"/>
      <c r="F338" s="25"/>
      <c r="G338" s="23"/>
      <c r="H338" s="23"/>
      <c r="I338" s="23"/>
      <c r="J338" s="23"/>
      <c r="K338" s="23"/>
      <c r="L338" s="27" t="str">
        <f aca="false">IF($B338="","",IFERROR(INDEX(Properties!$D$5:$D$104,MATCH($B338,Properties!$A$5:$A$104,0)),"-"))</f>
        <v/>
      </c>
      <c r="M338" s="28" t="str">
        <f aca="false">IF(OR($A338="",N($E338)=0),"",$F338/$E338)</f>
        <v/>
      </c>
      <c r="N338" s="28" t="str">
        <f aca="false">IF($A338="","",IF($H338="Y",$F338*(1+Settings!$B$3),0))</f>
        <v/>
      </c>
      <c r="O338" s="27" t="str">
        <f aca="false">IF($A338="","",IF(AND($H338="Y",$G338&lt;&gt;"Restock",N($M338)&gt;Settings!$B$4,$I338&lt;&gt;"Y"),"Get host OK",IF(AND($H338="Y",$F338&gt;Settings!$B$5,$I338&lt;&gt;"Y"),"Host should pay upfront",IF($J338&lt;&gt;"Y","Save receipt","OK"))))</f>
        <v/>
      </c>
      <c r="P338" s="29" t="str">
        <f aca="false">IF($A338="","",DATE(YEAR($A338),MONTH($A338),1))</f>
        <v/>
      </c>
      <c r="Q338" s="31" t="str">
        <f aca="false">IF($A338="","",IF(AND($L338='Invoice Builder'!$C$5,$P338='Invoice Builder'!$C$6,N($N338)&gt;0),COUNTIFS($L$5:$L338,'Invoice Builder'!$C$5,$P$5:$P338,'Invoice Builder'!$C$6,$N$5:$N338,"&gt;0"),""))</f>
        <v/>
      </c>
      <c r="R338" s="27" t="str">
        <f aca="false">IF($A338="","",IF($A338&gt;=DATE(YEAR($A338),4,6),YEAR($A338)&amp;"/"&amp;RIGHT(YEAR($A338)+1,2),YEAR($A338)-1&amp;"/"&amp;RIGHT(YEAR($A338),2)))</f>
        <v/>
      </c>
    </row>
    <row r="339" customFormat="false" ht="15" hidden="false" customHeight="false" outlineLevel="0" collapsed="false">
      <c r="A339" s="22"/>
      <c r="B339" s="23"/>
      <c r="C339" s="23"/>
      <c r="D339" s="23"/>
      <c r="E339" s="32"/>
      <c r="F339" s="25"/>
      <c r="G339" s="23"/>
      <c r="H339" s="23"/>
      <c r="I339" s="23"/>
      <c r="J339" s="23"/>
      <c r="K339" s="23"/>
      <c r="L339" s="27" t="str">
        <f aca="false">IF($B339="","",IFERROR(INDEX(Properties!$D$5:$D$104,MATCH($B339,Properties!$A$5:$A$104,0)),"-"))</f>
        <v/>
      </c>
      <c r="M339" s="28" t="str">
        <f aca="false">IF(OR($A339="",N($E339)=0),"",$F339/$E339)</f>
        <v/>
      </c>
      <c r="N339" s="28" t="str">
        <f aca="false">IF($A339="","",IF($H339="Y",$F339*(1+Settings!$B$3),0))</f>
        <v/>
      </c>
      <c r="O339" s="27" t="str">
        <f aca="false">IF($A339="","",IF(AND($H339="Y",$G339&lt;&gt;"Restock",N($M339)&gt;Settings!$B$4,$I339&lt;&gt;"Y"),"Get host OK",IF(AND($H339="Y",$F339&gt;Settings!$B$5,$I339&lt;&gt;"Y"),"Host should pay upfront",IF($J339&lt;&gt;"Y","Save receipt","OK"))))</f>
        <v/>
      </c>
      <c r="P339" s="29" t="str">
        <f aca="false">IF($A339="","",DATE(YEAR($A339),MONTH($A339),1))</f>
        <v/>
      </c>
      <c r="Q339" s="31" t="str">
        <f aca="false">IF($A339="","",IF(AND($L339='Invoice Builder'!$C$5,$P339='Invoice Builder'!$C$6,N($N339)&gt;0),COUNTIFS($L$5:$L339,'Invoice Builder'!$C$5,$P$5:$P339,'Invoice Builder'!$C$6,$N$5:$N339,"&gt;0"),""))</f>
        <v/>
      </c>
      <c r="R339" s="27" t="str">
        <f aca="false">IF($A339="","",IF($A339&gt;=DATE(YEAR($A339),4,6),YEAR($A339)&amp;"/"&amp;RIGHT(YEAR($A339)+1,2),YEAR($A339)-1&amp;"/"&amp;RIGHT(YEAR($A339),2)))</f>
        <v/>
      </c>
    </row>
    <row r="340" customFormat="false" ht="15" hidden="false" customHeight="false" outlineLevel="0" collapsed="false">
      <c r="A340" s="22"/>
      <c r="B340" s="23"/>
      <c r="C340" s="23"/>
      <c r="D340" s="23"/>
      <c r="E340" s="32"/>
      <c r="F340" s="25"/>
      <c r="G340" s="23"/>
      <c r="H340" s="23"/>
      <c r="I340" s="23"/>
      <c r="J340" s="23"/>
      <c r="K340" s="23"/>
      <c r="L340" s="27" t="str">
        <f aca="false">IF($B340="","",IFERROR(INDEX(Properties!$D$5:$D$104,MATCH($B340,Properties!$A$5:$A$104,0)),"-"))</f>
        <v/>
      </c>
      <c r="M340" s="28" t="str">
        <f aca="false">IF(OR($A340="",N($E340)=0),"",$F340/$E340)</f>
        <v/>
      </c>
      <c r="N340" s="28" t="str">
        <f aca="false">IF($A340="","",IF($H340="Y",$F340*(1+Settings!$B$3),0))</f>
        <v/>
      </c>
      <c r="O340" s="27" t="str">
        <f aca="false">IF($A340="","",IF(AND($H340="Y",$G340&lt;&gt;"Restock",N($M340)&gt;Settings!$B$4,$I340&lt;&gt;"Y"),"Get host OK",IF(AND($H340="Y",$F340&gt;Settings!$B$5,$I340&lt;&gt;"Y"),"Host should pay upfront",IF($J340&lt;&gt;"Y","Save receipt","OK"))))</f>
        <v/>
      </c>
      <c r="P340" s="29" t="str">
        <f aca="false">IF($A340="","",DATE(YEAR($A340),MONTH($A340),1))</f>
        <v/>
      </c>
      <c r="Q340" s="31" t="str">
        <f aca="false">IF($A340="","",IF(AND($L340='Invoice Builder'!$C$5,$P340='Invoice Builder'!$C$6,N($N340)&gt;0),COUNTIFS($L$5:$L340,'Invoice Builder'!$C$5,$P$5:$P340,'Invoice Builder'!$C$6,$N$5:$N340,"&gt;0"),""))</f>
        <v/>
      </c>
      <c r="R340" s="27" t="str">
        <f aca="false">IF($A340="","",IF($A340&gt;=DATE(YEAR($A340),4,6),YEAR($A340)&amp;"/"&amp;RIGHT(YEAR($A340)+1,2),YEAR($A340)-1&amp;"/"&amp;RIGHT(YEAR($A340),2)))</f>
        <v/>
      </c>
    </row>
    <row r="341" customFormat="false" ht="15" hidden="false" customHeight="false" outlineLevel="0" collapsed="false">
      <c r="A341" s="22"/>
      <c r="B341" s="23"/>
      <c r="C341" s="23"/>
      <c r="D341" s="23"/>
      <c r="E341" s="32"/>
      <c r="F341" s="25"/>
      <c r="G341" s="23"/>
      <c r="H341" s="23"/>
      <c r="I341" s="23"/>
      <c r="J341" s="23"/>
      <c r="K341" s="23"/>
      <c r="L341" s="27" t="str">
        <f aca="false">IF($B341="","",IFERROR(INDEX(Properties!$D$5:$D$104,MATCH($B341,Properties!$A$5:$A$104,0)),"-"))</f>
        <v/>
      </c>
      <c r="M341" s="28" t="str">
        <f aca="false">IF(OR($A341="",N($E341)=0),"",$F341/$E341)</f>
        <v/>
      </c>
      <c r="N341" s="28" t="str">
        <f aca="false">IF($A341="","",IF($H341="Y",$F341*(1+Settings!$B$3),0))</f>
        <v/>
      </c>
      <c r="O341" s="27" t="str">
        <f aca="false">IF($A341="","",IF(AND($H341="Y",$G341&lt;&gt;"Restock",N($M341)&gt;Settings!$B$4,$I341&lt;&gt;"Y"),"Get host OK",IF(AND($H341="Y",$F341&gt;Settings!$B$5,$I341&lt;&gt;"Y"),"Host should pay upfront",IF($J341&lt;&gt;"Y","Save receipt","OK"))))</f>
        <v/>
      </c>
      <c r="P341" s="29" t="str">
        <f aca="false">IF($A341="","",DATE(YEAR($A341),MONTH($A341),1))</f>
        <v/>
      </c>
      <c r="Q341" s="31" t="str">
        <f aca="false">IF($A341="","",IF(AND($L341='Invoice Builder'!$C$5,$P341='Invoice Builder'!$C$6,N($N341)&gt;0),COUNTIFS($L$5:$L341,'Invoice Builder'!$C$5,$P$5:$P341,'Invoice Builder'!$C$6,$N$5:$N341,"&gt;0"),""))</f>
        <v/>
      </c>
      <c r="R341" s="27" t="str">
        <f aca="false">IF($A341="","",IF($A341&gt;=DATE(YEAR($A341),4,6),YEAR($A341)&amp;"/"&amp;RIGHT(YEAR($A341)+1,2),YEAR($A341)-1&amp;"/"&amp;RIGHT(YEAR($A341),2)))</f>
        <v/>
      </c>
    </row>
    <row r="342" customFormat="false" ht="15" hidden="false" customHeight="false" outlineLevel="0" collapsed="false">
      <c r="A342" s="22"/>
      <c r="B342" s="23"/>
      <c r="C342" s="23"/>
      <c r="D342" s="23"/>
      <c r="E342" s="32"/>
      <c r="F342" s="25"/>
      <c r="G342" s="23"/>
      <c r="H342" s="23"/>
      <c r="I342" s="23"/>
      <c r="J342" s="23"/>
      <c r="K342" s="23"/>
      <c r="L342" s="27" t="str">
        <f aca="false">IF($B342="","",IFERROR(INDEX(Properties!$D$5:$D$104,MATCH($B342,Properties!$A$5:$A$104,0)),"-"))</f>
        <v/>
      </c>
      <c r="M342" s="28" t="str">
        <f aca="false">IF(OR($A342="",N($E342)=0),"",$F342/$E342)</f>
        <v/>
      </c>
      <c r="N342" s="28" t="str">
        <f aca="false">IF($A342="","",IF($H342="Y",$F342*(1+Settings!$B$3),0))</f>
        <v/>
      </c>
      <c r="O342" s="27" t="str">
        <f aca="false">IF($A342="","",IF(AND($H342="Y",$G342&lt;&gt;"Restock",N($M342)&gt;Settings!$B$4,$I342&lt;&gt;"Y"),"Get host OK",IF(AND($H342="Y",$F342&gt;Settings!$B$5,$I342&lt;&gt;"Y"),"Host should pay upfront",IF($J342&lt;&gt;"Y","Save receipt","OK"))))</f>
        <v/>
      </c>
      <c r="P342" s="29" t="str">
        <f aca="false">IF($A342="","",DATE(YEAR($A342),MONTH($A342),1))</f>
        <v/>
      </c>
      <c r="Q342" s="31" t="str">
        <f aca="false">IF($A342="","",IF(AND($L342='Invoice Builder'!$C$5,$P342='Invoice Builder'!$C$6,N($N342)&gt;0),COUNTIFS($L$5:$L342,'Invoice Builder'!$C$5,$P$5:$P342,'Invoice Builder'!$C$6,$N$5:$N342,"&gt;0"),""))</f>
        <v/>
      </c>
      <c r="R342" s="27" t="str">
        <f aca="false">IF($A342="","",IF($A342&gt;=DATE(YEAR($A342),4,6),YEAR($A342)&amp;"/"&amp;RIGHT(YEAR($A342)+1,2),YEAR($A342)-1&amp;"/"&amp;RIGHT(YEAR($A342),2)))</f>
        <v/>
      </c>
    </row>
    <row r="343" customFormat="false" ht="15" hidden="false" customHeight="false" outlineLevel="0" collapsed="false">
      <c r="A343" s="22"/>
      <c r="B343" s="23"/>
      <c r="C343" s="23"/>
      <c r="D343" s="23"/>
      <c r="E343" s="32"/>
      <c r="F343" s="25"/>
      <c r="G343" s="23"/>
      <c r="H343" s="23"/>
      <c r="I343" s="23"/>
      <c r="J343" s="23"/>
      <c r="K343" s="23"/>
      <c r="L343" s="27" t="str">
        <f aca="false">IF($B343="","",IFERROR(INDEX(Properties!$D$5:$D$104,MATCH($B343,Properties!$A$5:$A$104,0)),"-"))</f>
        <v/>
      </c>
      <c r="M343" s="28" t="str">
        <f aca="false">IF(OR($A343="",N($E343)=0),"",$F343/$E343)</f>
        <v/>
      </c>
      <c r="N343" s="28" t="str">
        <f aca="false">IF($A343="","",IF($H343="Y",$F343*(1+Settings!$B$3),0))</f>
        <v/>
      </c>
      <c r="O343" s="27" t="str">
        <f aca="false">IF($A343="","",IF(AND($H343="Y",$G343&lt;&gt;"Restock",N($M343)&gt;Settings!$B$4,$I343&lt;&gt;"Y"),"Get host OK",IF(AND($H343="Y",$F343&gt;Settings!$B$5,$I343&lt;&gt;"Y"),"Host should pay upfront",IF($J343&lt;&gt;"Y","Save receipt","OK"))))</f>
        <v/>
      </c>
      <c r="P343" s="29" t="str">
        <f aca="false">IF($A343="","",DATE(YEAR($A343),MONTH($A343),1))</f>
        <v/>
      </c>
      <c r="Q343" s="31" t="str">
        <f aca="false">IF($A343="","",IF(AND($L343='Invoice Builder'!$C$5,$P343='Invoice Builder'!$C$6,N($N343)&gt;0),COUNTIFS($L$5:$L343,'Invoice Builder'!$C$5,$P$5:$P343,'Invoice Builder'!$C$6,$N$5:$N343,"&gt;0"),""))</f>
        <v/>
      </c>
      <c r="R343" s="27" t="str">
        <f aca="false">IF($A343="","",IF($A343&gt;=DATE(YEAR($A343),4,6),YEAR($A343)&amp;"/"&amp;RIGHT(YEAR($A343)+1,2),YEAR($A343)-1&amp;"/"&amp;RIGHT(YEAR($A343),2)))</f>
        <v/>
      </c>
    </row>
    <row r="344" customFormat="false" ht="15" hidden="false" customHeight="false" outlineLevel="0" collapsed="false">
      <c r="A344" s="22"/>
      <c r="B344" s="23"/>
      <c r="C344" s="23"/>
      <c r="D344" s="23"/>
      <c r="E344" s="32"/>
      <c r="F344" s="25"/>
      <c r="G344" s="23"/>
      <c r="H344" s="23"/>
      <c r="I344" s="23"/>
      <c r="J344" s="23"/>
      <c r="K344" s="23"/>
      <c r="L344" s="27" t="str">
        <f aca="false">IF($B344="","",IFERROR(INDEX(Properties!$D$5:$D$104,MATCH($B344,Properties!$A$5:$A$104,0)),"-"))</f>
        <v/>
      </c>
      <c r="M344" s="28" t="str">
        <f aca="false">IF(OR($A344="",N($E344)=0),"",$F344/$E344)</f>
        <v/>
      </c>
      <c r="N344" s="28" t="str">
        <f aca="false">IF($A344="","",IF($H344="Y",$F344*(1+Settings!$B$3),0))</f>
        <v/>
      </c>
      <c r="O344" s="27" t="str">
        <f aca="false">IF($A344="","",IF(AND($H344="Y",$G344&lt;&gt;"Restock",N($M344)&gt;Settings!$B$4,$I344&lt;&gt;"Y"),"Get host OK",IF(AND($H344="Y",$F344&gt;Settings!$B$5,$I344&lt;&gt;"Y"),"Host should pay upfront",IF($J344&lt;&gt;"Y","Save receipt","OK"))))</f>
        <v/>
      </c>
      <c r="P344" s="29" t="str">
        <f aca="false">IF($A344="","",DATE(YEAR($A344),MONTH($A344),1))</f>
        <v/>
      </c>
      <c r="Q344" s="31" t="str">
        <f aca="false">IF($A344="","",IF(AND($L344='Invoice Builder'!$C$5,$P344='Invoice Builder'!$C$6,N($N344)&gt;0),COUNTIFS($L$5:$L344,'Invoice Builder'!$C$5,$P$5:$P344,'Invoice Builder'!$C$6,$N$5:$N344,"&gt;0"),""))</f>
        <v/>
      </c>
      <c r="R344" s="27" t="str">
        <f aca="false">IF($A344="","",IF($A344&gt;=DATE(YEAR($A344),4,6),YEAR($A344)&amp;"/"&amp;RIGHT(YEAR($A344)+1,2),YEAR($A344)-1&amp;"/"&amp;RIGHT(YEAR($A344),2)))</f>
        <v/>
      </c>
    </row>
    <row r="345" customFormat="false" ht="15" hidden="false" customHeight="false" outlineLevel="0" collapsed="false">
      <c r="A345" s="22"/>
      <c r="B345" s="23"/>
      <c r="C345" s="23"/>
      <c r="D345" s="23"/>
      <c r="E345" s="32"/>
      <c r="F345" s="25"/>
      <c r="G345" s="23"/>
      <c r="H345" s="23"/>
      <c r="I345" s="23"/>
      <c r="J345" s="23"/>
      <c r="K345" s="23"/>
      <c r="L345" s="27" t="str">
        <f aca="false">IF($B345="","",IFERROR(INDEX(Properties!$D$5:$D$104,MATCH($B345,Properties!$A$5:$A$104,0)),"-"))</f>
        <v/>
      </c>
      <c r="M345" s="28" t="str">
        <f aca="false">IF(OR($A345="",N($E345)=0),"",$F345/$E345)</f>
        <v/>
      </c>
      <c r="N345" s="28" t="str">
        <f aca="false">IF($A345="","",IF($H345="Y",$F345*(1+Settings!$B$3),0))</f>
        <v/>
      </c>
      <c r="O345" s="27" t="str">
        <f aca="false">IF($A345="","",IF(AND($H345="Y",$G345&lt;&gt;"Restock",N($M345)&gt;Settings!$B$4,$I345&lt;&gt;"Y"),"Get host OK",IF(AND($H345="Y",$F345&gt;Settings!$B$5,$I345&lt;&gt;"Y"),"Host should pay upfront",IF($J345&lt;&gt;"Y","Save receipt","OK"))))</f>
        <v/>
      </c>
      <c r="P345" s="29" t="str">
        <f aca="false">IF($A345="","",DATE(YEAR($A345),MONTH($A345),1))</f>
        <v/>
      </c>
      <c r="Q345" s="31" t="str">
        <f aca="false">IF($A345="","",IF(AND($L345='Invoice Builder'!$C$5,$P345='Invoice Builder'!$C$6,N($N345)&gt;0),COUNTIFS($L$5:$L345,'Invoice Builder'!$C$5,$P$5:$P345,'Invoice Builder'!$C$6,$N$5:$N345,"&gt;0"),""))</f>
        <v/>
      </c>
      <c r="R345" s="27" t="str">
        <f aca="false">IF($A345="","",IF($A345&gt;=DATE(YEAR($A345),4,6),YEAR($A345)&amp;"/"&amp;RIGHT(YEAR($A345)+1,2),YEAR($A345)-1&amp;"/"&amp;RIGHT(YEAR($A345),2)))</f>
        <v/>
      </c>
    </row>
    <row r="346" customFormat="false" ht="15" hidden="false" customHeight="false" outlineLevel="0" collapsed="false">
      <c r="A346" s="22"/>
      <c r="B346" s="23"/>
      <c r="C346" s="23"/>
      <c r="D346" s="23"/>
      <c r="E346" s="32"/>
      <c r="F346" s="25"/>
      <c r="G346" s="23"/>
      <c r="H346" s="23"/>
      <c r="I346" s="23"/>
      <c r="J346" s="23"/>
      <c r="K346" s="23"/>
      <c r="L346" s="27" t="str">
        <f aca="false">IF($B346="","",IFERROR(INDEX(Properties!$D$5:$D$104,MATCH($B346,Properties!$A$5:$A$104,0)),"-"))</f>
        <v/>
      </c>
      <c r="M346" s="28" t="str">
        <f aca="false">IF(OR($A346="",N($E346)=0),"",$F346/$E346)</f>
        <v/>
      </c>
      <c r="N346" s="28" t="str">
        <f aca="false">IF($A346="","",IF($H346="Y",$F346*(1+Settings!$B$3),0))</f>
        <v/>
      </c>
      <c r="O346" s="27" t="str">
        <f aca="false">IF($A346="","",IF(AND($H346="Y",$G346&lt;&gt;"Restock",N($M346)&gt;Settings!$B$4,$I346&lt;&gt;"Y"),"Get host OK",IF(AND($H346="Y",$F346&gt;Settings!$B$5,$I346&lt;&gt;"Y"),"Host should pay upfront",IF($J346&lt;&gt;"Y","Save receipt","OK"))))</f>
        <v/>
      </c>
      <c r="P346" s="29" t="str">
        <f aca="false">IF($A346="","",DATE(YEAR($A346),MONTH($A346),1))</f>
        <v/>
      </c>
      <c r="Q346" s="31" t="str">
        <f aca="false">IF($A346="","",IF(AND($L346='Invoice Builder'!$C$5,$P346='Invoice Builder'!$C$6,N($N346)&gt;0),COUNTIFS($L$5:$L346,'Invoice Builder'!$C$5,$P$5:$P346,'Invoice Builder'!$C$6,$N$5:$N346,"&gt;0"),""))</f>
        <v/>
      </c>
      <c r="R346" s="27" t="str">
        <f aca="false">IF($A346="","",IF($A346&gt;=DATE(YEAR($A346),4,6),YEAR($A346)&amp;"/"&amp;RIGHT(YEAR($A346)+1,2),YEAR($A346)-1&amp;"/"&amp;RIGHT(YEAR($A346),2)))</f>
        <v/>
      </c>
    </row>
    <row r="347" customFormat="false" ht="15" hidden="false" customHeight="false" outlineLevel="0" collapsed="false">
      <c r="A347" s="22"/>
      <c r="B347" s="23"/>
      <c r="C347" s="23"/>
      <c r="D347" s="23"/>
      <c r="E347" s="32"/>
      <c r="F347" s="25"/>
      <c r="G347" s="23"/>
      <c r="H347" s="23"/>
      <c r="I347" s="23"/>
      <c r="J347" s="23"/>
      <c r="K347" s="23"/>
      <c r="L347" s="27" t="str">
        <f aca="false">IF($B347="","",IFERROR(INDEX(Properties!$D$5:$D$104,MATCH($B347,Properties!$A$5:$A$104,0)),"-"))</f>
        <v/>
      </c>
      <c r="M347" s="28" t="str">
        <f aca="false">IF(OR($A347="",N($E347)=0),"",$F347/$E347)</f>
        <v/>
      </c>
      <c r="N347" s="28" t="str">
        <f aca="false">IF($A347="","",IF($H347="Y",$F347*(1+Settings!$B$3),0))</f>
        <v/>
      </c>
      <c r="O347" s="27" t="str">
        <f aca="false">IF($A347="","",IF(AND($H347="Y",$G347&lt;&gt;"Restock",N($M347)&gt;Settings!$B$4,$I347&lt;&gt;"Y"),"Get host OK",IF(AND($H347="Y",$F347&gt;Settings!$B$5,$I347&lt;&gt;"Y"),"Host should pay upfront",IF($J347&lt;&gt;"Y","Save receipt","OK"))))</f>
        <v/>
      </c>
      <c r="P347" s="29" t="str">
        <f aca="false">IF($A347="","",DATE(YEAR($A347),MONTH($A347),1))</f>
        <v/>
      </c>
      <c r="Q347" s="31" t="str">
        <f aca="false">IF($A347="","",IF(AND($L347='Invoice Builder'!$C$5,$P347='Invoice Builder'!$C$6,N($N347)&gt;0),COUNTIFS($L$5:$L347,'Invoice Builder'!$C$5,$P$5:$P347,'Invoice Builder'!$C$6,$N$5:$N347,"&gt;0"),""))</f>
        <v/>
      </c>
      <c r="R347" s="27" t="str">
        <f aca="false">IF($A347="","",IF($A347&gt;=DATE(YEAR($A347),4,6),YEAR($A347)&amp;"/"&amp;RIGHT(YEAR($A347)+1,2),YEAR($A347)-1&amp;"/"&amp;RIGHT(YEAR($A347),2)))</f>
        <v/>
      </c>
    </row>
    <row r="348" customFormat="false" ht="15" hidden="false" customHeight="false" outlineLevel="0" collapsed="false">
      <c r="A348" s="22"/>
      <c r="B348" s="23"/>
      <c r="C348" s="23"/>
      <c r="D348" s="23"/>
      <c r="E348" s="32"/>
      <c r="F348" s="25"/>
      <c r="G348" s="23"/>
      <c r="H348" s="23"/>
      <c r="I348" s="23"/>
      <c r="J348" s="23"/>
      <c r="K348" s="23"/>
      <c r="L348" s="27" t="str">
        <f aca="false">IF($B348="","",IFERROR(INDEX(Properties!$D$5:$D$104,MATCH($B348,Properties!$A$5:$A$104,0)),"-"))</f>
        <v/>
      </c>
      <c r="M348" s="28" t="str">
        <f aca="false">IF(OR($A348="",N($E348)=0),"",$F348/$E348)</f>
        <v/>
      </c>
      <c r="N348" s="28" t="str">
        <f aca="false">IF($A348="","",IF($H348="Y",$F348*(1+Settings!$B$3),0))</f>
        <v/>
      </c>
      <c r="O348" s="27" t="str">
        <f aca="false">IF($A348="","",IF(AND($H348="Y",$G348&lt;&gt;"Restock",N($M348)&gt;Settings!$B$4,$I348&lt;&gt;"Y"),"Get host OK",IF(AND($H348="Y",$F348&gt;Settings!$B$5,$I348&lt;&gt;"Y"),"Host should pay upfront",IF($J348&lt;&gt;"Y","Save receipt","OK"))))</f>
        <v/>
      </c>
      <c r="P348" s="29" t="str">
        <f aca="false">IF($A348="","",DATE(YEAR($A348),MONTH($A348),1))</f>
        <v/>
      </c>
      <c r="Q348" s="31" t="str">
        <f aca="false">IF($A348="","",IF(AND($L348='Invoice Builder'!$C$5,$P348='Invoice Builder'!$C$6,N($N348)&gt;0),COUNTIFS($L$5:$L348,'Invoice Builder'!$C$5,$P$5:$P348,'Invoice Builder'!$C$6,$N$5:$N348,"&gt;0"),""))</f>
        <v/>
      </c>
      <c r="R348" s="27" t="str">
        <f aca="false">IF($A348="","",IF($A348&gt;=DATE(YEAR($A348),4,6),YEAR($A348)&amp;"/"&amp;RIGHT(YEAR($A348)+1,2),YEAR($A348)-1&amp;"/"&amp;RIGHT(YEAR($A348),2)))</f>
        <v/>
      </c>
    </row>
    <row r="349" customFormat="false" ht="15" hidden="false" customHeight="false" outlineLevel="0" collapsed="false">
      <c r="A349" s="22"/>
      <c r="B349" s="23"/>
      <c r="C349" s="23"/>
      <c r="D349" s="23"/>
      <c r="E349" s="32"/>
      <c r="F349" s="25"/>
      <c r="G349" s="23"/>
      <c r="H349" s="23"/>
      <c r="I349" s="23"/>
      <c r="J349" s="23"/>
      <c r="K349" s="23"/>
      <c r="L349" s="27" t="str">
        <f aca="false">IF($B349="","",IFERROR(INDEX(Properties!$D$5:$D$104,MATCH($B349,Properties!$A$5:$A$104,0)),"-"))</f>
        <v/>
      </c>
      <c r="M349" s="28" t="str">
        <f aca="false">IF(OR($A349="",N($E349)=0),"",$F349/$E349)</f>
        <v/>
      </c>
      <c r="N349" s="28" t="str">
        <f aca="false">IF($A349="","",IF($H349="Y",$F349*(1+Settings!$B$3),0))</f>
        <v/>
      </c>
      <c r="O349" s="27" t="str">
        <f aca="false">IF($A349="","",IF(AND($H349="Y",$G349&lt;&gt;"Restock",N($M349)&gt;Settings!$B$4,$I349&lt;&gt;"Y"),"Get host OK",IF(AND($H349="Y",$F349&gt;Settings!$B$5,$I349&lt;&gt;"Y"),"Host should pay upfront",IF($J349&lt;&gt;"Y","Save receipt","OK"))))</f>
        <v/>
      </c>
      <c r="P349" s="29" t="str">
        <f aca="false">IF($A349="","",DATE(YEAR($A349),MONTH($A349),1))</f>
        <v/>
      </c>
      <c r="Q349" s="31" t="str">
        <f aca="false">IF($A349="","",IF(AND($L349='Invoice Builder'!$C$5,$P349='Invoice Builder'!$C$6,N($N349)&gt;0),COUNTIFS($L$5:$L349,'Invoice Builder'!$C$5,$P$5:$P349,'Invoice Builder'!$C$6,$N$5:$N349,"&gt;0"),""))</f>
        <v/>
      </c>
      <c r="R349" s="27" t="str">
        <f aca="false">IF($A349="","",IF($A349&gt;=DATE(YEAR($A349),4,6),YEAR($A349)&amp;"/"&amp;RIGHT(YEAR($A349)+1,2),YEAR($A349)-1&amp;"/"&amp;RIGHT(YEAR($A349),2)))</f>
        <v/>
      </c>
    </row>
    <row r="350" customFormat="false" ht="15" hidden="false" customHeight="false" outlineLevel="0" collapsed="false">
      <c r="A350" s="22"/>
      <c r="B350" s="23"/>
      <c r="C350" s="23"/>
      <c r="D350" s="23"/>
      <c r="E350" s="32"/>
      <c r="F350" s="25"/>
      <c r="G350" s="23"/>
      <c r="H350" s="23"/>
      <c r="I350" s="23"/>
      <c r="J350" s="23"/>
      <c r="K350" s="23"/>
      <c r="L350" s="27" t="str">
        <f aca="false">IF($B350="","",IFERROR(INDEX(Properties!$D$5:$D$104,MATCH($B350,Properties!$A$5:$A$104,0)),"-"))</f>
        <v/>
      </c>
      <c r="M350" s="28" t="str">
        <f aca="false">IF(OR($A350="",N($E350)=0),"",$F350/$E350)</f>
        <v/>
      </c>
      <c r="N350" s="28" t="str">
        <f aca="false">IF($A350="","",IF($H350="Y",$F350*(1+Settings!$B$3),0))</f>
        <v/>
      </c>
      <c r="O350" s="27" t="str">
        <f aca="false">IF($A350="","",IF(AND($H350="Y",$G350&lt;&gt;"Restock",N($M350)&gt;Settings!$B$4,$I350&lt;&gt;"Y"),"Get host OK",IF(AND($H350="Y",$F350&gt;Settings!$B$5,$I350&lt;&gt;"Y"),"Host should pay upfront",IF($J350&lt;&gt;"Y","Save receipt","OK"))))</f>
        <v/>
      </c>
      <c r="P350" s="29" t="str">
        <f aca="false">IF($A350="","",DATE(YEAR($A350),MONTH($A350),1))</f>
        <v/>
      </c>
      <c r="Q350" s="31" t="str">
        <f aca="false">IF($A350="","",IF(AND($L350='Invoice Builder'!$C$5,$P350='Invoice Builder'!$C$6,N($N350)&gt;0),COUNTIFS($L$5:$L350,'Invoice Builder'!$C$5,$P$5:$P350,'Invoice Builder'!$C$6,$N$5:$N350,"&gt;0"),""))</f>
        <v/>
      </c>
      <c r="R350" s="27" t="str">
        <f aca="false">IF($A350="","",IF($A350&gt;=DATE(YEAR($A350),4,6),YEAR($A350)&amp;"/"&amp;RIGHT(YEAR($A350)+1,2),YEAR($A350)-1&amp;"/"&amp;RIGHT(YEAR($A350),2)))</f>
        <v/>
      </c>
    </row>
    <row r="351" customFormat="false" ht="15" hidden="false" customHeight="false" outlineLevel="0" collapsed="false">
      <c r="A351" s="22"/>
      <c r="B351" s="23"/>
      <c r="C351" s="23"/>
      <c r="D351" s="23"/>
      <c r="E351" s="32"/>
      <c r="F351" s="25"/>
      <c r="G351" s="23"/>
      <c r="H351" s="23"/>
      <c r="I351" s="23"/>
      <c r="J351" s="23"/>
      <c r="K351" s="23"/>
      <c r="L351" s="27" t="str">
        <f aca="false">IF($B351="","",IFERROR(INDEX(Properties!$D$5:$D$104,MATCH($B351,Properties!$A$5:$A$104,0)),"-"))</f>
        <v/>
      </c>
      <c r="M351" s="28" t="str">
        <f aca="false">IF(OR($A351="",N($E351)=0),"",$F351/$E351)</f>
        <v/>
      </c>
      <c r="N351" s="28" t="str">
        <f aca="false">IF($A351="","",IF($H351="Y",$F351*(1+Settings!$B$3),0))</f>
        <v/>
      </c>
      <c r="O351" s="27" t="str">
        <f aca="false">IF($A351="","",IF(AND($H351="Y",$G351&lt;&gt;"Restock",N($M351)&gt;Settings!$B$4,$I351&lt;&gt;"Y"),"Get host OK",IF(AND($H351="Y",$F351&gt;Settings!$B$5,$I351&lt;&gt;"Y"),"Host should pay upfront",IF($J351&lt;&gt;"Y","Save receipt","OK"))))</f>
        <v/>
      </c>
      <c r="P351" s="29" t="str">
        <f aca="false">IF($A351="","",DATE(YEAR($A351),MONTH($A351),1))</f>
        <v/>
      </c>
      <c r="Q351" s="31" t="str">
        <f aca="false">IF($A351="","",IF(AND($L351='Invoice Builder'!$C$5,$P351='Invoice Builder'!$C$6,N($N351)&gt;0),COUNTIFS($L$5:$L351,'Invoice Builder'!$C$5,$P$5:$P351,'Invoice Builder'!$C$6,$N$5:$N351,"&gt;0"),""))</f>
        <v/>
      </c>
      <c r="R351" s="27" t="str">
        <f aca="false">IF($A351="","",IF($A351&gt;=DATE(YEAR($A351),4,6),YEAR($A351)&amp;"/"&amp;RIGHT(YEAR($A351)+1,2),YEAR($A351)-1&amp;"/"&amp;RIGHT(YEAR($A351),2)))</f>
        <v/>
      </c>
    </row>
    <row r="352" customFormat="false" ht="15" hidden="false" customHeight="false" outlineLevel="0" collapsed="false">
      <c r="A352" s="22"/>
      <c r="B352" s="23"/>
      <c r="C352" s="23"/>
      <c r="D352" s="23"/>
      <c r="E352" s="32"/>
      <c r="F352" s="25"/>
      <c r="G352" s="23"/>
      <c r="H352" s="23"/>
      <c r="I352" s="23"/>
      <c r="J352" s="23"/>
      <c r="K352" s="23"/>
      <c r="L352" s="27" t="str">
        <f aca="false">IF($B352="","",IFERROR(INDEX(Properties!$D$5:$D$104,MATCH($B352,Properties!$A$5:$A$104,0)),"-"))</f>
        <v/>
      </c>
      <c r="M352" s="28" t="str">
        <f aca="false">IF(OR($A352="",N($E352)=0),"",$F352/$E352)</f>
        <v/>
      </c>
      <c r="N352" s="28" t="str">
        <f aca="false">IF($A352="","",IF($H352="Y",$F352*(1+Settings!$B$3),0))</f>
        <v/>
      </c>
      <c r="O352" s="27" t="str">
        <f aca="false">IF($A352="","",IF(AND($H352="Y",$G352&lt;&gt;"Restock",N($M352)&gt;Settings!$B$4,$I352&lt;&gt;"Y"),"Get host OK",IF(AND($H352="Y",$F352&gt;Settings!$B$5,$I352&lt;&gt;"Y"),"Host should pay upfront",IF($J352&lt;&gt;"Y","Save receipt","OK"))))</f>
        <v/>
      </c>
      <c r="P352" s="29" t="str">
        <f aca="false">IF($A352="","",DATE(YEAR($A352),MONTH($A352),1))</f>
        <v/>
      </c>
      <c r="Q352" s="31" t="str">
        <f aca="false">IF($A352="","",IF(AND($L352='Invoice Builder'!$C$5,$P352='Invoice Builder'!$C$6,N($N352)&gt;0),COUNTIFS($L$5:$L352,'Invoice Builder'!$C$5,$P$5:$P352,'Invoice Builder'!$C$6,$N$5:$N352,"&gt;0"),""))</f>
        <v/>
      </c>
      <c r="R352" s="27" t="str">
        <f aca="false">IF($A352="","",IF($A352&gt;=DATE(YEAR($A352),4,6),YEAR($A352)&amp;"/"&amp;RIGHT(YEAR($A352)+1,2),YEAR($A352)-1&amp;"/"&amp;RIGHT(YEAR($A352),2)))</f>
        <v/>
      </c>
    </row>
    <row r="353" customFormat="false" ht="15" hidden="false" customHeight="false" outlineLevel="0" collapsed="false">
      <c r="A353" s="22"/>
      <c r="B353" s="23"/>
      <c r="C353" s="23"/>
      <c r="D353" s="23"/>
      <c r="E353" s="32"/>
      <c r="F353" s="25"/>
      <c r="G353" s="23"/>
      <c r="H353" s="23"/>
      <c r="I353" s="23"/>
      <c r="J353" s="23"/>
      <c r="K353" s="23"/>
      <c r="L353" s="27" t="str">
        <f aca="false">IF($B353="","",IFERROR(INDEX(Properties!$D$5:$D$104,MATCH($B353,Properties!$A$5:$A$104,0)),"-"))</f>
        <v/>
      </c>
      <c r="M353" s="28" t="str">
        <f aca="false">IF(OR($A353="",N($E353)=0),"",$F353/$E353)</f>
        <v/>
      </c>
      <c r="N353" s="28" t="str">
        <f aca="false">IF($A353="","",IF($H353="Y",$F353*(1+Settings!$B$3),0))</f>
        <v/>
      </c>
      <c r="O353" s="27" t="str">
        <f aca="false">IF($A353="","",IF(AND($H353="Y",$G353&lt;&gt;"Restock",N($M353)&gt;Settings!$B$4,$I353&lt;&gt;"Y"),"Get host OK",IF(AND($H353="Y",$F353&gt;Settings!$B$5,$I353&lt;&gt;"Y"),"Host should pay upfront",IF($J353&lt;&gt;"Y","Save receipt","OK"))))</f>
        <v/>
      </c>
      <c r="P353" s="29" t="str">
        <f aca="false">IF($A353="","",DATE(YEAR($A353),MONTH($A353),1))</f>
        <v/>
      </c>
      <c r="Q353" s="31" t="str">
        <f aca="false">IF($A353="","",IF(AND($L353='Invoice Builder'!$C$5,$P353='Invoice Builder'!$C$6,N($N353)&gt;0),COUNTIFS($L$5:$L353,'Invoice Builder'!$C$5,$P$5:$P353,'Invoice Builder'!$C$6,$N$5:$N353,"&gt;0"),""))</f>
        <v/>
      </c>
      <c r="R353" s="27" t="str">
        <f aca="false">IF($A353="","",IF($A353&gt;=DATE(YEAR($A353),4,6),YEAR($A353)&amp;"/"&amp;RIGHT(YEAR($A353)+1,2),YEAR($A353)-1&amp;"/"&amp;RIGHT(YEAR($A353),2)))</f>
        <v/>
      </c>
    </row>
    <row r="354" customFormat="false" ht="15" hidden="false" customHeight="false" outlineLevel="0" collapsed="false">
      <c r="A354" s="22"/>
      <c r="B354" s="23"/>
      <c r="C354" s="23"/>
      <c r="D354" s="23"/>
      <c r="E354" s="32"/>
      <c r="F354" s="25"/>
      <c r="G354" s="23"/>
      <c r="H354" s="23"/>
      <c r="I354" s="23"/>
      <c r="J354" s="23"/>
      <c r="K354" s="23"/>
      <c r="L354" s="27" t="str">
        <f aca="false">IF($B354="","",IFERROR(INDEX(Properties!$D$5:$D$104,MATCH($B354,Properties!$A$5:$A$104,0)),"-"))</f>
        <v/>
      </c>
      <c r="M354" s="28" t="str">
        <f aca="false">IF(OR($A354="",N($E354)=0),"",$F354/$E354)</f>
        <v/>
      </c>
      <c r="N354" s="28" t="str">
        <f aca="false">IF($A354="","",IF($H354="Y",$F354*(1+Settings!$B$3),0))</f>
        <v/>
      </c>
      <c r="O354" s="27" t="str">
        <f aca="false">IF($A354="","",IF(AND($H354="Y",$G354&lt;&gt;"Restock",N($M354)&gt;Settings!$B$4,$I354&lt;&gt;"Y"),"Get host OK",IF(AND($H354="Y",$F354&gt;Settings!$B$5,$I354&lt;&gt;"Y"),"Host should pay upfront",IF($J354&lt;&gt;"Y","Save receipt","OK"))))</f>
        <v/>
      </c>
      <c r="P354" s="29" t="str">
        <f aca="false">IF($A354="","",DATE(YEAR($A354),MONTH($A354),1))</f>
        <v/>
      </c>
      <c r="Q354" s="31" t="str">
        <f aca="false">IF($A354="","",IF(AND($L354='Invoice Builder'!$C$5,$P354='Invoice Builder'!$C$6,N($N354)&gt;0),COUNTIFS($L$5:$L354,'Invoice Builder'!$C$5,$P$5:$P354,'Invoice Builder'!$C$6,$N$5:$N354,"&gt;0"),""))</f>
        <v/>
      </c>
      <c r="R354" s="27" t="str">
        <f aca="false">IF($A354="","",IF($A354&gt;=DATE(YEAR($A354),4,6),YEAR($A354)&amp;"/"&amp;RIGHT(YEAR($A354)+1,2),YEAR($A354)-1&amp;"/"&amp;RIGHT(YEAR($A354),2)))</f>
        <v/>
      </c>
    </row>
    <row r="355" customFormat="false" ht="15" hidden="false" customHeight="false" outlineLevel="0" collapsed="false">
      <c r="A355" s="22"/>
      <c r="B355" s="23"/>
      <c r="C355" s="23"/>
      <c r="D355" s="23"/>
      <c r="E355" s="32"/>
      <c r="F355" s="25"/>
      <c r="G355" s="23"/>
      <c r="H355" s="23"/>
      <c r="I355" s="23"/>
      <c r="J355" s="23"/>
      <c r="K355" s="23"/>
      <c r="L355" s="27" t="str">
        <f aca="false">IF($B355="","",IFERROR(INDEX(Properties!$D$5:$D$104,MATCH($B355,Properties!$A$5:$A$104,0)),"-"))</f>
        <v/>
      </c>
      <c r="M355" s="28" t="str">
        <f aca="false">IF(OR($A355="",N($E355)=0),"",$F355/$E355)</f>
        <v/>
      </c>
      <c r="N355" s="28" t="str">
        <f aca="false">IF($A355="","",IF($H355="Y",$F355*(1+Settings!$B$3),0))</f>
        <v/>
      </c>
      <c r="O355" s="27" t="str">
        <f aca="false">IF($A355="","",IF(AND($H355="Y",$G355&lt;&gt;"Restock",N($M355)&gt;Settings!$B$4,$I355&lt;&gt;"Y"),"Get host OK",IF(AND($H355="Y",$F355&gt;Settings!$B$5,$I355&lt;&gt;"Y"),"Host should pay upfront",IF($J355&lt;&gt;"Y","Save receipt","OK"))))</f>
        <v/>
      </c>
      <c r="P355" s="29" t="str">
        <f aca="false">IF($A355="","",DATE(YEAR($A355),MONTH($A355),1))</f>
        <v/>
      </c>
      <c r="Q355" s="31" t="str">
        <f aca="false">IF($A355="","",IF(AND($L355='Invoice Builder'!$C$5,$P355='Invoice Builder'!$C$6,N($N355)&gt;0),COUNTIFS($L$5:$L355,'Invoice Builder'!$C$5,$P$5:$P355,'Invoice Builder'!$C$6,$N$5:$N355,"&gt;0"),""))</f>
        <v/>
      </c>
      <c r="R355" s="27" t="str">
        <f aca="false">IF($A355="","",IF($A355&gt;=DATE(YEAR($A355),4,6),YEAR($A355)&amp;"/"&amp;RIGHT(YEAR($A355)+1,2),YEAR($A355)-1&amp;"/"&amp;RIGHT(YEAR($A355),2)))</f>
        <v/>
      </c>
    </row>
    <row r="356" customFormat="false" ht="15" hidden="false" customHeight="false" outlineLevel="0" collapsed="false">
      <c r="A356" s="22"/>
      <c r="B356" s="23"/>
      <c r="C356" s="23"/>
      <c r="D356" s="23"/>
      <c r="E356" s="32"/>
      <c r="F356" s="25"/>
      <c r="G356" s="23"/>
      <c r="H356" s="23"/>
      <c r="I356" s="23"/>
      <c r="J356" s="23"/>
      <c r="K356" s="23"/>
      <c r="L356" s="27" t="str">
        <f aca="false">IF($B356="","",IFERROR(INDEX(Properties!$D$5:$D$104,MATCH($B356,Properties!$A$5:$A$104,0)),"-"))</f>
        <v/>
      </c>
      <c r="M356" s="28" t="str">
        <f aca="false">IF(OR($A356="",N($E356)=0),"",$F356/$E356)</f>
        <v/>
      </c>
      <c r="N356" s="28" t="str">
        <f aca="false">IF($A356="","",IF($H356="Y",$F356*(1+Settings!$B$3),0))</f>
        <v/>
      </c>
      <c r="O356" s="27" t="str">
        <f aca="false">IF($A356="","",IF(AND($H356="Y",$G356&lt;&gt;"Restock",N($M356)&gt;Settings!$B$4,$I356&lt;&gt;"Y"),"Get host OK",IF(AND($H356="Y",$F356&gt;Settings!$B$5,$I356&lt;&gt;"Y"),"Host should pay upfront",IF($J356&lt;&gt;"Y","Save receipt","OK"))))</f>
        <v/>
      </c>
      <c r="P356" s="29" t="str">
        <f aca="false">IF($A356="","",DATE(YEAR($A356),MONTH($A356),1))</f>
        <v/>
      </c>
      <c r="Q356" s="31" t="str">
        <f aca="false">IF($A356="","",IF(AND($L356='Invoice Builder'!$C$5,$P356='Invoice Builder'!$C$6,N($N356)&gt;0),COUNTIFS($L$5:$L356,'Invoice Builder'!$C$5,$P$5:$P356,'Invoice Builder'!$C$6,$N$5:$N356,"&gt;0"),""))</f>
        <v/>
      </c>
      <c r="R356" s="27" t="str">
        <f aca="false">IF($A356="","",IF($A356&gt;=DATE(YEAR($A356),4,6),YEAR($A356)&amp;"/"&amp;RIGHT(YEAR($A356)+1,2),YEAR($A356)-1&amp;"/"&amp;RIGHT(YEAR($A356),2)))</f>
        <v/>
      </c>
    </row>
    <row r="357" customFormat="false" ht="15" hidden="false" customHeight="false" outlineLevel="0" collapsed="false">
      <c r="A357" s="22"/>
      <c r="B357" s="23"/>
      <c r="C357" s="23"/>
      <c r="D357" s="23"/>
      <c r="E357" s="32"/>
      <c r="F357" s="25"/>
      <c r="G357" s="23"/>
      <c r="H357" s="23"/>
      <c r="I357" s="23"/>
      <c r="J357" s="23"/>
      <c r="K357" s="23"/>
      <c r="L357" s="27" t="str">
        <f aca="false">IF($B357="","",IFERROR(INDEX(Properties!$D$5:$D$104,MATCH($B357,Properties!$A$5:$A$104,0)),"-"))</f>
        <v/>
      </c>
      <c r="M357" s="28" t="str">
        <f aca="false">IF(OR($A357="",N($E357)=0),"",$F357/$E357)</f>
        <v/>
      </c>
      <c r="N357" s="28" t="str">
        <f aca="false">IF($A357="","",IF($H357="Y",$F357*(1+Settings!$B$3),0))</f>
        <v/>
      </c>
      <c r="O357" s="27" t="str">
        <f aca="false">IF($A357="","",IF(AND($H357="Y",$G357&lt;&gt;"Restock",N($M357)&gt;Settings!$B$4,$I357&lt;&gt;"Y"),"Get host OK",IF(AND($H357="Y",$F357&gt;Settings!$B$5,$I357&lt;&gt;"Y"),"Host should pay upfront",IF($J357&lt;&gt;"Y","Save receipt","OK"))))</f>
        <v/>
      </c>
      <c r="P357" s="29" t="str">
        <f aca="false">IF($A357="","",DATE(YEAR($A357),MONTH($A357),1))</f>
        <v/>
      </c>
      <c r="Q357" s="31" t="str">
        <f aca="false">IF($A357="","",IF(AND($L357='Invoice Builder'!$C$5,$P357='Invoice Builder'!$C$6,N($N357)&gt;0),COUNTIFS($L$5:$L357,'Invoice Builder'!$C$5,$P$5:$P357,'Invoice Builder'!$C$6,$N$5:$N357,"&gt;0"),""))</f>
        <v/>
      </c>
      <c r="R357" s="27" t="str">
        <f aca="false">IF($A357="","",IF($A357&gt;=DATE(YEAR($A357),4,6),YEAR($A357)&amp;"/"&amp;RIGHT(YEAR($A357)+1,2),YEAR($A357)-1&amp;"/"&amp;RIGHT(YEAR($A357),2)))</f>
        <v/>
      </c>
    </row>
    <row r="358" customFormat="false" ht="15" hidden="false" customHeight="false" outlineLevel="0" collapsed="false">
      <c r="A358" s="22"/>
      <c r="B358" s="23"/>
      <c r="C358" s="23"/>
      <c r="D358" s="23"/>
      <c r="E358" s="32"/>
      <c r="F358" s="25"/>
      <c r="G358" s="23"/>
      <c r="H358" s="23"/>
      <c r="I358" s="23"/>
      <c r="J358" s="23"/>
      <c r="K358" s="23"/>
      <c r="L358" s="27" t="str">
        <f aca="false">IF($B358="","",IFERROR(INDEX(Properties!$D$5:$D$104,MATCH($B358,Properties!$A$5:$A$104,0)),"-"))</f>
        <v/>
      </c>
      <c r="M358" s="28" t="str">
        <f aca="false">IF(OR($A358="",N($E358)=0),"",$F358/$E358)</f>
        <v/>
      </c>
      <c r="N358" s="28" t="str">
        <f aca="false">IF($A358="","",IF($H358="Y",$F358*(1+Settings!$B$3),0))</f>
        <v/>
      </c>
      <c r="O358" s="27" t="str">
        <f aca="false">IF($A358="","",IF(AND($H358="Y",$G358&lt;&gt;"Restock",N($M358)&gt;Settings!$B$4,$I358&lt;&gt;"Y"),"Get host OK",IF(AND($H358="Y",$F358&gt;Settings!$B$5,$I358&lt;&gt;"Y"),"Host should pay upfront",IF($J358&lt;&gt;"Y","Save receipt","OK"))))</f>
        <v/>
      </c>
      <c r="P358" s="29" t="str">
        <f aca="false">IF($A358="","",DATE(YEAR($A358),MONTH($A358),1))</f>
        <v/>
      </c>
      <c r="Q358" s="31" t="str">
        <f aca="false">IF($A358="","",IF(AND($L358='Invoice Builder'!$C$5,$P358='Invoice Builder'!$C$6,N($N358)&gt;0),COUNTIFS($L$5:$L358,'Invoice Builder'!$C$5,$P$5:$P358,'Invoice Builder'!$C$6,$N$5:$N358,"&gt;0"),""))</f>
        <v/>
      </c>
      <c r="R358" s="27" t="str">
        <f aca="false">IF($A358="","",IF($A358&gt;=DATE(YEAR($A358),4,6),YEAR($A358)&amp;"/"&amp;RIGHT(YEAR($A358)+1,2),YEAR($A358)-1&amp;"/"&amp;RIGHT(YEAR($A358),2)))</f>
        <v/>
      </c>
    </row>
    <row r="359" customFormat="false" ht="15" hidden="false" customHeight="false" outlineLevel="0" collapsed="false">
      <c r="A359" s="22"/>
      <c r="B359" s="23"/>
      <c r="C359" s="23"/>
      <c r="D359" s="23"/>
      <c r="E359" s="32"/>
      <c r="F359" s="25"/>
      <c r="G359" s="23"/>
      <c r="H359" s="23"/>
      <c r="I359" s="23"/>
      <c r="J359" s="23"/>
      <c r="K359" s="23"/>
      <c r="L359" s="27" t="str">
        <f aca="false">IF($B359="","",IFERROR(INDEX(Properties!$D$5:$D$104,MATCH($B359,Properties!$A$5:$A$104,0)),"-"))</f>
        <v/>
      </c>
      <c r="M359" s="28" t="str">
        <f aca="false">IF(OR($A359="",N($E359)=0),"",$F359/$E359)</f>
        <v/>
      </c>
      <c r="N359" s="28" t="str">
        <f aca="false">IF($A359="","",IF($H359="Y",$F359*(1+Settings!$B$3),0))</f>
        <v/>
      </c>
      <c r="O359" s="27" t="str">
        <f aca="false">IF($A359="","",IF(AND($H359="Y",$G359&lt;&gt;"Restock",N($M359)&gt;Settings!$B$4,$I359&lt;&gt;"Y"),"Get host OK",IF(AND($H359="Y",$F359&gt;Settings!$B$5,$I359&lt;&gt;"Y"),"Host should pay upfront",IF($J359&lt;&gt;"Y","Save receipt","OK"))))</f>
        <v/>
      </c>
      <c r="P359" s="29" t="str">
        <f aca="false">IF($A359="","",DATE(YEAR($A359),MONTH($A359),1))</f>
        <v/>
      </c>
      <c r="Q359" s="31" t="str">
        <f aca="false">IF($A359="","",IF(AND($L359='Invoice Builder'!$C$5,$P359='Invoice Builder'!$C$6,N($N359)&gt;0),COUNTIFS($L$5:$L359,'Invoice Builder'!$C$5,$P$5:$P359,'Invoice Builder'!$C$6,$N$5:$N359,"&gt;0"),""))</f>
        <v/>
      </c>
      <c r="R359" s="27" t="str">
        <f aca="false">IF($A359="","",IF($A359&gt;=DATE(YEAR($A359),4,6),YEAR($A359)&amp;"/"&amp;RIGHT(YEAR($A359)+1,2),YEAR($A359)-1&amp;"/"&amp;RIGHT(YEAR($A359),2)))</f>
        <v/>
      </c>
    </row>
    <row r="360" customFormat="false" ht="15" hidden="false" customHeight="false" outlineLevel="0" collapsed="false">
      <c r="A360" s="22"/>
      <c r="B360" s="23"/>
      <c r="C360" s="23"/>
      <c r="D360" s="23"/>
      <c r="E360" s="32"/>
      <c r="F360" s="25"/>
      <c r="G360" s="23"/>
      <c r="H360" s="23"/>
      <c r="I360" s="23"/>
      <c r="J360" s="23"/>
      <c r="K360" s="23"/>
      <c r="L360" s="27" t="str">
        <f aca="false">IF($B360="","",IFERROR(INDEX(Properties!$D$5:$D$104,MATCH($B360,Properties!$A$5:$A$104,0)),"-"))</f>
        <v/>
      </c>
      <c r="M360" s="28" t="str">
        <f aca="false">IF(OR($A360="",N($E360)=0),"",$F360/$E360)</f>
        <v/>
      </c>
      <c r="N360" s="28" t="str">
        <f aca="false">IF($A360="","",IF($H360="Y",$F360*(1+Settings!$B$3),0))</f>
        <v/>
      </c>
      <c r="O360" s="27" t="str">
        <f aca="false">IF($A360="","",IF(AND($H360="Y",$G360&lt;&gt;"Restock",N($M360)&gt;Settings!$B$4,$I360&lt;&gt;"Y"),"Get host OK",IF(AND($H360="Y",$F360&gt;Settings!$B$5,$I360&lt;&gt;"Y"),"Host should pay upfront",IF($J360&lt;&gt;"Y","Save receipt","OK"))))</f>
        <v/>
      </c>
      <c r="P360" s="29" t="str">
        <f aca="false">IF($A360="","",DATE(YEAR($A360),MONTH($A360),1))</f>
        <v/>
      </c>
      <c r="Q360" s="31" t="str">
        <f aca="false">IF($A360="","",IF(AND($L360='Invoice Builder'!$C$5,$P360='Invoice Builder'!$C$6,N($N360)&gt;0),COUNTIFS($L$5:$L360,'Invoice Builder'!$C$5,$P$5:$P360,'Invoice Builder'!$C$6,$N$5:$N360,"&gt;0"),""))</f>
        <v/>
      </c>
      <c r="R360" s="27" t="str">
        <f aca="false">IF($A360="","",IF($A360&gt;=DATE(YEAR($A360),4,6),YEAR($A360)&amp;"/"&amp;RIGHT(YEAR($A360)+1,2),YEAR($A360)-1&amp;"/"&amp;RIGHT(YEAR($A360),2)))</f>
        <v/>
      </c>
    </row>
    <row r="361" customFormat="false" ht="15" hidden="false" customHeight="false" outlineLevel="0" collapsed="false">
      <c r="A361" s="22"/>
      <c r="B361" s="23"/>
      <c r="C361" s="23"/>
      <c r="D361" s="23"/>
      <c r="E361" s="32"/>
      <c r="F361" s="25"/>
      <c r="G361" s="23"/>
      <c r="H361" s="23"/>
      <c r="I361" s="23"/>
      <c r="J361" s="23"/>
      <c r="K361" s="23"/>
      <c r="L361" s="27" t="str">
        <f aca="false">IF($B361="","",IFERROR(INDEX(Properties!$D$5:$D$104,MATCH($B361,Properties!$A$5:$A$104,0)),"-"))</f>
        <v/>
      </c>
      <c r="M361" s="28" t="str">
        <f aca="false">IF(OR($A361="",N($E361)=0),"",$F361/$E361)</f>
        <v/>
      </c>
      <c r="N361" s="28" t="str">
        <f aca="false">IF($A361="","",IF($H361="Y",$F361*(1+Settings!$B$3),0))</f>
        <v/>
      </c>
      <c r="O361" s="27" t="str">
        <f aca="false">IF($A361="","",IF(AND($H361="Y",$G361&lt;&gt;"Restock",N($M361)&gt;Settings!$B$4,$I361&lt;&gt;"Y"),"Get host OK",IF(AND($H361="Y",$F361&gt;Settings!$B$5,$I361&lt;&gt;"Y"),"Host should pay upfront",IF($J361&lt;&gt;"Y","Save receipt","OK"))))</f>
        <v/>
      </c>
      <c r="P361" s="29" t="str">
        <f aca="false">IF($A361="","",DATE(YEAR($A361),MONTH($A361),1))</f>
        <v/>
      </c>
      <c r="Q361" s="31" t="str">
        <f aca="false">IF($A361="","",IF(AND($L361='Invoice Builder'!$C$5,$P361='Invoice Builder'!$C$6,N($N361)&gt;0),COUNTIFS($L$5:$L361,'Invoice Builder'!$C$5,$P$5:$P361,'Invoice Builder'!$C$6,$N$5:$N361,"&gt;0"),""))</f>
        <v/>
      </c>
      <c r="R361" s="27" t="str">
        <f aca="false">IF($A361="","",IF($A361&gt;=DATE(YEAR($A361),4,6),YEAR($A361)&amp;"/"&amp;RIGHT(YEAR($A361)+1,2),YEAR($A361)-1&amp;"/"&amp;RIGHT(YEAR($A361),2)))</f>
        <v/>
      </c>
    </row>
    <row r="362" customFormat="false" ht="15" hidden="false" customHeight="false" outlineLevel="0" collapsed="false">
      <c r="A362" s="22"/>
      <c r="B362" s="23"/>
      <c r="C362" s="23"/>
      <c r="D362" s="23"/>
      <c r="E362" s="32"/>
      <c r="F362" s="25"/>
      <c r="G362" s="23"/>
      <c r="H362" s="23"/>
      <c r="I362" s="23"/>
      <c r="J362" s="23"/>
      <c r="K362" s="23"/>
      <c r="L362" s="27" t="str">
        <f aca="false">IF($B362="","",IFERROR(INDEX(Properties!$D$5:$D$104,MATCH($B362,Properties!$A$5:$A$104,0)),"-"))</f>
        <v/>
      </c>
      <c r="M362" s="28" t="str">
        <f aca="false">IF(OR($A362="",N($E362)=0),"",$F362/$E362)</f>
        <v/>
      </c>
      <c r="N362" s="28" t="str">
        <f aca="false">IF($A362="","",IF($H362="Y",$F362*(1+Settings!$B$3),0))</f>
        <v/>
      </c>
      <c r="O362" s="27" t="str">
        <f aca="false">IF($A362="","",IF(AND($H362="Y",$G362&lt;&gt;"Restock",N($M362)&gt;Settings!$B$4,$I362&lt;&gt;"Y"),"Get host OK",IF(AND($H362="Y",$F362&gt;Settings!$B$5,$I362&lt;&gt;"Y"),"Host should pay upfront",IF($J362&lt;&gt;"Y","Save receipt","OK"))))</f>
        <v/>
      </c>
      <c r="P362" s="29" t="str">
        <f aca="false">IF($A362="","",DATE(YEAR($A362),MONTH($A362),1))</f>
        <v/>
      </c>
      <c r="Q362" s="31" t="str">
        <f aca="false">IF($A362="","",IF(AND($L362='Invoice Builder'!$C$5,$P362='Invoice Builder'!$C$6,N($N362)&gt;0),COUNTIFS($L$5:$L362,'Invoice Builder'!$C$5,$P$5:$P362,'Invoice Builder'!$C$6,$N$5:$N362,"&gt;0"),""))</f>
        <v/>
      </c>
      <c r="R362" s="27" t="str">
        <f aca="false">IF($A362="","",IF($A362&gt;=DATE(YEAR($A362),4,6),YEAR($A362)&amp;"/"&amp;RIGHT(YEAR($A362)+1,2),YEAR($A362)-1&amp;"/"&amp;RIGHT(YEAR($A362),2)))</f>
        <v/>
      </c>
    </row>
    <row r="363" customFormat="false" ht="15" hidden="false" customHeight="false" outlineLevel="0" collapsed="false">
      <c r="A363" s="22"/>
      <c r="B363" s="23"/>
      <c r="C363" s="23"/>
      <c r="D363" s="23"/>
      <c r="E363" s="32"/>
      <c r="F363" s="25"/>
      <c r="G363" s="23"/>
      <c r="H363" s="23"/>
      <c r="I363" s="23"/>
      <c r="J363" s="23"/>
      <c r="K363" s="23"/>
      <c r="L363" s="27" t="str">
        <f aca="false">IF($B363="","",IFERROR(INDEX(Properties!$D$5:$D$104,MATCH($B363,Properties!$A$5:$A$104,0)),"-"))</f>
        <v/>
      </c>
      <c r="M363" s="28" t="str">
        <f aca="false">IF(OR($A363="",N($E363)=0),"",$F363/$E363)</f>
        <v/>
      </c>
      <c r="N363" s="28" t="str">
        <f aca="false">IF($A363="","",IF($H363="Y",$F363*(1+Settings!$B$3),0))</f>
        <v/>
      </c>
      <c r="O363" s="27" t="str">
        <f aca="false">IF($A363="","",IF(AND($H363="Y",$G363&lt;&gt;"Restock",N($M363)&gt;Settings!$B$4,$I363&lt;&gt;"Y"),"Get host OK",IF(AND($H363="Y",$F363&gt;Settings!$B$5,$I363&lt;&gt;"Y"),"Host should pay upfront",IF($J363&lt;&gt;"Y","Save receipt","OK"))))</f>
        <v/>
      </c>
      <c r="P363" s="29" t="str">
        <f aca="false">IF($A363="","",DATE(YEAR($A363),MONTH($A363),1))</f>
        <v/>
      </c>
      <c r="Q363" s="31" t="str">
        <f aca="false">IF($A363="","",IF(AND($L363='Invoice Builder'!$C$5,$P363='Invoice Builder'!$C$6,N($N363)&gt;0),COUNTIFS($L$5:$L363,'Invoice Builder'!$C$5,$P$5:$P363,'Invoice Builder'!$C$6,$N$5:$N363,"&gt;0"),""))</f>
        <v/>
      </c>
      <c r="R363" s="27" t="str">
        <f aca="false">IF($A363="","",IF($A363&gt;=DATE(YEAR($A363),4,6),YEAR($A363)&amp;"/"&amp;RIGHT(YEAR($A363)+1,2),YEAR($A363)-1&amp;"/"&amp;RIGHT(YEAR($A363),2)))</f>
        <v/>
      </c>
    </row>
    <row r="364" customFormat="false" ht="15" hidden="false" customHeight="false" outlineLevel="0" collapsed="false">
      <c r="A364" s="22"/>
      <c r="B364" s="23"/>
      <c r="C364" s="23"/>
      <c r="D364" s="23"/>
      <c r="E364" s="32"/>
      <c r="F364" s="25"/>
      <c r="G364" s="23"/>
      <c r="H364" s="23"/>
      <c r="I364" s="23"/>
      <c r="J364" s="23"/>
      <c r="K364" s="23"/>
      <c r="L364" s="27" t="str">
        <f aca="false">IF($B364="","",IFERROR(INDEX(Properties!$D$5:$D$104,MATCH($B364,Properties!$A$5:$A$104,0)),"-"))</f>
        <v/>
      </c>
      <c r="M364" s="28" t="str">
        <f aca="false">IF(OR($A364="",N($E364)=0),"",$F364/$E364)</f>
        <v/>
      </c>
      <c r="N364" s="28" t="str">
        <f aca="false">IF($A364="","",IF($H364="Y",$F364*(1+Settings!$B$3),0))</f>
        <v/>
      </c>
      <c r="O364" s="27" t="str">
        <f aca="false">IF($A364="","",IF(AND($H364="Y",$G364&lt;&gt;"Restock",N($M364)&gt;Settings!$B$4,$I364&lt;&gt;"Y"),"Get host OK",IF(AND($H364="Y",$F364&gt;Settings!$B$5,$I364&lt;&gt;"Y"),"Host should pay upfront",IF($J364&lt;&gt;"Y","Save receipt","OK"))))</f>
        <v/>
      </c>
      <c r="P364" s="29" t="str">
        <f aca="false">IF($A364="","",DATE(YEAR($A364),MONTH($A364),1))</f>
        <v/>
      </c>
      <c r="Q364" s="31" t="str">
        <f aca="false">IF($A364="","",IF(AND($L364='Invoice Builder'!$C$5,$P364='Invoice Builder'!$C$6,N($N364)&gt;0),COUNTIFS($L$5:$L364,'Invoice Builder'!$C$5,$P$5:$P364,'Invoice Builder'!$C$6,$N$5:$N364,"&gt;0"),""))</f>
        <v/>
      </c>
      <c r="R364" s="27" t="str">
        <f aca="false">IF($A364="","",IF($A364&gt;=DATE(YEAR($A364),4,6),YEAR($A364)&amp;"/"&amp;RIGHT(YEAR($A364)+1,2),YEAR($A364)-1&amp;"/"&amp;RIGHT(YEAR($A364),2)))</f>
        <v/>
      </c>
    </row>
    <row r="365" customFormat="false" ht="15" hidden="false" customHeight="false" outlineLevel="0" collapsed="false">
      <c r="A365" s="22"/>
      <c r="B365" s="23"/>
      <c r="C365" s="23"/>
      <c r="D365" s="23"/>
      <c r="E365" s="32"/>
      <c r="F365" s="25"/>
      <c r="G365" s="23"/>
      <c r="H365" s="23"/>
      <c r="I365" s="23"/>
      <c r="J365" s="23"/>
      <c r="K365" s="23"/>
      <c r="L365" s="27" t="str">
        <f aca="false">IF($B365="","",IFERROR(INDEX(Properties!$D$5:$D$104,MATCH($B365,Properties!$A$5:$A$104,0)),"-"))</f>
        <v/>
      </c>
      <c r="M365" s="28" t="str">
        <f aca="false">IF(OR($A365="",N($E365)=0),"",$F365/$E365)</f>
        <v/>
      </c>
      <c r="N365" s="28" t="str">
        <f aca="false">IF($A365="","",IF($H365="Y",$F365*(1+Settings!$B$3),0))</f>
        <v/>
      </c>
      <c r="O365" s="27" t="str">
        <f aca="false">IF($A365="","",IF(AND($H365="Y",$G365&lt;&gt;"Restock",N($M365)&gt;Settings!$B$4,$I365&lt;&gt;"Y"),"Get host OK",IF(AND($H365="Y",$F365&gt;Settings!$B$5,$I365&lt;&gt;"Y"),"Host should pay upfront",IF($J365&lt;&gt;"Y","Save receipt","OK"))))</f>
        <v/>
      </c>
      <c r="P365" s="29" t="str">
        <f aca="false">IF($A365="","",DATE(YEAR($A365),MONTH($A365),1))</f>
        <v/>
      </c>
      <c r="Q365" s="31" t="str">
        <f aca="false">IF($A365="","",IF(AND($L365='Invoice Builder'!$C$5,$P365='Invoice Builder'!$C$6,N($N365)&gt;0),COUNTIFS($L$5:$L365,'Invoice Builder'!$C$5,$P$5:$P365,'Invoice Builder'!$C$6,$N$5:$N365,"&gt;0"),""))</f>
        <v/>
      </c>
      <c r="R365" s="27" t="str">
        <f aca="false">IF($A365="","",IF($A365&gt;=DATE(YEAR($A365),4,6),YEAR($A365)&amp;"/"&amp;RIGHT(YEAR($A365)+1,2),YEAR($A365)-1&amp;"/"&amp;RIGHT(YEAR($A365),2)))</f>
        <v/>
      </c>
    </row>
    <row r="366" customFormat="false" ht="15" hidden="false" customHeight="false" outlineLevel="0" collapsed="false">
      <c r="A366" s="22"/>
      <c r="B366" s="23"/>
      <c r="C366" s="23"/>
      <c r="D366" s="23"/>
      <c r="E366" s="32"/>
      <c r="F366" s="25"/>
      <c r="G366" s="23"/>
      <c r="H366" s="23"/>
      <c r="I366" s="23"/>
      <c r="J366" s="23"/>
      <c r="K366" s="23"/>
      <c r="L366" s="27" t="str">
        <f aca="false">IF($B366="","",IFERROR(INDEX(Properties!$D$5:$D$104,MATCH($B366,Properties!$A$5:$A$104,0)),"-"))</f>
        <v/>
      </c>
      <c r="M366" s="28" t="str">
        <f aca="false">IF(OR($A366="",N($E366)=0),"",$F366/$E366)</f>
        <v/>
      </c>
      <c r="N366" s="28" t="str">
        <f aca="false">IF($A366="","",IF($H366="Y",$F366*(1+Settings!$B$3),0))</f>
        <v/>
      </c>
      <c r="O366" s="27" t="str">
        <f aca="false">IF($A366="","",IF(AND($H366="Y",$G366&lt;&gt;"Restock",N($M366)&gt;Settings!$B$4,$I366&lt;&gt;"Y"),"Get host OK",IF(AND($H366="Y",$F366&gt;Settings!$B$5,$I366&lt;&gt;"Y"),"Host should pay upfront",IF($J366&lt;&gt;"Y","Save receipt","OK"))))</f>
        <v/>
      </c>
      <c r="P366" s="29" t="str">
        <f aca="false">IF($A366="","",DATE(YEAR($A366),MONTH($A366),1))</f>
        <v/>
      </c>
      <c r="Q366" s="31" t="str">
        <f aca="false">IF($A366="","",IF(AND($L366='Invoice Builder'!$C$5,$P366='Invoice Builder'!$C$6,N($N366)&gt;0),COUNTIFS($L$5:$L366,'Invoice Builder'!$C$5,$P$5:$P366,'Invoice Builder'!$C$6,$N$5:$N366,"&gt;0"),""))</f>
        <v/>
      </c>
      <c r="R366" s="27" t="str">
        <f aca="false">IF($A366="","",IF($A366&gt;=DATE(YEAR($A366),4,6),YEAR($A366)&amp;"/"&amp;RIGHT(YEAR($A366)+1,2),YEAR($A366)-1&amp;"/"&amp;RIGHT(YEAR($A366),2)))</f>
        <v/>
      </c>
    </row>
    <row r="367" customFormat="false" ht="15" hidden="false" customHeight="false" outlineLevel="0" collapsed="false">
      <c r="A367" s="22"/>
      <c r="B367" s="23"/>
      <c r="C367" s="23"/>
      <c r="D367" s="23"/>
      <c r="E367" s="32"/>
      <c r="F367" s="25"/>
      <c r="G367" s="23"/>
      <c r="H367" s="23"/>
      <c r="I367" s="23"/>
      <c r="J367" s="23"/>
      <c r="K367" s="23"/>
      <c r="L367" s="27" t="str">
        <f aca="false">IF($B367="","",IFERROR(INDEX(Properties!$D$5:$D$104,MATCH($B367,Properties!$A$5:$A$104,0)),"-"))</f>
        <v/>
      </c>
      <c r="M367" s="28" t="str">
        <f aca="false">IF(OR($A367="",N($E367)=0),"",$F367/$E367)</f>
        <v/>
      </c>
      <c r="N367" s="28" t="str">
        <f aca="false">IF($A367="","",IF($H367="Y",$F367*(1+Settings!$B$3),0))</f>
        <v/>
      </c>
      <c r="O367" s="27" t="str">
        <f aca="false">IF($A367="","",IF(AND($H367="Y",$G367&lt;&gt;"Restock",N($M367)&gt;Settings!$B$4,$I367&lt;&gt;"Y"),"Get host OK",IF(AND($H367="Y",$F367&gt;Settings!$B$5,$I367&lt;&gt;"Y"),"Host should pay upfront",IF($J367&lt;&gt;"Y","Save receipt","OK"))))</f>
        <v/>
      </c>
      <c r="P367" s="29" t="str">
        <f aca="false">IF($A367="","",DATE(YEAR($A367),MONTH($A367),1))</f>
        <v/>
      </c>
      <c r="Q367" s="31" t="str">
        <f aca="false">IF($A367="","",IF(AND($L367='Invoice Builder'!$C$5,$P367='Invoice Builder'!$C$6,N($N367)&gt;0),COUNTIFS($L$5:$L367,'Invoice Builder'!$C$5,$P$5:$P367,'Invoice Builder'!$C$6,$N$5:$N367,"&gt;0"),""))</f>
        <v/>
      </c>
      <c r="R367" s="27" t="str">
        <f aca="false">IF($A367="","",IF($A367&gt;=DATE(YEAR($A367),4,6),YEAR($A367)&amp;"/"&amp;RIGHT(YEAR($A367)+1,2),YEAR($A367)-1&amp;"/"&amp;RIGHT(YEAR($A367),2)))</f>
        <v/>
      </c>
    </row>
    <row r="368" customFormat="false" ht="15" hidden="false" customHeight="false" outlineLevel="0" collapsed="false">
      <c r="A368" s="22"/>
      <c r="B368" s="23"/>
      <c r="C368" s="23"/>
      <c r="D368" s="23"/>
      <c r="E368" s="32"/>
      <c r="F368" s="25"/>
      <c r="G368" s="23"/>
      <c r="H368" s="23"/>
      <c r="I368" s="23"/>
      <c r="J368" s="23"/>
      <c r="K368" s="23"/>
      <c r="L368" s="27" t="str">
        <f aca="false">IF($B368="","",IFERROR(INDEX(Properties!$D$5:$D$104,MATCH($B368,Properties!$A$5:$A$104,0)),"-"))</f>
        <v/>
      </c>
      <c r="M368" s="28" t="str">
        <f aca="false">IF(OR($A368="",N($E368)=0),"",$F368/$E368)</f>
        <v/>
      </c>
      <c r="N368" s="28" t="str">
        <f aca="false">IF($A368="","",IF($H368="Y",$F368*(1+Settings!$B$3),0))</f>
        <v/>
      </c>
      <c r="O368" s="27" t="str">
        <f aca="false">IF($A368="","",IF(AND($H368="Y",$G368&lt;&gt;"Restock",N($M368)&gt;Settings!$B$4,$I368&lt;&gt;"Y"),"Get host OK",IF(AND($H368="Y",$F368&gt;Settings!$B$5,$I368&lt;&gt;"Y"),"Host should pay upfront",IF($J368&lt;&gt;"Y","Save receipt","OK"))))</f>
        <v/>
      </c>
      <c r="P368" s="29" t="str">
        <f aca="false">IF($A368="","",DATE(YEAR($A368),MONTH($A368),1))</f>
        <v/>
      </c>
      <c r="Q368" s="31" t="str">
        <f aca="false">IF($A368="","",IF(AND($L368='Invoice Builder'!$C$5,$P368='Invoice Builder'!$C$6,N($N368)&gt;0),COUNTIFS($L$5:$L368,'Invoice Builder'!$C$5,$P$5:$P368,'Invoice Builder'!$C$6,$N$5:$N368,"&gt;0"),""))</f>
        <v/>
      </c>
      <c r="R368" s="27" t="str">
        <f aca="false">IF($A368="","",IF($A368&gt;=DATE(YEAR($A368),4,6),YEAR($A368)&amp;"/"&amp;RIGHT(YEAR($A368)+1,2),YEAR($A368)-1&amp;"/"&amp;RIGHT(YEAR($A368),2)))</f>
        <v/>
      </c>
    </row>
    <row r="369" customFormat="false" ht="15" hidden="false" customHeight="false" outlineLevel="0" collapsed="false">
      <c r="A369" s="22"/>
      <c r="B369" s="23"/>
      <c r="C369" s="23"/>
      <c r="D369" s="23"/>
      <c r="E369" s="32"/>
      <c r="F369" s="25"/>
      <c r="G369" s="23"/>
      <c r="H369" s="23"/>
      <c r="I369" s="23"/>
      <c r="J369" s="23"/>
      <c r="K369" s="23"/>
      <c r="L369" s="27" t="str">
        <f aca="false">IF($B369="","",IFERROR(INDEX(Properties!$D$5:$D$104,MATCH($B369,Properties!$A$5:$A$104,0)),"-"))</f>
        <v/>
      </c>
      <c r="M369" s="28" t="str">
        <f aca="false">IF(OR($A369="",N($E369)=0),"",$F369/$E369)</f>
        <v/>
      </c>
      <c r="N369" s="28" t="str">
        <f aca="false">IF($A369="","",IF($H369="Y",$F369*(1+Settings!$B$3),0))</f>
        <v/>
      </c>
      <c r="O369" s="27" t="str">
        <f aca="false">IF($A369="","",IF(AND($H369="Y",$G369&lt;&gt;"Restock",N($M369)&gt;Settings!$B$4,$I369&lt;&gt;"Y"),"Get host OK",IF(AND($H369="Y",$F369&gt;Settings!$B$5,$I369&lt;&gt;"Y"),"Host should pay upfront",IF($J369&lt;&gt;"Y","Save receipt","OK"))))</f>
        <v/>
      </c>
      <c r="P369" s="29" t="str">
        <f aca="false">IF($A369="","",DATE(YEAR($A369),MONTH($A369),1))</f>
        <v/>
      </c>
      <c r="Q369" s="31" t="str">
        <f aca="false">IF($A369="","",IF(AND($L369='Invoice Builder'!$C$5,$P369='Invoice Builder'!$C$6,N($N369)&gt;0),COUNTIFS($L$5:$L369,'Invoice Builder'!$C$5,$P$5:$P369,'Invoice Builder'!$C$6,$N$5:$N369,"&gt;0"),""))</f>
        <v/>
      </c>
      <c r="R369" s="27" t="str">
        <f aca="false">IF($A369="","",IF($A369&gt;=DATE(YEAR($A369),4,6),YEAR($A369)&amp;"/"&amp;RIGHT(YEAR($A369)+1,2),YEAR($A369)-1&amp;"/"&amp;RIGHT(YEAR($A369),2)))</f>
        <v/>
      </c>
    </row>
    <row r="370" customFormat="false" ht="15" hidden="false" customHeight="false" outlineLevel="0" collapsed="false">
      <c r="A370" s="22"/>
      <c r="B370" s="23"/>
      <c r="C370" s="23"/>
      <c r="D370" s="23"/>
      <c r="E370" s="32"/>
      <c r="F370" s="25"/>
      <c r="G370" s="23"/>
      <c r="H370" s="23"/>
      <c r="I370" s="23"/>
      <c r="J370" s="23"/>
      <c r="K370" s="23"/>
      <c r="L370" s="27" t="str">
        <f aca="false">IF($B370="","",IFERROR(INDEX(Properties!$D$5:$D$104,MATCH($B370,Properties!$A$5:$A$104,0)),"-"))</f>
        <v/>
      </c>
      <c r="M370" s="28" t="str">
        <f aca="false">IF(OR($A370="",N($E370)=0),"",$F370/$E370)</f>
        <v/>
      </c>
      <c r="N370" s="28" t="str">
        <f aca="false">IF($A370="","",IF($H370="Y",$F370*(1+Settings!$B$3),0))</f>
        <v/>
      </c>
      <c r="O370" s="27" t="str">
        <f aca="false">IF($A370="","",IF(AND($H370="Y",$G370&lt;&gt;"Restock",N($M370)&gt;Settings!$B$4,$I370&lt;&gt;"Y"),"Get host OK",IF(AND($H370="Y",$F370&gt;Settings!$B$5,$I370&lt;&gt;"Y"),"Host should pay upfront",IF($J370&lt;&gt;"Y","Save receipt","OK"))))</f>
        <v/>
      </c>
      <c r="P370" s="29" t="str">
        <f aca="false">IF($A370="","",DATE(YEAR($A370),MONTH($A370),1))</f>
        <v/>
      </c>
      <c r="Q370" s="31" t="str">
        <f aca="false">IF($A370="","",IF(AND($L370='Invoice Builder'!$C$5,$P370='Invoice Builder'!$C$6,N($N370)&gt;0),COUNTIFS($L$5:$L370,'Invoice Builder'!$C$5,$P$5:$P370,'Invoice Builder'!$C$6,$N$5:$N370,"&gt;0"),""))</f>
        <v/>
      </c>
      <c r="R370" s="27" t="str">
        <f aca="false">IF($A370="","",IF($A370&gt;=DATE(YEAR($A370),4,6),YEAR($A370)&amp;"/"&amp;RIGHT(YEAR($A370)+1,2),YEAR($A370)-1&amp;"/"&amp;RIGHT(YEAR($A370),2)))</f>
        <v/>
      </c>
    </row>
    <row r="371" customFormat="false" ht="15" hidden="false" customHeight="false" outlineLevel="0" collapsed="false">
      <c r="A371" s="22"/>
      <c r="B371" s="23"/>
      <c r="C371" s="23"/>
      <c r="D371" s="23"/>
      <c r="E371" s="32"/>
      <c r="F371" s="25"/>
      <c r="G371" s="23"/>
      <c r="H371" s="23"/>
      <c r="I371" s="23"/>
      <c r="J371" s="23"/>
      <c r="K371" s="23"/>
      <c r="L371" s="27" t="str">
        <f aca="false">IF($B371="","",IFERROR(INDEX(Properties!$D$5:$D$104,MATCH($B371,Properties!$A$5:$A$104,0)),"-"))</f>
        <v/>
      </c>
      <c r="M371" s="28" t="str">
        <f aca="false">IF(OR($A371="",N($E371)=0),"",$F371/$E371)</f>
        <v/>
      </c>
      <c r="N371" s="28" t="str">
        <f aca="false">IF($A371="","",IF($H371="Y",$F371*(1+Settings!$B$3),0))</f>
        <v/>
      </c>
      <c r="O371" s="27" t="str">
        <f aca="false">IF($A371="","",IF(AND($H371="Y",$G371&lt;&gt;"Restock",N($M371)&gt;Settings!$B$4,$I371&lt;&gt;"Y"),"Get host OK",IF(AND($H371="Y",$F371&gt;Settings!$B$5,$I371&lt;&gt;"Y"),"Host should pay upfront",IF($J371&lt;&gt;"Y","Save receipt","OK"))))</f>
        <v/>
      </c>
      <c r="P371" s="29" t="str">
        <f aca="false">IF($A371="","",DATE(YEAR($A371),MONTH($A371),1))</f>
        <v/>
      </c>
      <c r="Q371" s="31" t="str">
        <f aca="false">IF($A371="","",IF(AND($L371='Invoice Builder'!$C$5,$P371='Invoice Builder'!$C$6,N($N371)&gt;0),COUNTIFS($L$5:$L371,'Invoice Builder'!$C$5,$P$5:$P371,'Invoice Builder'!$C$6,$N$5:$N371,"&gt;0"),""))</f>
        <v/>
      </c>
      <c r="R371" s="27" t="str">
        <f aca="false">IF($A371="","",IF($A371&gt;=DATE(YEAR($A371),4,6),YEAR($A371)&amp;"/"&amp;RIGHT(YEAR($A371)+1,2),YEAR($A371)-1&amp;"/"&amp;RIGHT(YEAR($A371),2)))</f>
        <v/>
      </c>
    </row>
    <row r="372" customFormat="false" ht="15" hidden="false" customHeight="false" outlineLevel="0" collapsed="false">
      <c r="A372" s="22"/>
      <c r="B372" s="23"/>
      <c r="C372" s="23"/>
      <c r="D372" s="23"/>
      <c r="E372" s="32"/>
      <c r="F372" s="25"/>
      <c r="G372" s="23"/>
      <c r="H372" s="23"/>
      <c r="I372" s="23"/>
      <c r="J372" s="23"/>
      <c r="K372" s="23"/>
      <c r="L372" s="27" t="str">
        <f aca="false">IF($B372="","",IFERROR(INDEX(Properties!$D$5:$D$104,MATCH($B372,Properties!$A$5:$A$104,0)),"-"))</f>
        <v/>
      </c>
      <c r="M372" s="28" t="str">
        <f aca="false">IF(OR($A372="",N($E372)=0),"",$F372/$E372)</f>
        <v/>
      </c>
      <c r="N372" s="28" t="str">
        <f aca="false">IF($A372="","",IF($H372="Y",$F372*(1+Settings!$B$3),0))</f>
        <v/>
      </c>
      <c r="O372" s="27" t="str">
        <f aca="false">IF($A372="","",IF(AND($H372="Y",$G372&lt;&gt;"Restock",N($M372)&gt;Settings!$B$4,$I372&lt;&gt;"Y"),"Get host OK",IF(AND($H372="Y",$F372&gt;Settings!$B$5,$I372&lt;&gt;"Y"),"Host should pay upfront",IF($J372&lt;&gt;"Y","Save receipt","OK"))))</f>
        <v/>
      </c>
      <c r="P372" s="29" t="str">
        <f aca="false">IF($A372="","",DATE(YEAR($A372),MONTH($A372),1))</f>
        <v/>
      </c>
      <c r="Q372" s="31" t="str">
        <f aca="false">IF($A372="","",IF(AND($L372='Invoice Builder'!$C$5,$P372='Invoice Builder'!$C$6,N($N372)&gt;0),COUNTIFS($L$5:$L372,'Invoice Builder'!$C$5,$P$5:$P372,'Invoice Builder'!$C$6,$N$5:$N372,"&gt;0"),""))</f>
        <v/>
      </c>
      <c r="R372" s="27" t="str">
        <f aca="false">IF($A372="","",IF($A372&gt;=DATE(YEAR($A372),4,6),YEAR($A372)&amp;"/"&amp;RIGHT(YEAR($A372)+1,2),YEAR($A372)-1&amp;"/"&amp;RIGHT(YEAR($A372),2)))</f>
        <v/>
      </c>
    </row>
    <row r="373" customFormat="false" ht="15" hidden="false" customHeight="false" outlineLevel="0" collapsed="false">
      <c r="A373" s="22"/>
      <c r="B373" s="23"/>
      <c r="C373" s="23"/>
      <c r="D373" s="23"/>
      <c r="E373" s="32"/>
      <c r="F373" s="25"/>
      <c r="G373" s="23"/>
      <c r="H373" s="23"/>
      <c r="I373" s="23"/>
      <c r="J373" s="23"/>
      <c r="K373" s="23"/>
      <c r="L373" s="27" t="str">
        <f aca="false">IF($B373="","",IFERROR(INDEX(Properties!$D$5:$D$104,MATCH($B373,Properties!$A$5:$A$104,0)),"-"))</f>
        <v/>
      </c>
      <c r="M373" s="28" t="str">
        <f aca="false">IF(OR($A373="",N($E373)=0),"",$F373/$E373)</f>
        <v/>
      </c>
      <c r="N373" s="28" t="str">
        <f aca="false">IF($A373="","",IF($H373="Y",$F373*(1+Settings!$B$3),0))</f>
        <v/>
      </c>
      <c r="O373" s="27" t="str">
        <f aca="false">IF($A373="","",IF(AND($H373="Y",$G373&lt;&gt;"Restock",N($M373)&gt;Settings!$B$4,$I373&lt;&gt;"Y"),"Get host OK",IF(AND($H373="Y",$F373&gt;Settings!$B$5,$I373&lt;&gt;"Y"),"Host should pay upfront",IF($J373&lt;&gt;"Y","Save receipt","OK"))))</f>
        <v/>
      </c>
      <c r="P373" s="29" t="str">
        <f aca="false">IF($A373="","",DATE(YEAR($A373),MONTH($A373),1))</f>
        <v/>
      </c>
      <c r="Q373" s="31" t="str">
        <f aca="false">IF($A373="","",IF(AND($L373='Invoice Builder'!$C$5,$P373='Invoice Builder'!$C$6,N($N373)&gt;0),COUNTIFS($L$5:$L373,'Invoice Builder'!$C$5,$P$5:$P373,'Invoice Builder'!$C$6,$N$5:$N373,"&gt;0"),""))</f>
        <v/>
      </c>
      <c r="R373" s="27" t="str">
        <f aca="false">IF($A373="","",IF($A373&gt;=DATE(YEAR($A373),4,6),YEAR($A373)&amp;"/"&amp;RIGHT(YEAR($A373)+1,2),YEAR($A373)-1&amp;"/"&amp;RIGHT(YEAR($A373),2)))</f>
        <v/>
      </c>
    </row>
    <row r="374" customFormat="false" ht="15" hidden="false" customHeight="false" outlineLevel="0" collapsed="false">
      <c r="A374" s="22"/>
      <c r="B374" s="23"/>
      <c r="C374" s="23"/>
      <c r="D374" s="23"/>
      <c r="E374" s="32"/>
      <c r="F374" s="25"/>
      <c r="G374" s="23"/>
      <c r="H374" s="23"/>
      <c r="I374" s="23"/>
      <c r="J374" s="23"/>
      <c r="K374" s="23"/>
      <c r="L374" s="27" t="str">
        <f aca="false">IF($B374="","",IFERROR(INDEX(Properties!$D$5:$D$104,MATCH($B374,Properties!$A$5:$A$104,0)),"-"))</f>
        <v/>
      </c>
      <c r="M374" s="28" t="str">
        <f aca="false">IF(OR($A374="",N($E374)=0),"",$F374/$E374)</f>
        <v/>
      </c>
      <c r="N374" s="28" t="str">
        <f aca="false">IF($A374="","",IF($H374="Y",$F374*(1+Settings!$B$3),0))</f>
        <v/>
      </c>
      <c r="O374" s="27" t="str">
        <f aca="false">IF($A374="","",IF(AND($H374="Y",$G374&lt;&gt;"Restock",N($M374)&gt;Settings!$B$4,$I374&lt;&gt;"Y"),"Get host OK",IF(AND($H374="Y",$F374&gt;Settings!$B$5,$I374&lt;&gt;"Y"),"Host should pay upfront",IF($J374&lt;&gt;"Y","Save receipt","OK"))))</f>
        <v/>
      </c>
      <c r="P374" s="29" t="str">
        <f aca="false">IF($A374="","",DATE(YEAR($A374),MONTH($A374),1))</f>
        <v/>
      </c>
      <c r="Q374" s="31" t="str">
        <f aca="false">IF($A374="","",IF(AND($L374='Invoice Builder'!$C$5,$P374='Invoice Builder'!$C$6,N($N374)&gt;0),COUNTIFS($L$5:$L374,'Invoice Builder'!$C$5,$P$5:$P374,'Invoice Builder'!$C$6,$N$5:$N374,"&gt;0"),""))</f>
        <v/>
      </c>
      <c r="R374" s="27" t="str">
        <f aca="false">IF($A374="","",IF($A374&gt;=DATE(YEAR($A374),4,6),YEAR($A374)&amp;"/"&amp;RIGHT(YEAR($A374)+1,2),YEAR($A374)-1&amp;"/"&amp;RIGHT(YEAR($A374),2)))</f>
        <v/>
      </c>
    </row>
    <row r="375" customFormat="false" ht="15" hidden="false" customHeight="false" outlineLevel="0" collapsed="false">
      <c r="A375" s="22"/>
      <c r="B375" s="23"/>
      <c r="C375" s="23"/>
      <c r="D375" s="23"/>
      <c r="E375" s="32"/>
      <c r="F375" s="25"/>
      <c r="G375" s="23"/>
      <c r="H375" s="23"/>
      <c r="I375" s="23"/>
      <c r="J375" s="23"/>
      <c r="K375" s="23"/>
      <c r="L375" s="27" t="str">
        <f aca="false">IF($B375="","",IFERROR(INDEX(Properties!$D$5:$D$104,MATCH($B375,Properties!$A$5:$A$104,0)),"-"))</f>
        <v/>
      </c>
      <c r="M375" s="28" t="str">
        <f aca="false">IF(OR($A375="",N($E375)=0),"",$F375/$E375)</f>
        <v/>
      </c>
      <c r="N375" s="28" t="str">
        <f aca="false">IF($A375="","",IF($H375="Y",$F375*(1+Settings!$B$3),0))</f>
        <v/>
      </c>
      <c r="O375" s="27" t="str">
        <f aca="false">IF($A375="","",IF(AND($H375="Y",$G375&lt;&gt;"Restock",N($M375)&gt;Settings!$B$4,$I375&lt;&gt;"Y"),"Get host OK",IF(AND($H375="Y",$F375&gt;Settings!$B$5,$I375&lt;&gt;"Y"),"Host should pay upfront",IF($J375&lt;&gt;"Y","Save receipt","OK"))))</f>
        <v/>
      </c>
      <c r="P375" s="29" t="str">
        <f aca="false">IF($A375="","",DATE(YEAR($A375),MONTH($A375),1))</f>
        <v/>
      </c>
      <c r="Q375" s="31" t="str">
        <f aca="false">IF($A375="","",IF(AND($L375='Invoice Builder'!$C$5,$P375='Invoice Builder'!$C$6,N($N375)&gt;0),COUNTIFS($L$5:$L375,'Invoice Builder'!$C$5,$P$5:$P375,'Invoice Builder'!$C$6,$N$5:$N375,"&gt;0"),""))</f>
        <v/>
      </c>
      <c r="R375" s="27" t="str">
        <f aca="false">IF($A375="","",IF($A375&gt;=DATE(YEAR($A375),4,6),YEAR($A375)&amp;"/"&amp;RIGHT(YEAR($A375)+1,2),YEAR($A375)-1&amp;"/"&amp;RIGHT(YEAR($A375),2)))</f>
        <v/>
      </c>
    </row>
    <row r="376" customFormat="false" ht="15" hidden="false" customHeight="false" outlineLevel="0" collapsed="false">
      <c r="A376" s="22"/>
      <c r="B376" s="23"/>
      <c r="C376" s="23"/>
      <c r="D376" s="23"/>
      <c r="E376" s="32"/>
      <c r="F376" s="25"/>
      <c r="G376" s="23"/>
      <c r="H376" s="23"/>
      <c r="I376" s="23"/>
      <c r="J376" s="23"/>
      <c r="K376" s="23"/>
      <c r="L376" s="27" t="str">
        <f aca="false">IF($B376="","",IFERROR(INDEX(Properties!$D$5:$D$104,MATCH($B376,Properties!$A$5:$A$104,0)),"-"))</f>
        <v/>
      </c>
      <c r="M376" s="28" t="str">
        <f aca="false">IF(OR($A376="",N($E376)=0),"",$F376/$E376)</f>
        <v/>
      </c>
      <c r="N376" s="28" t="str">
        <f aca="false">IF($A376="","",IF($H376="Y",$F376*(1+Settings!$B$3),0))</f>
        <v/>
      </c>
      <c r="O376" s="27" t="str">
        <f aca="false">IF($A376="","",IF(AND($H376="Y",$G376&lt;&gt;"Restock",N($M376)&gt;Settings!$B$4,$I376&lt;&gt;"Y"),"Get host OK",IF(AND($H376="Y",$F376&gt;Settings!$B$5,$I376&lt;&gt;"Y"),"Host should pay upfront",IF($J376&lt;&gt;"Y","Save receipt","OK"))))</f>
        <v/>
      </c>
      <c r="P376" s="29" t="str">
        <f aca="false">IF($A376="","",DATE(YEAR($A376),MONTH($A376),1))</f>
        <v/>
      </c>
      <c r="Q376" s="31" t="str">
        <f aca="false">IF($A376="","",IF(AND($L376='Invoice Builder'!$C$5,$P376='Invoice Builder'!$C$6,N($N376)&gt;0),COUNTIFS($L$5:$L376,'Invoice Builder'!$C$5,$P$5:$P376,'Invoice Builder'!$C$6,$N$5:$N376,"&gt;0"),""))</f>
        <v/>
      </c>
      <c r="R376" s="27" t="str">
        <f aca="false">IF($A376="","",IF($A376&gt;=DATE(YEAR($A376),4,6),YEAR($A376)&amp;"/"&amp;RIGHT(YEAR($A376)+1,2),YEAR($A376)-1&amp;"/"&amp;RIGHT(YEAR($A376),2)))</f>
        <v/>
      </c>
    </row>
    <row r="377" customFormat="false" ht="15" hidden="false" customHeight="false" outlineLevel="0" collapsed="false">
      <c r="A377" s="22"/>
      <c r="B377" s="23"/>
      <c r="C377" s="23"/>
      <c r="D377" s="23"/>
      <c r="E377" s="32"/>
      <c r="F377" s="25"/>
      <c r="G377" s="23"/>
      <c r="H377" s="23"/>
      <c r="I377" s="23"/>
      <c r="J377" s="23"/>
      <c r="K377" s="23"/>
      <c r="L377" s="27" t="str">
        <f aca="false">IF($B377="","",IFERROR(INDEX(Properties!$D$5:$D$104,MATCH($B377,Properties!$A$5:$A$104,0)),"-"))</f>
        <v/>
      </c>
      <c r="M377" s="28" t="str">
        <f aca="false">IF(OR($A377="",N($E377)=0),"",$F377/$E377)</f>
        <v/>
      </c>
      <c r="N377" s="28" t="str">
        <f aca="false">IF($A377="","",IF($H377="Y",$F377*(1+Settings!$B$3),0))</f>
        <v/>
      </c>
      <c r="O377" s="27" t="str">
        <f aca="false">IF($A377="","",IF(AND($H377="Y",$G377&lt;&gt;"Restock",N($M377)&gt;Settings!$B$4,$I377&lt;&gt;"Y"),"Get host OK",IF(AND($H377="Y",$F377&gt;Settings!$B$5,$I377&lt;&gt;"Y"),"Host should pay upfront",IF($J377&lt;&gt;"Y","Save receipt","OK"))))</f>
        <v/>
      </c>
      <c r="P377" s="29" t="str">
        <f aca="false">IF($A377="","",DATE(YEAR($A377),MONTH($A377),1))</f>
        <v/>
      </c>
      <c r="Q377" s="31" t="str">
        <f aca="false">IF($A377="","",IF(AND($L377='Invoice Builder'!$C$5,$P377='Invoice Builder'!$C$6,N($N377)&gt;0),COUNTIFS($L$5:$L377,'Invoice Builder'!$C$5,$P$5:$P377,'Invoice Builder'!$C$6,$N$5:$N377,"&gt;0"),""))</f>
        <v/>
      </c>
      <c r="R377" s="27" t="str">
        <f aca="false">IF($A377="","",IF($A377&gt;=DATE(YEAR($A377),4,6),YEAR($A377)&amp;"/"&amp;RIGHT(YEAR($A377)+1,2),YEAR($A377)-1&amp;"/"&amp;RIGHT(YEAR($A377),2)))</f>
        <v/>
      </c>
    </row>
    <row r="378" customFormat="false" ht="15" hidden="false" customHeight="false" outlineLevel="0" collapsed="false">
      <c r="A378" s="22"/>
      <c r="B378" s="23"/>
      <c r="C378" s="23"/>
      <c r="D378" s="23"/>
      <c r="E378" s="32"/>
      <c r="F378" s="25"/>
      <c r="G378" s="23"/>
      <c r="H378" s="23"/>
      <c r="I378" s="23"/>
      <c r="J378" s="23"/>
      <c r="K378" s="23"/>
      <c r="L378" s="27" t="str">
        <f aca="false">IF($B378="","",IFERROR(INDEX(Properties!$D$5:$D$104,MATCH($B378,Properties!$A$5:$A$104,0)),"-"))</f>
        <v/>
      </c>
      <c r="M378" s="28" t="str">
        <f aca="false">IF(OR($A378="",N($E378)=0),"",$F378/$E378)</f>
        <v/>
      </c>
      <c r="N378" s="28" t="str">
        <f aca="false">IF($A378="","",IF($H378="Y",$F378*(1+Settings!$B$3),0))</f>
        <v/>
      </c>
      <c r="O378" s="27" t="str">
        <f aca="false">IF($A378="","",IF(AND($H378="Y",$G378&lt;&gt;"Restock",N($M378)&gt;Settings!$B$4,$I378&lt;&gt;"Y"),"Get host OK",IF(AND($H378="Y",$F378&gt;Settings!$B$5,$I378&lt;&gt;"Y"),"Host should pay upfront",IF($J378&lt;&gt;"Y","Save receipt","OK"))))</f>
        <v/>
      </c>
      <c r="P378" s="29" t="str">
        <f aca="false">IF($A378="","",DATE(YEAR($A378),MONTH($A378),1))</f>
        <v/>
      </c>
      <c r="Q378" s="31" t="str">
        <f aca="false">IF($A378="","",IF(AND($L378='Invoice Builder'!$C$5,$P378='Invoice Builder'!$C$6,N($N378)&gt;0),COUNTIFS($L$5:$L378,'Invoice Builder'!$C$5,$P$5:$P378,'Invoice Builder'!$C$6,$N$5:$N378,"&gt;0"),""))</f>
        <v/>
      </c>
      <c r="R378" s="27" t="str">
        <f aca="false">IF($A378="","",IF($A378&gt;=DATE(YEAR($A378),4,6),YEAR($A378)&amp;"/"&amp;RIGHT(YEAR($A378)+1,2),YEAR($A378)-1&amp;"/"&amp;RIGHT(YEAR($A378),2)))</f>
        <v/>
      </c>
    </row>
    <row r="379" customFormat="false" ht="15" hidden="false" customHeight="false" outlineLevel="0" collapsed="false">
      <c r="A379" s="22"/>
      <c r="B379" s="23"/>
      <c r="C379" s="23"/>
      <c r="D379" s="23"/>
      <c r="E379" s="32"/>
      <c r="F379" s="25"/>
      <c r="G379" s="23"/>
      <c r="H379" s="23"/>
      <c r="I379" s="23"/>
      <c r="J379" s="23"/>
      <c r="K379" s="23"/>
      <c r="L379" s="27" t="str">
        <f aca="false">IF($B379="","",IFERROR(INDEX(Properties!$D$5:$D$104,MATCH($B379,Properties!$A$5:$A$104,0)),"-"))</f>
        <v/>
      </c>
      <c r="M379" s="28" t="str">
        <f aca="false">IF(OR($A379="",N($E379)=0),"",$F379/$E379)</f>
        <v/>
      </c>
      <c r="N379" s="28" t="str">
        <f aca="false">IF($A379="","",IF($H379="Y",$F379*(1+Settings!$B$3),0))</f>
        <v/>
      </c>
      <c r="O379" s="27" t="str">
        <f aca="false">IF($A379="","",IF(AND($H379="Y",$G379&lt;&gt;"Restock",N($M379)&gt;Settings!$B$4,$I379&lt;&gt;"Y"),"Get host OK",IF(AND($H379="Y",$F379&gt;Settings!$B$5,$I379&lt;&gt;"Y"),"Host should pay upfront",IF($J379&lt;&gt;"Y","Save receipt","OK"))))</f>
        <v/>
      </c>
      <c r="P379" s="29" t="str">
        <f aca="false">IF($A379="","",DATE(YEAR($A379),MONTH($A379),1))</f>
        <v/>
      </c>
      <c r="Q379" s="31" t="str">
        <f aca="false">IF($A379="","",IF(AND($L379='Invoice Builder'!$C$5,$P379='Invoice Builder'!$C$6,N($N379)&gt;0),COUNTIFS($L$5:$L379,'Invoice Builder'!$C$5,$P$5:$P379,'Invoice Builder'!$C$6,$N$5:$N379,"&gt;0"),""))</f>
        <v/>
      </c>
      <c r="R379" s="27" t="str">
        <f aca="false">IF($A379="","",IF($A379&gt;=DATE(YEAR($A379),4,6),YEAR($A379)&amp;"/"&amp;RIGHT(YEAR($A379)+1,2),YEAR($A379)-1&amp;"/"&amp;RIGHT(YEAR($A379),2)))</f>
        <v/>
      </c>
    </row>
    <row r="380" customFormat="false" ht="15" hidden="false" customHeight="false" outlineLevel="0" collapsed="false">
      <c r="A380" s="22"/>
      <c r="B380" s="23"/>
      <c r="C380" s="23"/>
      <c r="D380" s="23"/>
      <c r="E380" s="32"/>
      <c r="F380" s="25"/>
      <c r="G380" s="23"/>
      <c r="H380" s="23"/>
      <c r="I380" s="23"/>
      <c r="J380" s="23"/>
      <c r="K380" s="23"/>
      <c r="L380" s="27" t="str">
        <f aca="false">IF($B380="","",IFERROR(INDEX(Properties!$D$5:$D$104,MATCH($B380,Properties!$A$5:$A$104,0)),"-"))</f>
        <v/>
      </c>
      <c r="M380" s="28" t="str">
        <f aca="false">IF(OR($A380="",N($E380)=0),"",$F380/$E380)</f>
        <v/>
      </c>
      <c r="N380" s="28" t="str">
        <f aca="false">IF($A380="","",IF($H380="Y",$F380*(1+Settings!$B$3),0))</f>
        <v/>
      </c>
      <c r="O380" s="27" t="str">
        <f aca="false">IF($A380="","",IF(AND($H380="Y",$G380&lt;&gt;"Restock",N($M380)&gt;Settings!$B$4,$I380&lt;&gt;"Y"),"Get host OK",IF(AND($H380="Y",$F380&gt;Settings!$B$5,$I380&lt;&gt;"Y"),"Host should pay upfront",IF($J380&lt;&gt;"Y","Save receipt","OK"))))</f>
        <v/>
      </c>
      <c r="P380" s="29" t="str">
        <f aca="false">IF($A380="","",DATE(YEAR($A380),MONTH($A380),1))</f>
        <v/>
      </c>
      <c r="Q380" s="31" t="str">
        <f aca="false">IF($A380="","",IF(AND($L380='Invoice Builder'!$C$5,$P380='Invoice Builder'!$C$6,N($N380)&gt;0),COUNTIFS($L$5:$L380,'Invoice Builder'!$C$5,$P$5:$P380,'Invoice Builder'!$C$6,$N$5:$N380,"&gt;0"),""))</f>
        <v/>
      </c>
      <c r="R380" s="27" t="str">
        <f aca="false">IF($A380="","",IF($A380&gt;=DATE(YEAR($A380),4,6),YEAR($A380)&amp;"/"&amp;RIGHT(YEAR($A380)+1,2),YEAR($A380)-1&amp;"/"&amp;RIGHT(YEAR($A380),2)))</f>
        <v/>
      </c>
    </row>
    <row r="381" customFormat="false" ht="15" hidden="false" customHeight="false" outlineLevel="0" collapsed="false">
      <c r="A381" s="22"/>
      <c r="B381" s="23"/>
      <c r="C381" s="23"/>
      <c r="D381" s="23"/>
      <c r="E381" s="32"/>
      <c r="F381" s="25"/>
      <c r="G381" s="23"/>
      <c r="H381" s="23"/>
      <c r="I381" s="23"/>
      <c r="J381" s="23"/>
      <c r="K381" s="23"/>
      <c r="L381" s="27" t="str">
        <f aca="false">IF($B381="","",IFERROR(INDEX(Properties!$D$5:$D$104,MATCH($B381,Properties!$A$5:$A$104,0)),"-"))</f>
        <v/>
      </c>
      <c r="M381" s="28" t="str">
        <f aca="false">IF(OR($A381="",N($E381)=0),"",$F381/$E381)</f>
        <v/>
      </c>
      <c r="N381" s="28" t="str">
        <f aca="false">IF($A381="","",IF($H381="Y",$F381*(1+Settings!$B$3),0))</f>
        <v/>
      </c>
      <c r="O381" s="27" t="str">
        <f aca="false">IF($A381="","",IF(AND($H381="Y",$G381&lt;&gt;"Restock",N($M381)&gt;Settings!$B$4,$I381&lt;&gt;"Y"),"Get host OK",IF(AND($H381="Y",$F381&gt;Settings!$B$5,$I381&lt;&gt;"Y"),"Host should pay upfront",IF($J381&lt;&gt;"Y","Save receipt","OK"))))</f>
        <v/>
      </c>
      <c r="P381" s="29" t="str">
        <f aca="false">IF($A381="","",DATE(YEAR($A381),MONTH($A381),1))</f>
        <v/>
      </c>
      <c r="Q381" s="31" t="str">
        <f aca="false">IF($A381="","",IF(AND($L381='Invoice Builder'!$C$5,$P381='Invoice Builder'!$C$6,N($N381)&gt;0),COUNTIFS($L$5:$L381,'Invoice Builder'!$C$5,$P$5:$P381,'Invoice Builder'!$C$6,$N$5:$N381,"&gt;0"),""))</f>
        <v/>
      </c>
      <c r="R381" s="27" t="str">
        <f aca="false">IF($A381="","",IF($A381&gt;=DATE(YEAR($A381),4,6),YEAR($A381)&amp;"/"&amp;RIGHT(YEAR($A381)+1,2),YEAR($A381)-1&amp;"/"&amp;RIGHT(YEAR($A381),2)))</f>
        <v/>
      </c>
    </row>
    <row r="382" customFormat="false" ht="15" hidden="false" customHeight="false" outlineLevel="0" collapsed="false">
      <c r="A382" s="22"/>
      <c r="B382" s="23"/>
      <c r="C382" s="23"/>
      <c r="D382" s="23"/>
      <c r="E382" s="32"/>
      <c r="F382" s="25"/>
      <c r="G382" s="23"/>
      <c r="H382" s="23"/>
      <c r="I382" s="23"/>
      <c r="J382" s="23"/>
      <c r="K382" s="23"/>
      <c r="L382" s="27" t="str">
        <f aca="false">IF($B382="","",IFERROR(INDEX(Properties!$D$5:$D$104,MATCH($B382,Properties!$A$5:$A$104,0)),"-"))</f>
        <v/>
      </c>
      <c r="M382" s="28" t="str">
        <f aca="false">IF(OR($A382="",N($E382)=0),"",$F382/$E382)</f>
        <v/>
      </c>
      <c r="N382" s="28" t="str">
        <f aca="false">IF($A382="","",IF($H382="Y",$F382*(1+Settings!$B$3),0))</f>
        <v/>
      </c>
      <c r="O382" s="27" t="str">
        <f aca="false">IF($A382="","",IF(AND($H382="Y",$G382&lt;&gt;"Restock",N($M382)&gt;Settings!$B$4,$I382&lt;&gt;"Y"),"Get host OK",IF(AND($H382="Y",$F382&gt;Settings!$B$5,$I382&lt;&gt;"Y"),"Host should pay upfront",IF($J382&lt;&gt;"Y","Save receipt","OK"))))</f>
        <v/>
      </c>
      <c r="P382" s="29" t="str">
        <f aca="false">IF($A382="","",DATE(YEAR($A382),MONTH($A382),1))</f>
        <v/>
      </c>
      <c r="Q382" s="31" t="str">
        <f aca="false">IF($A382="","",IF(AND($L382='Invoice Builder'!$C$5,$P382='Invoice Builder'!$C$6,N($N382)&gt;0),COUNTIFS($L$5:$L382,'Invoice Builder'!$C$5,$P$5:$P382,'Invoice Builder'!$C$6,$N$5:$N382,"&gt;0"),""))</f>
        <v/>
      </c>
      <c r="R382" s="27" t="str">
        <f aca="false">IF($A382="","",IF($A382&gt;=DATE(YEAR($A382),4,6),YEAR($A382)&amp;"/"&amp;RIGHT(YEAR($A382)+1,2),YEAR($A382)-1&amp;"/"&amp;RIGHT(YEAR($A382),2)))</f>
        <v/>
      </c>
    </row>
    <row r="383" customFormat="false" ht="15" hidden="false" customHeight="false" outlineLevel="0" collapsed="false">
      <c r="A383" s="22"/>
      <c r="B383" s="23"/>
      <c r="C383" s="23"/>
      <c r="D383" s="23"/>
      <c r="E383" s="32"/>
      <c r="F383" s="25"/>
      <c r="G383" s="23"/>
      <c r="H383" s="23"/>
      <c r="I383" s="23"/>
      <c r="J383" s="23"/>
      <c r="K383" s="23"/>
      <c r="L383" s="27" t="str">
        <f aca="false">IF($B383="","",IFERROR(INDEX(Properties!$D$5:$D$104,MATCH($B383,Properties!$A$5:$A$104,0)),"-"))</f>
        <v/>
      </c>
      <c r="M383" s="28" t="str">
        <f aca="false">IF(OR($A383="",N($E383)=0),"",$F383/$E383)</f>
        <v/>
      </c>
      <c r="N383" s="28" t="str">
        <f aca="false">IF($A383="","",IF($H383="Y",$F383*(1+Settings!$B$3),0))</f>
        <v/>
      </c>
      <c r="O383" s="27" t="str">
        <f aca="false">IF($A383="","",IF(AND($H383="Y",$G383&lt;&gt;"Restock",N($M383)&gt;Settings!$B$4,$I383&lt;&gt;"Y"),"Get host OK",IF(AND($H383="Y",$F383&gt;Settings!$B$5,$I383&lt;&gt;"Y"),"Host should pay upfront",IF($J383&lt;&gt;"Y","Save receipt","OK"))))</f>
        <v/>
      </c>
      <c r="P383" s="29" t="str">
        <f aca="false">IF($A383="","",DATE(YEAR($A383),MONTH($A383),1))</f>
        <v/>
      </c>
      <c r="Q383" s="31" t="str">
        <f aca="false">IF($A383="","",IF(AND($L383='Invoice Builder'!$C$5,$P383='Invoice Builder'!$C$6,N($N383)&gt;0),COUNTIFS($L$5:$L383,'Invoice Builder'!$C$5,$P$5:$P383,'Invoice Builder'!$C$6,$N$5:$N383,"&gt;0"),""))</f>
        <v/>
      </c>
      <c r="R383" s="27" t="str">
        <f aca="false">IF($A383="","",IF($A383&gt;=DATE(YEAR($A383),4,6),YEAR($A383)&amp;"/"&amp;RIGHT(YEAR($A383)+1,2),YEAR($A383)-1&amp;"/"&amp;RIGHT(YEAR($A383),2)))</f>
        <v/>
      </c>
    </row>
    <row r="384" customFormat="false" ht="15" hidden="false" customHeight="false" outlineLevel="0" collapsed="false">
      <c r="A384" s="22"/>
      <c r="B384" s="23"/>
      <c r="C384" s="23"/>
      <c r="D384" s="23"/>
      <c r="E384" s="32"/>
      <c r="F384" s="25"/>
      <c r="G384" s="23"/>
      <c r="H384" s="23"/>
      <c r="I384" s="23"/>
      <c r="J384" s="23"/>
      <c r="K384" s="23"/>
      <c r="L384" s="27" t="str">
        <f aca="false">IF($B384="","",IFERROR(INDEX(Properties!$D$5:$D$104,MATCH($B384,Properties!$A$5:$A$104,0)),"-"))</f>
        <v/>
      </c>
      <c r="M384" s="28" t="str">
        <f aca="false">IF(OR($A384="",N($E384)=0),"",$F384/$E384)</f>
        <v/>
      </c>
      <c r="N384" s="28" t="str">
        <f aca="false">IF($A384="","",IF($H384="Y",$F384*(1+Settings!$B$3),0))</f>
        <v/>
      </c>
      <c r="O384" s="27" t="str">
        <f aca="false">IF($A384="","",IF(AND($H384="Y",$G384&lt;&gt;"Restock",N($M384)&gt;Settings!$B$4,$I384&lt;&gt;"Y"),"Get host OK",IF(AND($H384="Y",$F384&gt;Settings!$B$5,$I384&lt;&gt;"Y"),"Host should pay upfront",IF($J384&lt;&gt;"Y","Save receipt","OK"))))</f>
        <v/>
      </c>
      <c r="P384" s="29" t="str">
        <f aca="false">IF($A384="","",DATE(YEAR($A384),MONTH($A384),1))</f>
        <v/>
      </c>
      <c r="Q384" s="31" t="str">
        <f aca="false">IF($A384="","",IF(AND($L384='Invoice Builder'!$C$5,$P384='Invoice Builder'!$C$6,N($N384)&gt;0),COUNTIFS($L$5:$L384,'Invoice Builder'!$C$5,$P$5:$P384,'Invoice Builder'!$C$6,$N$5:$N384,"&gt;0"),""))</f>
        <v/>
      </c>
      <c r="R384" s="27" t="str">
        <f aca="false">IF($A384="","",IF($A384&gt;=DATE(YEAR($A384),4,6),YEAR($A384)&amp;"/"&amp;RIGHT(YEAR($A384)+1,2),YEAR($A384)-1&amp;"/"&amp;RIGHT(YEAR($A384),2)))</f>
        <v/>
      </c>
    </row>
    <row r="385" customFormat="false" ht="15" hidden="false" customHeight="false" outlineLevel="0" collapsed="false">
      <c r="A385" s="22"/>
      <c r="B385" s="23"/>
      <c r="C385" s="23"/>
      <c r="D385" s="23"/>
      <c r="E385" s="32"/>
      <c r="F385" s="25"/>
      <c r="G385" s="23"/>
      <c r="H385" s="23"/>
      <c r="I385" s="23"/>
      <c r="J385" s="23"/>
      <c r="K385" s="23"/>
      <c r="L385" s="27" t="str">
        <f aca="false">IF($B385="","",IFERROR(INDEX(Properties!$D$5:$D$104,MATCH($B385,Properties!$A$5:$A$104,0)),"-"))</f>
        <v/>
      </c>
      <c r="M385" s="28" t="str">
        <f aca="false">IF(OR($A385="",N($E385)=0),"",$F385/$E385)</f>
        <v/>
      </c>
      <c r="N385" s="28" t="str">
        <f aca="false">IF($A385="","",IF($H385="Y",$F385*(1+Settings!$B$3),0))</f>
        <v/>
      </c>
      <c r="O385" s="27" t="str">
        <f aca="false">IF($A385="","",IF(AND($H385="Y",$G385&lt;&gt;"Restock",N($M385)&gt;Settings!$B$4,$I385&lt;&gt;"Y"),"Get host OK",IF(AND($H385="Y",$F385&gt;Settings!$B$5,$I385&lt;&gt;"Y"),"Host should pay upfront",IF($J385&lt;&gt;"Y","Save receipt","OK"))))</f>
        <v/>
      </c>
      <c r="P385" s="29" t="str">
        <f aca="false">IF($A385="","",DATE(YEAR($A385),MONTH($A385),1))</f>
        <v/>
      </c>
      <c r="Q385" s="31" t="str">
        <f aca="false">IF($A385="","",IF(AND($L385='Invoice Builder'!$C$5,$P385='Invoice Builder'!$C$6,N($N385)&gt;0),COUNTIFS($L$5:$L385,'Invoice Builder'!$C$5,$P$5:$P385,'Invoice Builder'!$C$6,$N$5:$N385,"&gt;0"),""))</f>
        <v/>
      </c>
      <c r="R385" s="27" t="str">
        <f aca="false">IF($A385="","",IF($A385&gt;=DATE(YEAR($A385),4,6),YEAR($A385)&amp;"/"&amp;RIGHT(YEAR($A385)+1,2),YEAR($A385)-1&amp;"/"&amp;RIGHT(YEAR($A385),2)))</f>
        <v/>
      </c>
    </row>
    <row r="386" customFormat="false" ht="15" hidden="false" customHeight="false" outlineLevel="0" collapsed="false">
      <c r="A386" s="22"/>
      <c r="B386" s="23"/>
      <c r="C386" s="23"/>
      <c r="D386" s="23"/>
      <c r="E386" s="32"/>
      <c r="F386" s="25"/>
      <c r="G386" s="23"/>
      <c r="H386" s="23"/>
      <c r="I386" s="23"/>
      <c r="J386" s="23"/>
      <c r="K386" s="23"/>
      <c r="L386" s="27" t="str">
        <f aca="false">IF($B386="","",IFERROR(INDEX(Properties!$D$5:$D$104,MATCH($B386,Properties!$A$5:$A$104,0)),"-"))</f>
        <v/>
      </c>
      <c r="M386" s="28" t="str">
        <f aca="false">IF(OR($A386="",N($E386)=0),"",$F386/$E386)</f>
        <v/>
      </c>
      <c r="N386" s="28" t="str">
        <f aca="false">IF($A386="","",IF($H386="Y",$F386*(1+Settings!$B$3),0))</f>
        <v/>
      </c>
      <c r="O386" s="27" t="str">
        <f aca="false">IF($A386="","",IF(AND($H386="Y",$G386&lt;&gt;"Restock",N($M386)&gt;Settings!$B$4,$I386&lt;&gt;"Y"),"Get host OK",IF(AND($H386="Y",$F386&gt;Settings!$B$5,$I386&lt;&gt;"Y"),"Host should pay upfront",IF($J386&lt;&gt;"Y","Save receipt","OK"))))</f>
        <v/>
      </c>
      <c r="P386" s="29" t="str">
        <f aca="false">IF($A386="","",DATE(YEAR($A386),MONTH($A386),1))</f>
        <v/>
      </c>
      <c r="Q386" s="31" t="str">
        <f aca="false">IF($A386="","",IF(AND($L386='Invoice Builder'!$C$5,$P386='Invoice Builder'!$C$6,N($N386)&gt;0),COUNTIFS($L$5:$L386,'Invoice Builder'!$C$5,$P$5:$P386,'Invoice Builder'!$C$6,$N$5:$N386,"&gt;0"),""))</f>
        <v/>
      </c>
      <c r="R386" s="27" t="str">
        <f aca="false">IF($A386="","",IF($A386&gt;=DATE(YEAR($A386),4,6),YEAR($A386)&amp;"/"&amp;RIGHT(YEAR($A386)+1,2),YEAR($A386)-1&amp;"/"&amp;RIGHT(YEAR($A386),2)))</f>
        <v/>
      </c>
    </row>
    <row r="387" customFormat="false" ht="15" hidden="false" customHeight="false" outlineLevel="0" collapsed="false">
      <c r="A387" s="22"/>
      <c r="B387" s="23"/>
      <c r="C387" s="23"/>
      <c r="D387" s="23"/>
      <c r="E387" s="32"/>
      <c r="F387" s="25"/>
      <c r="G387" s="23"/>
      <c r="H387" s="23"/>
      <c r="I387" s="23"/>
      <c r="J387" s="23"/>
      <c r="K387" s="23"/>
      <c r="L387" s="27" t="str">
        <f aca="false">IF($B387="","",IFERROR(INDEX(Properties!$D$5:$D$104,MATCH($B387,Properties!$A$5:$A$104,0)),"-"))</f>
        <v/>
      </c>
      <c r="M387" s="28" t="str">
        <f aca="false">IF(OR($A387="",N($E387)=0),"",$F387/$E387)</f>
        <v/>
      </c>
      <c r="N387" s="28" t="str">
        <f aca="false">IF($A387="","",IF($H387="Y",$F387*(1+Settings!$B$3),0))</f>
        <v/>
      </c>
      <c r="O387" s="27" t="str">
        <f aca="false">IF($A387="","",IF(AND($H387="Y",$G387&lt;&gt;"Restock",N($M387)&gt;Settings!$B$4,$I387&lt;&gt;"Y"),"Get host OK",IF(AND($H387="Y",$F387&gt;Settings!$B$5,$I387&lt;&gt;"Y"),"Host should pay upfront",IF($J387&lt;&gt;"Y","Save receipt","OK"))))</f>
        <v/>
      </c>
      <c r="P387" s="29" t="str">
        <f aca="false">IF($A387="","",DATE(YEAR($A387),MONTH($A387),1))</f>
        <v/>
      </c>
      <c r="Q387" s="31" t="str">
        <f aca="false">IF($A387="","",IF(AND($L387='Invoice Builder'!$C$5,$P387='Invoice Builder'!$C$6,N($N387)&gt;0),COUNTIFS($L$5:$L387,'Invoice Builder'!$C$5,$P$5:$P387,'Invoice Builder'!$C$6,$N$5:$N387,"&gt;0"),""))</f>
        <v/>
      </c>
      <c r="R387" s="27" t="str">
        <f aca="false">IF($A387="","",IF($A387&gt;=DATE(YEAR($A387),4,6),YEAR($A387)&amp;"/"&amp;RIGHT(YEAR($A387)+1,2),YEAR($A387)-1&amp;"/"&amp;RIGHT(YEAR($A387),2)))</f>
        <v/>
      </c>
    </row>
    <row r="388" customFormat="false" ht="15" hidden="false" customHeight="false" outlineLevel="0" collapsed="false">
      <c r="A388" s="22"/>
      <c r="B388" s="23"/>
      <c r="C388" s="23"/>
      <c r="D388" s="23"/>
      <c r="E388" s="32"/>
      <c r="F388" s="25"/>
      <c r="G388" s="23"/>
      <c r="H388" s="23"/>
      <c r="I388" s="23"/>
      <c r="J388" s="23"/>
      <c r="K388" s="23"/>
      <c r="L388" s="27" t="str">
        <f aca="false">IF($B388="","",IFERROR(INDEX(Properties!$D$5:$D$104,MATCH($B388,Properties!$A$5:$A$104,0)),"-"))</f>
        <v/>
      </c>
      <c r="M388" s="28" t="str">
        <f aca="false">IF(OR($A388="",N($E388)=0),"",$F388/$E388)</f>
        <v/>
      </c>
      <c r="N388" s="28" t="str">
        <f aca="false">IF($A388="","",IF($H388="Y",$F388*(1+Settings!$B$3),0))</f>
        <v/>
      </c>
      <c r="O388" s="27" t="str">
        <f aca="false">IF($A388="","",IF(AND($H388="Y",$G388&lt;&gt;"Restock",N($M388)&gt;Settings!$B$4,$I388&lt;&gt;"Y"),"Get host OK",IF(AND($H388="Y",$F388&gt;Settings!$B$5,$I388&lt;&gt;"Y"),"Host should pay upfront",IF($J388&lt;&gt;"Y","Save receipt","OK"))))</f>
        <v/>
      </c>
      <c r="P388" s="29" t="str">
        <f aca="false">IF($A388="","",DATE(YEAR($A388),MONTH($A388),1))</f>
        <v/>
      </c>
      <c r="Q388" s="31" t="str">
        <f aca="false">IF($A388="","",IF(AND($L388='Invoice Builder'!$C$5,$P388='Invoice Builder'!$C$6,N($N388)&gt;0),COUNTIFS($L$5:$L388,'Invoice Builder'!$C$5,$P$5:$P388,'Invoice Builder'!$C$6,$N$5:$N388,"&gt;0"),""))</f>
        <v/>
      </c>
      <c r="R388" s="27" t="str">
        <f aca="false">IF($A388="","",IF($A388&gt;=DATE(YEAR($A388),4,6),YEAR($A388)&amp;"/"&amp;RIGHT(YEAR($A388)+1,2),YEAR($A388)-1&amp;"/"&amp;RIGHT(YEAR($A388),2)))</f>
        <v/>
      </c>
    </row>
    <row r="389" customFormat="false" ht="15" hidden="false" customHeight="false" outlineLevel="0" collapsed="false">
      <c r="A389" s="22"/>
      <c r="B389" s="23"/>
      <c r="C389" s="23"/>
      <c r="D389" s="23"/>
      <c r="E389" s="32"/>
      <c r="F389" s="25"/>
      <c r="G389" s="23"/>
      <c r="H389" s="23"/>
      <c r="I389" s="23"/>
      <c r="J389" s="23"/>
      <c r="K389" s="23"/>
      <c r="L389" s="27" t="str">
        <f aca="false">IF($B389="","",IFERROR(INDEX(Properties!$D$5:$D$104,MATCH($B389,Properties!$A$5:$A$104,0)),"-"))</f>
        <v/>
      </c>
      <c r="M389" s="28" t="str">
        <f aca="false">IF(OR($A389="",N($E389)=0),"",$F389/$E389)</f>
        <v/>
      </c>
      <c r="N389" s="28" t="str">
        <f aca="false">IF($A389="","",IF($H389="Y",$F389*(1+Settings!$B$3),0))</f>
        <v/>
      </c>
      <c r="O389" s="27" t="str">
        <f aca="false">IF($A389="","",IF(AND($H389="Y",$G389&lt;&gt;"Restock",N($M389)&gt;Settings!$B$4,$I389&lt;&gt;"Y"),"Get host OK",IF(AND($H389="Y",$F389&gt;Settings!$B$5,$I389&lt;&gt;"Y"),"Host should pay upfront",IF($J389&lt;&gt;"Y","Save receipt","OK"))))</f>
        <v/>
      </c>
      <c r="P389" s="29" t="str">
        <f aca="false">IF($A389="","",DATE(YEAR($A389),MONTH($A389),1))</f>
        <v/>
      </c>
      <c r="Q389" s="31" t="str">
        <f aca="false">IF($A389="","",IF(AND($L389='Invoice Builder'!$C$5,$P389='Invoice Builder'!$C$6,N($N389)&gt;0),COUNTIFS($L$5:$L389,'Invoice Builder'!$C$5,$P$5:$P389,'Invoice Builder'!$C$6,$N$5:$N389,"&gt;0"),""))</f>
        <v/>
      </c>
      <c r="R389" s="27" t="str">
        <f aca="false">IF($A389="","",IF($A389&gt;=DATE(YEAR($A389),4,6),YEAR($A389)&amp;"/"&amp;RIGHT(YEAR($A389)+1,2),YEAR($A389)-1&amp;"/"&amp;RIGHT(YEAR($A389),2)))</f>
        <v/>
      </c>
    </row>
    <row r="390" customFormat="false" ht="15" hidden="false" customHeight="false" outlineLevel="0" collapsed="false">
      <c r="A390" s="22"/>
      <c r="B390" s="23"/>
      <c r="C390" s="23"/>
      <c r="D390" s="23"/>
      <c r="E390" s="32"/>
      <c r="F390" s="25"/>
      <c r="G390" s="23"/>
      <c r="H390" s="23"/>
      <c r="I390" s="23"/>
      <c r="J390" s="23"/>
      <c r="K390" s="23"/>
      <c r="L390" s="27" t="str">
        <f aca="false">IF($B390="","",IFERROR(INDEX(Properties!$D$5:$D$104,MATCH($B390,Properties!$A$5:$A$104,0)),"-"))</f>
        <v/>
      </c>
      <c r="M390" s="28" t="str">
        <f aca="false">IF(OR($A390="",N($E390)=0),"",$F390/$E390)</f>
        <v/>
      </c>
      <c r="N390" s="28" t="str">
        <f aca="false">IF($A390="","",IF($H390="Y",$F390*(1+Settings!$B$3),0))</f>
        <v/>
      </c>
      <c r="O390" s="27" t="str">
        <f aca="false">IF($A390="","",IF(AND($H390="Y",$G390&lt;&gt;"Restock",N($M390)&gt;Settings!$B$4,$I390&lt;&gt;"Y"),"Get host OK",IF(AND($H390="Y",$F390&gt;Settings!$B$5,$I390&lt;&gt;"Y"),"Host should pay upfront",IF($J390&lt;&gt;"Y","Save receipt","OK"))))</f>
        <v/>
      </c>
      <c r="P390" s="29" t="str">
        <f aca="false">IF($A390="","",DATE(YEAR($A390),MONTH($A390),1))</f>
        <v/>
      </c>
      <c r="Q390" s="31" t="str">
        <f aca="false">IF($A390="","",IF(AND($L390='Invoice Builder'!$C$5,$P390='Invoice Builder'!$C$6,N($N390)&gt;0),COUNTIFS($L$5:$L390,'Invoice Builder'!$C$5,$P$5:$P390,'Invoice Builder'!$C$6,$N$5:$N390,"&gt;0"),""))</f>
        <v/>
      </c>
      <c r="R390" s="27" t="str">
        <f aca="false">IF($A390="","",IF($A390&gt;=DATE(YEAR($A390),4,6),YEAR($A390)&amp;"/"&amp;RIGHT(YEAR($A390)+1,2),YEAR($A390)-1&amp;"/"&amp;RIGHT(YEAR($A390),2)))</f>
        <v/>
      </c>
    </row>
    <row r="391" customFormat="false" ht="15" hidden="false" customHeight="false" outlineLevel="0" collapsed="false">
      <c r="A391" s="22"/>
      <c r="B391" s="23"/>
      <c r="C391" s="23"/>
      <c r="D391" s="23"/>
      <c r="E391" s="32"/>
      <c r="F391" s="25"/>
      <c r="G391" s="23"/>
      <c r="H391" s="23"/>
      <c r="I391" s="23"/>
      <c r="J391" s="23"/>
      <c r="K391" s="23"/>
      <c r="L391" s="27" t="str">
        <f aca="false">IF($B391="","",IFERROR(INDEX(Properties!$D$5:$D$104,MATCH($B391,Properties!$A$5:$A$104,0)),"-"))</f>
        <v/>
      </c>
      <c r="M391" s="28" t="str">
        <f aca="false">IF(OR($A391="",N($E391)=0),"",$F391/$E391)</f>
        <v/>
      </c>
      <c r="N391" s="28" t="str">
        <f aca="false">IF($A391="","",IF($H391="Y",$F391*(1+Settings!$B$3),0))</f>
        <v/>
      </c>
      <c r="O391" s="27" t="str">
        <f aca="false">IF($A391="","",IF(AND($H391="Y",$G391&lt;&gt;"Restock",N($M391)&gt;Settings!$B$4,$I391&lt;&gt;"Y"),"Get host OK",IF(AND($H391="Y",$F391&gt;Settings!$B$5,$I391&lt;&gt;"Y"),"Host should pay upfront",IF($J391&lt;&gt;"Y","Save receipt","OK"))))</f>
        <v/>
      </c>
      <c r="P391" s="29" t="str">
        <f aca="false">IF($A391="","",DATE(YEAR($A391),MONTH($A391),1))</f>
        <v/>
      </c>
      <c r="Q391" s="31" t="str">
        <f aca="false">IF($A391="","",IF(AND($L391='Invoice Builder'!$C$5,$P391='Invoice Builder'!$C$6,N($N391)&gt;0),COUNTIFS($L$5:$L391,'Invoice Builder'!$C$5,$P$5:$P391,'Invoice Builder'!$C$6,$N$5:$N391,"&gt;0"),""))</f>
        <v/>
      </c>
      <c r="R391" s="27" t="str">
        <f aca="false">IF($A391="","",IF($A391&gt;=DATE(YEAR($A391),4,6),YEAR($A391)&amp;"/"&amp;RIGHT(YEAR($A391)+1,2),YEAR($A391)-1&amp;"/"&amp;RIGHT(YEAR($A391),2)))</f>
        <v/>
      </c>
    </row>
    <row r="392" customFormat="false" ht="15" hidden="false" customHeight="false" outlineLevel="0" collapsed="false">
      <c r="A392" s="22"/>
      <c r="B392" s="23"/>
      <c r="C392" s="23"/>
      <c r="D392" s="23"/>
      <c r="E392" s="32"/>
      <c r="F392" s="25"/>
      <c r="G392" s="23"/>
      <c r="H392" s="23"/>
      <c r="I392" s="23"/>
      <c r="J392" s="23"/>
      <c r="K392" s="23"/>
      <c r="L392" s="27" t="str">
        <f aca="false">IF($B392="","",IFERROR(INDEX(Properties!$D$5:$D$104,MATCH($B392,Properties!$A$5:$A$104,0)),"-"))</f>
        <v/>
      </c>
      <c r="M392" s="28" t="str">
        <f aca="false">IF(OR($A392="",N($E392)=0),"",$F392/$E392)</f>
        <v/>
      </c>
      <c r="N392" s="28" t="str">
        <f aca="false">IF($A392="","",IF($H392="Y",$F392*(1+Settings!$B$3),0))</f>
        <v/>
      </c>
      <c r="O392" s="27" t="str">
        <f aca="false">IF($A392="","",IF(AND($H392="Y",$G392&lt;&gt;"Restock",N($M392)&gt;Settings!$B$4,$I392&lt;&gt;"Y"),"Get host OK",IF(AND($H392="Y",$F392&gt;Settings!$B$5,$I392&lt;&gt;"Y"),"Host should pay upfront",IF($J392&lt;&gt;"Y","Save receipt","OK"))))</f>
        <v/>
      </c>
      <c r="P392" s="29" t="str">
        <f aca="false">IF($A392="","",DATE(YEAR($A392),MONTH($A392),1))</f>
        <v/>
      </c>
      <c r="Q392" s="31" t="str">
        <f aca="false">IF($A392="","",IF(AND($L392='Invoice Builder'!$C$5,$P392='Invoice Builder'!$C$6,N($N392)&gt;0),COUNTIFS($L$5:$L392,'Invoice Builder'!$C$5,$P$5:$P392,'Invoice Builder'!$C$6,$N$5:$N392,"&gt;0"),""))</f>
        <v/>
      </c>
      <c r="R392" s="27" t="str">
        <f aca="false">IF($A392="","",IF($A392&gt;=DATE(YEAR($A392),4,6),YEAR($A392)&amp;"/"&amp;RIGHT(YEAR($A392)+1,2),YEAR($A392)-1&amp;"/"&amp;RIGHT(YEAR($A392),2)))</f>
        <v/>
      </c>
    </row>
    <row r="393" customFormat="false" ht="15" hidden="false" customHeight="false" outlineLevel="0" collapsed="false">
      <c r="A393" s="22"/>
      <c r="B393" s="23"/>
      <c r="C393" s="23"/>
      <c r="D393" s="23"/>
      <c r="E393" s="32"/>
      <c r="F393" s="25"/>
      <c r="G393" s="23"/>
      <c r="H393" s="23"/>
      <c r="I393" s="23"/>
      <c r="J393" s="23"/>
      <c r="K393" s="23"/>
      <c r="L393" s="27" t="str">
        <f aca="false">IF($B393="","",IFERROR(INDEX(Properties!$D$5:$D$104,MATCH($B393,Properties!$A$5:$A$104,0)),"-"))</f>
        <v/>
      </c>
      <c r="M393" s="28" t="str">
        <f aca="false">IF(OR($A393="",N($E393)=0),"",$F393/$E393)</f>
        <v/>
      </c>
      <c r="N393" s="28" t="str">
        <f aca="false">IF($A393="","",IF($H393="Y",$F393*(1+Settings!$B$3),0))</f>
        <v/>
      </c>
      <c r="O393" s="27" t="str">
        <f aca="false">IF($A393="","",IF(AND($H393="Y",$G393&lt;&gt;"Restock",N($M393)&gt;Settings!$B$4,$I393&lt;&gt;"Y"),"Get host OK",IF(AND($H393="Y",$F393&gt;Settings!$B$5,$I393&lt;&gt;"Y"),"Host should pay upfront",IF($J393&lt;&gt;"Y","Save receipt","OK"))))</f>
        <v/>
      </c>
      <c r="P393" s="29" t="str">
        <f aca="false">IF($A393="","",DATE(YEAR($A393),MONTH($A393),1))</f>
        <v/>
      </c>
      <c r="Q393" s="31" t="str">
        <f aca="false">IF($A393="","",IF(AND($L393='Invoice Builder'!$C$5,$P393='Invoice Builder'!$C$6,N($N393)&gt;0),COUNTIFS($L$5:$L393,'Invoice Builder'!$C$5,$P$5:$P393,'Invoice Builder'!$C$6,$N$5:$N393,"&gt;0"),""))</f>
        <v/>
      </c>
      <c r="R393" s="27" t="str">
        <f aca="false">IF($A393="","",IF($A393&gt;=DATE(YEAR($A393),4,6),YEAR($A393)&amp;"/"&amp;RIGHT(YEAR($A393)+1,2),YEAR($A393)-1&amp;"/"&amp;RIGHT(YEAR($A393),2)))</f>
        <v/>
      </c>
    </row>
    <row r="394" customFormat="false" ht="15" hidden="false" customHeight="false" outlineLevel="0" collapsed="false">
      <c r="A394" s="22"/>
      <c r="B394" s="23"/>
      <c r="C394" s="23"/>
      <c r="D394" s="23"/>
      <c r="E394" s="32"/>
      <c r="F394" s="25"/>
      <c r="G394" s="23"/>
      <c r="H394" s="23"/>
      <c r="I394" s="23"/>
      <c r="J394" s="23"/>
      <c r="K394" s="23"/>
      <c r="L394" s="27" t="str">
        <f aca="false">IF($B394="","",IFERROR(INDEX(Properties!$D$5:$D$104,MATCH($B394,Properties!$A$5:$A$104,0)),"-"))</f>
        <v/>
      </c>
      <c r="M394" s="28" t="str">
        <f aca="false">IF(OR($A394="",N($E394)=0),"",$F394/$E394)</f>
        <v/>
      </c>
      <c r="N394" s="28" t="str">
        <f aca="false">IF($A394="","",IF($H394="Y",$F394*(1+Settings!$B$3),0))</f>
        <v/>
      </c>
      <c r="O394" s="27" t="str">
        <f aca="false">IF($A394="","",IF(AND($H394="Y",$G394&lt;&gt;"Restock",N($M394)&gt;Settings!$B$4,$I394&lt;&gt;"Y"),"Get host OK",IF(AND($H394="Y",$F394&gt;Settings!$B$5,$I394&lt;&gt;"Y"),"Host should pay upfront",IF($J394&lt;&gt;"Y","Save receipt","OK"))))</f>
        <v/>
      </c>
      <c r="P394" s="29" t="str">
        <f aca="false">IF($A394="","",DATE(YEAR($A394),MONTH($A394),1))</f>
        <v/>
      </c>
      <c r="Q394" s="31" t="str">
        <f aca="false">IF($A394="","",IF(AND($L394='Invoice Builder'!$C$5,$P394='Invoice Builder'!$C$6,N($N394)&gt;0),COUNTIFS($L$5:$L394,'Invoice Builder'!$C$5,$P$5:$P394,'Invoice Builder'!$C$6,$N$5:$N394,"&gt;0"),""))</f>
        <v/>
      </c>
      <c r="R394" s="27" t="str">
        <f aca="false">IF($A394="","",IF($A394&gt;=DATE(YEAR($A394),4,6),YEAR($A394)&amp;"/"&amp;RIGHT(YEAR($A394)+1,2),YEAR($A394)-1&amp;"/"&amp;RIGHT(YEAR($A394),2)))</f>
        <v/>
      </c>
    </row>
    <row r="395" customFormat="false" ht="15" hidden="false" customHeight="false" outlineLevel="0" collapsed="false">
      <c r="A395" s="22"/>
      <c r="B395" s="23"/>
      <c r="C395" s="23"/>
      <c r="D395" s="23"/>
      <c r="E395" s="32"/>
      <c r="F395" s="25"/>
      <c r="G395" s="23"/>
      <c r="H395" s="23"/>
      <c r="I395" s="23"/>
      <c r="J395" s="23"/>
      <c r="K395" s="23"/>
      <c r="L395" s="27" t="str">
        <f aca="false">IF($B395="","",IFERROR(INDEX(Properties!$D$5:$D$104,MATCH($B395,Properties!$A$5:$A$104,0)),"-"))</f>
        <v/>
      </c>
      <c r="M395" s="28" t="str">
        <f aca="false">IF(OR($A395="",N($E395)=0),"",$F395/$E395)</f>
        <v/>
      </c>
      <c r="N395" s="28" t="str">
        <f aca="false">IF($A395="","",IF($H395="Y",$F395*(1+Settings!$B$3),0))</f>
        <v/>
      </c>
      <c r="O395" s="27" t="str">
        <f aca="false">IF($A395="","",IF(AND($H395="Y",$G395&lt;&gt;"Restock",N($M395)&gt;Settings!$B$4,$I395&lt;&gt;"Y"),"Get host OK",IF(AND($H395="Y",$F395&gt;Settings!$B$5,$I395&lt;&gt;"Y"),"Host should pay upfront",IF($J395&lt;&gt;"Y","Save receipt","OK"))))</f>
        <v/>
      </c>
      <c r="P395" s="29" t="str">
        <f aca="false">IF($A395="","",DATE(YEAR($A395),MONTH($A395),1))</f>
        <v/>
      </c>
      <c r="Q395" s="31" t="str">
        <f aca="false">IF($A395="","",IF(AND($L395='Invoice Builder'!$C$5,$P395='Invoice Builder'!$C$6,N($N395)&gt;0),COUNTIFS($L$5:$L395,'Invoice Builder'!$C$5,$P$5:$P395,'Invoice Builder'!$C$6,$N$5:$N395,"&gt;0"),""))</f>
        <v/>
      </c>
      <c r="R395" s="27" t="str">
        <f aca="false">IF($A395="","",IF($A395&gt;=DATE(YEAR($A395),4,6),YEAR($A395)&amp;"/"&amp;RIGHT(YEAR($A395)+1,2),YEAR($A395)-1&amp;"/"&amp;RIGHT(YEAR($A395),2)))</f>
        <v/>
      </c>
    </row>
    <row r="396" customFormat="false" ht="15" hidden="false" customHeight="false" outlineLevel="0" collapsed="false">
      <c r="A396" s="22"/>
      <c r="B396" s="23"/>
      <c r="C396" s="23"/>
      <c r="D396" s="23"/>
      <c r="E396" s="32"/>
      <c r="F396" s="25"/>
      <c r="G396" s="23"/>
      <c r="H396" s="23"/>
      <c r="I396" s="23"/>
      <c r="J396" s="23"/>
      <c r="K396" s="23"/>
      <c r="L396" s="27" t="str">
        <f aca="false">IF($B396="","",IFERROR(INDEX(Properties!$D$5:$D$104,MATCH($B396,Properties!$A$5:$A$104,0)),"-"))</f>
        <v/>
      </c>
      <c r="M396" s="28" t="str">
        <f aca="false">IF(OR($A396="",N($E396)=0),"",$F396/$E396)</f>
        <v/>
      </c>
      <c r="N396" s="28" t="str">
        <f aca="false">IF($A396="","",IF($H396="Y",$F396*(1+Settings!$B$3),0))</f>
        <v/>
      </c>
      <c r="O396" s="27" t="str">
        <f aca="false">IF($A396="","",IF(AND($H396="Y",$G396&lt;&gt;"Restock",N($M396)&gt;Settings!$B$4,$I396&lt;&gt;"Y"),"Get host OK",IF(AND($H396="Y",$F396&gt;Settings!$B$5,$I396&lt;&gt;"Y"),"Host should pay upfront",IF($J396&lt;&gt;"Y","Save receipt","OK"))))</f>
        <v/>
      </c>
      <c r="P396" s="29" t="str">
        <f aca="false">IF($A396="","",DATE(YEAR($A396),MONTH($A396),1))</f>
        <v/>
      </c>
      <c r="Q396" s="31" t="str">
        <f aca="false">IF($A396="","",IF(AND($L396='Invoice Builder'!$C$5,$P396='Invoice Builder'!$C$6,N($N396)&gt;0),COUNTIFS($L$5:$L396,'Invoice Builder'!$C$5,$P$5:$P396,'Invoice Builder'!$C$6,$N$5:$N396,"&gt;0"),""))</f>
        <v/>
      </c>
      <c r="R396" s="27" t="str">
        <f aca="false">IF($A396="","",IF($A396&gt;=DATE(YEAR($A396),4,6),YEAR($A396)&amp;"/"&amp;RIGHT(YEAR($A396)+1,2),YEAR($A396)-1&amp;"/"&amp;RIGHT(YEAR($A396),2)))</f>
        <v/>
      </c>
    </row>
    <row r="397" customFormat="false" ht="15" hidden="false" customHeight="false" outlineLevel="0" collapsed="false">
      <c r="A397" s="22"/>
      <c r="B397" s="23"/>
      <c r="C397" s="23"/>
      <c r="D397" s="23"/>
      <c r="E397" s="32"/>
      <c r="F397" s="25"/>
      <c r="G397" s="23"/>
      <c r="H397" s="23"/>
      <c r="I397" s="23"/>
      <c r="J397" s="23"/>
      <c r="K397" s="23"/>
      <c r="L397" s="27" t="str">
        <f aca="false">IF($B397="","",IFERROR(INDEX(Properties!$D$5:$D$104,MATCH($B397,Properties!$A$5:$A$104,0)),"-"))</f>
        <v/>
      </c>
      <c r="M397" s="28" t="str">
        <f aca="false">IF(OR($A397="",N($E397)=0),"",$F397/$E397)</f>
        <v/>
      </c>
      <c r="N397" s="28" t="str">
        <f aca="false">IF($A397="","",IF($H397="Y",$F397*(1+Settings!$B$3),0))</f>
        <v/>
      </c>
      <c r="O397" s="27" t="str">
        <f aca="false">IF($A397="","",IF(AND($H397="Y",$G397&lt;&gt;"Restock",N($M397)&gt;Settings!$B$4,$I397&lt;&gt;"Y"),"Get host OK",IF(AND($H397="Y",$F397&gt;Settings!$B$5,$I397&lt;&gt;"Y"),"Host should pay upfront",IF($J397&lt;&gt;"Y","Save receipt","OK"))))</f>
        <v/>
      </c>
      <c r="P397" s="29" t="str">
        <f aca="false">IF($A397="","",DATE(YEAR($A397),MONTH($A397),1))</f>
        <v/>
      </c>
      <c r="Q397" s="31" t="str">
        <f aca="false">IF($A397="","",IF(AND($L397='Invoice Builder'!$C$5,$P397='Invoice Builder'!$C$6,N($N397)&gt;0),COUNTIFS($L$5:$L397,'Invoice Builder'!$C$5,$P$5:$P397,'Invoice Builder'!$C$6,$N$5:$N397,"&gt;0"),""))</f>
        <v/>
      </c>
      <c r="R397" s="27" t="str">
        <f aca="false">IF($A397="","",IF($A397&gt;=DATE(YEAR($A397),4,6),YEAR($A397)&amp;"/"&amp;RIGHT(YEAR($A397)+1,2),YEAR($A397)-1&amp;"/"&amp;RIGHT(YEAR($A397),2)))</f>
        <v/>
      </c>
    </row>
    <row r="398" customFormat="false" ht="15" hidden="false" customHeight="false" outlineLevel="0" collapsed="false">
      <c r="A398" s="22"/>
      <c r="B398" s="23"/>
      <c r="C398" s="23"/>
      <c r="D398" s="23"/>
      <c r="E398" s="32"/>
      <c r="F398" s="25"/>
      <c r="G398" s="23"/>
      <c r="H398" s="23"/>
      <c r="I398" s="23"/>
      <c r="J398" s="23"/>
      <c r="K398" s="23"/>
      <c r="L398" s="27" t="str">
        <f aca="false">IF($B398="","",IFERROR(INDEX(Properties!$D$5:$D$104,MATCH($B398,Properties!$A$5:$A$104,0)),"-"))</f>
        <v/>
      </c>
      <c r="M398" s="28" t="str">
        <f aca="false">IF(OR($A398="",N($E398)=0),"",$F398/$E398)</f>
        <v/>
      </c>
      <c r="N398" s="28" t="str">
        <f aca="false">IF($A398="","",IF($H398="Y",$F398*(1+Settings!$B$3),0))</f>
        <v/>
      </c>
      <c r="O398" s="27" t="str">
        <f aca="false">IF($A398="","",IF(AND($H398="Y",$G398&lt;&gt;"Restock",N($M398)&gt;Settings!$B$4,$I398&lt;&gt;"Y"),"Get host OK",IF(AND($H398="Y",$F398&gt;Settings!$B$5,$I398&lt;&gt;"Y"),"Host should pay upfront",IF($J398&lt;&gt;"Y","Save receipt","OK"))))</f>
        <v/>
      </c>
      <c r="P398" s="29" t="str">
        <f aca="false">IF($A398="","",DATE(YEAR($A398),MONTH($A398),1))</f>
        <v/>
      </c>
      <c r="Q398" s="31" t="str">
        <f aca="false">IF($A398="","",IF(AND($L398='Invoice Builder'!$C$5,$P398='Invoice Builder'!$C$6,N($N398)&gt;0),COUNTIFS($L$5:$L398,'Invoice Builder'!$C$5,$P$5:$P398,'Invoice Builder'!$C$6,$N$5:$N398,"&gt;0"),""))</f>
        <v/>
      </c>
      <c r="R398" s="27" t="str">
        <f aca="false">IF($A398="","",IF($A398&gt;=DATE(YEAR($A398),4,6),YEAR($A398)&amp;"/"&amp;RIGHT(YEAR($A398)+1,2),YEAR($A398)-1&amp;"/"&amp;RIGHT(YEAR($A398),2)))</f>
        <v/>
      </c>
    </row>
    <row r="399" customFormat="false" ht="15" hidden="false" customHeight="false" outlineLevel="0" collapsed="false">
      <c r="A399" s="22"/>
      <c r="B399" s="23"/>
      <c r="C399" s="23"/>
      <c r="D399" s="23"/>
      <c r="E399" s="32"/>
      <c r="F399" s="25"/>
      <c r="G399" s="23"/>
      <c r="H399" s="23"/>
      <c r="I399" s="23"/>
      <c r="J399" s="23"/>
      <c r="K399" s="23"/>
      <c r="L399" s="27" t="str">
        <f aca="false">IF($B399="","",IFERROR(INDEX(Properties!$D$5:$D$104,MATCH($B399,Properties!$A$5:$A$104,0)),"-"))</f>
        <v/>
      </c>
      <c r="M399" s="28" t="str">
        <f aca="false">IF(OR($A399="",N($E399)=0),"",$F399/$E399)</f>
        <v/>
      </c>
      <c r="N399" s="28" t="str">
        <f aca="false">IF($A399="","",IF($H399="Y",$F399*(1+Settings!$B$3),0))</f>
        <v/>
      </c>
      <c r="O399" s="27" t="str">
        <f aca="false">IF($A399="","",IF(AND($H399="Y",$G399&lt;&gt;"Restock",N($M399)&gt;Settings!$B$4,$I399&lt;&gt;"Y"),"Get host OK",IF(AND($H399="Y",$F399&gt;Settings!$B$5,$I399&lt;&gt;"Y"),"Host should pay upfront",IF($J399&lt;&gt;"Y","Save receipt","OK"))))</f>
        <v/>
      </c>
      <c r="P399" s="29" t="str">
        <f aca="false">IF($A399="","",DATE(YEAR($A399),MONTH($A399),1))</f>
        <v/>
      </c>
      <c r="Q399" s="31" t="str">
        <f aca="false">IF($A399="","",IF(AND($L399='Invoice Builder'!$C$5,$P399='Invoice Builder'!$C$6,N($N399)&gt;0),COUNTIFS($L$5:$L399,'Invoice Builder'!$C$5,$P$5:$P399,'Invoice Builder'!$C$6,$N$5:$N399,"&gt;0"),""))</f>
        <v/>
      </c>
      <c r="R399" s="27" t="str">
        <f aca="false">IF($A399="","",IF($A399&gt;=DATE(YEAR($A399),4,6),YEAR($A399)&amp;"/"&amp;RIGHT(YEAR($A399)+1,2),YEAR($A399)-1&amp;"/"&amp;RIGHT(YEAR($A399),2)))</f>
        <v/>
      </c>
    </row>
    <row r="400" customFormat="false" ht="15" hidden="false" customHeight="false" outlineLevel="0" collapsed="false">
      <c r="A400" s="22"/>
      <c r="B400" s="23"/>
      <c r="C400" s="23"/>
      <c r="D400" s="23"/>
      <c r="E400" s="32"/>
      <c r="F400" s="25"/>
      <c r="G400" s="23"/>
      <c r="H400" s="23"/>
      <c r="I400" s="23"/>
      <c r="J400" s="23"/>
      <c r="K400" s="23"/>
      <c r="L400" s="27" t="str">
        <f aca="false">IF($B400="","",IFERROR(INDEX(Properties!$D$5:$D$104,MATCH($B400,Properties!$A$5:$A$104,0)),"-"))</f>
        <v/>
      </c>
      <c r="M400" s="28" t="str">
        <f aca="false">IF(OR($A400="",N($E400)=0),"",$F400/$E400)</f>
        <v/>
      </c>
      <c r="N400" s="28" t="str">
        <f aca="false">IF($A400="","",IF($H400="Y",$F400*(1+Settings!$B$3),0))</f>
        <v/>
      </c>
      <c r="O400" s="27" t="str">
        <f aca="false">IF($A400="","",IF(AND($H400="Y",$G400&lt;&gt;"Restock",N($M400)&gt;Settings!$B$4,$I400&lt;&gt;"Y"),"Get host OK",IF(AND($H400="Y",$F400&gt;Settings!$B$5,$I400&lt;&gt;"Y"),"Host should pay upfront",IF($J400&lt;&gt;"Y","Save receipt","OK"))))</f>
        <v/>
      </c>
      <c r="P400" s="29" t="str">
        <f aca="false">IF($A400="","",DATE(YEAR($A400),MONTH($A400),1))</f>
        <v/>
      </c>
      <c r="Q400" s="31" t="str">
        <f aca="false">IF($A400="","",IF(AND($L400='Invoice Builder'!$C$5,$P400='Invoice Builder'!$C$6,N($N400)&gt;0),COUNTIFS($L$5:$L400,'Invoice Builder'!$C$5,$P$5:$P400,'Invoice Builder'!$C$6,$N$5:$N400,"&gt;0"),""))</f>
        <v/>
      </c>
      <c r="R400" s="27" t="str">
        <f aca="false">IF($A400="","",IF($A400&gt;=DATE(YEAR($A400),4,6),YEAR($A400)&amp;"/"&amp;RIGHT(YEAR($A400)+1,2),YEAR($A400)-1&amp;"/"&amp;RIGHT(YEAR($A400),2)))</f>
        <v/>
      </c>
    </row>
    <row r="401" customFormat="false" ht="15" hidden="false" customHeight="false" outlineLevel="0" collapsed="false">
      <c r="A401" s="22"/>
      <c r="B401" s="23"/>
      <c r="C401" s="23"/>
      <c r="D401" s="23"/>
      <c r="E401" s="32"/>
      <c r="F401" s="25"/>
      <c r="G401" s="23"/>
      <c r="H401" s="23"/>
      <c r="I401" s="23"/>
      <c r="J401" s="23"/>
      <c r="K401" s="23"/>
      <c r="L401" s="27" t="str">
        <f aca="false">IF($B401="","",IFERROR(INDEX(Properties!$D$5:$D$104,MATCH($B401,Properties!$A$5:$A$104,0)),"-"))</f>
        <v/>
      </c>
      <c r="M401" s="28" t="str">
        <f aca="false">IF(OR($A401="",N($E401)=0),"",$F401/$E401)</f>
        <v/>
      </c>
      <c r="N401" s="28" t="str">
        <f aca="false">IF($A401="","",IF($H401="Y",$F401*(1+Settings!$B$3),0))</f>
        <v/>
      </c>
      <c r="O401" s="27" t="str">
        <f aca="false">IF($A401="","",IF(AND($H401="Y",$G401&lt;&gt;"Restock",N($M401)&gt;Settings!$B$4,$I401&lt;&gt;"Y"),"Get host OK",IF(AND($H401="Y",$F401&gt;Settings!$B$5,$I401&lt;&gt;"Y"),"Host should pay upfront",IF($J401&lt;&gt;"Y","Save receipt","OK"))))</f>
        <v/>
      </c>
      <c r="P401" s="29" t="str">
        <f aca="false">IF($A401="","",DATE(YEAR($A401),MONTH($A401),1))</f>
        <v/>
      </c>
      <c r="Q401" s="31" t="str">
        <f aca="false">IF($A401="","",IF(AND($L401='Invoice Builder'!$C$5,$P401='Invoice Builder'!$C$6,N($N401)&gt;0),COUNTIFS($L$5:$L401,'Invoice Builder'!$C$5,$P$5:$P401,'Invoice Builder'!$C$6,$N$5:$N401,"&gt;0"),""))</f>
        <v/>
      </c>
      <c r="R401" s="27" t="str">
        <f aca="false">IF($A401="","",IF($A401&gt;=DATE(YEAR($A401),4,6),YEAR($A401)&amp;"/"&amp;RIGHT(YEAR($A401)+1,2),YEAR($A401)-1&amp;"/"&amp;RIGHT(YEAR($A401),2)))</f>
        <v/>
      </c>
    </row>
    <row r="402" customFormat="false" ht="15" hidden="false" customHeight="false" outlineLevel="0" collapsed="false">
      <c r="A402" s="22"/>
      <c r="B402" s="23"/>
      <c r="C402" s="23"/>
      <c r="D402" s="23"/>
      <c r="E402" s="32"/>
      <c r="F402" s="25"/>
      <c r="G402" s="23"/>
      <c r="H402" s="23"/>
      <c r="I402" s="23"/>
      <c r="J402" s="23"/>
      <c r="K402" s="23"/>
      <c r="L402" s="27" t="str">
        <f aca="false">IF($B402="","",IFERROR(INDEX(Properties!$D$5:$D$104,MATCH($B402,Properties!$A$5:$A$104,0)),"-"))</f>
        <v/>
      </c>
      <c r="M402" s="28" t="str">
        <f aca="false">IF(OR($A402="",N($E402)=0),"",$F402/$E402)</f>
        <v/>
      </c>
      <c r="N402" s="28" t="str">
        <f aca="false">IF($A402="","",IF($H402="Y",$F402*(1+Settings!$B$3),0))</f>
        <v/>
      </c>
      <c r="O402" s="27" t="str">
        <f aca="false">IF($A402="","",IF(AND($H402="Y",$G402&lt;&gt;"Restock",N($M402)&gt;Settings!$B$4,$I402&lt;&gt;"Y"),"Get host OK",IF(AND($H402="Y",$F402&gt;Settings!$B$5,$I402&lt;&gt;"Y"),"Host should pay upfront",IF($J402&lt;&gt;"Y","Save receipt","OK"))))</f>
        <v/>
      </c>
      <c r="P402" s="29" t="str">
        <f aca="false">IF($A402="","",DATE(YEAR($A402),MONTH($A402),1))</f>
        <v/>
      </c>
      <c r="Q402" s="31" t="str">
        <f aca="false">IF($A402="","",IF(AND($L402='Invoice Builder'!$C$5,$P402='Invoice Builder'!$C$6,N($N402)&gt;0),COUNTIFS($L$5:$L402,'Invoice Builder'!$C$5,$P$5:$P402,'Invoice Builder'!$C$6,$N$5:$N402,"&gt;0"),""))</f>
        <v/>
      </c>
      <c r="R402" s="27" t="str">
        <f aca="false">IF($A402="","",IF($A402&gt;=DATE(YEAR($A402),4,6),YEAR($A402)&amp;"/"&amp;RIGHT(YEAR($A402)+1,2),YEAR($A402)-1&amp;"/"&amp;RIGHT(YEAR($A402),2)))</f>
        <v/>
      </c>
    </row>
    <row r="403" customFormat="false" ht="15" hidden="false" customHeight="false" outlineLevel="0" collapsed="false">
      <c r="A403" s="22"/>
      <c r="B403" s="23"/>
      <c r="C403" s="23"/>
      <c r="D403" s="23"/>
      <c r="E403" s="32"/>
      <c r="F403" s="25"/>
      <c r="G403" s="23"/>
      <c r="H403" s="23"/>
      <c r="I403" s="23"/>
      <c r="J403" s="23"/>
      <c r="K403" s="23"/>
      <c r="L403" s="27" t="str">
        <f aca="false">IF($B403="","",IFERROR(INDEX(Properties!$D$5:$D$104,MATCH($B403,Properties!$A$5:$A$104,0)),"-"))</f>
        <v/>
      </c>
      <c r="M403" s="28" t="str">
        <f aca="false">IF(OR($A403="",N($E403)=0),"",$F403/$E403)</f>
        <v/>
      </c>
      <c r="N403" s="28" t="str">
        <f aca="false">IF($A403="","",IF($H403="Y",$F403*(1+Settings!$B$3),0))</f>
        <v/>
      </c>
      <c r="O403" s="27" t="str">
        <f aca="false">IF($A403="","",IF(AND($H403="Y",$G403&lt;&gt;"Restock",N($M403)&gt;Settings!$B$4,$I403&lt;&gt;"Y"),"Get host OK",IF(AND($H403="Y",$F403&gt;Settings!$B$5,$I403&lt;&gt;"Y"),"Host should pay upfront",IF($J403&lt;&gt;"Y","Save receipt","OK"))))</f>
        <v/>
      </c>
      <c r="P403" s="29" t="str">
        <f aca="false">IF($A403="","",DATE(YEAR($A403),MONTH($A403),1))</f>
        <v/>
      </c>
      <c r="Q403" s="31" t="str">
        <f aca="false">IF($A403="","",IF(AND($L403='Invoice Builder'!$C$5,$P403='Invoice Builder'!$C$6,N($N403)&gt;0),COUNTIFS($L$5:$L403,'Invoice Builder'!$C$5,$P$5:$P403,'Invoice Builder'!$C$6,$N$5:$N403,"&gt;0"),""))</f>
        <v/>
      </c>
      <c r="R403" s="27" t="str">
        <f aca="false">IF($A403="","",IF($A403&gt;=DATE(YEAR($A403),4,6),YEAR($A403)&amp;"/"&amp;RIGHT(YEAR($A403)+1,2),YEAR($A403)-1&amp;"/"&amp;RIGHT(YEAR($A403),2)))</f>
        <v/>
      </c>
    </row>
    <row r="404" customFormat="false" ht="15" hidden="false" customHeight="false" outlineLevel="0" collapsed="false">
      <c r="A404" s="22"/>
      <c r="B404" s="23"/>
      <c r="C404" s="23"/>
      <c r="D404" s="23"/>
      <c r="E404" s="32"/>
      <c r="F404" s="25"/>
      <c r="G404" s="23"/>
      <c r="H404" s="23"/>
      <c r="I404" s="23"/>
      <c r="J404" s="23"/>
      <c r="K404" s="23"/>
      <c r="L404" s="27" t="str">
        <f aca="false">IF($B404="","",IFERROR(INDEX(Properties!$D$5:$D$104,MATCH($B404,Properties!$A$5:$A$104,0)),"-"))</f>
        <v/>
      </c>
      <c r="M404" s="28" t="str">
        <f aca="false">IF(OR($A404="",N($E404)=0),"",$F404/$E404)</f>
        <v/>
      </c>
      <c r="N404" s="28" t="str">
        <f aca="false">IF($A404="","",IF($H404="Y",$F404*(1+Settings!$B$3),0))</f>
        <v/>
      </c>
      <c r="O404" s="27" t="str">
        <f aca="false">IF($A404="","",IF(AND($H404="Y",$G404&lt;&gt;"Restock",N($M404)&gt;Settings!$B$4,$I404&lt;&gt;"Y"),"Get host OK",IF(AND($H404="Y",$F404&gt;Settings!$B$5,$I404&lt;&gt;"Y"),"Host should pay upfront",IF($J404&lt;&gt;"Y","Save receipt","OK"))))</f>
        <v/>
      </c>
      <c r="P404" s="29" t="str">
        <f aca="false">IF($A404="","",DATE(YEAR($A404),MONTH($A404),1))</f>
        <v/>
      </c>
      <c r="Q404" s="31" t="str">
        <f aca="false">IF($A404="","",IF(AND($L404='Invoice Builder'!$C$5,$P404='Invoice Builder'!$C$6,N($N404)&gt;0),COUNTIFS($L$5:$L404,'Invoice Builder'!$C$5,$P$5:$P404,'Invoice Builder'!$C$6,$N$5:$N404,"&gt;0"),""))</f>
        <v/>
      </c>
      <c r="R404" s="27" t="str">
        <f aca="false">IF($A404="","",IF($A404&gt;=DATE(YEAR($A404),4,6),YEAR($A404)&amp;"/"&amp;RIGHT(YEAR($A404)+1,2),YEAR($A404)-1&amp;"/"&amp;RIGHT(YEAR($A404),2)))</f>
        <v/>
      </c>
    </row>
    <row r="405" customFormat="false" ht="15" hidden="false" customHeight="false" outlineLevel="0" collapsed="false">
      <c r="A405" s="22"/>
      <c r="B405" s="23"/>
      <c r="C405" s="23"/>
      <c r="D405" s="23"/>
      <c r="E405" s="32"/>
      <c r="F405" s="25"/>
      <c r="G405" s="23"/>
      <c r="H405" s="23"/>
      <c r="I405" s="23"/>
      <c r="J405" s="23"/>
      <c r="K405" s="23"/>
      <c r="L405" s="27" t="str">
        <f aca="false">IF($B405="","",IFERROR(INDEX(Properties!$D$5:$D$104,MATCH($B405,Properties!$A$5:$A$104,0)),"-"))</f>
        <v/>
      </c>
      <c r="M405" s="28" t="str">
        <f aca="false">IF(OR($A405="",N($E405)=0),"",$F405/$E405)</f>
        <v/>
      </c>
      <c r="N405" s="28" t="str">
        <f aca="false">IF($A405="","",IF($H405="Y",$F405*(1+Settings!$B$3),0))</f>
        <v/>
      </c>
      <c r="O405" s="27" t="str">
        <f aca="false">IF($A405="","",IF(AND($H405="Y",$G405&lt;&gt;"Restock",N($M405)&gt;Settings!$B$4,$I405&lt;&gt;"Y"),"Get host OK",IF(AND($H405="Y",$F405&gt;Settings!$B$5,$I405&lt;&gt;"Y"),"Host should pay upfront",IF($J405&lt;&gt;"Y","Save receipt","OK"))))</f>
        <v/>
      </c>
      <c r="P405" s="29" t="str">
        <f aca="false">IF($A405="","",DATE(YEAR($A405),MONTH($A405),1))</f>
        <v/>
      </c>
      <c r="Q405" s="31" t="str">
        <f aca="false">IF($A405="","",IF(AND($L405='Invoice Builder'!$C$5,$P405='Invoice Builder'!$C$6,N($N405)&gt;0),COUNTIFS($L$5:$L405,'Invoice Builder'!$C$5,$P$5:$P405,'Invoice Builder'!$C$6,$N$5:$N405,"&gt;0"),""))</f>
        <v/>
      </c>
      <c r="R405" s="27" t="str">
        <f aca="false">IF($A405="","",IF($A405&gt;=DATE(YEAR($A405),4,6),YEAR($A405)&amp;"/"&amp;RIGHT(YEAR($A405)+1,2),YEAR($A405)-1&amp;"/"&amp;RIGHT(YEAR($A405),2)))</f>
        <v/>
      </c>
    </row>
    <row r="406" customFormat="false" ht="15" hidden="false" customHeight="false" outlineLevel="0" collapsed="false">
      <c r="A406" s="22"/>
      <c r="B406" s="23"/>
      <c r="C406" s="23"/>
      <c r="D406" s="23"/>
      <c r="E406" s="32"/>
      <c r="F406" s="25"/>
      <c r="G406" s="23"/>
      <c r="H406" s="23"/>
      <c r="I406" s="23"/>
      <c r="J406" s="23"/>
      <c r="K406" s="23"/>
      <c r="L406" s="27" t="str">
        <f aca="false">IF($B406="","",IFERROR(INDEX(Properties!$D$5:$D$104,MATCH($B406,Properties!$A$5:$A$104,0)),"-"))</f>
        <v/>
      </c>
      <c r="M406" s="28" t="str">
        <f aca="false">IF(OR($A406="",N($E406)=0),"",$F406/$E406)</f>
        <v/>
      </c>
      <c r="N406" s="28" t="str">
        <f aca="false">IF($A406="","",IF($H406="Y",$F406*(1+Settings!$B$3),0))</f>
        <v/>
      </c>
      <c r="O406" s="27" t="str">
        <f aca="false">IF($A406="","",IF(AND($H406="Y",$G406&lt;&gt;"Restock",N($M406)&gt;Settings!$B$4,$I406&lt;&gt;"Y"),"Get host OK",IF(AND($H406="Y",$F406&gt;Settings!$B$5,$I406&lt;&gt;"Y"),"Host should pay upfront",IF($J406&lt;&gt;"Y","Save receipt","OK"))))</f>
        <v/>
      </c>
      <c r="P406" s="29" t="str">
        <f aca="false">IF($A406="","",DATE(YEAR($A406),MONTH($A406),1))</f>
        <v/>
      </c>
      <c r="Q406" s="31" t="str">
        <f aca="false">IF($A406="","",IF(AND($L406='Invoice Builder'!$C$5,$P406='Invoice Builder'!$C$6,N($N406)&gt;0),COUNTIFS($L$5:$L406,'Invoice Builder'!$C$5,$P$5:$P406,'Invoice Builder'!$C$6,$N$5:$N406,"&gt;0"),""))</f>
        <v/>
      </c>
      <c r="R406" s="27" t="str">
        <f aca="false">IF($A406="","",IF($A406&gt;=DATE(YEAR($A406),4,6),YEAR($A406)&amp;"/"&amp;RIGHT(YEAR($A406)+1,2),YEAR($A406)-1&amp;"/"&amp;RIGHT(YEAR($A406),2)))</f>
        <v/>
      </c>
    </row>
    <row r="407" customFormat="false" ht="15" hidden="false" customHeight="false" outlineLevel="0" collapsed="false">
      <c r="A407" s="22"/>
      <c r="B407" s="23"/>
      <c r="C407" s="23"/>
      <c r="D407" s="23"/>
      <c r="E407" s="32"/>
      <c r="F407" s="25"/>
      <c r="G407" s="23"/>
      <c r="H407" s="23"/>
      <c r="I407" s="23"/>
      <c r="J407" s="23"/>
      <c r="K407" s="23"/>
      <c r="L407" s="27" t="str">
        <f aca="false">IF($B407="","",IFERROR(INDEX(Properties!$D$5:$D$104,MATCH($B407,Properties!$A$5:$A$104,0)),"-"))</f>
        <v/>
      </c>
      <c r="M407" s="28" t="str">
        <f aca="false">IF(OR($A407="",N($E407)=0),"",$F407/$E407)</f>
        <v/>
      </c>
      <c r="N407" s="28" t="str">
        <f aca="false">IF($A407="","",IF($H407="Y",$F407*(1+Settings!$B$3),0))</f>
        <v/>
      </c>
      <c r="O407" s="27" t="str">
        <f aca="false">IF($A407="","",IF(AND($H407="Y",$G407&lt;&gt;"Restock",N($M407)&gt;Settings!$B$4,$I407&lt;&gt;"Y"),"Get host OK",IF(AND($H407="Y",$F407&gt;Settings!$B$5,$I407&lt;&gt;"Y"),"Host should pay upfront",IF($J407&lt;&gt;"Y","Save receipt","OK"))))</f>
        <v/>
      </c>
      <c r="P407" s="29" t="str">
        <f aca="false">IF($A407="","",DATE(YEAR($A407),MONTH($A407),1))</f>
        <v/>
      </c>
      <c r="Q407" s="31" t="str">
        <f aca="false">IF($A407="","",IF(AND($L407='Invoice Builder'!$C$5,$P407='Invoice Builder'!$C$6,N($N407)&gt;0),COUNTIFS($L$5:$L407,'Invoice Builder'!$C$5,$P$5:$P407,'Invoice Builder'!$C$6,$N$5:$N407,"&gt;0"),""))</f>
        <v/>
      </c>
      <c r="R407" s="27" t="str">
        <f aca="false">IF($A407="","",IF($A407&gt;=DATE(YEAR($A407),4,6),YEAR($A407)&amp;"/"&amp;RIGHT(YEAR($A407)+1,2),YEAR($A407)-1&amp;"/"&amp;RIGHT(YEAR($A407),2)))</f>
        <v/>
      </c>
    </row>
    <row r="408" customFormat="false" ht="15" hidden="false" customHeight="false" outlineLevel="0" collapsed="false">
      <c r="A408" s="22"/>
      <c r="B408" s="23"/>
      <c r="C408" s="23"/>
      <c r="D408" s="23"/>
      <c r="E408" s="32"/>
      <c r="F408" s="25"/>
      <c r="G408" s="23"/>
      <c r="H408" s="23"/>
      <c r="I408" s="23"/>
      <c r="J408" s="23"/>
      <c r="K408" s="23"/>
      <c r="L408" s="27" t="str">
        <f aca="false">IF($B408="","",IFERROR(INDEX(Properties!$D$5:$D$104,MATCH($B408,Properties!$A$5:$A$104,0)),"-"))</f>
        <v/>
      </c>
      <c r="M408" s="28" t="str">
        <f aca="false">IF(OR($A408="",N($E408)=0),"",$F408/$E408)</f>
        <v/>
      </c>
      <c r="N408" s="28" t="str">
        <f aca="false">IF($A408="","",IF($H408="Y",$F408*(1+Settings!$B$3),0))</f>
        <v/>
      </c>
      <c r="O408" s="27" t="str">
        <f aca="false">IF($A408="","",IF(AND($H408="Y",$G408&lt;&gt;"Restock",N($M408)&gt;Settings!$B$4,$I408&lt;&gt;"Y"),"Get host OK",IF(AND($H408="Y",$F408&gt;Settings!$B$5,$I408&lt;&gt;"Y"),"Host should pay upfront",IF($J408&lt;&gt;"Y","Save receipt","OK"))))</f>
        <v/>
      </c>
      <c r="P408" s="29" t="str">
        <f aca="false">IF($A408="","",DATE(YEAR($A408),MONTH($A408),1))</f>
        <v/>
      </c>
      <c r="Q408" s="31" t="str">
        <f aca="false">IF($A408="","",IF(AND($L408='Invoice Builder'!$C$5,$P408='Invoice Builder'!$C$6,N($N408)&gt;0),COUNTIFS($L$5:$L408,'Invoice Builder'!$C$5,$P$5:$P408,'Invoice Builder'!$C$6,$N$5:$N408,"&gt;0"),""))</f>
        <v/>
      </c>
      <c r="R408" s="27" t="str">
        <f aca="false">IF($A408="","",IF($A408&gt;=DATE(YEAR($A408),4,6),YEAR($A408)&amp;"/"&amp;RIGHT(YEAR($A408)+1,2),YEAR($A408)-1&amp;"/"&amp;RIGHT(YEAR($A408),2)))</f>
        <v/>
      </c>
    </row>
    <row r="409" customFormat="false" ht="15" hidden="false" customHeight="false" outlineLevel="0" collapsed="false">
      <c r="A409" s="22"/>
      <c r="B409" s="23"/>
      <c r="C409" s="23"/>
      <c r="D409" s="23"/>
      <c r="E409" s="32"/>
      <c r="F409" s="25"/>
      <c r="G409" s="23"/>
      <c r="H409" s="23"/>
      <c r="I409" s="23"/>
      <c r="J409" s="23"/>
      <c r="K409" s="23"/>
      <c r="L409" s="27" t="str">
        <f aca="false">IF($B409="","",IFERROR(INDEX(Properties!$D$5:$D$104,MATCH($B409,Properties!$A$5:$A$104,0)),"-"))</f>
        <v/>
      </c>
      <c r="M409" s="28" t="str">
        <f aca="false">IF(OR($A409="",N($E409)=0),"",$F409/$E409)</f>
        <v/>
      </c>
      <c r="N409" s="28" t="str">
        <f aca="false">IF($A409="","",IF($H409="Y",$F409*(1+Settings!$B$3),0))</f>
        <v/>
      </c>
      <c r="O409" s="27" t="str">
        <f aca="false">IF($A409="","",IF(AND($H409="Y",$G409&lt;&gt;"Restock",N($M409)&gt;Settings!$B$4,$I409&lt;&gt;"Y"),"Get host OK",IF(AND($H409="Y",$F409&gt;Settings!$B$5,$I409&lt;&gt;"Y"),"Host should pay upfront",IF($J409&lt;&gt;"Y","Save receipt","OK"))))</f>
        <v/>
      </c>
      <c r="P409" s="29" t="str">
        <f aca="false">IF($A409="","",DATE(YEAR($A409),MONTH($A409),1))</f>
        <v/>
      </c>
      <c r="Q409" s="31" t="str">
        <f aca="false">IF($A409="","",IF(AND($L409='Invoice Builder'!$C$5,$P409='Invoice Builder'!$C$6,N($N409)&gt;0),COUNTIFS($L$5:$L409,'Invoice Builder'!$C$5,$P$5:$P409,'Invoice Builder'!$C$6,$N$5:$N409,"&gt;0"),""))</f>
        <v/>
      </c>
      <c r="R409" s="27" t="str">
        <f aca="false">IF($A409="","",IF($A409&gt;=DATE(YEAR($A409),4,6),YEAR($A409)&amp;"/"&amp;RIGHT(YEAR($A409)+1,2),YEAR($A409)-1&amp;"/"&amp;RIGHT(YEAR($A409),2)))</f>
        <v/>
      </c>
    </row>
    <row r="410" customFormat="false" ht="15" hidden="false" customHeight="false" outlineLevel="0" collapsed="false">
      <c r="A410" s="22"/>
      <c r="B410" s="23"/>
      <c r="C410" s="23"/>
      <c r="D410" s="23"/>
      <c r="E410" s="32"/>
      <c r="F410" s="25"/>
      <c r="G410" s="23"/>
      <c r="H410" s="23"/>
      <c r="I410" s="23"/>
      <c r="J410" s="23"/>
      <c r="K410" s="23"/>
      <c r="L410" s="27" t="str">
        <f aca="false">IF($B410="","",IFERROR(INDEX(Properties!$D$5:$D$104,MATCH($B410,Properties!$A$5:$A$104,0)),"-"))</f>
        <v/>
      </c>
      <c r="M410" s="28" t="str">
        <f aca="false">IF(OR($A410="",N($E410)=0),"",$F410/$E410)</f>
        <v/>
      </c>
      <c r="N410" s="28" t="str">
        <f aca="false">IF($A410="","",IF($H410="Y",$F410*(1+Settings!$B$3),0))</f>
        <v/>
      </c>
      <c r="O410" s="27" t="str">
        <f aca="false">IF($A410="","",IF(AND($H410="Y",$G410&lt;&gt;"Restock",N($M410)&gt;Settings!$B$4,$I410&lt;&gt;"Y"),"Get host OK",IF(AND($H410="Y",$F410&gt;Settings!$B$5,$I410&lt;&gt;"Y"),"Host should pay upfront",IF($J410&lt;&gt;"Y","Save receipt","OK"))))</f>
        <v/>
      </c>
      <c r="P410" s="29" t="str">
        <f aca="false">IF($A410="","",DATE(YEAR($A410),MONTH($A410),1))</f>
        <v/>
      </c>
      <c r="Q410" s="31" t="str">
        <f aca="false">IF($A410="","",IF(AND($L410='Invoice Builder'!$C$5,$P410='Invoice Builder'!$C$6,N($N410)&gt;0),COUNTIFS($L$5:$L410,'Invoice Builder'!$C$5,$P$5:$P410,'Invoice Builder'!$C$6,$N$5:$N410,"&gt;0"),""))</f>
        <v/>
      </c>
      <c r="R410" s="27" t="str">
        <f aca="false">IF($A410="","",IF($A410&gt;=DATE(YEAR($A410),4,6),YEAR($A410)&amp;"/"&amp;RIGHT(YEAR($A410)+1,2),YEAR($A410)-1&amp;"/"&amp;RIGHT(YEAR($A410),2)))</f>
        <v/>
      </c>
    </row>
    <row r="411" customFormat="false" ht="15" hidden="false" customHeight="false" outlineLevel="0" collapsed="false">
      <c r="A411" s="22"/>
      <c r="B411" s="23"/>
      <c r="C411" s="23"/>
      <c r="D411" s="23"/>
      <c r="E411" s="32"/>
      <c r="F411" s="25"/>
      <c r="G411" s="23"/>
      <c r="H411" s="23"/>
      <c r="I411" s="23"/>
      <c r="J411" s="23"/>
      <c r="K411" s="23"/>
      <c r="L411" s="27" t="str">
        <f aca="false">IF($B411="","",IFERROR(INDEX(Properties!$D$5:$D$104,MATCH($B411,Properties!$A$5:$A$104,0)),"-"))</f>
        <v/>
      </c>
      <c r="M411" s="28" t="str">
        <f aca="false">IF(OR($A411="",N($E411)=0),"",$F411/$E411)</f>
        <v/>
      </c>
      <c r="N411" s="28" t="str">
        <f aca="false">IF($A411="","",IF($H411="Y",$F411*(1+Settings!$B$3),0))</f>
        <v/>
      </c>
      <c r="O411" s="27" t="str">
        <f aca="false">IF($A411="","",IF(AND($H411="Y",$G411&lt;&gt;"Restock",N($M411)&gt;Settings!$B$4,$I411&lt;&gt;"Y"),"Get host OK",IF(AND($H411="Y",$F411&gt;Settings!$B$5,$I411&lt;&gt;"Y"),"Host should pay upfront",IF($J411&lt;&gt;"Y","Save receipt","OK"))))</f>
        <v/>
      </c>
      <c r="P411" s="29" t="str">
        <f aca="false">IF($A411="","",DATE(YEAR($A411),MONTH($A411),1))</f>
        <v/>
      </c>
      <c r="Q411" s="31" t="str">
        <f aca="false">IF($A411="","",IF(AND($L411='Invoice Builder'!$C$5,$P411='Invoice Builder'!$C$6,N($N411)&gt;0),COUNTIFS($L$5:$L411,'Invoice Builder'!$C$5,$P$5:$P411,'Invoice Builder'!$C$6,$N$5:$N411,"&gt;0"),""))</f>
        <v/>
      </c>
      <c r="R411" s="27" t="str">
        <f aca="false">IF($A411="","",IF($A411&gt;=DATE(YEAR($A411),4,6),YEAR($A411)&amp;"/"&amp;RIGHT(YEAR($A411)+1,2),YEAR($A411)-1&amp;"/"&amp;RIGHT(YEAR($A411),2)))</f>
        <v/>
      </c>
    </row>
    <row r="412" customFormat="false" ht="15" hidden="false" customHeight="false" outlineLevel="0" collapsed="false">
      <c r="A412" s="22"/>
      <c r="B412" s="23"/>
      <c r="C412" s="23"/>
      <c r="D412" s="23"/>
      <c r="E412" s="32"/>
      <c r="F412" s="25"/>
      <c r="G412" s="23"/>
      <c r="H412" s="23"/>
      <c r="I412" s="23"/>
      <c r="J412" s="23"/>
      <c r="K412" s="23"/>
      <c r="L412" s="27" t="str">
        <f aca="false">IF($B412="","",IFERROR(INDEX(Properties!$D$5:$D$104,MATCH($B412,Properties!$A$5:$A$104,0)),"-"))</f>
        <v/>
      </c>
      <c r="M412" s="28" t="str">
        <f aca="false">IF(OR($A412="",N($E412)=0),"",$F412/$E412)</f>
        <v/>
      </c>
      <c r="N412" s="28" t="str">
        <f aca="false">IF($A412="","",IF($H412="Y",$F412*(1+Settings!$B$3),0))</f>
        <v/>
      </c>
      <c r="O412" s="27" t="str">
        <f aca="false">IF($A412="","",IF(AND($H412="Y",$G412&lt;&gt;"Restock",N($M412)&gt;Settings!$B$4,$I412&lt;&gt;"Y"),"Get host OK",IF(AND($H412="Y",$F412&gt;Settings!$B$5,$I412&lt;&gt;"Y"),"Host should pay upfront",IF($J412&lt;&gt;"Y","Save receipt","OK"))))</f>
        <v/>
      </c>
      <c r="P412" s="29" t="str">
        <f aca="false">IF($A412="","",DATE(YEAR($A412),MONTH($A412),1))</f>
        <v/>
      </c>
      <c r="Q412" s="31" t="str">
        <f aca="false">IF($A412="","",IF(AND($L412='Invoice Builder'!$C$5,$P412='Invoice Builder'!$C$6,N($N412)&gt;0),COUNTIFS($L$5:$L412,'Invoice Builder'!$C$5,$P$5:$P412,'Invoice Builder'!$C$6,$N$5:$N412,"&gt;0"),""))</f>
        <v/>
      </c>
      <c r="R412" s="27" t="str">
        <f aca="false">IF($A412="","",IF($A412&gt;=DATE(YEAR($A412),4,6),YEAR($A412)&amp;"/"&amp;RIGHT(YEAR($A412)+1,2),YEAR($A412)-1&amp;"/"&amp;RIGHT(YEAR($A412),2)))</f>
        <v/>
      </c>
    </row>
    <row r="413" customFormat="false" ht="15" hidden="false" customHeight="false" outlineLevel="0" collapsed="false">
      <c r="A413" s="22"/>
      <c r="B413" s="23"/>
      <c r="C413" s="23"/>
      <c r="D413" s="23"/>
      <c r="E413" s="32"/>
      <c r="F413" s="25"/>
      <c r="G413" s="23"/>
      <c r="H413" s="23"/>
      <c r="I413" s="23"/>
      <c r="J413" s="23"/>
      <c r="K413" s="23"/>
      <c r="L413" s="27" t="str">
        <f aca="false">IF($B413="","",IFERROR(INDEX(Properties!$D$5:$D$104,MATCH($B413,Properties!$A$5:$A$104,0)),"-"))</f>
        <v/>
      </c>
      <c r="M413" s="28" t="str">
        <f aca="false">IF(OR($A413="",N($E413)=0),"",$F413/$E413)</f>
        <v/>
      </c>
      <c r="N413" s="28" t="str">
        <f aca="false">IF($A413="","",IF($H413="Y",$F413*(1+Settings!$B$3),0))</f>
        <v/>
      </c>
      <c r="O413" s="27" t="str">
        <f aca="false">IF($A413="","",IF(AND($H413="Y",$G413&lt;&gt;"Restock",N($M413)&gt;Settings!$B$4,$I413&lt;&gt;"Y"),"Get host OK",IF(AND($H413="Y",$F413&gt;Settings!$B$5,$I413&lt;&gt;"Y"),"Host should pay upfront",IF($J413&lt;&gt;"Y","Save receipt","OK"))))</f>
        <v/>
      </c>
      <c r="P413" s="29" t="str">
        <f aca="false">IF($A413="","",DATE(YEAR($A413),MONTH($A413),1))</f>
        <v/>
      </c>
      <c r="Q413" s="31" t="str">
        <f aca="false">IF($A413="","",IF(AND($L413='Invoice Builder'!$C$5,$P413='Invoice Builder'!$C$6,N($N413)&gt;0),COUNTIFS($L$5:$L413,'Invoice Builder'!$C$5,$P$5:$P413,'Invoice Builder'!$C$6,$N$5:$N413,"&gt;0"),""))</f>
        <v/>
      </c>
      <c r="R413" s="27" t="str">
        <f aca="false">IF($A413="","",IF($A413&gt;=DATE(YEAR($A413),4,6),YEAR($A413)&amp;"/"&amp;RIGHT(YEAR($A413)+1,2),YEAR($A413)-1&amp;"/"&amp;RIGHT(YEAR($A413),2)))</f>
        <v/>
      </c>
    </row>
    <row r="414" customFormat="false" ht="15" hidden="false" customHeight="false" outlineLevel="0" collapsed="false">
      <c r="A414" s="22"/>
      <c r="B414" s="23"/>
      <c r="C414" s="23"/>
      <c r="D414" s="23"/>
      <c r="E414" s="32"/>
      <c r="F414" s="25"/>
      <c r="G414" s="23"/>
      <c r="H414" s="23"/>
      <c r="I414" s="23"/>
      <c r="J414" s="23"/>
      <c r="K414" s="23"/>
      <c r="L414" s="27" t="str">
        <f aca="false">IF($B414="","",IFERROR(INDEX(Properties!$D$5:$D$104,MATCH($B414,Properties!$A$5:$A$104,0)),"-"))</f>
        <v/>
      </c>
      <c r="M414" s="28" t="str">
        <f aca="false">IF(OR($A414="",N($E414)=0),"",$F414/$E414)</f>
        <v/>
      </c>
      <c r="N414" s="28" t="str">
        <f aca="false">IF($A414="","",IF($H414="Y",$F414*(1+Settings!$B$3),0))</f>
        <v/>
      </c>
      <c r="O414" s="27" t="str">
        <f aca="false">IF($A414="","",IF(AND($H414="Y",$G414&lt;&gt;"Restock",N($M414)&gt;Settings!$B$4,$I414&lt;&gt;"Y"),"Get host OK",IF(AND($H414="Y",$F414&gt;Settings!$B$5,$I414&lt;&gt;"Y"),"Host should pay upfront",IF($J414&lt;&gt;"Y","Save receipt","OK"))))</f>
        <v/>
      </c>
      <c r="P414" s="29" t="str">
        <f aca="false">IF($A414="","",DATE(YEAR($A414),MONTH($A414),1))</f>
        <v/>
      </c>
      <c r="Q414" s="31" t="str">
        <f aca="false">IF($A414="","",IF(AND($L414='Invoice Builder'!$C$5,$P414='Invoice Builder'!$C$6,N($N414)&gt;0),COUNTIFS($L$5:$L414,'Invoice Builder'!$C$5,$P$5:$P414,'Invoice Builder'!$C$6,$N$5:$N414,"&gt;0"),""))</f>
        <v/>
      </c>
      <c r="R414" s="27" t="str">
        <f aca="false">IF($A414="","",IF($A414&gt;=DATE(YEAR($A414),4,6),YEAR($A414)&amp;"/"&amp;RIGHT(YEAR($A414)+1,2),YEAR($A414)-1&amp;"/"&amp;RIGHT(YEAR($A414),2)))</f>
        <v/>
      </c>
    </row>
    <row r="415" customFormat="false" ht="15" hidden="false" customHeight="false" outlineLevel="0" collapsed="false">
      <c r="A415" s="22"/>
      <c r="B415" s="23"/>
      <c r="C415" s="23"/>
      <c r="D415" s="23"/>
      <c r="E415" s="32"/>
      <c r="F415" s="25"/>
      <c r="G415" s="23"/>
      <c r="H415" s="23"/>
      <c r="I415" s="23"/>
      <c r="J415" s="23"/>
      <c r="K415" s="23"/>
      <c r="L415" s="27" t="str">
        <f aca="false">IF($B415="","",IFERROR(INDEX(Properties!$D$5:$D$104,MATCH($B415,Properties!$A$5:$A$104,0)),"-"))</f>
        <v/>
      </c>
      <c r="M415" s="28" t="str">
        <f aca="false">IF(OR($A415="",N($E415)=0),"",$F415/$E415)</f>
        <v/>
      </c>
      <c r="N415" s="28" t="str">
        <f aca="false">IF($A415="","",IF($H415="Y",$F415*(1+Settings!$B$3),0))</f>
        <v/>
      </c>
      <c r="O415" s="27" t="str">
        <f aca="false">IF($A415="","",IF(AND($H415="Y",$G415&lt;&gt;"Restock",N($M415)&gt;Settings!$B$4,$I415&lt;&gt;"Y"),"Get host OK",IF(AND($H415="Y",$F415&gt;Settings!$B$5,$I415&lt;&gt;"Y"),"Host should pay upfront",IF($J415&lt;&gt;"Y","Save receipt","OK"))))</f>
        <v/>
      </c>
      <c r="P415" s="29" t="str">
        <f aca="false">IF($A415="","",DATE(YEAR($A415),MONTH($A415),1))</f>
        <v/>
      </c>
      <c r="Q415" s="31" t="str">
        <f aca="false">IF($A415="","",IF(AND($L415='Invoice Builder'!$C$5,$P415='Invoice Builder'!$C$6,N($N415)&gt;0),COUNTIFS($L$5:$L415,'Invoice Builder'!$C$5,$P$5:$P415,'Invoice Builder'!$C$6,$N$5:$N415,"&gt;0"),""))</f>
        <v/>
      </c>
      <c r="R415" s="27" t="str">
        <f aca="false">IF($A415="","",IF($A415&gt;=DATE(YEAR($A415),4,6),YEAR($A415)&amp;"/"&amp;RIGHT(YEAR($A415)+1,2),YEAR($A415)-1&amp;"/"&amp;RIGHT(YEAR($A415),2)))</f>
        <v/>
      </c>
    </row>
    <row r="416" customFormat="false" ht="15" hidden="false" customHeight="false" outlineLevel="0" collapsed="false">
      <c r="A416" s="22"/>
      <c r="B416" s="23"/>
      <c r="C416" s="23"/>
      <c r="D416" s="23"/>
      <c r="E416" s="32"/>
      <c r="F416" s="25"/>
      <c r="G416" s="23"/>
      <c r="H416" s="23"/>
      <c r="I416" s="23"/>
      <c r="J416" s="23"/>
      <c r="K416" s="23"/>
      <c r="L416" s="27" t="str">
        <f aca="false">IF($B416="","",IFERROR(INDEX(Properties!$D$5:$D$104,MATCH($B416,Properties!$A$5:$A$104,0)),"-"))</f>
        <v/>
      </c>
      <c r="M416" s="28" t="str">
        <f aca="false">IF(OR($A416="",N($E416)=0),"",$F416/$E416)</f>
        <v/>
      </c>
      <c r="N416" s="28" t="str">
        <f aca="false">IF($A416="","",IF($H416="Y",$F416*(1+Settings!$B$3),0))</f>
        <v/>
      </c>
      <c r="O416" s="27" t="str">
        <f aca="false">IF($A416="","",IF(AND($H416="Y",$G416&lt;&gt;"Restock",N($M416)&gt;Settings!$B$4,$I416&lt;&gt;"Y"),"Get host OK",IF(AND($H416="Y",$F416&gt;Settings!$B$5,$I416&lt;&gt;"Y"),"Host should pay upfront",IF($J416&lt;&gt;"Y","Save receipt","OK"))))</f>
        <v/>
      </c>
      <c r="P416" s="29" t="str">
        <f aca="false">IF($A416="","",DATE(YEAR($A416),MONTH($A416),1))</f>
        <v/>
      </c>
      <c r="Q416" s="31" t="str">
        <f aca="false">IF($A416="","",IF(AND($L416='Invoice Builder'!$C$5,$P416='Invoice Builder'!$C$6,N($N416)&gt;0),COUNTIFS($L$5:$L416,'Invoice Builder'!$C$5,$P$5:$P416,'Invoice Builder'!$C$6,$N$5:$N416,"&gt;0"),""))</f>
        <v/>
      </c>
      <c r="R416" s="27" t="str">
        <f aca="false">IF($A416="","",IF($A416&gt;=DATE(YEAR($A416),4,6),YEAR($A416)&amp;"/"&amp;RIGHT(YEAR($A416)+1,2),YEAR($A416)-1&amp;"/"&amp;RIGHT(YEAR($A416),2)))</f>
        <v/>
      </c>
    </row>
    <row r="417" customFormat="false" ht="15" hidden="false" customHeight="false" outlineLevel="0" collapsed="false">
      <c r="A417" s="22"/>
      <c r="B417" s="23"/>
      <c r="C417" s="23"/>
      <c r="D417" s="23"/>
      <c r="E417" s="32"/>
      <c r="F417" s="25"/>
      <c r="G417" s="23"/>
      <c r="H417" s="23"/>
      <c r="I417" s="23"/>
      <c r="J417" s="23"/>
      <c r="K417" s="23"/>
      <c r="L417" s="27" t="str">
        <f aca="false">IF($B417="","",IFERROR(INDEX(Properties!$D$5:$D$104,MATCH($B417,Properties!$A$5:$A$104,0)),"-"))</f>
        <v/>
      </c>
      <c r="M417" s="28" t="str">
        <f aca="false">IF(OR($A417="",N($E417)=0),"",$F417/$E417)</f>
        <v/>
      </c>
      <c r="N417" s="28" t="str">
        <f aca="false">IF($A417="","",IF($H417="Y",$F417*(1+Settings!$B$3),0))</f>
        <v/>
      </c>
      <c r="O417" s="27" t="str">
        <f aca="false">IF($A417="","",IF(AND($H417="Y",$G417&lt;&gt;"Restock",N($M417)&gt;Settings!$B$4,$I417&lt;&gt;"Y"),"Get host OK",IF(AND($H417="Y",$F417&gt;Settings!$B$5,$I417&lt;&gt;"Y"),"Host should pay upfront",IF($J417&lt;&gt;"Y","Save receipt","OK"))))</f>
        <v/>
      </c>
      <c r="P417" s="29" t="str">
        <f aca="false">IF($A417="","",DATE(YEAR($A417),MONTH($A417),1))</f>
        <v/>
      </c>
      <c r="Q417" s="31" t="str">
        <f aca="false">IF($A417="","",IF(AND($L417='Invoice Builder'!$C$5,$P417='Invoice Builder'!$C$6,N($N417)&gt;0),COUNTIFS($L$5:$L417,'Invoice Builder'!$C$5,$P$5:$P417,'Invoice Builder'!$C$6,$N$5:$N417,"&gt;0"),""))</f>
        <v/>
      </c>
      <c r="R417" s="27" t="str">
        <f aca="false">IF($A417="","",IF($A417&gt;=DATE(YEAR($A417),4,6),YEAR($A417)&amp;"/"&amp;RIGHT(YEAR($A417)+1,2),YEAR($A417)-1&amp;"/"&amp;RIGHT(YEAR($A417),2)))</f>
        <v/>
      </c>
    </row>
    <row r="418" customFormat="false" ht="15" hidden="false" customHeight="false" outlineLevel="0" collapsed="false">
      <c r="A418" s="22"/>
      <c r="B418" s="23"/>
      <c r="C418" s="23"/>
      <c r="D418" s="23"/>
      <c r="E418" s="32"/>
      <c r="F418" s="25"/>
      <c r="G418" s="23"/>
      <c r="H418" s="23"/>
      <c r="I418" s="23"/>
      <c r="J418" s="23"/>
      <c r="K418" s="23"/>
      <c r="L418" s="27" t="str">
        <f aca="false">IF($B418="","",IFERROR(INDEX(Properties!$D$5:$D$104,MATCH($B418,Properties!$A$5:$A$104,0)),"-"))</f>
        <v/>
      </c>
      <c r="M418" s="28" t="str">
        <f aca="false">IF(OR($A418="",N($E418)=0),"",$F418/$E418)</f>
        <v/>
      </c>
      <c r="N418" s="28" t="str">
        <f aca="false">IF($A418="","",IF($H418="Y",$F418*(1+Settings!$B$3),0))</f>
        <v/>
      </c>
      <c r="O418" s="27" t="str">
        <f aca="false">IF($A418="","",IF(AND($H418="Y",$G418&lt;&gt;"Restock",N($M418)&gt;Settings!$B$4,$I418&lt;&gt;"Y"),"Get host OK",IF(AND($H418="Y",$F418&gt;Settings!$B$5,$I418&lt;&gt;"Y"),"Host should pay upfront",IF($J418&lt;&gt;"Y","Save receipt","OK"))))</f>
        <v/>
      </c>
      <c r="P418" s="29" t="str">
        <f aca="false">IF($A418="","",DATE(YEAR($A418),MONTH($A418),1))</f>
        <v/>
      </c>
      <c r="Q418" s="31" t="str">
        <f aca="false">IF($A418="","",IF(AND($L418='Invoice Builder'!$C$5,$P418='Invoice Builder'!$C$6,N($N418)&gt;0),COUNTIFS($L$5:$L418,'Invoice Builder'!$C$5,$P$5:$P418,'Invoice Builder'!$C$6,$N$5:$N418,"&gt;0"),""))</f>
        <v/>
      </c>
      <c r="R418" s="27" t="str">
        <f aca="false">IF($A418="","",IF($A418&gt;=DATE(YEAR($A418),4,6),YEAR($A418)&amp;"/"&amp;RIGHT(YEAR($A418)+1,2),YEAR($A418)-1&amp;"/"&amp;RIGHT(YEAR($A418),2)))</f>
        <v/>
      </c>
    </row>
    <row r="419" customFormat="false" ht="15" hidden="false" customHeight="false" outlineLevel="0" collapsed="false">
      <c r="A419" s="22"/>
      <c r="B419" s="23"/>
      <c r="C419" s="23"/>
      <c r="D419" s="23"/>
      <c r="E419" s="32"/>
      <c r="F419" s="25"/>
      <c r="G419" s="23"/>
      <c r="H419" s="23"/>
      <c r="I419" s="23"/>
      <c r="J419" s="23"/>
      <c r="K419" s="23"/>
      <c r="L419" s="27" t="str">
        <f aca="false">IF($B419="","",IFERROR(INDEX(Properties!$D$5:$D$104,MATCH($B419,Properties!$A$5:$A$104,0)),"-"))</f>
        <v/>
      </c>
      <c r="M419" s="28" t="str">
        <f aca="false">IF(OR($A419="",N($E419)=0),"",$F419/$E419)</f>
        <v/>
      </c>
      <c r="N419" s="28" t="str">
        <f aca="false">IF($A419="","",IF($H419="Y",$F419*(1+Settings!$B$3),0))</f>
        <v/>
      </c>
      <c r="O419" s="27" t="str">
        <f aca="false">IF($A419="","",IF(AND($H419="Y",$G419&lt;&gt;"Restock",N($M419)&gt;Settings!$B$4,$I419&lt;&gt;"Y"),"Get host OK",IF(AND($H419="Y",$F419&gt;Settings!$B$5,$I419&lt;&gt;"Y"),"Host should pay upfront",IF($J419&lt;&gt;"Y","Save receipt","OK"))))</f>
        <v/>
      </c>
      <c r="P419" s="29" t="str">
        <f aca="false">IF($A419="","",DATE(YEAR($A419),MONTH($A419),1))</f>
        <v/>
      </c>
      <c r="Q419" s="31" t="str">
        <f aca="false">IF($A419="","",IF(AND($L419='Invoice Builder'!$C$5,$P419='Invoice Builder'!$C$6,N($N419)&gt;0),COUNTIFS($L$5:$L419,'Invoice Builder'!$C$5,$P$5:$P419,'Invoice Builder'!$C$6,$N$5:$N419,"&gt;0"),""))</f>
        <v/>
      </c>
      <c r="R419" s="27" t="str">
        <f aca="false">IF($A419="","",IF($A419&gt;=DATE(YEAR($A419),4,6),YEAR($A419)&amp;"/"&amp;RIGHT(YEAR($A419)+1,2),YEAR($A419)-1&amp;"/"&amp;RIGHT(YEAR($A419),2)))</f>
        <v/>
      </c>
    </row>
    <row r="420" customFormat="false" ht="15" hidden="false" customHeight="false" outlineLevel="0" collapsed="false">
      <c r="A420" s="22"/>
      <c r="B420" s="23"/>
      <c r="C420" s="23"/>
      <c r="D420" s="23"/>
      <c r="E420" s="32"/>
      <c r="F420" s="25"/>
      <c r="G420" s="23"/>
      <c r="H420" s="23"/>
      <c r="I420" s="23"/>
      <c r="J420" s="23"/>
      <c r="K420" s="23"/>
      <c r="L420" s="27" t="str">
        <f aca="false">IF($B420="","",IFERROR(INDEX(Properties!$D$5:$D$104,MATCH($B420,Properties!$A$5:$A$104,0)),"-"))</f>
        <v/>
      </c>
      <c r="M420" s="28" t="str">
        <f aca="false">IF(OR($A420="",N($E420)=0),"",$F420/$E420)</f>
        <v/>
      </c>
      <c r="N420" s="28" t="str">
        <f aca="false">IF($A420="","",IF($H420="Y",$F420*(1+Settings!$B$3),0))</f>
        <v/>
      </c>
      <c r="O420" s="27" t="str">
        <f aca="false">IF($A420="","",IF(AND($H420="Y",$G420&lt;&gt;"Restock",N($M420)&gt;Settings!$B$4,$I420&lt;&gt;"Y"),"Get host OK",IF(AND($H420="Y",$F420&gt;Settings!$B$5,$I420&lt;&gt;"Y"),"Host should pay upfront",IF($J420&lt;&gt;"Y","Save receipt","OK"))))</f>
        <v/>
      </c>
      <c r="P420" s="29" t="str">
        <f aca="false">IF($A420="","",DATE(YEAR($A420),MONTH($A420),1))</f>
        <v/>
      </c>
      <c r="Q420" s="31" t="str">
        <f aca="false">IF($A420="","",IF(AND($L420='Invoice Builder'!$C$5,$P420='Invoice Builder'!$C$6,N($N420)&gt;0),COUNTIFS($L$5:$L420,'Invoice Builder'!$C$5,$P$5:$P420,'Invoice Builder'!$C$6,$N$5:$N420,"&gt;0"),""))</f>
        <v/>
      </c>
      <c r="R420" s="27" t="str">
        <f aca="false">IF($A420="","",IF($A420&gt;=DATE(YEAR($A420),4,6),YEAR($A420)&amp;"/"&amp;RIGHT(YEAR($A420)+1,2),YEAR($A420)-1&amp;"/"&amp;RIGHT(YEAR($A420),2)))</f>
        <v/>
      </c>
    </row>
    <row r="421" customFormat="false" ht="15" hidden="false" customHeight="false" outlineLevel="0" collapsed="false">
      <c r="A421" s="22"/>
      <c r="B421" s="23"/>
      <c r="C421" s="23"/>
      <c r="D421" s="23"/>
      <c r="E421" s="32"/>
      <c r="F421" s="25"/>
      <c r="G421" s="23"/>
      <c r="H421" s="23"/>
      <c r="I421" s="23"/>
      <c r="J421" s="23"/>
      <c r="K421" s="23"/>
      <c r="L421" s="27" t="str">
        <f aca="false">IF($B421="","",IFERROR(INDEX(Properties!$D$5:$D$104,MATCH($B421,Properties!$A$5:$A$104,0)),"-"))</f>
        <v/>
      </c>
      <c r="M421" s="28" t="str">
        <f aca="false">IF(OR($A421="",N($E421)=0),"",$F421/$E421)</f>
        <v/>
      </c>
      <c r="N421" s="28" t="str">
        <f aca="false">IF($A421="","",IF($H421="Y",$F421*(1+Settings!$B$3),0))</f>
        <v/>
      </c>
      <c r="O421" s="27" t="str">
        <f aca="false">IF($A421="","",IF(AND($H421="Y",$G421&lt;&gt;"Restock",N($M421)&gt;Settings!$B$4,$I421&lt;&gt;"Y"),"Get host OK",IF(AND($H421="Y",$F421&gt;Settings!$B$5,$I421&lt;&gt;"Y"),"Host should pay upfront",IF($J421&lt;&gt;"Y","Save receipt","OK"))))</f>
        <v/>
      </c>
      <c r="P421" s="29" t="str">
        <f aca="false">IF($A421="","",DATE(YEAR($A421),MONTH($A421),1))</f>
        <v/>
      </c>
      <c r="Q421" s="31" t="str">
        <f aca="false">IF($A421="","",IF(AND($L421='Invoice Builder'!$C$5,$P421='Invoice Builder'!$C$6,N($N421)&gt;0),COUNTIFS($L$5:$L421,'Invoice Builder'!$C$5,$P$5:$P421,'Invoice Builder'!$C$6,$N$5:$N421,"&gt;0"),""))</f>
        <v/>
      </c>
      <c r="R421" s="27" t="str">
        <f aca="false">IF($A421="","",IF($A421&gt;=DATE(YEAR($A421),4,6),YEAR($A421)&amp;"/"&amp;RIGHT(YEAR($A421)+1,2),YEAR($A421)-1&amp;"/"&amp;RIGHT(YEAR($A421),2)))</f>
        <v/>
      </c>
    </row>
    <row r="422" customFormat="false" ht="15" hidden="false" customHeight="false" outlineLevel="0" collapsed="false">
      <c r="A422" s="22"/>
      <c r="B422" s="23"/>
      <c r="C422" s="23"/>
      <c r="D422" s="23"/>
      <c r="E422" s="32"/>
      <c r="F422" s="25"/>
      <c r="G422" s="23"/>
      <c r="H422" s="23"/>
      <c r="I422" s="23"/>
      <c r="J422" s="23"/>
      <c r="K422" s="23"/>
      <c r="L422" s="27" t="str">
        <f aca="false">IF($B422="","",IFERROR(INDEX(Properties!$D$5:$D$104,MATCH($B422,Properties!$A$5:$A$104,0)),"-"))</f>
        <v/>
      </c>
      <c r="M422" s="28" t="str">
        <f aca="false">IF(OR($A422="",N($E422)=0),"",$F422/$E422)</f>
        <v/>
      </c>
      <c r="N422" s="28" t="str">
        <f aca="false">IF($A422="","",IF($H422="Y",$F422*(1+Settings!$B$3),0))</f>
        <v/>
      </c>
      <c r="O422" s="27" t="str">
        <f aca="false">IF($A422="","",IF(AND($H422="Y",$G422&lt;&gt;"Restock",N($M422)&gt;Settings!$B$4,$I422&lt;&gt;"Y"),"Get host OK",IF(AND($H422="Y",$F422&gt;Settings!$B$5,$I422&lt;&gt;"Y"),"Host should pay upfront",IF($J422&lt;&gt;"Y","Save receipt","OK"))))</f>
        <v/>
      </c>
      <c r="P422" s="29" t="str">
        <f aca="false">IF($A422="","",DATE(YEAR($A422),MONTH($A422),1))</f>
        <v/>
      </c>
      <c r="Q422" s="31" t="str">
        <f aca="false">IF($A422="","",IF(AND($L422='Invoice Builder'!$C$5,$P422='Invoice Builder'!$C$6,N($N422)&gt;0),COUNTIFS($L$5:$L422,'Invoice Builder'!$C$5,$P$5:$P422,'Invoice Builder'!$C$6,$N$5:$N422,"&gt;0"),""))</f>
        <v/>
      </c>
      <c r="R422" s="27" t="str">
        <f aca="false">IF($A422="","",IF($A422&gt;=DATE(YEAR($A422),4,6),YEAR($A422)&amp;"/"&amp;RIGHT(YEAR($A422)+1,2),YEAR($A422)-1&amp;"/"&amp;RIGHT(YEAR($A422),2)))</f>
        <v/>
      </c>
    </row>
    <row r="423" customFormat="false" ht="15" hidden="false" customHeight="false" outlineLevel="0" collapsed="false">
      <c r="A423" s="22"/>
      <c r="B423" s="23"/>
      <c r="C423" s="23"/>
      <c r="D423" s="23"/>
      <c r="E423" s="32"/>
      <c r="F423" s="25"/>
      <c r="G423" s="23"/>
      <c r="H423" s="23"/>
      <c r="I423" s="23"/>
      <c r="J423" s="23"/>
      <c r="K423" s="23"/>
      <c r="L423" s="27" t="str">
        <f aca="false">IF($B423="","",IFERROR(INDEX(Properties!$D$5:$D$104,MATCH($B423,Properties!$A$5:$A$104,0)),"-"))</f>
        <v/>
      </c>
      <c r="M423" s="28" t="str">
        <f aca="false">IF(OR($A423="",N($E423)=0),"",$F423/$E423)</f>
        <v/>
      </c>
      <c r="N423" s="28" t="str">
        <f aca="false">IF($A423="","",IF($H423="Y",$F423*(1+Settings!$B$3),0))</f>
        <v/>
      </c>
      <c r="O423" s="27" t="str">
        <f aca="false">IF($A423="","",IF(AND($H423="Y",$G423&lt;&gt;"Restock",N($M423)&gt;Settings!$B$4,$I423&lt;&gt;"Y"),"Get host OK",IF(AND($H423="Y",$F423&gt;Settings!$B$5,$I423&lt;&gt;"Y"),"Host should pay upfront",IF($J423&lt;&gt;"Y","Save receipt","OK"))))</f>
        <v/>
      </c>
      <c r="P423" s="29" t="str">
        <f aca="false">IF($A423="","",DATE(YEAR($A423),MONTH($A423),1))</f>
        <v/>
      </c>
      <c r="Q423" s="31" t="str">
        <f aca="false">IF($A423="","",IF(AND($L423='Invoice Builder'!$C$5,$P423='Invoice Builder'!$C$6,N($N423)&gt;0),COUNTIFS($L$5:$L423,'Invoice Builder'!$C$5,$P$5:$P423,'Invoice Builder'!$C$6,$N$5:$N423,"&gt;0"),""))</f>
        <v/>
      </c>
      <c r="R423" s="27" t="str">
        <f aca="false">IF($A423="","",IF($A423&gt;=DATE(YEAR($A423),4,6),YEAR($A423)&amp;"/"&amp;RIGHT(YEAR($A423)+1,2),YEAR($A423)-1&amp;"/"&amp;RIGHT(YEAR($A423),2)))</f>
        <v/>
      </c>
    </row>
    <row r="424" customFormat="false" ht="15" hidden="false" customHeight="false" outlineLevel="0" collapsed="false">
      <c r="A424" s="22"/>
      <c r="B424" s="23"/>
      <c r="C424" s="23"/>
      <c r="D424" s="23"/>
      <c r="E424" s="32"/>
      <c r="F424" s="25"/>
      <c r="G424" s="23"/>
      <c r="H424" s="23"/>
      <c r="I424" s="23"/>
      <c r="J424" s="23"/>
      <c r="K424" s="23"/>
      <c r="L424" s="27" t="str">
        <f aca="false">IF($B424="","",IFERROR(INDEX(Properties!$D$5:$D$104,MATCH($B424,Properties!$A$5:$A$104,0)),"-"))</f>
        <v/>
      </c>
      <c r="M424" s="28" t="str">
        <f aca="false">IF(OR($A424="",N($E424)=0),"",$F424/$E424)</f>
        <v/>
      </c>
      <c r="N424" s="28" t="str">
        <f aca="false">IF($A424="","",IF($H424="Y",$F424*(1+Settings!$B$3),0))</f>
        <v/>
      </c>
      <c r="O424" s="27" t="str">
        <f aca="false">IF($A424="","",IF(AND($H424="Y",$G424&lt;&gt;"Restock",N($M424)&gt;Settings!$B$4,$I424&lt;&gt;"Y"),"Get host OK",IF(AND($H424="Y",$F424&gt;Settings!$B$5,$I424&lt;&gt;"Y"),"Host should pay upfront",IF($J424&lt;&gt;"Y","Save receipt","OK"))))</f>
        <v/>
      </c>
      <c r="P424" s="29" t="str">
        <f aca="false">IF($A424="","",DATE(YEAR($A424),MONTH($A424),1))</f>
        <v/>
      </c>
      <c r="Q424" s="31" t="str">
        <f aca="false">IF($A424="","",IF(AND($L424='Invoice Builder'!$C$5,$P424='Invoice Builder'!$C$6,N($N424)&gt;0),COUNTIFS($L$5:$L424,'Invoice Builder'!$C$5,$P$5:$P424,'Invoice Builder'!$C$6,$N$5:$N424,"&gt;0"),""))</f>
        <v/>
      </c>
      <c r="R424" s="27" t="str">
        <f aca="false">IF($A424="","",IF($A424&gt;=DATE(YEAR($A424),4,6),YEAR($A424)&amp;"/"&amp;RIGHT(YEAR($A424)+1,2),YEAR($A424)-1&amp;"/"&amp;RIGHT(YEAR($A424),2)))</f>
        <v/>
      </c>
    </row>
    <row r="425" customFormat="false" ht="15" hidden="false" customHeight="false" outlineLevel="0" collapsed="false">
      <c r="A425" s="22"/>
      <c r="B425" s="23"/>
      <c r="C425" s="23"/>
      <c r="D425" s="23"/>
      <c r="E425" s="32"/>
      <c r="F425" s="25"/>
      <c r="G425" s="23"/>
      <c r="H425" s="23"/>
      <c r="I425" s="23"/>
      <c r="J425" s="23"/>
      <c r="K425" s="23"/>
      <c r="L425" s="27" t="str">
        <f aca="false">IF($B425="","",IFERROR(INDEX(Properties!$D$5:$D$104,MATCH($B425,Properties!$A$5:$A$104,0)),"-"))</f>
        <v/>
      </c>
      <c r="M425" s="28" t="str">
        <f aca="false">IF(OR($A425="",N($E425)=0),"",$F425/$E425)</f>
        <v/>
      </c>
      <c r="N425" s="28" t="str">
        <f aca="false">IF($A425="","",IF($H425="Y",$F425*(1+Settings!$B$3),0))</f>
        <v/>
      </c>
      <c r="O425" s="27" t="str">
        <f aca="false">IF($A425="","",IF(AND($H425="Y",$G425&lt;&gt;"Restock",N($M425)&gt;Settings!$B$4,$I425&lt;&gt;"Y"),"Get host OK",IF(AND($H425="Y",$F425&gt;Settings!$B$5,$I425&lt;&gt;"Y"),"Host should pay upfront",IF($J425&lt;&gt;"Y","Save receipt","OK"))))</f>
        <v/>
      </c>
      <c r="P425" s="29" t="str">
        <f aca="false">IF($A425="","",DATE(YEAR($A425),MONTH($A425),1))</f>
        <v/>
      </c>
      <c r="Q425" s="31" t="str">
        <f aca="false">IF($A425="","",IF(AND($L425='Invoice Builder'!$C$5,$P425='Invoice Builder'!$C$6,N($N425)&gt;0),COUNTIFS($L$5:$L425,'Invoice Builder'!$C$5,$P$5:$P425,'Invoice Builder'!$C$6,$N$5:$N425,"&gt;0"),""))</f>
        <v/>
      </c>
      <c r="R425" s="27" t="str">
        <f aca="false">IF($A425="","",IF($A425&gt;=DATE(YEAR($A425),4,6),YEAR($A425)&amp;"/"&amp;RIGHT(YEAR($A425)+1,2),YEAR($A425)-1&amp;"/"&amp;RIGHT(YEAR($A425),2)))</f>
        <v/>
      </c>
    </row>
    <row r="426" customFormat="false" ht="15" hidden="false" customHeight="false" outlineLevel="0" collapsed="false">
      <c r="A426" s="22"/>
      <c r="B426" s="23"/>
      <c r="C426" s="23"/>
      <c r="D426" s="23"/>
      <c r="E426" s="32"/>
      <c r="F426" s="25"/>
      <c r="G426" s="23"/>
      <c r="H426" s="23"/>
      <c r="I426" s="23"/>
      <c r="J426" s="23"/>
      <c r="K426" s="23"/>
      <c r="L426" s="27" t="str">
        <f aca="false">IF($B426="","",IFERROR(INDEX(Properties!$D$5:$D$104,MATCH($B426,Properties!$A$5:$A$104,0)),"-"))</f>
        <v/>
      </c>
      <c r="M426" s="28" t="str">
        <f aca="false">IF(OR($A426="",N($E426)=0),"",$F426/$E426)</f>
        <v/>
      </c>
      <c r="N426" s="28" t="str">
        <f aca="false">IF($A426="","",IF($H426="Y",$F426*(1+Settings!$B$3),0))</f>
        <v/>
      </c>
      <c r="O426" s="27" t="str">
        <f aca="false">IF($A426="","",IF(AND($H426="Y",$G426&lt;&gt;"Restock",N($M426)&gt;Settings!$B$4,$I426&lt;&gt;"Y"),"Get host OK",IF(AND($H426="Y",$F426&gt;Settings!$B$5,$I426&lt;&gt;"Y"),"Host should pay upfront",IF($J426&lt;&gt;"Y","Save receipt","OK"))))</f>
        <v/>
      </c>
      <c r="P426" s="29" t="str">
        <f aca="false">IF($A426="","",DATE(YEAR($A426),MONTH($A426),1))</f>
        <v/>
      </c>
      <c r="Q426" s="31" t="str">
        <f aca="false">IF($A426="","",IF(AND($L426='Invoice Builder'!$C$5,$P426='Invoice Builder'!$C$6,N($N426)&gt;0),COUNTIFS($L$5:$L426,'Invoice Builder'!$C$5,$P$5:$P426,'Invoice Builder'!$C$6,$N$5:$N426,"&gt;0"),""))</f>
        <v/>
      </c>
      <c r="R426" s="27" t="str">
        <f aca="false">IF($A426="","",IF($A426&gt;=DATE(YEAR($A426),4,6),YEAR($A426)&amp;"/"&amp;RIGHT(YEAR($A426)+1,2),YEAR($A426)-1&amp;"/"&amp;RIGHT(YEAR($A426),2)))</f>
        <v/>
      </c>
    </row>
    <row r="427" customFormat="false" ht="15" hidden="false" customHeight="false" outlineLevel="0" collapsed="false">
      <c r="A427" s="22"/>
      <c r="B427" s="23"/>
      <c r="C427" s="23"/>
      <c r="D427" s="23"/>
      <c r="E427" s="32"/>
      <c r="F427" s="25"/>
      <c r="G427" s="23"/>
      <c r="H427" s="23"/>
      <c r="I427" s="23"/>
      <c r="J427" s="23"/>
      <c r="K427" s="23"/>
      <c r="L427" s="27" t="str">
        <f aca="false">IF($B427="","",IFERROR(INDEX(Properties!$D$5:$D$104,MATCH($B427,Properties!$A$5:$A$104,0)),"-"))</f>
        <v/>
      </c>
      <c r="M427" s="28" t="str">
        <f aca="false">IF(OR($A427="",N($E427)=0),"",$F427/$E427)</f>
        <v/>
      </c>
      <c r="N427" s="28" t="str">
        <f aca="false">IF($A427="","",IF($H427="Y",$F427*(1+Settings!$B$3),0))</f>
        <v/>
      </c>
      <c r="O427" s="27" t="str">
        <f aca="false">IF($A427="","",IF(AND($H427="Y",$G427&lt;&gt;"Restock",N($M427)&gt;Settings!$B$4,$I427&lt;&gt;"Y"),"Get host OK",IF(AND($H427="Y",$F427&gt;Settings!$B$5,$I427&lt;&gt;"Y"),"Host should pay upfront",IF($J427&lt;&gt;"Y","Save receipt","OK"))))</f>
        <v/>
      </c>
      <c r="P427" s="29" t="str">
        <f aca="false">IF($A427="","",DATE(YEAR($A427),MONTH($A427),1))</f>
        <v/>
      </c>
      <c r="Q427" s="31" t="str">
        <f aca="false">IF($A427="","",IF(AND($L427='Invoice Builder'!$C$5,$P427='Invoice Builder'!$C$6,N($N427)&gt;0),COUNTIFS($L$5:$L427,'Invoice Builder'!$C$5,$P$5:$P427,'Invoice Builder'!$C$6,$N$5:$N427,"&gt;0"),""))</f>
        <v/>
      </c>
      <c r="R427" s="27" t="str">
        <f aca="false">IF($A427="","",IF($A427&gt;=DATE(YEAR($A427),4,6),YEAR($A427)&amp;"/"&amp;RIGHT(YEAR($A427)+1,2),YEAR($A427)-1&amp;"/"&amp;RIGHT(YEAR($A427),2)))</f>
        <v/>
      </c>
    </row>
    <row r="428" customFormat="false" ht="15" hidden="false" customHeight="false" outlineLevel="0" collapsed="false">
      <c r="A428" s="22"/>
      <c r="B428" s="23"/>
      <c r="C428" s="23"/>
      <c r="D428" s="23"/>
      <c r="E428" s="32"/>
      <c r="F428" s="25"/>
      <c r="G428" s="23"/>
      <c r="H428" s="23"/>
      <c r="I428" s="23"/>
      <c r="J428" s="23"/>
      <c r="K428" s="23"/>
      <c r="L428" s="27" t="str">
        <f aca="false">IF($B428="","",IFERROR(INDEX(Properties!$D$5:$D$104,MATCH($B428,Properties!$A$5:$A$104,0)),"-"))</f>
        <v/>
      </c>
      <c r="M428" s="28" t="str">
        <f aca="false">IF(OR($A428="",N($E428)=0),"",$F428/$E428)</f>
        <v/>
      </c>
      <c r="N428" s="28" t="str">
        <f aca="false">IF($A428="","",IF($H428="Y",$F428*(1+Settings!$B$3),0))</f>
        <v/>
      </c>
      <c r="O428" s="27" t="str">
        <f aca="false">IF($A428="","",IF(AND($H428="Y",$G428&lt;&gt;"Restock",N($M428)&gt;Settings!$B$4,$I428&lt;&gt;"Y"),"Get host OK",IF(AND($H428="Y",$F428&gt;Settings!$B$5,$I428&lt;&gt;"Y"),"Host should pay upfront",IF($J428&lt;&gt;"Y","Save receipt","OK"))))</f>
        <v/>
      </c>
      <c r="P428" s="29" t="str">
        <f aca="false">IF($A428="","",DATE(YEAR($A428),MONTH($A428),1))</f>
        <v/>
      </c>
      <c r="Q428" s="31" t="str">
        <f aca="false">IF($A428="","",IF(AND($L428='Invoice Builder'!$C$5,$P428='Invoice Builder'!$C$6,N($N428)&gt;0),COUNTIFS($L$5:$L428,'Invoice Builder'!$C$5,$P$5:$P428,'Invoice Builder'!$C$6,$N$5:$N428,"&gt;0"),""))</f>
        <v/>
      </c>
      <c r="R428" s="27" t="str">
        <f aca="false">IF($A428="","",IF($A428&gt;=DATE(YEAR($A428),4,6),YEAR($A428)&amp;"/"&amp;RIGHT(YEAR($A428)+1,2),YEAR($A428)-1&amp;"/"&amp;RIGHT(YEAR($A428),2)))</f>
        <v/>
      </c>
    </row>
    <row r="429" customFormat="false" ht="15" hidden="false" customHeight="false" outlineLevel="0" collapsed="false">
      <c r="A429" s="22"/>
      <c r="B429" s="23"/>
      <c r="C429" s="23"/>
      <c r="D429" s="23"/>
      <c r="E429" s="32"/>
      <c r="F429" s="25"/>
      <c r="G429" s="23"/>
      <c r="H429" s="23"/>
      <c r="I429" s="23"/>
      <c r="J429" s="23"/>
      <c r="K429" s="23"/>
      <c r="L429" s="27" t="str">
        <f aca="false">IF($B429="","",IFERROR(INDEX(Properties!$D$5:$D$104,MATCH($B429,Properties!$A$5:$A$104,0)),"-"))</f>
        <v/>
      </c>
      <c r="M429" s="28" t="str">
        <f aca="false">IF(OR($A429="",N($E429)=0),"",$F429/$E429)</f>
        <v/>
      </c>
      <c r="N429" s="28" t="str">
        <f aca="false">IF($A429="","",IF($H429="Y",$F429*(1+Settings!$B$3),0))</f>
        <v/>
      </c>
      <c r="O429" s="27" t="str">
        <f aca="false">IF($A429="","",IF(AND($H429="Y",$G429&lt;&gt;"Restock",N($M429)&gt;Settings!$B$4,$I429&lt;&gt;"Y"),"Get host OK",IF(AND($H429="Y",$F429&gt;Settings!$B$5,$I429&lt;&gt;"Y"),"Host should pay upfront",IF($J429&lt;&gt;"Y","Save receipt","OK"))))</f>
        <v/>
      </c>
      <c r="P429" s="29" t="str">
        <f aca="false">IF($A429="","",DATE(YEAR($A429),MONTH($A429),1))</f>
        <v/>
      </c>
      <c r="Q429" s="31" t="str">
        <f aca="false">IF($A429="","",IF(AND($L429='Invoice Builder'!$C$5,$P429='Invoice Builder'!$C$6,N($N429)&gt;0),COUNTIFS($L$5:$L429,'Invoice Builder'!$C$5,$P$5:$P429,'Invoice Builder'!$C$6,$N$5:$N429,"&gt;0"),""))</f>
        <v/>
      </c>
      <c r="R429" s="27" t="str">
        <f aca="false">IF($A429="","",IF($A429&gt;=DATE(YEAR($A429),4,6),YEAR($A429)&amp;"/"&amp;RIGHT(YEAR($A429)+1,2),YEAR($A429)-1&amp;"/"&amp;RIGHT(YEAR($A429),2)))</f>
        <v/>
      </c>
    </row>
    <row r="430" customFormat="false" ht="15" hidden="false" customHeight="false" outlineLevel="0" collapsed="false">
      <c r="A430" s="22"/>
      <c r="B430" s="23"/>
      <c r="C430" s="23"/>
      <c r="D430" s="23"/>
      <c r="E430" s="32"/>
      <c r="F430" s="25"/>
      <c r="G430" s="23"/>
      <c r="H430" s="23"/>
      <c r="I430" s="23"/>
      <c r="J430" s="23"/>
      <c r="K430" s="23"/>
      <c r="L430" s="27" t="str">
        <f aca="false">IF($B430="","",IFERROR(INDEX(Properties!$D$5:$D$104,MATCH($B430,Properties!$A$5:$A$104,0)),"-"))</f>
        <v/>
      </c>
      <c r="M430" s="28" t="str">
        <f aca="false">IF(OR($A430="",N($E430)=0),"",$F430/$E430)</f>
        <v/>
      </c>
      <c r="N430" s="28" t="str">
        <f aca="false">IF($A430="","",IF($H430="Y",$F430*(1+Settings!$B$3),0))</f>
        <v/>
      </c>
      <c r="O430" s="27" t="str">
        <f aca="false">IF($A430="","",IF(AND($H430="Y",$G430&lt;&gt;"Restock",N($M430)&gt;Settings!$B$4,$I430&lt;&gt;"Y"),"Get host OK",IF(AND($H430="Y",$F430&gt;Settings!$B$5,$I430&lt;&gt;"Y"),"Host should pay upfront",IF($J430&lt;&gt;"Y","Save receipt","OK"))))</f>
        <v/>
      </c>
      <c r="P430" s="29" t="str">
        <f aca="false">IF($A430="","",DATE(YEAR($A430),MONTH($A430),1))</f>
        <v/>
      </c>
      <c r="Q430" s="31" t="str">
        <f aca="false">IF($A430="","",IF(AND($L430='Invoice Builder'!$C$5,$P430='Invoice Builder'!$C$6,N($N430)&gt;0),COUNTIFS($L$5:$L430,'Invoice Builder'!$C$5,$P$5:$P430,'Invoice Builder'!$C$6,$N$5:$N430,"&gt;0"),""))</f>
        <v/>
      </c>
      <c r="R430" s="27" t="str">
        <f aca="false">IF($A430="","",IF($A430&gt;=DATE(YEAR($A430),4,6),YEAR($A430)&amp;"/"&amp;RIGHT(YEAR($A430)+1,2),YEAR($A430)-1&amp;"/"&amp;RIGHT(YEAR($A430),2)))</f>
        <v/>
      </c>
    </row>
    <row r="431" customFormat="false" ht="15" hidden="false" customHeight="false" outlineLevel="0" collapsed="false">
      <c r="A431" s="22"/>
      <c r="B431" s="23"/>
      <c r="C431" s="23"/>
      <c r="D431" s="23"/>
      <c r="E431" s="32"/>
      <c r="F431" s="25"/>
      <c r="G431" s="23"/>
      <c r="H431" s="23"/>
      <c r="I431" s="23"/>
      <c r="J431" s="23"/>
      <c r="K431" s="23"/>
      <c r="L431" s="27" t="str">
        <f aca="false">IF($B431="","",IFERROR(INDEX(Properties!$D$5:$D$104,MATCH($B431,Properties!$A$5:$A$104,0)),"-"))</f>
        <v/>
      </c>
      <c r="M431" s="28" t="str">
        <f aca="false">IF(OR($A431="",N($E431)=0),"",$F431/$E431)</f>
        <v/>
      </c>
      <c r="N431" s="28" t="str">
        <f aca="false">IF($A431="","",IF($H431="Y",$F431*(1+Settings!$B$3),0))</f>
        <v/>
      </c>
      <c r="O431" s="27" t="str">
        <f aca="false">IF($A431="","",IF(AND($H431="Y",$G431&lt;&gt;"Restock",N($M431)&gt;Settings!$B$4,$I431&lt;&gt;"Y"),"Get host OK",IF(AND($H431="Y",$F431&gt;Settings!$B$5,$I431&lt;&gt;"Y"),"Host should pay upfront",IF($J431&lt;&gt;"Y","Save receipt","OK"))))</f>
        <v/>
      </c>
      <c r="P431" s="29" t="str">
        <f aca="false">IF($A431="","",DATE(YEAR($A431),MONTH($A431),1))</f>
        <v/>
      </c>
      <c r="Q431" s="31" t="str">
        <f aca="false">IF($A431="","",IF(AND($L431='Invoice Builder'!$C$5,$P431='Invoice Builder'!$C$6,N($N431)&gt;0),COUNTIFS($L$5:$L431,'Invoice Builder'!$C$5,$P$5:$P431,'Invoice Builder'!$C$6,$N$5:$N431,"&gt;0"),""))</f>
        <v/>
      </c>
      <c r="R431" s="27" t="str">
        <f aca="false">IF($A431="","",IF($A431&gt;=DATE(YEAR($A431),4,6),YEAR($A431)&amp;"/"&amp;RIGHT(YEAR($A431)+1,2),YEAR($A431)-1&amp;"/"&amp;RIGHT(YEAR($A431),2)))</f>
        <v/>
      </c>
    </row>
    <row r="432" customFormat="false" ht="15" hidden="false" customHeight="false" outlineLevel="0" collapsed="false">
      <c r="A432" s="22"/>
      <c r="B432" s="23"/>
      <c r="C432" s="23"/>
      <c r="D432" s="23"/>
      <c r="E432" s="32"/>
      <c r="F432" s="25"/>
      <c r="G432" s="23"/>
      <c r="H432" s="23"/>
      <c r="I432" s="23"/>
      <c r="J432" s="23"/>
      <c r="K432" s="23"/>
      <c r="L432" s="27" t="str">
        <f aca="false">IF($B432="","",IFERROR(INDEX(Properties!$D$5:$D$104,MATCH($B432,Properties!$A$5:$A$104,0)),"-"))</f>
        <v/>
      </c>
      <c r="M432" s="28" t="str">
        <f aca="false">IF(OR($A432="",N($E432)=0),"",$F432/$E432)</f>
        <v/>
      </c>
      <c r="N432" s="28" t="str">
        <f aca="false">IF($A432="","",IF($H432="Y",$F432*(1+Settings!$B$3),0))</f>
        <v/>
      </c>
      <c r="O432" s="27" t="str">
        <f aca="false">IF($A432="","",IF(AND($H432="Y",$G432&lt;&gt;"Restock",N($M432)&gt;Settings!$B$4,$I432&lt;&gt;"Y"),"Get host OK",IF(AND($H432="Y",$F432&gt;Settings!$B$5,$I432&lt;&gt;"Y"),"Host should pay upfront",IF($J432&lt;&gt;"Y","Save receipt","OK"))))</f>
        <v/>
      </c>
      <c r="P432" s="29" t="str">
        <f aca="false">IF($A432="","",DATE(YEAR($A432),MONTH($A432),1))</f>
        <v/>
      </c>
      <c r="Q432" s="31" t="str">
        <f aca="false">IF($A432="","",IF(AND($L432='Invoice Builder'!$C$5,$P432='Invoice Builder'!$C$6,N($N432)&gt;0),COUNTIFS($L$5:$L432,'Invoice Builder'!$C$5,$P$5:$P432,'Invoice Builder'!$C$6,$N$5:$N432,"&gt;0"),""))</f>
        <v/>
      </c>
      <c r="R432" s="27" t="str">
        <f aca="false">IF($A432="","",IF($A432&gt;=DATE(YEAR($A432),4,6),YEAR($A432)&amp;"/"&amp;RIGHT(YEAR($A432)+1,2),YEAR($A432)-1&amp;"/"&amp;RIGHT(YEAR($A432),2)))</f>
        <v/>
      </c>
    </row>
    <row r="433" customFormat="false" ht="15" hidden="false" customHeight="false" outlineLevel="0" collapsed="false">
      <c r="A433" s="22"/>
      <c r="B433" s="23"/>
      <c r="C433" s="23"/>
      <c r="D433" s="23"/>
      <c r="E433" s="32"/>
      <c r="F433" s="25"/>
      <c r="G433" s="23"/>
      <c r="H433" s="23"/>
      <c r="I433" s="23"/>
      <c r="J433" s="23"/>
      <c r="K433" s="23"/>
      <c r="L433" s="27" t="str">
        <f aca="false">IF($B433="","",IFERROR(INDEX(Properties!$D$5:$D$104,MATCH($B433,Properties!$A$5:$A$104,0)),"-"))</f>
        <v/>
      </c>
      <c r="M433" s="28" t="str">
        <f aca="false">IF(OR($A433="",N($E433)=0),"",$F433/$E433)</f>
        <v/>
      </c>
      <c r="N433" s="28" t="str">
        <f aca="false">IF($A433="","",IF($H433="Y",$F433*(1+Settings!$B$3),0))</f>
        <v/>
      </c>
      <c r="O433" s="27" t="str">
        <f aca="false">IF($A433="","",IF(AND($H433="Y",$G433&lt;&gt;"Restock",N($M433)&gt;Settings!$B$4,$I433&lt;&gt;"Y"),"Get host OK",IF(AND($H433="Y",$F433&gt;Settings!$B$5,$I433&lt;&gt;"Y"),"Host should pay upfront",IF($J433&lt;&gt;"Y","Save receipt","OK"))))</f>
        <v/>
      </c>
      <c r="P433" s="29" t="str">
        <f aca="false">IF($A433="","",DATE(YEAR($A433),MONTH($A433),1))</f>
        <v/>
      </c>
      <c r="Q433" s="31" t="str">
        <f aca="false">IF($A433="","",IF(AND($L433='Invoice Builder'!$C$5,$P433='Invoice Builder'!$C$6,N($N433)&gt;0),COUNTIFS($L$5:$L433,'Invoice Builder'!$C$5,$P$5:$P433,'Invoice Builder'!$C$6,$N$5:$N433,"&gt;0"),""))</f>
        <v/>
      </c>
      <c r="R433" s="27" t="str">
        <f aca="false">IF($A433="","",IF($A433&gt;=DATE(YEAR($A433),4,6),YEAR($A433)&amp;"/"&amp;RIGHT(YEAR($A433)+1,2),YEAR($A433)-1&amp;"/"&amp;RIGHT(YEAR($A433),2)))</f>
        <v/>
      </c>
    </row>
    <row r="434" customFormat="false" ht="15" hidden="false" customHeight="false" outlineLevel="0" collapsed="false">
      <c r="A434" s="22"/>
      <c r="B434" s="23"/>
      <c r="C434" s="23"/>
      <c r="D434" s="23"/>
      <c r="E434" s="32"/>
      <c r="F434" s="25"/>
      <c r="G434" s="23"/>
      <c r="H434" s="23"/>
      <c r="I434" s="23"/>
      <c r="J434" s="23"/>
      <c r="K434" s="23"/>
      <c r="L434" s="27" t="str">
        <f aca="false">IF($B434="","",IFERROR(INDEX(Properties!$D$5:$D$104,MATCH($B434,Properties!$A$5:$A$104,0)),"-"))</f>
        <v/>
      </c>
      <c r="M434" s="28" t="str">
        <f aca="false">IF(OR($A434="",N($E434)=0),"",$F434/$E434)</f>
        <v/>
      </c>
      <c r="N434" s="28" t="str">
        <f aca="false">IF($A434="","",IF($H434="Y",$F434*(1+Settings!$B$3),0))</f>
        <v/>
      </c>
      <c r="O434" s="27" t="str">
        <f aca="false">IF($A434="","",IF(AND($H434="Y",$G434&lt;&gt;"Restock",N($M434)&gt;Settings!$B$4,$I434&lt;&gt;"Y"),"Get host OK",IF(AND($H434="Y",$F434&gt;Settings!$B$5,$I434&lt;&gt;"Y"),"Host should pay upfront",IF($J434&lt;&gt;"Y","Save receipt","OK"))))</f>
        <v/>
      </c>
      <c r="P434" s="29" t="str">
        <f aca="false">IF($A434="","",DATE(YEAR($A434),MONTH($A434),1))</f>
        <v/>
      </c>
      <c r="Q434" s="31" t="str">
        <f aca="false">IF($A434="","",IF(AND($L434='Invoice Builder'!$C$5,$P434='Invoice Builder'!$C$6,N($N434)&gt;0),COUNTIFS($L$5:$L434,'Invoice Builder'!$C$5,$P$5:$P434,'Invoice Builder'!$C$6,$N$5:$N434,"&gt;0"),""))</f>
        <v/>
      </c>
      <c r="R434" s="27" t="str">
        <f aca="false">IF($A434="","",IF($A434&gt;=DATE(YEAR($A434),4,6),YEAR($A434)&amp;"/"&amp;RIGHT(YEAR($A434)+1,2),YEAR($A434)-1&amp;"/"&amp;RIGHT(YEAR($A434),2)))</f>
        <v/>
      </c>
    </row>
    <row r="435" customFormat="false" ht="15" hidden="false" customHeight="false" outlineLevel="0" collapsed="false">
      <c r="A435" s="22"/>
      <c r="B435" s="23"/>
      <c r="C435" s="23"/>
      <c r="D435" s="23"/>
      <c r="E435" s="32"/>
      <c r="F435" s="25"/>
      <c r="G435" s="23"/>
      <c r="H435" s="23"/>
      <c r="I435" s="23"/>
      <c r="J435" s="23"/>
      <c r="K435" s="23"/>
      <c r="L435" s="27" t="str">
        <f aca="false">IF($B435="","",IFERROR(INDEX(Properties!$D$5:$D$104,MATCH($B435,Properties!$A$5:$A$104,0)),"-"))</f>
        <v/>
      </c>
      <c r="M435" s="28" t="str">
        <f aca="false">IF(OR($A435="",N($E435)=0),"",$F435/$E435)</f>
        <v/>
      </c>
      <c r="N435" s="28" t="str">
        <f aca="false">IF($A435="","",IF($H435="Y",$F435*(1+Settings!$B$3),0))</f>
        <v/>
      </c>
      <c r="O435" s="27" t="str">
        <f aca="false">IF($A435="","",IF(AND($H435="Y",$G435&lt;&gt;"Restock",N($M435)&gt;Settings!$B$4,$I435&lt;&gt;"Y"),"Get host OK",IF(AND($H435="Y",$F435&gt;Settings!$B$5,$I435&lt;&gt;"Y"),"Host should pay upfront",IF($J435&lt;&gt;"Y","Save receipt","OK"))))</f>
        <v/>
      </c>
      <c r="P435" s="29" t="str">
        <f aca="false">IF($A435="","",DATE(YEAR($A435),MONTH($A435),1))</f>
        <v/>
      </c>
      <c r="Q435" s="31" t="str">
        <f aca="false">IF($A435="","",IF(AND($L435='Invoice Builder'!$C$5,$P435='Invoice Builder'!$C$6,N($N435)&gt;0),COUNTIFS($L$5:$L435,'Invoice Builder'!$C$5,$P$5:$P435,'Invoice Builder'!$C$6,$N$5:$N435,"&gt;0"),""))</f>
        <v/>
      </c>
      <c r="R435" s="27" t="str">
        <f aca="false">IF($A435="","",IF($A435&gt;=DATE(YEAR($A435),4,6),YEAR($A435)&amp;"/"&amp;RIGHT(YEAR($A435)+1,2),YEAR($A435)-1&amp;"/"&amp;RIGHT(YEAR($A435),2)))</f>
        <v/>
      </c>
    </row>
    <row r="436" customFormat="false" ht="15" hidden="false" customHeight="false" outlineLevel="0" collapsed="false">
      <c r="A436" s="22"/>
      <c r="B436" s="23"/>
      <c r="C436" s="23"/>
      <c r="D436" s="23"/>
      <c r="E436" s="32"/>
      <c r="F436" s="25"/>
      <c r="G436" s="23"/>
      <c r="H436" s="23"/>
      <c r="I436" s="23"/>
      <c r="J436" s="23"/>
      <c r="K436" s="23"/>
      <c r="L436" s="27" t="str">
        <f aca="false">IF($B436="","",IFERROR(INDEX(Properties!$D$5:$D$104,MATCH($B436,Properties!$A$5:$A$104,0)),"-"))</f>
        <v/>
      </c>
      <c r="M436" s="28" t="str">
        <f aca="false">IF(OR($A436="",N($E436)=0),"",$F436/$E436)</f>
        <v/>
      </c>
      <c r="N436" s="28" t="str">
        <f aca="false">IF($A436="","",IF($H436="Y",$F436*(1+Settings!$B$3),0))</f>
        <v/>
      </c>
      <c r="O436" s="27" t="str">
        <f aca="false">IF($A436="","",IF(AND($H436="Y",$G436&lt;&gt;"Restock",N($M436)&gt;Settings!$B$4,$I436&lt;&gt;"Y"),"Get host OK",IF(AND($H436="Y",$F436&gt;Settings!$B$5,$I436&lt;&gt;"Y"),"Host should pay upfront",IF($J436&lt;&gt;"Y","Save receipt","OK"))))</f>
        <v/>
      </c>
      <c r="P436" s="29" t="str">
        <f aca="false">IF($A436="","",DATE(YEAR($A436),MONTH($A436),1))</f>
        <v/>
      </c>
      <c r="Q436" s="31" t="str">
        <f aca="false">IF($A436="","",IF(AND($L436='Invoice Builder'!$C$5,$P436='Invoice Builder'!$C$6,N($N436)&gt;0),COUNTIFS($L$5:$L436,'Invoice Builder'!$C$5,$P$5:$P436,'Invoice Builder'!$C$6,$N$5:$N436,"&gt;0"),""))</f>
        <v/>
      </c>
      <c r="R436" s="27" t="str">
        <f aca="false">IF($A436="","",IF($A436&gt;=DATE(YEAR($A436),4,6),YEAR($A436)&amp;"/"&amp;RIGHT(YEAR($A436)+1,2),YEAR($A436)-1&amp;"/"&amp;RIGHT(YEAR($A436),2)))</f>
        <v/>
      </c>
    </row>
    <row r="437" customFormat="false" ht="15" hidden="false" customHeight="false" outlineLevel="0" collapsed="false">
      <c r="A437" s="22"/>
      <c r="B437" s="23"/>
      <c r="C437" s="23"/>
      <c r="D437" s="23"/>
      <c r="E437" s="32"/>
      <c r="F437" s="25"/>
      <c r="G437" s="23"/>
      <c r="H437" s="23"/>
      <c r="I437" s="23"/>
      <c r="J437" s="23"/>
      <c r="K437" s="23"/>
      <c r="L437" s="27" t="str">
        <f aca="false">IF($B437="","",IFERROR(INDEX(Properties!$D$5:$D$104,MATCH($B437,Properties!$A$5:$A$104,0)),"-"))</f>
        <v/>
      </c>
      <c r="M437" s="28" t="str">
        <f aca="false">IF(OR($A437="",N($E437)=0),"",$F437/$E437)</f>
        <v/>
      </c>
      <c r="N437" s="28" t="str">
        <f aca="false">IF($A437="","",IF($H437="Y",$F437*(1+Settings!$B$3),0))</f>
        <v/>
      </c>
      <c r="O437" s="27" t="str">
        <f aca="false">IF($A437="","",IF(AND($H437="Y",$G437&lt;&gt;"Restock",N($M437)&gt;Settings!$B$4,$I437&lt;&gt;"Y"),"Get host OK",IF(AND($H437="Y",$F437&gt;Settings!$B$5,$I437&lt;&gt;"Y"),"Host should pay upfront",IF($J437&lt;&gt;"Y","Save receipt","OK"))))</f>
        <v/>
      </c>
      <c r="P437" s="29" t="str">
        <f aca="false">IF($A437="","",DATE(YEAR($A437),MONTH($A437),1))</f>
        <v/>
      </c>
      <c r="Q437" s="31" t="str">
        <f aca="false">IF($A437="","",IF(AND($L437='Invoice Builder'!$C$5,$P437='Invoice Builder'!$C$6,N($N437)&gt;0),COUNTIFS($L$5:$L437,'Invoice Builder'!$C$5,$P$5:$P437,'Invoice Builder'!$C$6,$N$5:$N437,"&gt;0"),""))</f>
        <v/>
      </c>
      <c r="R437" s="27" t="str">
        <f aca="false">IF($A437="","",IF($A437&gt;=DATE(YEAR($A437),4,6),YEAR($A437)&amp;"/"&amp;RIGHT(YEAR($A437)+1,2),YEAR($A437)-1&amp;"/"&amp;RIGHT(YEAR($A437),2)))</f>
        <v/>
      </c>
    </row>
    <row r="438" customFormat="false" ht="15" hidden="false" customHeight="false" outlineLevel="0" collapsed="false">
      <c r="A438" s="22"/>
      <c r="B438" s="23"/>
      <c r="C438" s="23"/>
      <c r="D438" s="23"/>
      <c r="E438" s="32"/>
      <c r="F438" s="25"/>
      <c r="G438" s="23"/>
      <c r="H438" s="23"/>
      <c r="I438" s="23"/>
      <c r="J438" s="23"/>
      <c r="K438" s="23"/>
      <c r="L438" s="27" t="str">
        <f aca="false">IF($B438="","",IFERROR(INDEX(Properties!$D$5:$D$104,MATCH($B438,Properties!$A$5:$A$104,0)),"-"))</f>
        <v/>
      </c>
      <c r="M438" s="28" t="str">
        <f aca="false">IF(OR($A438="",N($E438)=0),"",$F438/$E438)</f>
        <v/>
      </c>
      <c r="N438" s="28" t="str">
        <f aca="false">IF($A438="","",IF($H438="Y",$F438*(1+Settings!$B$3),0))</f>
        <v/>
      </c>
      <c r="O438" s="27" t="str">
        <f aca="false">IF($A438="","",IF(AND($H438="Y",$G438&lt;&gt;"Restock",N($M438)&gt;Settings!$B$4,$I438&lt;&gt;"Y"),"Get host OK",IF(AND($H438="Y",$F438&gt;Settings!$B$5,$I438&lt;&gt;"Y"),"Host should pay upfront",IF($J438&lt;&gt;"Y","Save receipt","OK"))))</f>
        <v/>
      </c>
      <c r="P438" s="29" t="str">
        <f aca="false">IF($A438="","",DATE(YEAR($A438),MONTH($A438),1))</f>
        <v/>
      </c>
      <c r="Q438" s="31" t="str">
        <f aca="false">IF($A438="","",IF(AND($L438='Invoice Builder'!$C$5,$P438='Invoice Builder'!$C$6,N($N438)&gt;0),COUNTIFS($L$5:$L438,'Invoice Builder'!$C$5,$P$5:$P438,'Invoice Builder'!$C$6,$N$5:$N438,"&gt;0"),""))</f>
        <v/>
      </c>
      <c r="R438" s="27" t="str">
        <f aca="false">IF($A438="","",IF($A438&gt;=DATE(YEAR($A438),4,6),YEAR($A438)&amp;"/"&amp;RIGHT(YEAR($A438)+1,2),YEAR($A438)-1&amp;"/"&amp;RIGHT(YEAR($A438),2)))</f>
        <v/>
      </c>
    </row>
    <row r="439" customFormat="false" ht="15" hidden="false" customHeight="false" outlineLevel="0" collapsed="false">
      <c r="A439" s="22"/>
      <c r="B439" s="23"/>
      <c r="C439" s="23"/>
      <c r="D439" s="23"/>
      <c r="E439" s="32"/>
      <c r="F439" s="25"/>
      <c r="G439" s="23"/>
      <c r="H439" s="23"/>
      <c r="I439" s="23"/>
      <c r="J439" s="23"/>
      <c r="K439" s="23"/>
      <c r="L439" s="27" t="str">
        <f aca="false">IF($B439="","",IFERROR(INDEX(Properties!$D$5:$D$104,MATCH($B439,Properties!$A$5:$A$104,0)),"-"))</f>
        <v/>
      </c>
      <c r="M439" s="28" t="str">
        <f aca="false">IF(OR($A439="",N($E439)=0),"",$F439/$E439)</f>
        <v/>
      </c>
      <c r="N439" s="28" t="str">
        <f aca="false">IF($A439="","",IF($H439="Y",$F439*(1+Settings!$B$3),0))</f>
        <v/>
      </c>
      <c r="O439" s="27" t="str">
        <f aca="false">IF($A439="","",IF(AND($H439="Y",$G439&lt;&gt;"Restock",N($M439)&gt;Settings!$B$4,$I439&lt;&gt;"Y"),"Get host OK",IF(AND($H439="Y",$F439&gt;Settings!$B$5,$I439&lt;&gt;"Y"),"Host should pay upfront",IF($J439&lt;&gt;"Y","Save receipt","OK"))))</f>
        <v/>
      </c>
      <c r="P439" s="29" t="str">
        <f aca="false">IF($A439="","",DATE(YEAR($A439),MONTH($A439),1))</f>
        <v/>
      </c>
      <c r="Q439" s="31" t="str">
        <f aca="false">IF($A439="","",IF(AND($L439='Invoice Builder'!$C$5,$P439='Invoice Builder'!$C$6,N($N439)&gt;0),COUNTIFS($L$5:$L439,'Invoice Builder'!$C$5,$P$5:$P439,'Invoice Builder'!$C$6,$N$5:$N439,"&gt;0"),""))</f>
        <v/>
      </c>
      <c r="R439" s="27" t="str">
        <f aca="false">IF($A439="","",IF($A439&gt;=DATE(YEAR($A439),4,6),YEAR($A439)&amp;"/"&amp;RIGHT(YEAR($A439)+1,2),YEAR($A439)-1&amp;"/"&amp;RIGHT(YEAR($A439),2)))</f>
        <v/>
      </c>
    </row>
    <row r="440" customFormat="false" ht="15" hidden="false" customHeight="false" outlineLevel="0" collapsed="false">
      <c r="A440" s="22"/>
      <c r="B440" s="23"/>
      <c r="C440" s="23"/>
      <c r="D440" s="23"/>
      <c r="E440" s="32"/>
      <c r="F440" s="25"/>
      <c r="G440" s="23"/>
      <c r="H440" s="23"/>
      <c r="I440" s="23"/>
      <c r="J440" s="23"/>
      <c r="K440" s="23"/>
      <c r="L440" s="27" t="str">
        <f aca="false">IF($B440="","",IFERROR(INDEX(Properties!$D$5:$D$104,MATCH($B440,Properties!$A$5:$A$104,0)),"-"))</f>
        <v/>
      </c>
      <c r="M440" s="28" t="str">
        <f aca="false">IF(OR($A440="",N($E440)=0),"",$F440/$E440)</f>
        <v/>
      </c>
      <c r="N440" s="28" t="str">
        <f aca="false">IF($A440="","",IF($H440="Y",$F440*(1+Settings!$B$3),0))</f>
        <v/>
      </c>
      <c r="O440" s="27" t="str">
        <f aca="false">IF($A440="","",IF(AND($H440="Y",$G440&lt;&gt;"Restock",N($M440)&gt;Settings!$B$4,$I440&lt;&gt;"Y"),"Get host OK",IF(AND($H440="Y",$F440&gt;Settings!$B$5,$I440&lt;&gt;"Y"),"Host should pay upfront",IF($J440&lt;&gt;"Y","Save receipt","OK"))))</f>
        <v/>
      </c>
      <c r="P440" s="29" t="str">
        <f aca="false">IF($A440="","",DATE(YEAR($A440),MONTH($A440),1))</f>
        <v/>
      </c>
      <c r="Q440" s="31" t="str">
        <f aca="false">IF($A440="","",IF(AND($L440='Invoice Builder'!$C$5,$P440='Invoice Builder'!$C$6,N($N440)&gt;0),COUNTIFS($L$5:$L440,'Invoice Builder'!$C$5,$P$5:$P440,'Invoice Builder'!$C$6,$N$5:$N440,"&gt;0"),""))</f>
        <v/>
      </c>
      <c r="R440" s="27" t="str">
        <f aca="false">IF($A440="","",IF($A440&gt;=DATE(YEAR($A440),4,6),YEAR($A440)&amp;"/"&amp;RIGHT(YEAR($A440)+1,2),YEAR($A440)-1&amp;"/"&amp;RIGHT(YEAR($A440),2)))</f>
        <v/>
      </c>
    </row>
    <row r="441" customFormat="false" ht="15" hidden="false" customHeight="false" outlineLevel="0" collapsed="false">
      <c r="A441" s="22"/>
      <c r="B441" s="23"/>
      <c r="C441" s="23"/>
      <c r="D441" s="23"/>
      <c r="E441" s="32"/>
      <c r="F441" s="25"/>
      <c r="G441" s="23"/>
      <c r="H441" s="23"/>
      <c r="I441" s="23"/>
      <c r="J441" s="23"/>
      <c r="K441" s="23"/>
      <c r="L441" s="27" t="str">
        <f aca="false">IF($B441="","",IFERROR(INDEX(Properties!$D$5:$D$104,MATCH($B441,Properties!$A$5:$A$104,0)),"-"))</f>
        <v/>
      </c>
      <c r="M441" s="28" t="str">
        <f aca="false">IF(OR($A441="",N($E441)=0),"",$F441/$E441)</f>
        <v/>
      </c>
      <c r="N441" s="28" t="str">
        <f aca="false">IF($A441="","",IF($H441="Y",$F441*(1+Settings!$B$3),0))</f>
        <v/>
      </c>
      <c r="O441" s="27" t="str">
        <f aca="false">IF($A441="","",IF(AND($H441="Y",$G441&lt;&gt;"Restock",N($M441)&gt;Settings!$B$4,$I441&lt;&gt;"Y"),"Get host OK",IF(AND($H441="Y",$F441&gt;Settings!$B$5,$I441&lt;&gt;"Y"),"Host should pay upfront",IF($J441&lt;&gt;"Y","Save receipt","OK"))))</f>
        <v/>
      </c>
      <c r="P441" s="29" t="str">
        <f aca="false">IF($A441="","",DATE(YEAR($A441),MONTH($A441),1))</f>
        <v/>
      </c>
      <c r="Q441" s="31" t="str">
        <f aca="false">IF($A441="","",IF(AND($L441='Invoice Builder'!$C$5,$P441='Invoice Builder'!$C$6,N($N441)&gt;0),COUNTIFS($L$5:$L441,'Invoice Builder'!$C$5,$P$5:$P441,'Invoice Builder'!$C$6,$N$5:$N441,"&gt;0"),""))</f>
        <v/>
      </c>
      <c r="R441" s="27" t="str">
        <f aca="false">IF($A441="","",IF($A441&gt;=DATE(YEAR($A441),4,6),YEAR($A441)&amp;"/"&amp;RIGHT(YEAR($A441)+1,2),YEAR($A441)-1&amp;"/"&amp;RIGHT(YEAR($A441),2)))</f>
        <v/>
      </c>
    </row>
    <row r="442" customFormat="false" ht="15" hidden="false" customHeight="false" outlineLevel="0" collapsed="false">
      <c r="A442" s="22"/>
      <c r="B442" s="23"/>
      <c r="C442" s="23"/>
      <c r="D442" s="23"/>
      <c r="E442" s="32"/>
      <c r="F442" s="25"/>
      <c r="G442" s="23"/>
      <c r="H442" s="23"/>
      <c r="I442" s="23"/>
      <c r="J442" s="23"/>
      <c r="K442" s="23"/>
      <c r="L442" s="27" t="str">
        <f aca="false">IF($B442="","",IFERROR(INDEX(Properties!$D$5:$D$104,MATCH($B442,Properties!$A$5:$A$104,0)),"-"))</f>
        <v/>
      </c>
      <c r="M442" s="28" t="str">
        <f aca="false">IF(OR($A442="",N($E442)=0),"",$F442/$E442)</f>
        <v/>
      </c>
      <c r="N442" s="28" t="str">
        <f aca="false">IF($A442="","",IF($H442="Y",$F442*(1+Settings!$B$3),0))</f>
        <v/>
      </c>
      <c r="O442" s="27" t="str">
        <f aca="false">IF($A442="","",IF(AND($H442="Y",$G442&lt;&gt;"Restock",N($M442)&gt;Settings!$B$4,$I442&lt;&gt;"Y"),"Get host OK",IF(AND($H442="Y",$F442&gt;Settings!$B$5,$I442&lt;&gt;"Y"),"Host should pay upfront",IF($J442&lt;&gt;"Y","Save receipt","OK"))))</f>
        <v/>
      </c>
      <c r="P442" s="29" t="str">
        <f aca="false">IF($A442="","",DATE(YEAR($A442),MONTH($A442),1))</f>
        <v/>
      </c>
      <c r="Q442" s="31" t="str">
        <f aca="false">IF($A442="","",IF(AND($L442='Invoice Builder'!$C$5,$P442='Invoice Builder'!$C$6,N($N442)&gt;0),COUNTIFS($L$5:$L442,'Invoice Builder'!$C$5,$P$5:$P442,'Invoice Builder'!$C$6,$N$5:$N442,"&gt;0"),""))</f>
        <v/>
      </c>
      <c r="R442" s="27" t="str">
        <f aca="false">IF($A442="","",IF($A442&gt;=DATE(YEAR($A442),4,6),YEAR($A442)&amp;"/"&amp;RIGHT(YEAR($A442)+1,2),YEAR($A442)-1&amp;"/"&amp;RIGHT(YEAR($A442),2)))</f>
        <v/>
      </c>
    </row>
    <row r="443" customFormat="false" ht="15" hidden="false" customHeight="false" outlineLevel="0" collapsed="false">
      <c r="A443" s="22"/>
      <c r="B443" s="23"/>
      <c r="C443" s="23"/>
      <c r="D443" s="23"/>
      <c r="E443" s="32"/>
      <c r="F443" s="25"/>
      <c r="G443" s="23"/>
      <c r="H443" s="23"/>
      <c r="I443" s="23"/>
      <c r="J443" s="23"/>
      <c r="K443" s="23"/>
      <c r="L443" s="27" t="str">
        <f aca="false">IF($B443="","",IFERROR(INDEX(Properties!$D$5:$D$104,MATCH($B443,Properties!$A$5:$A$104,0)),"-"))</f>
        <v/>
      </c>
      <c r="M443" s="28" t="str">
        <f aca="false">IF(OR($A443="",N($E443)=0),"",$F443/$E443)</f>
        <v/>
      </c>
      <c r="N443" s="28" t="str">
        <f aca="false">IF($A443="","",IF($H443="Y",$F443*(1+Settings!$B$3),0))</f>
        <v/>
      </c>
      <c r="O443" s="27" t="str">
        <f aca="false">IF($A443="","",IF(AND($H443="Y",$G443&lt;&gt;"Restock",N($M443)&gt;Settings!$B$4,$I443&lt;&gt;"Y"),"Get host OK",IF(AND($H443="Y",$F443&gt;Settings!$B$5,$I443&lt;&gt;"Y"),"Host should pay upfront",IF($J443&lt;&gt;"Y","Save receipt","OK"))))</f>
        <v/>
      </c>
      <c r="P443" s="29" t="str">
        <f aca="false">IF($A443="","",DATE(YEAR($A443),MONTH($A443),1))</f>
        <v/>
      </c>
      <c r="Q443" s="31" t="str">
        <f aca="false">IF($A443="","",IF(AND($L443='Invoice Builder'!$C$5,$P443='Invoice Builder'!$C$6,N($N443)&gt;0),COUNTIFS($L$5:$L443,'Invoice Builder'!$C$5,$P$5:$P443,'Invoice Builder'!$C$6,$N$5:$N443,"&gt;0"),""))</f>
        <v/>
      </c>
      <c r="R443" s="27" t="str">
        <f aca="false">IF($A443="","",IF($A443&gt;=DATE(YEAR($A443),4,6),YEAR($A443)&amp;"/"&amp;RIGHT(YEAR($A443)+1,2),YEAR($A443)-1&amp;"/"&amp;RIGHT(YEAR($A443),2)))</f>
        <v/>
      </c>
    </row>
    <row r="444" customFormat="false" ht="15" hidden="false" customHeight="false" outlineLevel="0" collapsed="false">
      <c r="A444" s="22"/>
      <c r="B444" s="23"/>
      <c r="C444" s="23"/>
      <c r="D444" s="23"/>
      <c r="E444" s="32"/>
      <c r="F444" s="25"/>
      <c r="G444" s="23"/>
      <c r="H444" s="23"/>
      <c r="I444" s="23"/>
      <c r="J444" s="23"/>
      <c r="K444" s="23"/>
      <c r="L444" s="27" t="str">
        <f aca="false">IF($B444="","",IFERROR(INDEX(Properties!$D$5:$D$104,MATCH($B444,Properties!$A$5:$A$104,0)),"-"))</f>
        <v/>
      </c>
      <c r="M444" s="28" t="str">
        <f aca="false">IF(OR($A444="",N($E444)=0),"",$F444/$E444)</f>
        <v/>
      </c>
      <c r="N444" s="28" t="str">
        <f aca="false">IF($A444="","",IF($H444="Y",$F444*(1+Settings!$B$3),0))</f>
        <v/>
      </c>
      <c r="O444" s="27" t="str">
        <f aca="false">IF($A444="","",IF(AND($H444="Y",$G444&lt;&gt;"Restock",N($M444)&gt;Settings!$B$4,$I444&lt;&gt;"Y"),"Get host OK",IF(AND($H444="Y",$F444&gt;Settings!$B$5,$I444&lt;&gt;"Y"),"Host should pay upfront",IF($J444&lt;&gt;"Y","Save receipt","OK"))))</f>
        <v/>
      </c>
      <c r="P444" s="29" t="str">
        <f aca="false">IF($A444="","",DATE(YEAR($A444),MONTH($A444),1))</f>
        <v/>
      </c>
      <c r="Q444" s="31" t="str">
        <f aca="false">IF($A444="","",IF(AND($L444='Invoice Builder'!$C$5,$P444='Invoice Builder'!$C$6,N($N444)&gt;0),COUNTIFS($L$5:$L444,'Invoice Builder'!$C$5,$P$5:$P444,'Invoice Builder'!$C$6,$N$5:$N444,"&gt;0"),""))</f>
        <v/>
      </c>
      <c r="R444" s="27" t="str">
        <f aca="false">IF($A444="","",IF($A444&gt;=DATE(YEAR($A444),4,6),YEAR($A444)&amp;"/"&amp;RIGHT(YEAR($A444)+1,2),YEAR($A444)-1&amp;"/"&amp;RIGHT(YEAR($A444),2)))</f>
        <v/>
      </c>
    </row>
    <row r="445" customFormat="false" ht="15" hidden="false" customHeight="false" outlineLevel="0" collapsed="false">
      <c r="A445" s="22"/>
      <c r="B445" s="23"/>
      <c r="C445" s="23"/>
      <c r="D445" s="23"/>
      <c r="E445" s="32"/>
      <c r="F445" s="25"/>
      <c r="G445" s="23"/>
      <c r="H445" s="23"/>
      <c r="I445" s="23"/>
      <c r="J445" s="23"/>
      <c r="K445" s="23"/>
      <c r="L445" s="27" t="str">
        <f aca="false">IF($B445="","",IFERROR(INDEX(Properties!$D$5:$D$104,MATCH($B445,Properties!$A$5:$A$104,0)),"-"))</f>
        <v/>
      </c>
      <c r="M445" s="28" t="str">
        <f aca="false">IF(OR($A445="",N($E445)=0),"",$F445/$E445)</f>
        <v/>
      </c>
      <c r="N445" s="28" t="str">
        <f aca="false">IF($A445="","",IF($H445="Y",$F445*(1+Settings!$B$3),0))</f>
        <v/>
      </c>
      <c r="O445" s="27" t="str">
        <f aca="false">IF($A445="","",IF(AND($H445="Y",$G445&lt;&gt;"Restock",N($M445)&gt;Settings!$B$4,$I445&lt;&gt;"Y"),"Get host OK",IF(AND($H445="Y",$F445&gt;Settings!$B$5,$I445&lt;&gt;"Y"),"Host should pay upfront",IF($J445&lt;&gt;"Y","Save receipt","OK"))))</f>
        <v/>
      </c>
      <c r="P445" s="29" t="str">
        <f aca="false">IF($A445="","",DATE(YEAR($A445),MONTH($A445),1))</f>
        <v/>
      </c>
      <c r="Q445" s="31" t="str">
        <f aca="false">IF($A445="","",IF(AND($L445='Invoice Builder'!$C$5,$P445='Invoice Builder'!$C$6,N($N445)&gt;0),COUNTIFS($L$5:$L445,'Invoice Builder'!$C$5,$P$5:$P445,'Invoice Builder'!$C$6,$N$5:$N445,"&gt;0"),""))</f>
        <v/>
      </c>
      <c r="R445" s="27" t="str">
        <f aca="false">IF($A445="","",IF($A445&gt;=DATE(YEAR($A445),4,6),YEAR($A445)&amp;"/"&amp;RIGHT(YEAR($A445)+1,2),YEAR($A445)-1&amp;"/"&amp;RIGHT(YEAR($A445),2)))</f>
        <v/>
      </c>
    </row>
    <row r="446" customFormat="false" ht="15" hidden="false" customHeight="false" outlineLevel="0" collapsed="false">
      <c r="A446" s="22"/>
      <c r="B446" s="23"/>
      <c r="C446" s="23"/>
      <c r="D446" s="23"/>
      <c r="E446" s="32"/>
      <c r="F446" s="25"/>
      <c r="G446" s="23"/>
      <c r="H446" s="23"/>
      <c r="I446" s="23"/>
      <c r="J446" s="23"/>
      <c r="K446" s="23"/>
      <c r="L446" s="27" t="str">
        <f aca="false">IF($B446="","",IFERROR(INDEX(Properties!$D$5:$D$104,MATCH($B446,Properties!$A$5:$A$104,0)),"-"))</f>
        <v/>
      </c>
      <c r="M446" s="28" t="str">
        <f aca="false">IF(OR($A446="",N($E446)=0),"",$F446/$E446)</f>
        <v/>
      </c>
      <c r="N446" s="28" t="str">
        <f aca="false">IF($A446="","",IF($H446="Y",$F446*(1+Settings!$B$3),0))</f>
        <v/>
      </c>
      <c r="O446" s="27" t="str">
        <f aca="false">IF($A446="","",IF(AND($H446="Y",$G446&lt;&gt;"Restock",N($M446)&gt;Settings!$B$4,$I446&lt;&gt;"Y"),"Get host OK",IF(AND($H446="Y",$F446&gt;Settings!$B$5,$I446&lt;&gt;"Y"),"Host should pay upfront",IF($J446&lt;&gt;"Y","Save receipt","OK"))))</f>
        <v/>
      </c>
      <c r="P446" s="29" t="str">
        <f aca="false">IF($A446="","",DATE(YEAR($A446),MONTH($A446),1))</f>
        <v/>
      </c>
      <c r="Q446" s="31" t="str">
        <f aca="false">IF($A446="","",IF(AND($L446='Invoice Builder'!$C$5,$P446='Invoice Builder'!$C$6,N($N446)&gt;0),COUNTIFS($L$5:$L446,'Invoice Builder'!$C$5,$P$5:$P446,'Invoice Builder'!$C$6,$N$5:$N446,"&gt;0"),""))</f>
        <v/>
      </c>
      <c r="R446" s="27" t="str">
        <f aca="false">IF($A446="","",IF($A446&gt;=DATE(YEAR($A446),4,6),YEAR($A446)&amp;"/"&amp;RIGHT(YEAR($A446)+1,2),YEAR($A446)-1&amp;"/"&amp;RIGHT(YEAR($A446),2)))</f>
        <v/>
      </c>
    </row>
    <row r="447" customFormat="false" ht="15" hidden="false" customHeight="false" outlineLevel="0" collapsed="false">
      <c r="A447" s="22"/>
      <c r="B447" s="23"/>
      <c r="C447" s="23"/>
      <c r="D447" s="23"/>
      <c r="E447" s="32"/>
      <c r="F447" s="25"/>
      <c r="G447" s="23"/>
      <c r="H447" s="23"/>
      <c r="I447" s="23"/>
      <c r="J447" s="23"/>
      <c r="K447" s="23"/>
      <c r="L447" s="27" t="str">
        <f aca="false">IF($B447="","",IFERROR(INDEX(Properties!$D$5:$D$104,MATCH($B447,Properties!$A$5:$A$104,0)),"-"))</f>
        <v/>
      </c>
      <c r="M447" s="28" t="str">
        <f aca="false">IF(OR($A447="",N($E447)=0),"",$F447/$E447)</f>
        <v/>
      </c>
      <c r="N447" s="28" t="str">
        <f aca="false">IF($A447="","",IF($H447="Y",$F447*(1+Settings!$B$3),0))</f>
        <v/>
      </c>
      <c r="O447" s="27" t="str">
        <f aca="false">IF($A447="","",IF(AND($H447="Y",$G447&lt;&gt;"Restock",N($M447)&gt;Settings!$B$4,$I447&lt;&gt;"Y"),"Get host OK",IF(AND($H447="Y",$F447&gt;Settings!$B$5,$I447&lt;&gt;"Y"),"Host should pay upfront",IF($J447&lt;&gt;"Y","Save receipt","OK"))))</f>
        <v/>
      </c>
      <c r="P447" s="29" t="str">
        <f aca="false">IF($A447="","",DATE(YEAR($A447),MONTH($A447),1))</f>
        <v/>
      </c>
      <c r="Q447" s="31" t="str">
        <f aca="false">IF($A447="","",IF(AND($L447='Invoice Builder'!$C$5,$P447='Invoice Builder'!$C$6,N($N447)&gt;0),COUNTIFS($L$5:$L447,'Invoice Builder'!$C$5,$P$5:$P447,'Invoice Builder'!$C$6,$N$5:$N447,"&gt;0"),""))</f>
        <v/>
      </c>
      <c r="R447" s="27" t="str">
        <f aca="false">IF($A447="","",IF($A447&gt;=DATE(YEAR($A447),4,6),YEAR($A447)&amp;"/"&amp;RIGHT(YEAR($A447)+1,2),YEAR($A447)-1&amp;"/"&amp;RIGHT(YEAR($A447),2)))</f>
        <v/>
      </c>
    </row>
    <row r="448" customFormat="false" ht="15" hidden="false" customHeight="false" outlineLevel="0" collapsed="false">
      <c r="A448" s="22"/>
      <c r="B448" s="23"/>
      <c r="C448" s="23"/>
      <c r="D448" s="23"/>
      <c r="E448" s="32"/>
      <c r="F448" s="25"/>
      <c r="G448" s="23"/>
      <c r="H448" s="23"/>
      <c r="I448" s="23"/>
      <c r="J448" s="23"/>
      <c r="K448" s="23"/>
      <c r="L448" s="27" t="str">
        <f aca="false">IF($B448="","",IFERROR(INDEX(Properties!$D$5:$D$104,MATCH($B448,Properties!$A$5:$A$104,0)),"-"))</f>
        <v/>
      </c>
      <c r="M448" s="28" t="str">
        <f aca="false">IF(OR($A448="",N($E448)=0),"",$F448/$E448)</f>
        <v/>
      </c>
      <c r="N448" s="28" t="str">
        <f aca="false">IF($A448="","",IF($H448="Y",$F448*(1+Settings!$B$3),0))</f>
        <v/>
      </c>
      <c r="O448" s="27" t="str">
        <f aca="false">IF($A448="","",IF(AND($H448="Y",$G448&lt;&gt;"Restock",N($M448)&gt;Settings!$B$4,$I448&lt;&gt;"Y"),"Get host OK",IF(AND($H448="Y",$F448&gt;Settings!$B$5,$I448&lt;&gt;"Y"),"Host should pay upfront",IF($J448&lt;&gt;"Y","Save receipt","OK"))))</f>
        <v/>
      </c>
      <c r="P448" s="29" t="str">
        <f aca="false">IF($A448="","",DATE(YEAR($A448),MONTH($A448),1))</f>
        <v/>
      </c>
      <c r="Q448" s="31" t="str">
        <f aca="false">IF($A448="","",IF(AND($L448='Invoice Builder'!$C$5,$P448='Invoice Builder'!$C$6,N($N448)&gt;0),COUNTIFS($L$5:$L448,'Invoice Builder'!$C$5,$P$5:$P448,'Invoice Builder'!$C$6,$N$5:$N448,"&gt;0"),""))</f>
        <v/>
      </c>
      <c r="R448" s="27" t="str">
        <f aca="false">IF($A448="","",IF($A448&gt;=DATE(YEAR($A448),4,6),YEAR($A448)&amp;"/"&amp;RIGHT(YEAR($A448)+1,2),YEAR($A448)-1&amp;"/"&amp;RIGHT(YEAR($A448),2)))</f>
        <v/>
      </c>
    </row>
    <row r="449" customFormat="false" ht="15" hidden="false" customHeight="false" outlineLevel="0" collapsed="false">
      <c r="A449" s="22"/>
      <c r="B449" s="23"/>
      <c r="C449" s="23"/>
      <c r="D449" s="23"/>
      <c r="E449" s="32"/>
      <c r="F449" s="25"/>
      <c r="G449" s="23"/>
      <c r="H449" s="23"/>
      <c r="I449" s="23"/>
      <c r="J449" s="23"/>
      <c r="K449" s="23"/>
      <c r="L449" s="27" t="str">
        <f aca="false">IF($B449="","",IFERROR(INDEX(Properties!$D$5:$D$104,MATCH($B449,Properties!$A$5:$A$104,0)),"-"))</f>
        <v/>
      </c>
      <c r="M449" s="28" t="str">
        <f aca="false">IF(OR($A449="",N($E449)=0),"",$F449/$E449)</f>
        <v/>
      </c>
      <c r="N449" s="28" t="str">
        <f aca="false">IF($A449="","",IF($H449="Y",$F449*(1+Settings!$B$3),0))</f>
        <v/>
      </c>
      <c r="O449" s="27" t="str">
        <f aca="false">IF($A449="","",IF(AND($H449="Y",$G449&lt;&gt;"Restock",N($M449)&gt;Settings!$B$4,$I449&lt;&gt;"Y"),"Get host OK",IF(AND($H449="Y",$F449&gt;Settings!$B$5,$I449&lt;&gt;"Y"),"Host should pay upfront",IF($J449&lt;&gt;"Y","Save receipt","OK"))))</f>
        <v/>
      </c>
      <c r="P449" s="29" t="str">
        <f aca="false">IF($A449="","",DATE(YEAR($A449),MONTH($A449),1))</f>
        <v/>
      </c>
      <c r="Q449" s="31" t="str">
        <f aca="false">IF($A449="","",IF(AND($L449='Invoice Builder'!$C$5,$P449='Invoice Builder'!$C$6,N($N449)&gt;0),COUNTIFS($L$5:$L449,'Invoice Builder'!$C$5,$P$5:$P449,'Invoice Builder'!$C$6,$N$5:$N449,"&gt;0"),""))</f>
        <v/>
      </c>
      <c r="R449" s="27" t="str">
        <f aca="false">IF($A449="","",IF($A449&gt;=DATE(YEAR($A449),4,6),YEAR($A449)&amp;"/"&amp;RIGHT(YEAR($A449)+1,2),YEAR($A449)-1&amp;"/"&amp;RIGHT(YEAR($A449),2)))</f>
        <v/>
      </c>
    </row>
    <row r="450" customFormat="false" ht="15" hidden="false" customHeight="false" outlineLevel="0" collapsed="false">
      <c r="A450" s="22"/>
      <c r="B450" s="23"/>
      <c r="C450" s="23"/>
      <c r="D450" s="23"/>
      <c r="E450" s="32"/>
      <c r="F450" s="25"/>
      <c r="G450" s="23"/>
      <c r="H450" s="23"/>
      <c r="I450" s="23"/>
      <c r="J450" s="23"/>
      <c r="K450" s="23"/>
      <c r="L450" s="27" t="str">
        <f aca="false">IF($B450="","",IFERROR(INDEX(Properties!$D$5:$D$104,MATCH($B450,Properties!$A$5:$A$104,0)),"-"))</f>
        <v/>
      </c>
      <c r="M450" s="28" t="str">
        <f aca="false">IF(OR($A450="",N($E450)=0),"",$F450/$E450)</f>
        <v/>
      </c>
      <c r="N450" s="28" t="str">
        <f aca="false">IF($A450="","",IF($H450="Y",$F450*(1+Settings!$B$3),0))</f>
        <v/>
      </c>
      <c r="O450" s="27" t="str">
        <f aca="false">IF($A450="","",IF(AND($H450="Y",$G450&lt;&gt;"Restock",N($M450)&gt;Settings!$B$4,$I450&lt;&gt;"Y"),"Get host OK",IF(AND($H450="Y",$F450&gt;Settings!$B$5,$I450&lt;&gt;"Y"),"Host should pay upfront",IF($J450&lt;&gt;"Y","Save receipt","OK"))))</f>
        <v/>
      </c>
      <c r="P450" s="29" t="str">
        <f aca="false">IF($A450="","",DATE(YEAR($A450),MONTH($A450),1))</f>
        <v/>
      </c>
      <c r="Q450" s="31" t="str">
        <f aca="false">IF($A450="","",IF(AND($L450='Invoice Builder'!$C$5,$P450='Invoice Builder'!$C$6,N($N450)&gt;0),COUNTIFS($L$5:$L450,'Invoice Builder'!$C$5,$P$5:$P450,'Invoice Builder'!$C$6,$N$5:$N450,"&gt;0"),""))</f>
        <v/>
      </c>
      <c r="R450" s="27" t="str">
        <f aca="false">IF($A450="","",IF($A450&gt;=DATE(YEAR($A450),4,6),YEAR($A450)&amp;"/"&amp;RIGHT(YEAR($A450)+1,2),YEAR($A450)-1&amp;"/"&amp;RIGHT(YEAR($A450),2)))</f>
        <v/>
      </c>
    </row>
    <row r="451" customFormat="false" ht="15" hidden="false" customHeight="false" outlineLevel="0" collapsed="false">
      <c r="A451" s="22"/>
      <c r="B451" s="23"/>
      <c r="C451" s="23"/>
      <c r="D451" s="23"/>
      <c r="E451" s="32"/>
      <c r="F451" s="25"/>
      <c r="G451" s="23"/>
      <c r="H451" s="23"/>
      <c r="I451" s="23"/>
      <c r="J451" s="23"/>
      <c r="K451" s="23"/>
      <c r="L451" s="27" t="str">
        <f aca="false">IF($B451="","",IFERROR(INDEX(Properties!$D$5:$D$104,MATCH($B451,Properties!$A$5:$A$104,0)),"-"))</f>
        <v/>
      </c>
      <c r="M451" s="28" t="str">
        <f aca="false">IF(OR($A451="",N($E451)=0),"",$F451/$E451)</f>
        <v/>
      </c>
      <c r="N451" s="28" t="str">
        <f aca="false">IF($A451="","",IF($H451="Y",$F451*(1+Settings!$B$3),0))</f>
        <v/>
      </c>
      <c r="O451" s="27" t="str">
        <f aca="false">IF($A451="","",IF(AND($H451="Y",$G451&lt;&gt;"Restock",N($M451)&gt;Settings!$B$4,$I451&lt;&gt;"Y"),"Get host OK",IF(AND($H451="Y",$F451&gt;Settings!$B$5,$I451&lt;&gt;"Y"),"Host should pay upfront",IF($J451&lt;&gt;"Y","Save receipt","OK"))))</f>
        <v/>
      </c>
      <c r="P451" s="29" t="str">
        <f aca="false">IF($A451="","",DATE(YEAR($A451),MONTH($A451),1))</f>
        <v/>
      </c>
      <c r="Q451" s="31" t="str">
        <f aca="false">IF($A451="","",IF(AND($L451='Invoice Builder'!$C$5,$P451='Invoice Builder'!$C$6,N($N451)&gt;0),COUNTIFS($L$5:$L451,'Invoice Builder'!$C$5,$P$5:$P451,'Invoice Builder'!$C$6,$N$5:$N451,"&gt;0"),""))</f>
        <v/>
      </c>
      <c r="R451" s="27" t="str">
        <f aca="false">IF($A451="","",IF($A451&gt;=DATE(YEAR($A451),4,6),YEAR($A451)&amp;"/"&amp;RIGHT(YEAR($A451)+1,2),YEAR($A451)-1&amp;"/"&amp;RIGHT(YEAR($A451),2)))</f>
        <v/>
      </c>
    </row>
    <row r="452" customFormat="false" ht="15" hidden="false" customHeight="false" outlineLevel="0" collapsed="false">
      <c r="A452" s="22"/>
      <c r="B452" s="23"/>
      <c r="C452" s="23"/>
      <c r="D452" s="23"/>
      <c r="E452" s="32"/>
      <c r="F452" s="25"/>
      <c r="G452" s="23"/>
      <c r="H452" s="23"/>
      <c r="I452" s="23"/>
      <c r="J452" s="23"/>
      <c r="K452" s="23"/>
      <c r="L452" s="27" t="str">
        <f aca="false">IF($B452="","",IFERROR(INDEX(Properties!$D$5:$D$104,MATCH($B452,Properties!$A$5:$A$104,0)),"-"))</f>
        <v/>
      </c>
      <c r="M452" s="28" t="str">
        <f aca="false">IF(OR($A452="",N($E452)=0),"",$F452/$E452)</f>
        <v/>
      </c>
      <c r="N452" s="28" t="str">
        <f aca="false">IF($A452="","",IF($H452="Y",$F452*(1+Settings!$B$3),0))</f>
        <v/>
      </c>
      <c r="O452" s="27" t="str">
        <f aca="false">IF($A452="","",IF(AND($H452="Y",$G452&lt;&gt;"Restock",N($M452)&gt;Settings!$B$4,$I452&lt;&gt;"Y"),"Get host OK",IF(AND($H452="Y",$F452&gt;Settings!$B$5,$I452&lt;&gt;"Y"),"Host should pay upfront",IF($J452&lt;&gt;"Y","Save receipt","OK"))))</f>
        <v/>
      </c>
      <c r="P452" s="29" t="str">
        <f aca="false">IF($A452="","",DATE(YEAR($A452),MONTH($A452),1))</f>
        <v/>
      </c>
      <c r="Q452" s="31" t="str">
        <f aca="false">IF($A452="","",IF(AND($L452='Invoice Builder'!$C$5,$P452='Invoice Builder'!$C$6,N($N452)&gt;0),COUNTIFS($L$5:$L452,'Invoice Builder'!$C$5,$P$5:$P452,'Invoice Builder'!$C$6,$N$5:$N452,"&gt;0"),""))</f>
        <v/>
      </c>
      <c r="R452" s="27" t="str">
        <f aca="false">IF($A452="","",IF($A452&gt;=DATE(YEAR($A452),4,6),YEAR($A452)&amp;"/"&amp;RIGHT(YEAR($A452)+1,2),YEAR($A452)-1&amp;"/"&amp;RIGHT(YEAR($A452),2)))</f>
        <v/>
      </c>
    </row>
    <row r="453" customFormat="false" ht="15" hidden="false" customHeight="false" outlineLevel="0" collapsed="false">
      <c r="A453" s="22"/>
      <c r="B453" s="23"/>
      <c r="C453" s="23"/>
      <c r="D453" s="23"/>
      <c r="E453" s="32"/>
      <c r="F453" s="25"/>
      <c r="G453" s="23"/>
      <c r="H453" s="23"/>
      <c r="I453" s="23"/>
      <c r="J453" s="23"/>
      <c r="K453" s="23"/>
      <c r="L453" s="27" t="str">
        <f aca="false">IF($B453="","",IFERROR(INDEX(Properties!$D$5:$D$104,MATCH($B453,Properties!$A$5:$A$104,0)),"-"))</f>
        <v/>
      </c>
      <c r="M453" s="28" t="str">
        <f aca="false">IF(OR($A453="",N($E453)=0),"",$F453/$E453)</f>
        <v/>
      </c>
      <c r="N453" s="28" t="str">
        <f aca="false">IF($A453="","",IF($H453="Y",$F453*(1+Settings!$B$3),0))</f>
        <v/>
      </c>
      <c r="O453" s="27" t="str">
        <f aca="false">IF($A453="","",IF(AND($H453="Y",$G453&lt;&gt;"Restock",N($M453)&gt;Settings!$B$4,$I453&lt;&gt;"Y"),"Get host OK",IF(AND($H453="Y",$F453&gt;Settings!$B$5,$I453&lt;&gt;"Y"),"Host should pay upfront",IF($J453&lt;&gt;"Y","Save receipt","OK"))))</f>
        <v/>
      </c>
      <c r="P453" s="29" t="str">
        <f aca="false">IF($A453="","",DATE(YEAR($A453),MONTH($A453),1))</f>
        <v/>
      </c>
      <c r="Q453" s="31" t="str">
        <f aca="false">IF($A453="","",IF(AND($L453='Invoice Builder'!$C$5,$P453='Invoice Builder'!$C$6,N($N453)&gt;0),COUNTIFS($L$5:$L453,'Invoice Builder'!$C$5,$P$5:$P453,'Invoice Builder'!$C$6,$N$5:$N453,"&gt;0"),""))</f>
        <v/>
      </c>
      <c r="R453" s="27" t="str">
        <f aca="false">IF($A453="","",IF($A453&gt;=DATE(YEAR($A453),4,6),YEAR($A453)&amp;"/"&amp;RIGHT(YEAR($A453)+1,2),YEAR($A453)-1&amp;"/"&amp;RIGHT(YEAR($A453),2)))</f>
        <v/>
      </c>
    </row>
    <row r="454" customFormat="false" ht="15" hidden="false" customHeight="false" outlineLevel="0" collapsed="false">
      <c r="A454" s="22"/>
      <c r="B454" s="23"/>
      <c r="C454" s="23"/>
      <c r="D454" s="23"/>
      <c r="E454" s="32"/>
      <c r="F454" s="25"/>
      <c r="G454" s="23"/>
      <c r="H454" s="23"/>
      <c r="I454" s="23"/>
      <c r="J454" s="23"/>
      <c r="K454" s="23"/>
      <c r="L454" s="27" t="str">
        <f aca="false">IF($B454="","",IFERROR(INDEX(Properties!$D$5:$D$104,MATCH($B454,Properties!$A$5:$A$104,0)),"-"))</f>
        <v/>
      </c>
      <c r="M454" s="28" t="str">
        <f aca="false">IF(OR($A454="",N($E454)=0),"",$F454/$E454)</f>
        <v/>
      </c>
      <c r="N454" s="28" t="str">
        <f aca="false">IF($A454="","",IF($H454="Y",$F454*(1+Settings!$B$3),0))</f>
        <v/>
      </c>
      <c r="O454" s="27" t="str">
        <f aca="false">IF($A454="","",IF(AND($H454="Y",$G454&lt;&gt;"Restock",N($M454)&gt;Settings!$B$4,$I454&lt;&gt;"Y"),"Get host OK",IF(AND($H454="Y",$F454&gt;Settings!$B$5,$I454&lt;&gt;"Y"),"Host should pay upfront",IF($J454&lt;&gt;"Y","Save receipt","OK"))))</f>
        <v/>
      </c>
      <c r="P454" s="29" t="str">
        <f aca="false">IF($A454="","",DATE(YEAR($A454),MONTH($A454),1))</f>
        <v/>
      </c>
      <c r="Q454" s="31" t="str">
        <f aca="false">IF($A454="","",IF(AND($L454='Invoice Builder'!$C$5,$P454='Invoice Builder'!$C$6,N($N454)&gt;0),COUNTIFS($L$5:$L454,'Invoice Builder'!$C$5,$P$5:$P454,'Invoice Builder'!$C$6,$N$5:$N454,"&gt;0"),""))</f>
        <v/>
      </c>
      <c r="R454" s="27" t="str">
        <f aca="false">IF($A454="","",IF($A454&gt;=DATE(YEAR($A454),4,6),YEAR($A454)&amp;"/"&amp;RIGHT(YEAR($A454)+1,2),YEAR($A454)-1&amp;"/"&amp;RIGHT(YEAR($A454),2)))</f>
        <v/>
      </c>
    </row>
    <row r="455" customFormat="false" ht="15" hidden="false" customHeight="false" outlineLevel="0" collapsed="false">
      <c r="A455" s="22"/>
      <c r="B455" s="23"/>
      <c r="C455" s="23"/>
      <c r="D455" s="23"/>
      <c r="E455" s="32"/>
      <c r="F455" s="25"/>
      <c r="G455" s="23"/>
      <c r="H455" s="23"/>
      <c r="I455" s="23"/>
      <c r="J455" s="23"/>
      <c r="K455" s="23"/>
      <c r="L455" s="27" t="str">
        <f aca="false">IF($B455="","",IFERROR(INDEX(Properties!$D$5:$D$104,MATCH($B455,Properties!$A$5:$A$104,0)),"-"))</f>
        <v/>
      </c>
      <c r="M455" s="28" t="str">
        <f aca="false">IF(OR($A455="",N($E455)=0),"",$F455/$E455)</f>
        <v/>
      </c>
      <c r="N455" s="28" t="str">
        <f aca="false">IF($A455="","",IF($H455="Y",$F455*(1+Settings!$B$3),0))</f>
        <v/>
      </c>
      <c r="O455" s="27" t="str">
        <f aca="false">IF($A455="","",IF(AND($H455="Y",$G455&lt;&gt;"Restock",N($M455)&gt;Settings!$B$4,$I455&lt;&gt;"Y"),"Get host OK",IF(AND($H455="Y",$F455&gt;Settings!$B$5,$I455&lt;&gt;"Y"),"Host should pay upfront",IF($J455&lt;&gt;"Y","Save receipt","OK"))))</f>
        <v/>
      </c>
      <c r="P455" s="29" t="str">
        <f aca="false">IF($A455="","",DATE(YEAR($A455),MONTH($A455),1))</f>
        <v/>
      </c>
      <c r="Q455" s="31" t="str">
        <f aca="false">IF($A455="","",IF(AND($L455='Invoice Builder'!$C$5,$P455='Invoice Builder'!$C$6,N($N455)&gt;0),COUNTIFS($L$5:$L455,'Invoice Builder'!$C$5,$P$5:$P455,'Invoice Builder'!$C$6,$N$5:$N455,"&gt;0"),""))</f>
        <v/>
      </c>
      <c r="R455" s="27" t="str">
        <f aca="false">IF($A455="","",IF($A455&gt;=DATE(YEAR($A455),4,6),YEAR($A455)&amp;"/"&amp;RIGHT(YEAR($A455)+1,2),YEAR($A455)-1&amp;"/"&amp;RIGHT(YEAR($A455),2)))</f>
        <v/>
      </c>
    </row>
    <row r="456" customFormat="false" ht="15" hidden="false" customHeight="false" outlineLevel="0" collapsed="false">
      <c r="A456" s="22"/>
      <c r="B456" s="23"/>
      <c r="C456" s="23"/>
      <c r="D456" s="23"/>
      <c r="E456" s="32"/>
      <c r="F456" s="25"/>
      <c r="G456" s="23"/>
      <c r="H456" s="23"/>
      <c r="I456" s="23"/>
      <c r="J456" s="23"/>
      <c r="K456" s="23"/>
      <c r="L456" s="27" t="str">
        <f aca="false">IF($B456="","",IFERROR(INDEX(Properties!$D$5:$D$104,MATCH($B456,Properties!$A$5:$A$104,0)),"-"))</f>
        <v/>
      </c>
      <c r="M456" s="28" t="str">
        <f aca="false">IF(OR($A456="",N($E456)=0),"",$F456/$E456)</f>
        <v/>
      </c>
      <c r="N456" s="28" t="str">
        <f aca="false">IF($A456="","",IF($H456="Y",$F456*(1+Settings!$B$3),0))</f>
        <v/>
      </c>
      <c r="O456" s="27" t="str">
        <f aca="false">IF($A456="","",IF(AND($H456="Y",$G456&lt;&gt;"Restock",N($M456)&gt;Settings!$B$4,$I456&lt;&gt;"Y"),"Get host OK",IF(AND($H456="Y",$F456&gt;Settings!$B$5,$I456&lt;&gt;"Y"),"Host should pay upfront",IF($J456&lt;&gt;"Y","Save receipt","OK"))))</f>
        <v/>
      </c>
      <c r="P456" s="29" t="str">
        <f aca="false">IF($A456="","",DATE(YEAR($A456),MONTH($A456),1))</f>
        <v/>
      </c>
      <c r="Q456" s="31" t="str">
        <f aca="false">IF($A456="","",IF(AND($L456='Invoice Builder'!$C$5,$P456='Invoice Builder'!$C$6,N($N456)&gt;0),COUNTIFS($L$5:$L456,'Invoice Builder'!$C$5,$P$5:$P456,'Invoice Builder'!$C$6,$N$5:$N456,"&gt;0"),""))</f>
        <v/>
      </c>
      <c r="R456" s="27" t="str">
        <f aca="false">IF($A456="","",IF($A456&gt;=DATE(YEAR($A456),4,6),YEAR($A456)&amp;"/"&amp;RIGHT(YEAR($A456)+1,2),YEAR($A456)-1&amp;"/"&amp;RIGHT(YEAR($A456),2)))</f>
        <v/>
      </c>
    </row>
    <row r="457" customFormat="false" ht="15" hidden="false" customHeight="false" outlineLevel="0" collapsed="false">
      <c r="A457" s="22"/>
      <c r="B457" s="23"/>
      <c r="C457" s="23"/>
      <c r="D457" s="23"/>
      <c r="E457" s="32"/>
      <c r="F457" s="25"/>
      <c r="G457" s="23"/>
      <c r="H457" s="23"/>
      <c r="I457" s="23"/>
      <c r="J457" s="23"/>
      <c r="K457" s="23"/>
      <c r="L457" s="27" t="str">
        <f aca="false">IF($B457="","",IFERROR(INDEX(Properties!$D$5:$D$104,MATCH($B457,Properties!$A$5:$A$104,0)),"-"))</f>
        <v/>
      </c>
      <c r="M457" s="28" t="str">
        <f aca="false">IF(OR($A457="",N($E457)=0),"",$F457/$E457)</f>
        <v/>
      </c>
      <c r="N457" s="28" t="str">
        <f aca="false">IF($A457="","",IF($H457="Y",$F457*(1+Settings!$B$3),0))</f>
        <v/>
      </c>
      <c r="O457" s="27" t="str">
        <f aca="false">IF($A457="","",IF(AND($H457="Y",$G457&lt;&gt;"Restock",N($M457)&gt;Settings!$B$4,$I457&lt;&gt;"Y"),"Get host OK",IF(AND($H457="Y",$F457&gt;Settings!$B$5,$I457&lt;&gt;"Y"),"Host should pay upfront",IF($J457&lt;&gt;"Y","Save receipt","OK"))))</f>
        <v/>
      </c>
      <c r="P457" s="29" t="str">
        <f aca="false">IF($A457="","",DATE(YEAR($A457),MONTH($A457),1))</f>
        <v/>
      </c>
      <c r="Q457" s="31" t="str">
        <f aca="false">IF($A457="","",IF(AND($L457='Invoice Builder'!$C$5,$P457='Invoice Builder'!$C$6,N($N457)&gt;0),COUNTIFS($L$5:$L457,'Invoice Builder'!$C$5,$P$5:$P457,'Invoice Builder'!$C$6,$N$5:$N457,"&gt;0"),""))</f>
        <v/>
      </c>
      <c r="R457" s="27" t="str">
        <f aca="false">IF($A457="","",IF($A457&gt;=DATE(YEAR($A457),4,6),YEAR($A457)&amp;"/"&amp;RIGHT(YEAR($A457)+1,2),YEAR($A457)-1&amp;"/"&amp;RIGHT(YEAR($A457),2)))</f>
        <v/>
      </c>
    </row>
    <row r="458" customFormat="false" ht="15" hidden="false" customHeight="false" outlineLevel="0" collapsed="false">
      <c r="A458" s="22"/>
      <c r="B458" s="23"/>
      <c r="C458" s="23"/>
      <c r="D458" s="23"/>
      <c r="E458" s="32"/>
      <c r="F458" s="25"/>
      <c r="G458" s="23"/>
      <c r="H458" s="23"/>
      <c r="I458" s="23"/>
      <c r="J458" s="23"/>
      <c r="K458" s="23"/>
      <c r="L458" s="27" t="str">
        <f aca="false">IF($B458="","",IFERROR(INDEX(Properties!$D$5:$D$104,MATCH($B458,Properties!$A$5:$A$104,0)),"-"))</f>
        <v/>
      </c>
      <c r="M458" s="28" t="str">
        <f aca="false">IF(OR($A458="",N($E458)=0),"",$F458/$E458)</f>
        <v/>
      </c>
      <c r="N458" s="28" t="str">
        <f aca="false">IF($A458="","",IF($H458="Y",$F458*(1+Settings!$B$3),0))</f>
        <v/>
      </c>
      <c r="O458" s="27" t="str">
        <f aca="false">IF($A458="","",IF(AND($H458="Y",$G458&lt;&gt;"Restock",N($M458)&gt;Settings!$B$4,$I458&lt;&gt;"Y"),"Get host OK",IF(AND($H458="Y",$F458&gt;Settings!$B$5,$I458&lt;&gt;"Y"),"Host should pay upfront",IF($J458&lt;&gt;"Y","Save receipt","OK"))))</f>
        <v/>
      </c>
      <c r="P458" s="29" t="str">
        <f aca="false">IF($A458="","",DATE(YEAR($A458),MONTH($A458),1))</f>
        <v/>
      </c>
      <c r="Q458" s="31" t="str">
        <f aca="false">IF($A458="","",IF(AND($L458='Invoice Builder'!$C$5,$P458='Invoice Builder'!$C$6,N($N458)&gt;0),COUNTIFS($L$5:$L458,'Invoice Builder'!$C$5,$P$5:$P458,'Invoice Builder'!$C$6,$N$5:$N458,"&gt;0"),""))</f>
        <v/>
      </c>
      <c r="R458" s="27" t="str">
        <f aca="false">IF($A458="","",IF($A458&gt;=DATE(YEAR($A458),4,6),YEAR($A458)&amp;"/"&amp;RIGHT(YEAR($A458)+1,2),YEAR($A458)-1&amp;"/"&amp;RIGHT(YEAR($A458),2)))</f>
        <v/>
      </c>
    </row>
    <row r="459" customFormat="false" ht="15" hidden="false" customHeight="false" outlineLevel="0" collapsed="false">
      <c r="A459" s="22"/>
      <c r="B459" s="23"/>
      <c r="C459" s="23"/>
      <c r="D459" s="23"/>
      <c r="E459" s="32"/>
      <c r="F459" s="25"/>
      <c r="G459" s="23"/>
      <c r="H459" s="23"/>
      <c r="I459" s="23"/>
      <c r="J459" s="23"/>
      <c r="K459" s="23"/>
      <c r="L459" s="27" t="str">
        <f aca="false">IF($B459="","",IFERROR(INDEX(Properties!$D$5:$D$104,MATCH($B459,Properties!$A$5:$A$104,0)),"-"))</f>
        <v/>
      </c>
      <c r="M459" s="28" t="str">
        <f aca="false">IF(OR($A459="",N($E459)=0),"",$F459/$E459)</f>
        <v/>
      </c>
      <c r="N459" s="28" t="str">
        <f aca="false">IF($A459="","",IF($H459="Y",$F459*(1+Settings!$B$3),0))</f>
        <v/>
      </c>
      <c r="O459" s="27" t="str">
        <f aca="false">IF($A459="","",IF(AND($H459="Y",$G459&lt;&gt;"Restock",N($M459)&gt;Settings!$B$4,$I459&lt;&gt;"Y"),"Get host OK",IF(AND($H459="Y",$F459&gt;Settings!$B$5,$I459&lt;&gt;"Y"),"Host should pay upfront",IF($J459&lt;&gt;"Y","Save receipt","OK"))))</f>
        <v/>
      </c>
      <c r="P459" s="29" t="str">
        <f aca="false">IF($A459="","",DATE(YEAR($A459),MONTH($A459),1))</f>
        <v/>
      </c>
      <c r="Q459" s="31" t="str">
        <f aca="false">IF($A459="","",IF(AND($L459='Invoice Builder'!$C$5,$P459='Invoice Builder'!$C$6,N($N459)&gt;0),COUNTIFS($L$5:$L459,'Invoice Builder'!$C$5,$P$5:$P459,'Invoice Builder'!$C$6,$N$5:$N459,"&gt;0"),""))</f>
        <v/>
      </c>
      <c r="R459" s="27" t="str">
        <f aca="false">IF($A459="","",IF($A459&gt;=DATE(YEAR($A459),4,6),YEAR($A459)&amp;"/"&amp;RIGHT(YEAR($A459)+1,2),YEAR($A459)-1&amp;"/"&amp;RIGHT(YEAR($A459),2)))</f>
        <v/>
      </c>
    </row>
    <row r="460" customFormat="false" ht="15" hidden="false" customHeight="false" outlineLevel="0" collapsed="false">
      <c r="A460" s="22"/>
      <c r="B460" s="23"/>
      <c r="C460" s="23"/>
      <c r="D460" s="23"/>
      <c r="E460" s="32"/>
      <c r="F460" s="25"/>
      <c r="G460" s="23"/>
      <c r="H460" s="23"/>
      <c r="I460" s="23"/>
      <c r="J460" s="23"/>
      <c r="K460" s="23"/>
      <c r="L460" s="27" t="str">
        <f aca="false">IF($B460="","",IFERROR(INDEX(Properties!$D$5:$D$104,MATCH($B460,Properties!$A$5:$A$104,0)),"-"))</f>
        <v/>
      </c>
      <c r="M460" s="28" t="str">
        <f aca="false">IF(OR($A460="",N($E460)=0),"",$F460/$E460)</f>
        <v/>
      </c>
      <c r="N460" s="28" t="str">
        <f aca="false">IF($A460="","",IF($H460="Y",$F460*(1+Settings!$B$3),0))</f>
        <v/>
      </c>
      <c r="O460" s="27" t="str">
        <f aca="false">IF($A460="","",IF(AND($H460="Y",$G460&lt;&gt;"Restock",N($M460)&gt;Settings!$B$4,$I460&lt;&gt;"Y"),"Get host OK",IF(AND($H460="Y",$F460&gt;Settings!$B$5,$I460&lt;&gt;"Y"),"Host should pay upfront",IF($J460&lt;&gt;"Y","Save receipt","OK"))))</f>
        <v/>
      </c>
      <c r="P460" s="29" t="str">
        <f aca="false">IF($A460="","",DATE(YEAR($A460),MONTH($A460),1))</f>
        <v/>
      </c>
      <c r="Q460" s="31" t="str">
        <f aca="false">IF($A460="","",IF(AND($L460='Invoice Builder'!$C$5,$P460='Invoice Builder'!$C$6,N($N460)&gt;0),COUNTIFS($L$5:$L460,'Invoice Builder'!$C$5,$P$5:$P460,'Invoice Builder'!$C$6,$N$5:$N460,"&gt;0"),""))</f>
        <v/>
      </c>
      <c r="R460" s="27" t="str">
        <f aca="false">IF($A460="","",IF($A460&gt;=DATE(YEAR($A460),4,6),YEAR($A460)&amp;"/"&amp;RIGHT(YEAR($A460)+1,2),YEAR($A460)-1&amp;"/"&amp;RIGHT(YEAR($A460),2)))</f>
        <v/>
      </c>
    </row>
    <row r="461" customFormat="false" ht="15" hidden="false" customHeight="false" outlineLevel="0" collapsed="false">
      <c r="A461" s="22"/>
      <c r="B461" s="23"/>
      <c r="C461" s="23"/>
      <c r="D461" s="23"/>
      <c r="E461" s="32"/>
      <c r="F461" s="25"/>
      <c r="G461" s="23"/>
      <c r="H461" s="23"/>
      <c r="I461" s="23"/>
      <c r="J461" s="23"/>
      <c r="K461" s="23"/>
      <c r="L461" s="27" t="str">
        <f aca="false">IF($B461="","",IFERROR(INDEX(Properties!$D$5:$D$104,MATCH($B461,Properties!$A$5:$A$104,0)),"-"))</f>
        <v/>
      </c>
      <c r="M461" s="28" t="str">
        <f aca="false">IF(OR($A461="",N($E461)=0),"",$F461/$E461)</f>
        <v/>
      </c>
      <c r="N461" s="28" t="str">
        <f aca="false">IF($A461="","",IF($H461="Y",$F461*(1+Settings!$B$3),0))</f>
        <v/>
      </c>
      <c r="O461" s="27" t="str">
        <f aca="false">IF($A461="","",IF(AND($H461="Y",$G461&lt;&gt;"Restock",N($M461)&gt;Settings!$B$4,$I461&lt;&gt;"Y"),"Get host OK",IF(AND($H461="Y",$F461&gt;Settings!$B$5,$I461&lt;&gt;"Y"),"Host should pay upfront",IF($J461&lt;&gt;"Y","Save receipt","OK"))))</f>
        <v/>
      </c>
      <c r="P461" s="29" t="str">
        <f aca="false">IF($A461="","",DATE(YEAR($A461),MONTH($A461),1))</f>
        <v/>
      </c>
      <c r="Q461" s="31" t="str">
        <f aca="false">IF($A461="","",IF(AND($L461='Invoice Builder'!$C$5,$P461='Invoice Builder'!$C$6,N($N461)&gt;0),COUNTIFS($L$5:$L461,'Invoice Builder'!$C$5,$P$5:$P461,'Invoice Builder'!$C$6,$N$5:$N461,"&gt;0"),""))</f>
        <v/>
      </c>
      <c r="R461" s="27" t="str">
        <f aca="false">IF($A461="","",IF($A461&gt;=DATE(YEAR($A461),4,6),YEAR($A461)&amp;"/"&amp;RIGHT(YEAR($A461)+1,2),YEAR($A461)-1&amp;"/"&amp;RIGHT(YEAR($A461),2)))</f>
        <v/>
      </c>
    </row>
    <row r="462" customFormat="false" ht="15" hidden="false" customHeight="false" outlineLevel="0" collapsed="false">
      <c r="A462" s="22"/>
      <c r="B462" s="23"/>
      <c r="C462" s="23"/>
      <c r="D462" s="23"/>
      <c r="E462" s="32"/>
      <c r="F462" s="25"/>
      <c r="G462" s="23"/>
      <c r="H462" s="23"/>
      <c r="I462" s="23"/>
      <c r="J462" s="23"/>
      <c r="K462" s="23"/>
      <c r="L462" s="27" t="str">
        <f aca="false">IF($B462="","",IFERROR(INDEX(Properties!$D$5:$D$104,MATCH($B462,Properties!$A$5:$A$104,0)),"-"))</f>
        <v/>
      </c>
      <c r="M462" s="28" t="str">
        <f aca="false">IF(OR($A462="",N($E462)=0),"",$F462/$E462)</f>
        <v/>
      </c>
      <c r="N462" s="28" t="str">
        <f aca="false">IF($A462="","",IF($H462="Y",$F462*(1+Settings!$B$3),0))</f>
        <v/>
      </c>
      <c r="O462" s="27" t="str">
        <f aca="false">IF($A462="","",IF(AND($H462="Y",$G462&lt;&gt;"Restock",N($M462)&gt;Settings!$B$4,$I462&lt;&gt;"Y"),"Get host OK",IF(AND($H462="Y",$F462&gt;Settings!$B$5,$I462&lt;&gt;"Y"),"Host should pay upfront",IF($J462&lt;&gt;"Y","Save receipt","OK"))))</f>
        <v/>
      </c>
      <c r="P462" s="29" t="str">
        <f aca="false">IF($A462="","",DATE(YEAR($A462),MONTH($A462),1))</f>
        <v/>
      </c>
      <c r="Q462" s="31" t="str">
        <f aca="false">IF($A462="","",IF(AND($L462='Invoice Builder'!$C$5,$P462='Invoice Builder'!$C$6,N($N462)&gt;0),COUNTIFS($L$5:$L462,'Invoice Builder'!$C$5,$P$5:$P462,'Invoice Builder'!$C$6,$N$5:$N462,"&gt;0"),""))</f>
        <v/>
      </c>
      <c r="R462" s="27" t="str">
        <f aca="false">IF($A462="","",IF($A462&gt;=DATE(YEAR($A462),4,6),YEAR($A462)&amp;"/"&amp;RIGHT(YEAR($A462)+1,2),YEAR($A462)-1&amp;"/"&amp;RIGHT(YEAR($A462),2)))</f>
        <v/>
      </c>
    </row>
    <row r="463" customFormat="false" ht="15" hidden="false" customHeight="false" outlineLevel="0" collapsed="false">
      <c r="A463" s="22"/>
      <c r="B463" s="23"/>
      <c r="C463" s="23"/>
      <c r="D463" s="23"/>
      <c r="E463" s="32"/>
      <c r="F463" s="25"/>
      <c r="G463" s="23"/>
      <c r="H463" s="23"/>
      <c r="I463" s="23"/>
      <c r="J463" s="23"/>
      <c r="K463" s="23"/>
      <c r="L463" s="27" t="str">
        <f aca="false">IF($B463="","",IFERROR(INDEX(Properties!$D$5:$D$104,MATCH($B463,Properties!$A$5:$A$104,0)),"-"))</f>
        <v/>
      </c>
      <c r="M463" s="28" t="str">
        <f aca="false">IF(OR($A463="",N($E463)=0),"",$F463/$E463)</f>
        <v/>
      </c>
      <c r="N463" s="28" t="str">
        <f aca="false">IF($A463="","",IF($H463="Y",$F463*(1+Settings!$B$3),0))</f>
        <v/>
      </c>
      <c r="O463" s="27" t="str">
        <f aca="false">IF($A463="","",IF(AND($H463="Y",$G463&lt;&gt;"Restock",N($M463)&gt;Settings!$B$4,$I463&lt;&gt;"Y"),"Get host OK",IF(AND($H463="Y",$F463&gt;Settings!$B$5,$I463&lt;&gt;"Y"),"Host should pay upfront",IF($J463&lt;&gt;"Y","Save receipt","OK"))))</f>
        <v/>
      </c>
      <c r="P463" s="29" t="str">
        <f aca="false">IF($A463="","",DATE(YEAR($A463),MONTH($A463),1))</f>
        <v/>
      </c>
      <c r="Q463" s="31" t="str">
        <f aca="false">IF($A463="","",IF(AND($L463='Invoice Builder'!$C$5,$P463='Invoice Builder'!$C$6,N($N463)&gt;0),COUNTIFS($L$5:$L463,'Invoice Builder'!$C$5,$P$5:$P463,'Invoice Builder'!$C$6,$N$5:$N463,"&gt;0"),""))</f>
        <v/>
      </c>
      <c r="R463" s="27" t="str">
        <f aca="false">IF($A463="","",IF($A463&gt;=DATE(YEAR($A463),4,6),YEAR($A463)&amp;"/"&amp;RIGHT(YEAR($A463)+1,2),YEAR($A463)-1&amp;"/"&amp;RIGHT(YEAR($A463),2)))</f>
        <v/>
      </c>
    </row>
    <row r="464" customFormat="false" ht="15" hidden="false" customHeight="false" outlineLevel="0" collapsed="false">
      <c r="A464" s="22"/>
      <c r="B464" s="23"/>
      <c r="C464" s="23"/>
      <c r="D464" s="23"/>
      <c r="E464" s="32"/>
      <c r="F464" s="25"/>
      <c r="G464" s="23"/>
      <c r="H464" s="23"/>
      <c r="I464" s="23"/>
      <c r="J464" s="23"/>
      <c r="K464" s="23"/>
      <c r="L464" s="27" t="str">
        <f aca="false">IF($B464="","",IFERROR(INDEX(Properties!$D$5:$D$104,MATCH($B464,Properties!$A$5:$A$104,0)),"-"))</f>
        <v/>
      </c>
      <c r="M464" s="28" t="str">
        <f aca="false">IF(OR($A464="",N($E464)=0),"",$F464/$E464)</f>
        <v/>
      </c>
      <c r="N464" s="28" t="str">
        <f aca="false">IF($A464="","",IF($H464="Y",$F464*(1+Settings!$B$3),0))</f>
        <v/>
      </c>
      <c r="O464" s="27" t="str">
        <f aca="false">IF($A464="","",IF(AND($H464="Y",$G464&lt;&gt;"Restock",N($M464)&gt;Settings!$B$4,$I464&lt;&gt;"Y"),"Get host OK",IF(AND($H464="Y",$F464&gt;Settings!$B$5,$I464&lt;&gt;"Y"),"Host should pay upfront",IF($J464&lt;&gt;"Y","Save receipt","OK"))))</f>
        <v/>
      </c>
      <c r="P464" s="29" t="str">
        <f aca="false">IF($A464="","",DATE(YEAR($A464),MONTH($A464),1))</f>
        <v/>
      </c>
      <c r="Q464" s="31" t="str">
        <f aca="false">IF($A464="","",IF(AND($L464='Invoice Builder'!$C$5,$P464='Invoice Builder'!$C$6,N($N464)&gt;0),COUNTIFS($L$5:$L464,'Invoice Builder'!$C$5,$P$5:$P464,'Invoice Builder'!$C$6,$N$5:$N464,"&gt;0"),""))</f>
        <v/>
      </c>
      <c r="R464" s="27" t="str">
        <f aca="false">IF($A464="","",IF($A464&gt;=DATE(YEAR($A464),4,6),YEAR($A464)&amp;"/"&amp;RIGHT(YEAR($A464)+1,2),YEAR($A464)-1&amp;"/"&amp;RIGHT(YEAR($A464),2)))</f>
        <v/>
      </c>
    </row>
    <row r="465" customFormat="false" ht="15" hidden="false" customHeight="false" outlineLevel="0" collapsed="false">
      <c r="A465" s="22"/>
      <c r="B465" s="23"/>
      <c r="C465" s="23"/>
      <c r="D465" s="23"/>
      <c r="E465" s="32"/>
      <c r="F465" s="25"/>
      <c r="G465" s="23"/>
      <c r="H465" s="23"/>
      <c r="I465" s="23"/>
      <c r="J465" s="23"/>
      <c r="K465" s="23"/>
      <c r="L465" s="27" t="str">
        <f aca="false">IF($B465="","",IFERROR(INDEX(Properties!$D$5:$D$104,MATCH($B465,Properties!$A$5:$A$104,0)),"-"))</f>
        <v/>
      </c>
      <c r="M465" s="28" t="str">
        <f aca="false">IF(OR($A465="",N($E465)=0),"",$F465/$E465)</f>
        <v/>
      </c>
      <c r="N465" s="28" t="str">
        <f aca="false">IF($A465="","",IF($H465="Y",$F465*(1+Settings!$B$3),0))</f>
        <v/>
      </c>
      <c r="O465" s="27" t="str">
        <f aca="false">IF($A465="","",IF(AND($H465="Y",$G465&lt;&gt;"Restock",N($M465)&gt;Settings!$B$4,$I465&lt;&gt;"Y"),"Get host OK",IF(AND($H465="Y",$F465&gt;Settings!$B$5,$I465&lt;&gt;"Y"),"Host should pay upfront",IF($J465&lt;&gt;"Y","Save receipt","OK"))))</f>
        <v/>
      </c>
      <c r="P465" s="29" t="str">
        <f aca="false">IF($A465="","",DATE(YEAR($A465),MONTH($A465),1))</f>
        <v/>
      </c>
      <c r="Q465" s="31" t="str">
        <f aca="false">IF($A465="","",IF(AND($L465='Invoice Builder'!$C$5,$P465='Invoice Builder'!$C$6,N($N465)&gt;0),COUNTIFS($L$5:$L465,'Invoice Builder'!$C$5,$P$5:$P465,'Invoice Builder'!$C$6,$N$5:$N465,"&gt;0"),""))</f>
        <v/>
      </c>
      <c r="R465" s="27" t="str">
        <f aca="false">IF($A465="","",IF($A465&gt;=DATE(YEAR($A465),4,6),YEAR($A465)&amp;"/"&amp;RIGHT(YEAR($A465)+1,2),YEAR($A465)-1&amp;"/"&amp;RIGHT(YEAR($A465),2)))</f>
        <v/>
      </c>
    </row>
    <row r="466" customFormat="false" ht="15" hidden="false" customHeight="false" outlineLevel="0" collapsed="false">
      <c r="A466" s="22"/>
      <c r="B466" s="23"/>
      <c r="C466" s="23"/>
      <c r="D466" s="23"/>
      <c r="E466" s="32"/>
      <c r="F466" s="25"/>
      <c r="G466" s="23"/>
      <c r="H466" s="23"/>
      <c r="I466" s="23"/>
      <c r="J466" s="23"/>
      <c r="K466" s="23"/>
      <c r="L466" s="27" t="str">
        <f aca="false">IF($B466="","",IFERROR(INDEX(Properties!$D$5:$D$104,MATCH($B466,Properties!$A$5:$A$104,0)),"-"))</f>
        <v/>
      </c>
      <c r="M466" s="28" t="str">
        <f aca="false">IF(OR($A466="",N($E466)=0),"",$F466/$E466)</f>
        <v/>
      </c>
      <c r="N466" s="28" t="str">
        <f aca="false">IF($A466="","",IF($H466="Y",$F466*(1+Settings!$B$3),0))</f>
        <v/>
      </c>
      <c r="O466" s="27" t="str">
        <f aca="false">IF($A466="","",IF(AND($H466="Y",$G466&lt;&gt;"Restock",N($M466)&gt;Settings!$B$4,$I466&lt;&gt;"Y"),"Get host OK",IF(AND($H466="Y",$F466&gt;Settings!$B$5,$I466&lt;&gt;"Y"),"Host should pay upfront",IF($J466&lt;&gt;"Y","Save receipt","OK"))))</f>
        <v/>
      </c>
      <c r="P466" s="29" t="str">
        <f aca="false">IF($A466="","",DATE(YEAR($A466),MONTH($A466),1))</f>
        <v/>
      </c>
      <c r="Q466" s="31" t="str">
        <f aca="false">IF($A466="","",IF(AND($L466='Invoice Builder'!$C$5,$P466='Invoice Builder'!$C$6,N($N466)&gt;0),COUNTIFS($L$5:$L466,'Invoice Builder'!$C$5,$P$5:$P466,'Invoice Builder'!$C$6,$N$5:$N466,"&gt;0"),""))</f>
        <v/>
      </c>
      <c r="R466" s="27" t="str">
        <f aca="false">IF($A466="","",IF($A466&gt;=DATE(YEAR($A466),4,6),YEAR($A466)&amp;"/"&amp;RIGHT(YEAR($A466)+1,2),YEAR($A466)-1&amp;"/"&amp;RIGHT(YEAR($A466),2)))</f>
        <v/>
      </c>
    </row>
    <row r="467" customFormat="false" ht="15" hidden="false" customHeight="false" outlineLevel="0" collapsed="false">
      <c r="A467" s="22"/>
      <c r="B467" s="23"/>
      <c r="C467" s="23"/>
      <c r="D467" s="23"/>
      <c r="E467" s="32"/>
      <c r="F467" s="25"/>
      <c r="G467" s="23"/>
      <c r="H467" s="23"/>
      <c r="I467" s="23"/>
      <c r="J467" s="23"/>
      <c r="K467" s="23"/>
      <c r="L467" s="27" t="str">
        <f aca="false">IF($B467="","",IFERROR(INDEX(Properties!$D$5:$D$104,MATCH($B467,Properties!$A$5:$A$104,0)),"-"))</f>
        <v/>
      </c>
      <c r="M467" s="28" t="str">
        <f aca="false">IF(OR($A467="",N($E467)=0),"",$F467/$E467)</f>
        <v/>
      </c>
      <c r="N467" s="28" t="str">
        <f aca="false">IF($A467="","",IF($H467="Y",$F467*(1+Settings!$B$3),0))</f>
        <v/>
      </c>
      <c r="O467" s="27" t="str">
        <f aca="false">IF($A467="","",IF(AND($H467="Y",$G467&lt;&gt;"Restock",N($M467)&gt;Settings!$B$4,$I467&lt;&gt;"Y"),"Get host OK",IF(AND($H467="Y",$F467&gt;Settings!$B$5,$I467&lt;&gt;"Y"),"Host should pay upfront",IF($J467&lt;&gt;"Y","Save receipt","OK"))))</f>
        <v/>
      </c>
      <c r="P467" s="29" t="str">
        <f aca="false">IF($A467="","",DATE(YEAR($A467),MONTH($A467),1))</f>
        <v/>
      </c>
      <c r="Q467" s="31" t="str">
        <f aca="false">IF($A467="","",IF(AND($L467='Invoice Builder'!$C$5,$P467='Invoice Builder'!$C$6,N($N467)&gt;0),COUNTIFS($L$5:$L467,'Invoice Builder'!$C$5,$P$5:$P467,'Invoice Builder'!$C$6,$N$5:$N467,"&gt;0"),""))</f>
        <v/>
      </c>
      <c r="R467" s="27" t="str">
        <f aca="false">IF($A467="","",IF($A467&gt;=DATE(YEAR($A467),4,6),YEAR($A467)&amp;"/"&amp;RIGHT(YEAR($A467)+1,2),YEAR($A467)-1&amp;"/"&amp;RIGHT(YEAR($A467),2)))</f>
        <v/>
      </c>
    </row>
    <row r="468" customFormat="false" ht="15" hidden="false" customHeight="false" outlineLevel="0" collapsed="false">
      <c r="A468" s="22"/>
      <c r="B468" s="23"/>
      <c r="C468" s="23"/>
      <c r="D468" s="23"/>
      <c r="E468" s="32"/>
      <c r="F468" s="25"/>
      <c r="G468" s="23"/>
      <c r="H468" s="23"/>
      <c r="I468" s="23"/>
      <c r="J468" s="23"/>
      <c r="K468" s="23"/>
      <c r="L468" s="27" t="str">
        <f aca="false">IF($B468="","",IFERROR(INDEX(Properties!$D$5:$D$104,MATCH($B468,Properties!$A$5:$A$104,0)),"-"))</f>
        <v/>
      </c>
      <c r="M468" s="28" t="str">
        <f aca="false">IF(OR($A468="",N($E468)=0),"",$F468/$E468)</f>
        <v/>
      </c>
      <c r="N468" s="28" t="str">
        <f aca="false">IF($A468="","",IF($H468="Y",$F468*(1+Settings!$B$3),0))</f>
        <v/>
      </c>
      <c r="O468" s="27" t="str">
        <f aca="false">IF($A468="","",IF(AND($H468="Y",$G468&lt;&gt;"Restock",N($M468)&gt;Settings!$B$4,$I468&lt;&gt;"Y"),"Get host OK",IF(AND($H468="Y",$F468&gt;Settings!$B$5,$I468&lt;&gt;"Y"),"Host should pay upfront",IF($J468&lt;&gt;"Y","Save receipt","OK"))))</f>
        <v/>
      </c>
      <c r="P468" s="29" t="str">
        <f aca="false">IF($A468="","",DATE(YEAR($A468),MONTH($A468),1))</f>
        <v/>
      </c>
      <c r="Q468" s="31" t="str">
        <f aca="false">IF($A468="","",IF(AND($L468='Invoice Builder'!$C$5,$P468='Invoice Builder'!$C$6,N($N468)&gt;0),COUNTIFS($L$5:$L468,'Invoice Builder'!$C$5,$P$5:$P468,'Invoice Builder'!$C$6,$N$5:$N468,"&gt;0"),""))</f>
        <v/>
      </c>
      <c r="R468" s="27" t="str">
        <f aca="false">IF($A468="","",IF($A468&gt;=DATE(YEAR($A468),4,6),YEAR($A468)&amp;"/"&amp;RIGHT(YEAR($A468)+1,2),YEAR($A468)-1&amp;"/"&amp;RIGHT(YEAR($A468),2)))</f>
        <v/>
      </c>
    </row>
    <row r="469" customFormat="false" ht="15" hidden="false" customHeight="false" outlineLevel="0" collapsed="false">
      <c r="A469" s="22"/>
      <c r="B469" s="23"/>
      <c r="C469" s="23"/>
      <c r="D469" s="23"/>
      <c r="E469" s="32"/>
      <c r="F469" s="25"/>
      <c r="G469" s="23"/>
      <c r="H469" s="23"/>
      <c r="I469" s="23"/>
      <c r="J469" s="23"/>
      <c r="K469" s="23"/>
      <c r="L469" s="27" t="str">
        <f aca="false">IF($B469="","",IFERROR(INDEX(Properties!$D$5:$D$104,MATCH($B469,Properties!$A$5:$A$104,0)),"-"))</f>
        <v/>
      </c>
      <c r="M469" s="28" t="str">
        <f aca="false">IF(OR($A469="",N($E469)=0),"",$F469/$E469)</f>
        <v/>
      </c>
      <c r="N469" s="28" t="str">
        <f aca="false">IF($A469="","",IF($H469="Y",$F469*(1+Settings!$B$3),0))</f>
        <v/>
      </c>
      <c r="O469" s="27" t="str">
        <f aca="false">IF($A469="","",IF(AND($H469="Y",$G469&lt;&gt;"Restock",N($M469)&gt;Settings!$B$4,$I469&lt;&gt;"Y"),"Get host OK",IF(AND($H469="Y",$F469&gt;Settings!$B$5,$I469&lt;&gt;"Y"),"Host should pay upfront",IF($J469&lt;&gt;"Y","Save receipt","OK"))))</f>
        <v/>
      </c>
      <c r="P469" s="29" t="str">
        <f aca="false">IF($A469="","",DATE(YEAR($A469),MONTH($A469),1))</f>
        <v/>
      </c>
      <c r="Q469" s="31" t="str">
        <f aca="false">IF($A469="","",IF(AND($L469='Invoice Builder'!$C$5,$P469='Invoice Builder'!$C$6,N($N469)&gt;0),COUNTIFS($L$5:$L469,'Invoice Builder'!$C$5,$P$5:$P469,'Invoice Builder'!$C$6,$N$5:$N469,"&gt;0"),""))</f>
        <v/>
      </c>
      <c r="R469" s="27" t="str">
        <f aca="false">IF($A469="","",IF($A469&gt;=DATE(YEAR($A469),4,6),YEAR($A469)&amp;"/"&amp;RIGHT(YEAR($A469)+1,2),YEAR($A469)-1&amp;"/"&amp;RIGHT(YEAR($A469),2)))</f>
        <v/>
      </c>
    </row>
    <row r="470" customFormat="false" ht="15" hidden="false" customHeight="false" outlineLevel="0" collapsed="false">
      <c r="A470" s="22"/>
      <c r="B470" s="23"/>
      <c r="C470" s="23"/>
      <c r="D470" s="23"/>
      <c r="E470" s="32"/>
      <c r="F470" s="25"/>
      <c r="G470" s="23"/>
      <c r="H470" s="23"/>
      <c r="I470" s="23"/>
      <c r="J470" s="23"/>
      <c r="K470" s="23"/>
      <c r="L470" s="27" t="str">
        <f aca="false">IF($B470="","",IFERROR(INDEX(Properties!$D$5:$D$104,MATCH($B470,Properties!$A$5:$A$104,0)),"-"))</f>
        <v/>
      </c>
      <c r="M470" s="28" t="str">
        <f aca="false">IF(OR($A470="",N($E470)=0),"",$F470/$E470)</f>
        <v/>
      </c>
      <c r="N470" s="28" t="str">
        <f aca="false">IF($A470="","",IF($H470="Y",$F470*(1+Settings!$B$3),0))</f>
        <v/>
      </c>
      <c r="O470" s="27" t="str">
        <f aca="false">IF($A470="","",IF(AND($H470="Y",$G470&lt;&gt;"Restock",N($M470)&gt;Settings!$B$4,$I470&lt;&gt;"Y"),"Get host OK",IF(AND($H470="Y",$F470&gt;Settings!$B$5,$I470&lt;&gt;"Y"),"Host should pay upfront",IF($J470&lt;&gt;"Y","Save receipt","OK"))))</f>
        <v/>
      </c>
      <c r="P470" s="29" t="str">
        <f aca="false">IF($A470="","",DATE(YEAR($A470),MONTH($A470),1))</f>
        <v/>
      </c>
      <c r="Q470" s="31" t="str">
        <f aca="false">IF($A470="","",IF(AND($L470='Invoice Builder'!$C$5,$P470='Invoice Builder'!$C$6,N($N470)&gt;0),COUNTIFS($L$5:$L470,'Invoice Builder'!$C$5,$P$5:$P470,'Invoice Builder'!$C$6,$N$5:$N470,"&gt;0"),""))</f>
        <v/>
      </c>
      <c r="R470" s="27" t="str">
        <f aca="false">IF($A470="","",IF($A470&gt;=DATE(YEAR($A470),4,6),YEAR($A470)&amp;"/"&amp;RIGHT(YEAR($A470)+1,2),YEAR($A470)-1&amp;"/"&amp;RIGHT(YEAR($A470),2)))</f>
        <v/>
      </c>
    </row>
    <row r="471" customFormat="false" ht="15" hidden="false" customHeight="false" outlineLevel="0" collapsed="false">
      <c r="A471" s="22"/>
      <c r="B471" s="23"/>
      <c r="C471" s="23"/>
      <c r="D471" s="23"/>
      <c r="E471" s="32"/>
      <c r="F471" s="25"/>
      <c r="G471" s="23"/>
      <c r="H471" s="23"/>
      <c r="I471" s="23"/>
      <c r="J471" s="23"/>
      <c r="K471" s="23"/>
      <c r="L471" s="27" t="str">
        <f aca="false">IF($B471="","",IFERROR(INDEX(Properties!$D$5:$D$104,MATCH($B471,Properties!$A$5:$A$104,0)),"-"))</f>
        <v/>
      </c>
      <c r="M471" s="28" t="str">
        <f aca="false">IF(OR($A471="",N($E471)=0),"",$F471/$E471)</f>
        <v/>
      </c>
      <c r="N471" s="28" t="str">
        <f aca="false">IF($A471="","",IF($H471="Y",$F471*(1+Settings!$B$3),0))</f>
        <v/>
      </c>
      <c r="O471" s="27" t="str">
        <f aca="false">IF($A471="","",IF(AND($H471="Y",$G471&lt;&gt;"Restock",N($M471)&gt;Settings!$B$4,$I471&lt;&gt;"Y"),"Get host OK",IF(AND($H471="Y",$F471&gt;Settings!$B$5,$I471&lt;&gt;"Y"),"Host should pay upfront",IF($J471&lt;&gt;"Y","Save receipt","OK"))))</f>
        <v/>
      </c>
      <c r="P471" s="29" t="str">
        <f aca="false">IF($A471="","",DATE(YEAR($A471),MONTH($A471),1))</f>
        <v/>
      </c>
      <c r="Q471" s="31" t="str">
        <f aca="false">IF($A471="","",IF(AND($L471='Invoice Builder'!$C$5,$P471='Invoice Builder'!$C$6,N($N471)&gt;0),COUNTIFS($L$5:$L471,'Invoice Builder'!$C$5,$P$5:$P471,'Invoice Builder'!$C$6,$N$5:$N471,"&gt;0"),""))</f>
        <v/>
      </c>
      <c r="R471" s="27" t="str">
        <f aca="false">IF($A471="","",IF($A471&gt;=DATE(YEAR($A471),4,6),YEAR($A471)&amp;"/"&amp;RIGHT(YEAR($A471)+1,2),YEAR($A471)-1&amp;"/"&amp;RIGHT(YEAR($A471),2)))</f>
        <v/>
      </c>
    </row>
    <row r="472" customFormat="false" ht="15" hidden="false" customHeight="false" outlineLevel="0" collapsed="false">
      <c r="A472" s="22"/>
      <c r="B472" s="23"/>
      <c r="C472" s="23"/>
      <c r="D472" s="23"/>
      <c r="E472" s="32"/>
      <c r="F472" s="25"/>
      <c r="G472" s="23"/>
      <c r="H472" s="23"/>
      <c r="I472" s="23"/>
      <c r="J472" s="23"/>
      <c r="K472" s="23"/>
      <c r="L472" s="27" t="str">
        <f aca="false">IF($B472="","",IFERROR(INDEX(Properties!$D$5:$D$104,MATCH($B472,Properties!$A$5:$A$104,0)),"-"))</f>
        <v/>
      </c>
      <c r="M472" s="28" t="str">
        <f aca="false">IF(OR($A472="",N($E472)=0),"",$F472/$E472)</f>
        <v/>
      </c>
      <c r="N472" s="28" t="str">
        <f aca="false">IF($A472="","",IF($H472="Y",$F472*(1+Settings!$B$3),0))</f>
        <v/>
      </c>
      <c r="O472" s="27" t="str">
        <f aca="false">IF($A472="","",IF(AND($H472="Y",$G472&lt;&gt;"Restock",N($M472)&gt;Settings!$B$4,$I472&lt;&gt;"Y"),"Get host OK",IF(AND($H472="Y",$F472&gt;Settings!$B$5,$I472&lt;&gt;"Y"),"Host should pay upfront",IF($J472&lt;&gt;"Y","Save receipt","OK"))))</f>
        <v/>
      </c>
      <c r="P472" s="29" t="str">
        <f aca="false">IF($A472="","",DATE(YEAR($A472),MONTH($A472),1))</f>
        <v/>
      </c>
      <c r="Q472" s="31" t="str">
        <f aca="false">IF($A472="","",IF(AND($L472='Invoice Builder'!$C$5,$P472='Invoice Builder'!$C$6,N($N472)&gt;0),COUNTIFS($L$5:$L472,'Invoice Builder'!$C$5,$P$5:$P472,'Invoice Builder'!$C$6,$N$5:$N472,"&gt;0"),""))</f>
        <v/>
      </c>
      <c r="R472" s="27" t="str">
        <f aca="false">IF($A472="","",IF($A472&gt;=DATE(YEAR($A472),4,6),YEAR($A472)&amp;"/"&amp;RIGHT(YEAR($A472)+1,2),YEAR($A472)-1&amp;"/"&amp;RIGHT(YEAR($A472),2)))</f>
        <v/>
      </c>
    </row>
    <row r="473" customFormat="false" ht="15" hidden="false" customHeight="false" outlineLevel="0" collapsed="false">
      <c r="A473" s="22"/>
      <c r="B473" s="23"/>
      <c r="C473" s="23"/>
      <c r="D473" s="23"/>
      <c r="E473" s="32"/>
      <c r="F473" s="25"/>
      <c r="G473" s="23"/>
      <c r="H473" s="23"/>
      <c r="I473" s="23"/>
      <c r="J473" s="23"/>
      <c r="K473" s="23"/>
      <c r="L473" s="27" t="str">
        <f aca="false">IF($B473="","",IFERROR(INDEX(Properties!$D$5:$D$104,MATCH($B473,Properties!$A$5:$A$104,0)),"-"))</f>
        <v/>
      </c>
      <c r="M473" s="28" t="str">
        <f aca="false">IF(OR($A473="",N($E473)=0),"",$F473/$E473)</f>
        <v/>
      </c>
      <c r="N473" s="28" t="str">
        <f aca="false">IF($A473="","",IF($H473="Y",$F473*(1+Settings!$B$3),0))</f>
        <v/>
      </c>
      <c r="O473" s="27" t="str">
        <f aca="false">IF($A473="","",IF(AND($H473="Y",$G473&lt;&gt;"Restock",N($M473)&gt;Settings!$B$4,$I473&lt;&gt;"Y"),"Get host OK",IF(AND($H473="Y",$F473&gt;Settings!$B$5,$I473&lt;&gt;"Y"),"Host should pay upfront",IF($J473&lt;&gt;"Y","Save receipt","OK"))))</f>
        <v/>
      </c>
      <c r="P473" s="29" t="str">
        <f aca="false">IF($A473="","",DATE(YEAR($A473),MONTH($A473),1))</f>
        <v/>
      </c>
      <c r="Q473" s="31" t="str">
        <f aca="false">IF($A473="","",IF(AND($L473='Invoice Builder'!$C$5,$P473='Invoice Builder'!$C$6,N($N473)&gt;0),COUNTIFS($L$5:$L473,'Invoice Builder'!$C$5,$P$5:$P473,'Invoice Builder'!$C$6,$N$5:$N473,"&gt;0"),""))</f>
        <v/>
      </c>
      <c r="R473" s="27" t="str">
        <f aca="false">IF($A473="","",IF($A473&gt;=DATE(YEAR($A473),4,6),YEAR($A473)&amp;"/"&amp;RIGHT(YEAR($A473)+1,2),YEAR($A473)-1&amp;"/"&amp;RIGHT(YEAR($A473),2)))</f>
        <v/>
      </c>
    </row>
    <row r="474" customFormat="false" ht="15" hidden="false" customHeight="false" outlineLevel="0" collapsed="false">
      <c r="A474" s="22"/>
      <c r="B474" s="23"/>
      <c r="C474" s="23"/>
      <c r="D474" s="23"/>
      <c r="E474" s="32"/>
      <c r="F474" s="25"/>
      <c r="G474" s="23"/>
      <c r="H474" s="23"/>
      <c r="I474" s="23"/>
      <c r="J474" s="23"/>
      <c r="K474" s="23"/>
      <c r="L474" s="27" t="str">
        <f aca="false">IF($B474="","",IFERROR(INDEX(Properties!$D$5:$D$104,MATCH($B474,Properties!$A$5:$A$104,0)),"-"))</f>
        <v/>
      </c>
      <c r="M474" s="28" t="str">
        <f aca="false">IF(OR($A474="",N($E474)=0),"",$F474/$E474)</f>
        <v/>
      </c>
      <c r="N474" s="28" t="str">
        <f aca="false">IF($A474="","",IF($H474="Y",$F474*(1+Settings!$B$3),0))</f>
        <v/>
      </c>
      <c r="O474" s="27" t="str">
        <f aca="false">IF($A474="","",IF(AND($H474="Y",$G474&lt;&gt;"Restock",N($M474)&gt;Settings!$B$4,$I474&lt;&gt;"Y"),"Get host OK",IF(AND($H474="Y",$F474&gt;Settings!$B$5,$I474&lt;&gt;"Y"),"Host should pay upfront",IF($J474&lt;&gt;"Y","Save receipt","OK"))))</f>
        <v/>
      </c>
      <c r="P474" s="29" t="str">
        <f aca="false">IF($A474="","",DATE(YEAR($A474),MONTH($A474),1))</f>
        <v/>
      </c>
      <c r="Q474" s="31" t="str">
        <f aca="false">IF($A474="","",IF(AND($L474='Invoice Builder'!$C$5,$P474='Invoice Builder'!$C$6,N($N474)&gt;0),COUNTIFS($L$5:$L474,'Invoice Builder'!$C$5,$P$5:$P474,'Invoice Builder'!$C$6,$N$5:$N474,"&gt;0"),""))</f>
        <v/>
      </c>
      <c r="R474" s="27" t="str">
        <f aca="false">IF($A474="","",IF($A474&gt;=DATE(YEAR($A474),4,6),YEAR($A474)&amp;"/"&amp;RIGHT(YEAR($A474)+1,2),YEAR($A474)-1&amp;"/"&amp;RIGHT(YEAR($A474),2)))</f>
        <v/>
      </c>
    </row>
    <row r="475" customFormat="false" ht="15" hidden="false" customHeight="false" outlineLevel="0" collapsed="false">
      <c r="A475" s="22"/>
      <c r="B475" s="23"/>
      <c r="C475" s="23"/>
      <c r="D475" s="23"/>
      <c r="E475" s="32"/>
      <c r="F475" s="25"/>
      <c r="G475" s="23"/>
      <c r="H475" s="23"/>
      <c r="I475" s="23"/>
      <c r="J475" s="23"/>
      <c r="K475" s="23"/>
      <c r="L475" s="27" t="str">
        <f aca="false">IF($B475="","",IFERROR(INDEX(Properties!$D$5:$D$104,MATCH($B475,Properties!$A$5:$A$104,0)),"-"))</f>
        <v/>
      </c>
      <c r="M475" s="28" t="str">
        <f aca="false">IF(OR($A475="",N($E475)=0),"",$F475/$E475)</f>
        <v/>
      </c>
      <c r="N475" s="28" t="str">
        <f aca="false">IF($A475="","",IF($H475="Y",$F475*(1+Settings!$B$3),0))</f>
        <v/>
      </c>
      <c r="O475" s="27" t="str">
        <f aca="false">IF($A475="","",IF(AND($H475="Y",$G475&lt;&gt;"Restock",N($M475)&gt;Settings!$B$4,$I475&lt;&gt;"Y"),"Get host OK",IF(AND($H475="Y",$F475&gt;Settings!$B$5,$I475&lt;&gt;"Y"),"Host should pay upfront",IF($J475&lt;&gt;"Y","Save receipt","OK"))))</f>
        <v/>
      </c>
      <c r="P475" s="29" t="str">
        <f aca="false">IF($A475="","",DATE(YEAR($A475),MONTH($A475),1))</f>
        <v/>
      </c>
      <c r="Q475" s="31" t="str">
        <f aca="false">IF($A475="","",IF(AND($L475='Invoice Builder'!$C$5,$P475='Invoice Builder'!$C$6,N($N475)&gt;0),COUNTIFS($L$5:$L475,'Invoice Builder'!$C$5,$P$5:$P475,'Invoice Builder'!$C$6,$N$5:$N475,"&gt;0"),""))</f>
        <v/>
      </c>
      <c r="R475" s="27" t="str">
        <f aca="false">IF($A475="","",IF($A475&gt;=DATE(YEAR($A475),4,6),YEAR($A475)&amp;"/"&amp;RIGHT(YEAR($A475)+1,2),YEAR($A475)-1&amp;"/"&amp;RIGHT(YEAR($A475),2)))</f>
        <v/>
      </c>
    </row>
    <row r="476" customFormat="false" ht="15" hidden="false" customHeight="false" outlineLevel="0" collapsed="false">
      <c r="A476" s="22"/>
      <c r="B476" s="23"/>
      <c r="C476" s="23"/>
      <c r="D476" s="23"/>
      <c r="E476" s="32"/>
      <c r="F476" s="25"/>
      <c r="G476" s="23"/>
      <c r="H476" s="23"/>
      <c r="I476" s="23"/>
      <c r="J476" s="23"/>
      <c r="K476" s="23"/>
      <c r="L476" s="27" t="str">
        <f aca="false">IF($B476="","",IFERROR(INDEX(Properties!$D$5:$D$104,MATCH($B476,Properties!$A$5:$A$104,0)),"-"))</f>
        <v/>
      </c>
      <c r="M476" s="28" t="str">
        <f aca="false">IF(OR($A476="",N($E476)=0),"",$F476/$E476)</f>
        <v/>
      </c>
      <c r="N476" s="28" t="str">
        <f aca="false">IF($A476="","",IF($H476="Y",$F476*(1+Settings!$B$3),0))</f>
        <v/>
      </c>
      <c r="O476" s="27" t="str">
        <f aca="false">IF($A476="","",IF(AND($H476="Y",$G476&lt;&gt;"Restock",N($M476)&gt;Settings!$B$4,$I476&lt;&gt;"Y"),"Get host OK",IF(AND($H476="Y",$F476&gt;Settings!$B$5,$I476&lt;&gt;"Y"),"Host should pay upfront",IF($J476&lt;&gt;"Y","Save receipt","OK"))))</f>
        <v/>
      </c>
      <c r="P476" s="29" t="str">
        <f aca="false">IF($A476="","",DATE(YEAR($A476),MONTH($A476),1))</f>
        <v/>
      </c>
      <c r="Q476" s="31" t="str">
        <f aca="false">IF($A476="","",IF(AND($L476='Invoice Builder'!$C$5,$P476='Invoice Builder'!$C$6,N($N476)&gt;0),COUNTIFS($L$5:$L476,'Invoice Builder'!$C$5,$P$5:$P476,'Invoice Builder'!$C$6,$N$5:$N476,"&gt;0"),""))</f>
        <v/>
      </c>
      <c r="R476" s="27" t="str">
        <f aca="false">IF($A476="","",IF($A476&gt;=DATE(YEAR($A476),4,6),YEAR($A476)&amp;"/"&amp;RIGHT(YEAR($A476)+1,2),YEAR($A476)-1&amp;"/"&amp;RIGHT(YEAR($A476),2)))</f>
        <v/>
      </c>
    </row>
    <row r="477" customFormat="false" ht="15" hidden="false" customHeight="false" outlineLevel="0" collapsed="false">
      <c r="A477" s="22"/>
      <c r="B477" s="23"/>
      <c r="C477" s="23"/>
      <c r="D477" s="23"/>
      <c r="E477" s="32"/>
      <c r="F477" s="25"/>
      <c r="G477" s="23"/>
      <c r="H477" s="23"/>
      <c r="I477" s="23"/>
      <c r="J477" s="23"/>
      <c r="K477" s="23"/>
      <c r="L477" s="27" t="str">
        <f aca="false">IF($B477="","",IFERROR(INDEX(Properties!$D$5:$D$104,MATCH($B477,Properties!$A$5:$A$104,0)),"-"))</f>
        <v/>
      </c>
      <c r="M477" s="28" t="str">
        <f aca="false">IF(OR($A477="",N($E477)=0),"",$F477/$E477)</f>
        <v/>
      </c>
      <c r="N477" s="28" t="str">
        <f aca="false">IF($A477="","",IF($H477="Y",$F477*(1+Settings!$B$3),0))</f>
        <v/>
      </c>
      <c r="O477" s="27" t="str">
        <f aca="false">IF($A477="","",IF(AND($H477="Y",$G477&lt;&gt;"Restock",N($M477)&gt;Settings!$B$4,$I477&lt;&gt;"Y"),"Get host OK",IF(AND($H477="Y",$F477&gt;Settings!$B$5,$I477&lt;&gt;"Y"),"Host should pay upfront",IF($J477&lt;&gt;"Y","Save receipt","OK"))))</f>
        <v/>
      </c>
      <c r="P477" s="29" t="str">
        <f aca="false">IF($A477="","",DATE(YEAR($A477),MONTH($A477),1))</f>
        <v/>
      </c>
      <c r="Q477" s="31" t="str">
        <f aca="false">IF($A477="","",IF(AND($L477='Invoice Builder'!$C$5,$P477='Invoice Builder'!$C$6,N($N477)&gt;0),COUNTIFS($L$5:$L477,'Invoice Builder'!$C$5,$P$5:$P477,'Invoice Builder'!$C$6,$N$5:$N477,"&gt;0"),""))</f>
        <v/>
      </c>
      <c r="R477" s="27" t="str">
        <f aca="false">IF($A477="","",IF($A477&gt;=DATE(YEAR($A477),4,6),YEAR($A477)&amp;"/"&amp;RIGHT(YEAR($A477)+1,2),YEAR($A477)-1&amp;"/"&amp;RIGHT(YEAR($A477),2)))</f>
        <v/>
      </c>
    </row>
    <row r="478" customFormat="false" ht="15" hidden="false" customHeight="false" outlineLevel="0" collapsed="false">
      <c r="A478" s="22"/>
      <c r="B478" s="23"/>
      <c r="C478" s="23"/>
      <c r="D478" s="23"/>
      <c r="E478" s="32"/>
      <c r="F478" s="25"/>
      <c r="G478" s="23"/>
      <c r="H478" s="23"/>
      <c r="I478" s="23"/>
      <c r="J478" s="23"/>
      <c r="K478" s="23"/>
      <c r="L478" s="27" t="str">
        <f aca="false">IF($B478="","",IFERROR(INDEX(Properties!$D$5:$D$104,MATCH($B478,Properties!$A$5:$A$104,0)),"-"))</f>
        <v/>
      </c>
      <c r="M478" s="28" t="str">
        <f aca="false">IF(OR($A478="",N($E478)=0),"",$F478/$E478)</f>
        <v/>
      </c>
      <c r="N478" s="28" t="str">
        <f aca="false">IF($A478="","",IF($H478="Y",$F478*(1+Settings!$B$3),0))</f>
        <v/>
      </c>
      <c r="O478" s="27" t="str">
        <f aca="false">IF($A478="","",IF(AND($H478="Y",$G478&lt;&gt;"Restock",N($M478)&gt;Settings!$B$4,$I478&lt;&gt;"Y"),"Get host OK",IF(AND($H478="Y",$F478&gt;Settings!$B$5,$I478&lt;&gt;"Y"),"Host should pay upfront",IF($J478&lt;&gt;"Y","Save receipt","OK"))))</f>
        <v/>
      </c>
      <c r="P478" s="29" t="str">
        <f aca="false">IF($A478="","",DATE(YEAR($A478),MONTH($A478),1))</f>
        <v/>
      </c>
      <c r="Q478" s="31" t="str">
        <f aca="false">IF($A478="","",IF(AND($L478='Invoice Builder'!$C$5,$P478='Invoice Builder'!$C$6,N($N478)&gt;0),COUNTIFS($L$5:$L478,'Invoice Builder'!$C$5,$P$5:$P478,'Invoice Builder'!$C$6,$N$5:$N478,"&gt;0"),""))</f>
        <v/>
      </c>
      <c r="R478" s="27" t="str">
        <f aca="false">IF($A478="","",IF($A478&gt;=DATE(YEAR($A478),4,6),YEAR($A478)&amp;"/"&amp;RIGHT(YEAR($A478)+1,2),YEAR($A478)-1&amp;"/"&amp;RIGHT(YEAR($A478),2)))</f>
        <v/>
      </c>
    </row>
    <row r="479" customFormat="false" ht="15" hidden="false" customHeight="false" outlineLevel="0" collapsed="false">
      <c r="A479" s="22"/>
      <c r="B479" s="23"/>
      <c r="C479" s="23"/>
      <c r="D479" s="23"/>
      <c r="E479" s="32"/>
      <c r="F479" s="25"/>
      <c r="G479" s="23"/>
      <c r="H479" s="23"/>
      <c r="I479" s="23"/>
      <c r="J479" s="23"/>
      <c r="K479" s="23"/>
      <c r="L479" s="27" t="str">
        <f aca="false">IF($B479="","",IFERROR(INDEX(Properties!$D$5:$D$104,MATCH($B479,Properties!$A$5:$A$104,0)),"-"))</f>
        <v/>
      </c>
      <c r="M479" s="28" t="str">
        <f aca="false">IF(OR($A479="",N($E479)=0),"",$F479/$E479)</f>
        <v/>
      </c>
      <c r="N479" s="28" t="str">
        <f aca="false">IF($A479="","",IF($H479="Y",$F479*(1+Settings!$B$3),0))</f>
        <v/>
      </c>
      <c r="O479" s="27" t="str">
        <f aca="false">IF($A479="","",IF(AND($H479="Y",$G479&lt;&gt;"Restock",N($M479)&gt;Settings!$B$4,$I479&lt;&gt;"Y"),"Get host OK",IF(AND($H479="Y",$F479&gt;Settings!$B$5,$I479&lt;&gt;"Y"),"Host should pay upfront",IF($J479&lt;&gt;"Y","Save receipt","OK"))))</f>
        <v/>
      </c>
      <c r="P479" s="29" t="str">
        <f aca="false">IF($A479="","",DATE(YEAR($A479),MONTH($A479),1))</f>
        <v/>
      </c>
      <c r="Q479" s="31" t="str">
        <f aca="false">IF($A479="","",IF(AND($L479='Invoice Builder'!$C$5,$P479='Invoice Builder'!$C$6,N($N479)&gt;0),COUNTIFS($L$5:$L479,'Invoice Builder'!$C$5,$P$5:$P479,'Invoice Builder'!$C$6,$N$5:$N479,"&gt;0"),""))</f>
        <v/>
      </c>
      <c r="R479" s="27" t="str">
        <f aca="false">IF($A479="","",IF($A479&gt;=DATE(YEAR($A479),4,6),YEAR($A479)&amp;"/"&amp;RIGHT(YEAR($A479)+1,2),YEAR($A479)-1&amp;"/"&amp;RIGHT(YEAR($A479),2)))</f>
        <v/>
      </c>
    </row>
    <row r="480" customFormat="false" ht="15" hidden="false" customHeight="false" outlineLevel="0" collapsed="false">
      <c r="A480" s="22"/>
      <c r="B480" s="23"/>
      <c r="C480" s="23"/>
      <c r="D480" s="23"/>
      <c r="E480" s="32"/>
      <c r="F480" s="25"/>
      <c r="G480" s="23"/>
      <c r="H480" s="23"/>
      <c r="I480" s="23"/>
      <c r="J480" s="23"/>
      <c r="K480" s="23"/>
      <c r="L480" s="27" t="str">
        <f aca="false">IF($B480="","",IFERROR(INDEX(Properties!$D$5:$D$104,MATCH($B480,Properties!$A$5:$A$104,0)),"-"))</f>
        <v/>
      </c>
      <c r="M480" s="28" t="str">
        <f aca="false">IF(OR($A480="",N($E480)=0),"",$F480/$E480)</f>
        <v/>
      </c>
      <c r="N480" s="28" t="str">
        <f aca="false">IF($A480="","",IF($H480="Y",$F480*(1+Settings!$B$3),0))</f>
        <v/>
      </c>
      <c r="O480" s="27" t="str">
        <f aca="false">IF($A480="","",IF(AND($H480="Y",$G480&lt;&gt;"Restock",N($M480)&gt;Settings!$B$4,$I480&lt;&gt;"Y"),"Get host OK",IF(AND($H480="Y",$F480&gt;Settings!$B$5,$I480&lt;&gt;"Y"),"Host should pay upfront",IF($J480&lt;&gt;"Y","Save receipt","OK"))))</f>
        <v/>
      </c>
      <c r="P480" s="29" t="str">
        <f aca="false">IF($A480="","",DATE(YEAR($A480),MONTH($A480),1))</f>
        <v/>
      </c>
      <c r="Q480" s="31" t="str">
        <f aca="false">IF($A480="","",IF(AND($L480='Invoice Builder'!$C$5,$P480='Invoice Builder'!$C$6,N($N480)&gt;0),COUNTIFS($L$5:$L480,'Invoice Builder'!$C$5,$P$5:$P480,'Invoice Builder'!$C$6,$N$5:$N480,"&gt;0"),""))</f>
        <v/>
      </c>
      <c r="R480" s="27" t="str">
        <f aca="false">IF($A480="","",IF($A480&gt;=DATE(YEAR($A480),4,6),YEAR($A480)&amp;"/"&amp;RIGHT(YEAR($A480)+1,2),YEAR($A480)-1&amp;"/"&amp;RIGHT(YEAR($A480),2)))</f>
        <v/>
      </c>
    </row>
    <row r="481" customFormat="false" ht="15" hidden="false" customHeight="false" outlineLevel="0" collapsed="false">
      <c r="A481" s="22"/>
      <c r="B481" s="23"/>
      <c r="C481" s="23"/>
      <c r="D481" s="23"/>
      <c r="E481" s="32"/>
      <c r="F481" s="25"/>
      <c r="G481" s="23"/>
      <c r="H481" s="23"/>
      <c r="I481" s="23"/>
      <c r="J481" s="23"/>
      <c r="K481" s="23"/>
      <c r="L481" s="27" t="str">
        <f aca="false">IF($B481="","",IFERROR(INDEX(Properties!$D$5:$D$104,MATCH($B481,Properties!$A$5:$A$104,0)),"-"))</f>
        <v/>
      </c>
      <c r="M481" s="28" t="str">
        <f aca="false">IF(OR($A481="",N($E481)=0),"",$F481/$E481)</f>
        <v/>
      </c>
      <c r="N481" s="28" t="str">
        <f aca="false">IF($A481="","",IF($H481="Y",$F481*(1+Settings!$B$3),0))</f>
        <v/>
      </c>
      <c r="O481" s="27" t="str">
        <f aca="false">IF($A481="","",IF(AND($H481="Y",$G481&lt;&gt;"Restock",N($M481)&gt;Settings!$B$4,$I481&lt;&gt;"Y"),"Get host OK",IF(AND($H481="Y",$F481&gt;Settings!$B$5,$I481&lt;&gt;"Y"),"Host should pay upfront",IF($J481&lt;&gt;"Y","Save receipt","OK"))))</f>
        <v/>
      </c>
      <c r="P481" s="29" t="str">
        <f aca="false">IF($A481="","",DATE(YEAR($A481),MONTH($A481),1))</f>
        <v/>
      </c>
      <c r="Q481" s="31" t="str">
        <f aca="false">IF($A481="","",IF(AND($L481='Invoice Builder'!$C$5,$P481='Invoice Builder'!$C$6,N($N481)&gt;0),COUNTIFS($L$5:$L481,'Invoice Builder'!$C$5,$P$5:$P481,'Invoice Builder'!$C$6,$N$5:$N481,"&gt;0"),""))</f>
        <v/>
      </c>
      <c r="R481" s="27" t="str">
        <f aca="false">IF($A481="","",IF($A481&gt;=DATE(YEAR($A481),4,6),YEAR($A481)&amp;"/"&amp;RIGHT(YEAR($A481)+1,2),YEAR($A481)-1&amp;"/"&amp;RIGHT(YEAR($A481),2)))</f>
        <v/>
      </c>
    </row>
    <row r="482" customFormat="false" ht="15" hidden="false" customHeight="false" outlineLevel="0" collapsed="false">
      <c r="A482" s="22"/>
      <c r="B482" s="23"/>
      <c r="C482" s="23"/>
      <c r="D482" s="23"/>
      <c r="E482" s="32"/>
      <c r="F482" s="25"/>
      <c r="G482" s="23"/>
      <c r="H482" s="23"/>
      <c r="I482" s="23"/>
      <c r="J482" s="23"/>
      <c r="K482" s="23"/>
      <c r="L482" s="27" t="str">
        <f aca="false">IF($B482="","",IFERROR(INDEX(Properties!$D$5:$D$104,MATCH($B482,Properties!$A$5:$A$104,0)),"-"))</f>
        <v/>
      </c>
      <c r="M482" s="28" t="str">
        <f aca="false">IF(OR($A482="",N($E482)=0),"",$F482/$E482)</f>
        <v/>
      </c>
      <c r="N482" s="28" t="str">
        <f aca="false">IF($A482="","",IF($H482="Y",$F482*(1+Settings!$B$3),0))</f>
        <v/>
      </c>
      <c r="O482" s="27" t="str">
        <f aca="false">IF($A482="","",IF(AND($H482="Y",$G482&lt;&gt;"Restock",N($M482)&gt;Settings!$B$4,$I482&lt;&gt;"Y"),"Get host OK",IF(AND($H482="Y",$F482&gt;Settings!$B$5,$I482&lt;&gt;"Y"),"Host should pay upfront",IF($J482&lt;&gt;"Y","Save receipt","OK"))))</f>
        <v/>
      </c>
      <c r="P482" s="29" t="str">
        <f aca="false">IF($A482="","",DATE(YEAR($A482),MONTH($A482),1))</f>
        <v/>
      </c>
      <c r="Q482" s="31" t="str">
        <f aca="false">IF($A482="","",IF(AND($L482='Invoice Builder'!$C$5,$P482='Invoice Builder'!$C$6,N($N482)&gt;0),COUNTIFS($L$5:$L482,'Invoice Builder'!$C$5,$P$5:$P482,'Invoice Builder'!$C$6,$N$5:$N482,"&gt;0"),""))</f>
        <v/>
      </c>
      <c r="R482" s="27" t="str">
        <f aca="false">IF($A482="","",IF($A482&gt;=DATE(YEAR($A482),4,6),YEAR($A482)&amp;"/"&amp;RIGHT(YEAR($A482)+1,2),YEAR($A482)-1&amp;"/"&amp;RIGHT(YEAR($A482),2)))</f>
        <v/>
      </c>
    </row>
    <row r="483" customFormat="false" ht="15" hidden="false" customHeight="false" outlineLevel="0" collapsed="false">
      <c r="A483" s="22"/>
      <c r="B483" s="23"/>
      <c r="C483" s="23"/>
      <c r="D483" s="23"/>
      <c r="E483" s="32"/>
      <c r="F483" s="25"/>
      <c r="G483" s="23"/>
      <c r="H483" s="23"/>
      <c r="I483" s="23"/>
      <c r="J483" s="23"/>
      <c r="K483" s="23"/>
      <c r="L483" s="27" t="str">
        <f aca="false">IF($B483="","",IFERROR(INDEX(Properties!$D$5:$D$104,MATCH($B483,Properties!$A$5:$A$104,0)),"-"))</f>
        <v/>
      </c>
      <c r="M483" s="28" t="str">
        <f aca="false">IF(OR($A483="",N($E483)=0),"",$F483/$E483)</f>
        <v/>
      </c>
      <c r="N483" s="28" t="str">
        <f aca="false">IF($A483="","",IF($H483="Y",$F483*(1+Settings!$B$3),0))</f>
        <v/>
      </c>
      <c r="O483" s="27" t="str">
        <f aca="false">IF($A483="","",IF(AND($H483="Y",$G483&lt;&gt;"Restock",N($M483)&gt;Settings!$B$4,$I483&lt;&gt;"Y"),"Get host OK",IF(AND($H483="Y",$F483&gt;Settings!$B$5,$I483&lt;&gt;"Y"),"Host should pay upfront",IF($J483&lt;&gt;"Y","Save receipt","OK"))))</f>
        <v/>
      </c>
      <c r="P483" s="29" t="str">
        <f aca="false">IF($A483="","",DATE(YEAR($A483),MONTH($A483),1))</f>
        <v/>
      </c>
      <c r="Q483" s="31" t="str">
        <f aca="false">IF($A483="","",IF(AND($L483='Invoice Builder'!$C$5,$P483='Invoice Builder'!$C$6,N($N483)&gt;0),COUNTIFS($L$5:$L483,'Invoice Builder'!$C$5,$P$5:$P483,'Invoice Builder'!$C$6,$N$5:$N483,"&gt;0"),""))</f>
        <v/>
      </c>
      <c r="R483" s="27" t="str">
        <f aca="false">IF($A483="","",IF($A483&gt;=DATE(YEAR($A483),4,6),YEAR($A483)&amp;"/"&amp;RIGHT(YEAR($A483)+1,2),YEAR($A483)-1&amp;"/"&amp;RIGHT(YEAR($A483),2)))</f>
        <v/>
      </c>
    </row>
    <row r="484" customFormat="false" ht="15" hidden="false" customHeight="false" outlineLevel="0" collapsed="false">
      <c r="A484" s="22"/>
      <c r="B484" s="23"/>
      <c r="C484" s="23"/>
      <c r="D484" s="23"/>
      <c r="E484" s="32"/>
      <c r="F484" s="25"/>
      <c r="G484" s="23"/>
      <c r="H484" s="23"/>
      <c r="I484" s="23"/>
      <c r="J484" s="23"/>
      <c r="K484" s="23"/>
      <c r="L484" s="27" t="str">
        <f aca="false">IF($B484="","",IFERROR(INDEX(Properties!$D$5:$D$104,MATCH($B484,Properties!$A$5:$A$104,0)),"-"))</f>
        <v/>
      </c>
      <c r="M484" s="28" t="str">
        <f aca="false">IF(OR($A484="",N($E484)=0),"",$F484/$E484)</f>
        <v/>
      </c>
      <c r="N484" s="28" t="str">
        <f aca="false">IF($A484="","",IF($H484="Y",$F484*(1+Settings!$B$3),0))</f>
        <v/>
      </c>
      <c r="O484" s="27" t="str">
        <f aca="false">IF($A484="","",IF(AND($H484="Y",$G484&lt;&gt;"Restock",N($M484)&gt;Settings!$B$4,$I484&lt;&gt;"Y"),"Get host OK",IF(AND($H484="Y",$F484&gt;Settings!$B$5,$I484&lt;&gt;"Y"),"Host should pay upfront",IF($J484&lt;&gt;"Y","Save receipt","OK"))))</f>
        <v/>
      </c>
      <c r="P484" s="29" t="str">
        <f aca="false">IF($A484="","",DATE(YEAR($A484),MONTH($A484),1))</f>
        <v/>
      </c>
      <c r="Q484" s="31" t="str">
        <f aca="false">IF($A484="","",IF(AND($L484='Invoice Builder'!$C$5,$P484='Invoice Builder'!$C$6,N($N484)&gt;0),COUNTIFS($L$5:$L484,'Invoice Builder'!$C$5,$P$5:$P484,'Invoice Builder'!$C$6,$N$5:$N484,"&gt;0"),""))</f>
        <v/>
      </c>
      <c r="R484" s="27" t="str">
        <f aca="false">IF($A484="","",IF($A484&gt;=DATE(YEAR($A484),4,6),YEAR($A484)&amp;"/"&amp;RIGHT(YEAR($A484)+1,2),YEAR($A484)-1&amp;"/"&amp;RIGHT(YEAR($A484),2)))</f>
        <v/>
      </c>
    </row>
    <row r="485" customFormat="false" ht="15" hidden="false" customHeight="false" outlineLevel="0" collapsed="false">
      <c r="A485" s="22"/>
      <c r="B485" s="23"/>
      <c r="C485" s="23"/>
      <c r="D485" s="23"/>
      <c r="E485" s="32"/>
      <c r="F485" s="25"/>
      <c r="G485" s="23"/>
      <c r="H485" s="23"/>
      <c r="I485" s="23"/>
      <c r="J485" s="23"/>
      <c r="K485" s="23"/>
      <c r="L485" s="27" t="str">
        <f aca="false">IF($B485="","",IFERROR(INDEX(Properties!$D$5:$D$104,MATCH($B485,Properties!$A$5:$A$104,0)),"-"))</f>
        <v/>
      </c>
      <c r="M485" s="28" t="str">
        <f aca="false">IF(OR($A485="",N($E485)=0),"",$F485/$E485)</f>
        <v/>
      </c>
      <c r="N485" s="28" t="str">
        <f aca="false">IF($A485="","",IF($H485="Y",$F485*(1+Settings!$B$3),0))</f>
        <v/>
      </c>
      <c r="O485" s="27" t="str">
        <f aca="false">IF($A485="","",IF(AND($H485="Y",$G485&lt;&gt;"Restock",N($M485)&gt;Settings!$B$4,$I485&lt;&gt;"Y"),"Get host OK",IF(AND($H485="Y",$F485&gt;Settings!$B$5,$I485&lt;&gt;"Y"),"Host should pay upfront",IF($J485&lt;&gt;"Y","Save receipt","OK"))))</f>
        <v/>
      </c>
      <c r="P485" s="29" t="str">
        <f aca="false">IF($A485="","",DATE(YEAR($A485),MONTH($A485),1))</f>
        <v/>
      </c>
      <c r="Q485" s="31" t="str">
        <f aca="false">IF($A485="","",IF(AND($L485='Invoice Builder'!$C$5,$P485='Invoice Builder'!$C$6,N($N485)&gt;0),COUNTIFS($L$5:$L485,'Invoice Builder'!$C$5,$P$5:$P485,'Invoice Builder'!$C$6,$N$5:$N485,"&gt;0"),""))</f>
        <v/>
      </c>
      <c r="R485" s="27" t="str">
        <f aca="false">IF($A485="","",IF($A485&gt;=DATE(YEAR($A485),4,6),YEAR($A485)&amp;"/"&amp;RIGHT(YEAR($A485)+1,2),YEAR($A485)-1&amp;"/"&amp;RIGHT(YEAR($A485),2)))</f>
        <v/>
      </c>
    </row>
    <row r="486" customFormat="false" ht="15" hidden="false" customHeight="false" outlineLevel="0" collapsed="false">
      <c r="A486" s="22"/>
      <c r="B486" s="23"/>
      <c r="C486" s="23"/>
      <c r="D486" s="23"/>
      <c r="E486" s="32"/>
      <c r="F486" s="25"/>
      <c r="G486" s="23"/>
      <c r="H486" s="23"/>
      <c r="I486" s="23"/>
      <c r="J486" s="23"/>
      <c r="K486" s="23"/>
      <c r="L486" s="27" t="str">
        <f aca="false">IF($B486="","",IFERROR(INDEX(Properties!$D$5:$D$104,MATCH($B486,Properties!$A$5:$A$104,0)),"-"))</f>
        <v/>
      </c>
      <c r="M486" s="28" t="str">
        <f aca="false">IF(OR($A486="",N($E486)=0),"",$F486/$E486)</f>
        <v/>
      </c>
      <c r="N486" s="28" t="str">
        <f aca="false">IF($A486="","",IF($H486="Y",$F486*(1+Settings!$B$3),0))</f>
        <v/>
      </c>
      <c r="O486" s="27" t="str">
        <f aca="false">IF($A486="","",IF(AND($H486="Y",$G486&lt;&gt;"Restock",N($M486)&gt;Settings!$B$4,$I486&lt;&gt;"Y"),"Get host OK",IF(AND($H486="Y",$F486&gt;Settings!$B$5,$I486&lt;&gt;"Y"),"Host should pay upfront",IF($J486&lt;&gt;"Y","Save receipt","OK"))))</f>
        <v/>
      </c>
      <c r="P486" s="29" t="str">
        <f aca="false">IF($A486="","",DATE(YEAR($A486),MONTH($A486),1))</f>
        <v/>
      </c>
      <c r="Q486" s="31" t="str">
        <f aca="false">IF($A486="","",IF(AND($L486='Invoice Builder'!$C$5,$P486='Invoice Builder'!$C$6,N($N486)&gt;0),COUNTIFS($L$5:$L486,'Invoice Builder'!$C$5,$P$5:$P486,'Invoice Builder'!$C$6,$N$5:$N486,"&gt;0"),""))</f>
        <v/>
      </c>
      <c r="R486" s="27" t="str">
        <f aca="false">IF($A486="","",IF($A486&gt;=DATE(YEAR($A486),4,6),YEAR($A486)&amp;"/"&amp;RIGHT(YEAR($A486)+1,2),YEAR($A486)-1&amp;"/"&amp;RIGHT(YEAR($A486),2)))</f>
        <v/>
      </c>
    </row>
    <row r="487" customFormat="false" ht="15" hidden="false" customHeight="false" outlineLevel="0" collapsed="false">
      <c r="A487" s="22"/>
      <c r="B487" s="23"/>
      <c r="C487" s="23"/>
      <c r="D487" s="23"/>
      <c r="E487" s="32"/>
      <c r="F487" s="25"/>
      <c r="G487" s="23"/>
      <c r="H487" s="23"/>
      <c r="I487" s="23"/>
      <c r="J487" s="23"/>
      <c r="K487" s="23"/>
      <c r="L487" s="27" t="str">
        <f aca="false">IF($B487="","",IFERROR(INDEX(Properties!$D$5:$D$104,MATCH($B487,Properties!$A$5:$A$104,0)),"-"))</f>
        <v/>
      </c>
      <c r="M487" s="28" t="str">
        <f aca="false">IF(OR($A487="",N($E487)=0),"",$F487/$E487)</f>
        <v/>
      </c>
      <c r="N487" s="28" t="str">
        <f aca="false">IF($A487="","",IF($H487="Y",$F487*(1+Settings!$B$3),0))</f>
        <v/>
      </c>
      <c r="O487" s="27" t="str">
        <f aca="false">IF($A487="","",IF(AND($H487="Y",$G487&lt;&gt;"Restock",N($M487)&gt;Settings!$B$4,$I487&lt;&gt;"Y"),"Get host OK",IF(AND($H487="Y",$F487&gt;Settings!$B$5,$I487&lt;&gt;"Y"),"Host should pay upfront",IF($J487&lt;&gt;"Y","Save receipt","OK"))))</f>
        <v/>
      </c>
      <c r="P487" s="29" t="str">
        <f aca="false">IF($A487="","",DATE(YEAR($A487),MONTH($A487),1))</f>
        <v/>
      </c>
      <c r="Q487" s="31" t="str">
        <f aca="false">IF($A487="","",IF(AND($L487='Invoice Builder'!$C$5,$P487='Invoice Builder'!$C$6,N($N487)&gt;0),COUNTIFS($L$5:$L487,'Invoice Builder'!$C$5,$P$5:$P487,'Invoice Builder'!$C$6,$N$5:$N487,"&gt;0"),""))</f>
        <v/>
      </c>
      <c r="R487" s="27" t="str">
        <f aca="false">IF($A487="","",IF($A487&gt;=DATE(YEAR($A487),4,6),YEAR($A487)&amp;"/"&amp;RIGHT(YEAR($A487)+1,2),YEAR($A487)-1&amp;"/"&amp;RIGHT(YEAR($A487),2)))</f>
        <v/>
      </c>
    </row>
    <row r="488" customFormat="false" ht="15" hidden="false" customHeight="false" outlineLevel="0" collapsed="false">
      <c r="A488" s="22"/>
      <c r="B488" s="23"/>
      <c r="C488" s="23"/>
      <c r="D488" s="23"/>
      <c r="E488" s="32"/>
      <c r="F488" s="25"/>
      <c r="G488" s="23"/>
      <c r="H488" s="23"/>
      <c r="I488" s="23"/>
      <c r="J488" s="23"/>
      <c r="K488" s="23"/>
      <c r="L488" s="27" t="str">
        <f aca="false">IF($B488="","",IFERROR(INDEX(Properties!$D$5:$D$104,MATCH($B488,Properties!$A$5:$A$104,0)),"-"))</f>
        <v/>
      </c>
      <c r="M488" s="28" t="str">
        <f aca="false">IF(OR($A488="",N($E488)=0),"",$F488/$E488)</f>
        <v/>
      </c>
      <c r="N488" s="28" t="str">
        <f aca="false">IF($A488="","",IF($H488="Y",$F488*(1+Settings!$B$3),0))</f>
        <v/>
      </c>
      <c r="O488" s="27" t="str">
        <f aca="false">IF($A488="","",IF(AND($H488="Y",$G488&lt;&gt;"Restock",N($M488)&gt;Settings!$B$4,$I488&lt;&gt;"Y"),"Get host OK",IF(AND($H488="Y",$F488&gt;Settings!$B$5,$I488&lt;&gt;"Y"),"Host should pay upfront",IF($J488&lt;&gt;"Y","Save receipt","OK"))))</f>
        <v/>
      </c>
      <c r="P488" s="29" t="str">
        <f aca="false">IF($A488="","",DATE(YEAR($A488),MONTH($A488),1))</f>
        <v/>
      </c>
      <c r="Q488" s="31" t="str">
        <f aca="false">IF($A488="","",IF(AND($L488='Invoice Builder'!$C$5,$P488='Invoice Builder'!$C$6,N($N488)&gt;0),COUNTIFS($L$5:$L488,'Invoice Builder'!$C$5,$P$5:$P488,'Invoice Builder'!$C$6,$N$5:$N488,"&gt;0"),""))</f>
        <v/>
      </c>
      <c r="R488" s="27" t="str">
        <f aca="false">IF($A488="","",IF($A488&gt;=DATE(YEAR($A488),4,6),YEAR($A488)&amp;"/"&amp;RIGHT(YEAR($A488)+1,2),YEAR($A488)-1&amp;"/"&amp;RIGHT(YEAR($A488),2)))</f>
        <v/>
      </c>
    </row>
    <row r="489" customFormat="false" ht="15" hidden="false" customHeight="false" outlineLevel="0" collapsed="false">
      <c r="A489" s="22"/>
      <c r="B489" s="23"/>
      <c r="C489" s="23"/>
      <c r="D489" s="23"/>
      <c r="E489" s="32"/>
      <c r="F489" s="25"/>
      <c r="G489" s="23"/>
      <c r="H489" s="23"/>
      <c r="I489" s="23"/>
      <c r="J489" s="23"/>
      <c r="K489" s="23"/>
      <c r="L489" s="27" t="str">
        <f aca="false">IF($B489="","",IFERROR(INDEX(Properties!$D$5:$D$104,MATCH($B489,Properties!$A$5:$A$104,0)),"-"))</f>
        <v/>
      </c>
      <c r="M489" s="28" t="str">
        <f aca="false">IF(OR($A489="",N($E489)=0),"",$F489/$E489)</f>
        <v/>
      </c>
      <c r="N489" s="28" t="str">
        <f aca="false">IF($A489="","",IF($H489="Y",$F489*(1+Settings!$B$3),0))</f>
        <v/>
      </c>
      <c r="O489" s="27" t="str">
        <f aca="false">IF($A489="","",IF(AND($H489="Y",$G489&lt;&gt;"Restock",N($M489)&gt;Settings!$B$4,$I489&lt;&gt;"Y"),"Get host OK",IF(AND($H489="Y",$F489&gt;Settings!$B$5,$I489&lt;&gt;"Y"),"Host should pay upfront",IF($J489&lt;&gt;"Y","Save receipt","OK"))))</f>
        <v/>
      </c>
      <c r="P489" s="29" t="str">
        <f aca="false">IF($A489="","",DATE(YEAR($A489),MONTH($A489),1))</f>
        <v/>
      </c>
      <c r="Q489" s="31" t="str">
        <f aca="false">IF($A489="","",IF(AND($L489='Invoice Builder'!$C$5,$P489='Invoice Builder'!$C$6,N($N489)&gt;0),COUNTIFS($L$5:$L489,'Invoice Builder'!$C$5,$P$5:$P489,'Invoice Builder'!$C$6,$N$5:$N489,"&gt;0"),""))</f>
        <v/>
      </c>
      <c r="R489" s="27" t="str">
        <f aca="false">IF($A489="","",IF($A489&gt;=DATE(YEAR($A489),4,6),YEAR($A489)&amp;"/"&amp;RIGHT(YEAR($A489)+1,2),YEAR($A489)-1&amp;"/"&amp;RIGHT(YEAR($A489),2)))</f>
        <v/>
      </c>
    </row>
    <row r="490" customFormat="false" ht="15" hidden="false" customHeight="false" outlineLevel="0" collapsed="false">
      <c r="A490" s="22"/>
      <c r="B490" s="23"/>
      <c r="C490" s="23"/>
      <c r="D490" s="23"/>
      <c r="E490" s="32"/>
      <c r="F490" s="25"/>
      <c r="G490" s="23"/>
      <c r="H490" s="23"/>
      <c r="I490" s="23"/>
      <c r="J490" s="23"/>
      <c r="K490" s="23"/>
      <c r="L490" s="27" t="str">
        <f aca="false">IF($B490="","",IFERROR(INDEX(Properties!$D$5:$D$104,MATCH($B490,Properties!$A$5:$A$104,0)),"-"))</f>
        <v/>
      </c>
      <c r="M490" s="28" t="str">
        <f aca="false">IF(OR($A490="",N($E490)=0),"",$F490/$E490)</f>
        <v/>
      </c>
      <c r="N490" s="28" t="str">
        <f aca="false">IF($A490="","",IF($H490="Y",$F490*(1+Settings!$B$3),0))</f>
        <v/>
      </c>
      <c r="O490" s="27" t="str">
        <f aca="false">IF($A490="","",IF(AND($H490="Y",$G490&lt;&gt;"Restock",N($M490)&gt;Settings!$B$4,$I490&lt;&gt;"Y"),"Get host OK",IF(AND($H490="Y",$F490&gt;Settings!$B$5,$I490&lt;&gt;"Y"),"Host should pay upfront",IF($J490&lt;&gt;"Y","Save receipt","OK"))))</f>
        <v/>
      </c>
      <c r="P490" s="29" t="str">
        <f aca="false">IF($A490="","",DATE(YEAR($A490),MONTH($A490),1))</f>
        <v/>
      </c>
      <c r="Q490" s="31" t="str">
        <f aca="false">IF($A490="","",IF(AND($L490='Invoice Builder'!$C$5,$P490='Invoice Builder'!$C$6,N($N490)&gt;0),COUNTIFS($L$5:$L490,'Invoice Builder'!$C$5,$P$5:$P490,'Invoice Builder'!$C$6,$N$5:$N490,"&gt;0"),""))</f>
        <v/>
      </c>
      <c r="R490" s="27" t="str">
        <f aca="false">IF($A490="","",IF($A490&gt;=DATE(YEAR($A490),4,6),YEAR($A490)&amp;"/"&amp;RIGHT(YEAR($A490)+1,2),YEAR($A490)-1&amp;"/"&amp;RIGHT(YEAR($A490),2)))</f>
        <v/>
      </c>
    </row>
    <row r="491" customFormat="false" ht="15" hidden="false" customHeight="false" outlineLevel="0" collapsed="false">
      <c r="A491" s="22"/>
      <c r="B491" s="23"/>
      <c r="C491" s="23"/>
      <c r="D491" s="23"/>
      <c r="E491" s="32"/>
      <c r="F491" s="25"/>
      <c r="G491" s="23"/>
      <c r="H491" s="23"/>
      <c r="I491" s="23"/>
      <c r="J491" s="23"/>
      <c r="K491" s="23"/>
      <c r="L491" s="27" t="str">
        <f aca="false">IF($B491="","",IFERROR(INDEX(Properties!$D$5:$D$104,MATCH($B491,Properties!$A$5:$A$104,0)),"-"))</f>
        <v/>
      </c>
      <c r="M491" s="28" t="str">
        <f aca="false">IF(OR($A491="",N($E491)=0),"",$F491/$E491)</f>
        <v/>
      </c>
      <c r="N491" s="28" t="str">
        <f aca="false">IF($A491="","",IF($H491="Y",$F491*(1+Settings!$B$3),0))</f>
        <v/>
      </c>
      <c r="O491" s="27" t="str">
        <f aca="false">IF($A491="","",IF(AND($H491="Y",$G491&lt;&gt;"Restock",N($M491)&gt;Settings!$B$4,$I491&lt;&gt;"Y"),"Get host OK",IF(AND($H491="Y",$F491&gt;Settings!$B$5,$I491&lt;&gt;"Y"),"Host should pay upfront",IF($J491&lt;&gt;"Y","Save receipt","OK"))))</f>
        <v/>
      </c>
      <c r="P491" s="29" t="str">
        <f aca="false">IF($A491="","",DATE(YEAR($A491),MONTH($A491),1))</f>
        <v/>
      </c>
      <c r="Q491" s="31" t="str">
        <f aca="false">IF($A491="","",IF(AND($L491='Invoice Builder'!$C$5,$P491='Invoice Builder'!$C$6,N($N491)&gt;0),COUNTIFS($L$5:$L491,'Invoice Builder'!$C$5,$P$5:$P491,'Invoice Builder'!$C$6,$N$5:$N491,"&gt;0"),""))</f>
        <v/>
      </c>
      <c r="R491" s="27" t="str">
        <f aca="false">IF($A491="","",IF($A491&gt;=DATE(YEAR($A491),4,6),YEAR($A491)&amp;"/"&amp;RIGHT(YEAR($A491)+1,2),YEAR($A491)-1&amp;"/"&amp;RIGHT(YEAR($A491),2)))</f>
        <v/>
      </c>
    </row>
    <row r="492" customFormat="false" ht="15" hidden="false" customHeight="false" outlineLevel="0" collapsed="false">
      <c r="A492" s="22"/>
      <c r="B492" s="23"/>
      <c r="C492" s="23"/>
      <c r="D492" s="23"/>
      <c r="E492" s="32"/>
      <c r="F492" s="25"/>
      <c r="G492" s="23"/>
      <c r="H492" s="23"/>
      <c r="I492" s="23"/>
      <c r="J492" s="23"/>
      <c r="K492" s="23"/>
      <c r="L492" s="27" t="str">
        <f aca="false">IF($B492="","",IFERROR(INDEX(Properties!$D$5:$D$104,MATCH($B492,Properties!$A$5:$A$104,0)),"-"))</f>
        <v/>
      </c>
      <c r="M492" s="28" t="str">
        <f aca="false">IF(OR($A492="",N($E492)=0),"",$F492/$E492)</f>
        <v/>
      </c>
      <c r="N492" s="28" t="str">
        <f aca="false">IF($A492="","",IF($H492="Y",$F492*(1+Settings!$B$3),0))</f>
        <v/>
      </c>
      <c r="O492" s="27" t="str">
        <f aca="false">IF($A492="","",IF(AND($H492="Y",$G492&lt;&gt;"Restock",N($M492)&gt;Settings!$B$4,$I492&lt;&gt;"Y"),"Get host OK",IF(AND($H492="Y",$F492&gt;Settings!$B$5,$I492&lt;&gt;"Y"),"Host should pay upfront",IF($J492&lt;&gt;"Y","Save receipt","OK"))))</f>
        <v/>
      </c>
      <c r="P492" s="29" t="str">
        <f aca="false">IF($A492="","",DATE(YEAR($A492),MONTH($A492),1))</f>
        <v/>
      </c>
      <c r="Q492" s="31" t="str">
        <f aca="false">IF($A492="","",IF(AND($L492='Invoice Builder'!$C$5,$P492='Invoice Builder'!$C$6,N($N492)&gt;0),COUNTIFS($L$5:$L492,'Invoice Builder'!$C$5,$P$5:$P492,'Invoice Builder'!$C$6,$N$5:$N492,"&gt;0"),""))</f>
        <v/>
      </c>
      <c r="R492" s="27" t="str">
        <f aca="false">IF($A492="","",IF($A492&gt;=DATE(YEAR($A492),4,6),YEAR($A492)&amp;"/"&amp;RIGHT(YEAR($A492)+1,2),YEAR($A492)-1&amp;"/"&amp;RIGHT(YEAR($A492),2)))</f>
        <v/>
      </c>
    </row>
    <row r="493" customFormat="false" ht="15" hidden="false" customHeight="false" outlineLevel="0" collapsed="false">
      <c r="A493" s="22"/>
      <c r="B493" s="23"/>
      <c r="C493" s="23"/>
      <c r="D493" s="23"/>
      <c r="E493" s="32"/>
      <c r="F493" s="25"/>
      <c r="G493" s="23"/>
      <c r="H493" s="23"/>
      <c r="I493" s="23"/>
      <c r="J493" s="23"/>
      <c r="K493" s="23"/>
      <c r="L493" s="27" t="str">
        <f aca="false">IF($B493="","",IFERROR(INDEX(Properties!$D$5:$D$104,MATCH($B493,Properties!$A$5:$A$104,0)),"-"))</f>
        <v/>
      </c>
      <c r="M493" s="28" t="str">
        <f aca="false">IF(OR($A493="",N($E493)=0),"",$F493/$E493)</f>
        <v/>
      </c>
      <c r="N493" s="28" t="str">
        <f aca="false">IF($A493="","",IF($H493="Y",$F493*(1+Settings!$B$3),0))</f>
        <v/>
      </c>
      <c r="O493" s="27" t="str">
        <f aca="false">IF($A493="","",IF(AND($H493="Y",$G493&lt;&gt;"Restock",N($M493)&gt;Settings!$B$4,$I493&lt;&gt;"Y"),"Get host OK",IF(AND($H493="Y",$F493&gt;Settings!$B$5,$I493&lt;&gt;"Y"),"Host should pay upfront",IF($J493&lt;&gt;"Y","Save receipt","OK"))))</f>
        <v/>
      </c>
      <c r="P493" s="29" t="str">
        <f aca="false">IF($A493="","",DATE(YEAR($A493),MONTH($A493),1))</f>
        <v/>
      </c>
      <c r="Q493" s="31" t="str">
        <f aca="false">IF($A493="","",IF(AND($L493='Invoice Builder'!$C$5,$P493='Invoice Builder'!$C$6,N($N493)&gt;0),COUNTIFS($L$5:$L493,'Invoice Builder'!$C$5,$P$5:$P493,'Invoice Builder'!$C$6,$N$5:$N493,"&gt;0"),""))</f>
        <v/>
      </c>
      <c r="R493" s="27" t="str">
        <f aca="false">IF($A493="","",IF($A493&gt;=DATE(YEAR($A493),4,6),YEAR($A493)&amp;"/"&amp;RIGHT(YEAR($A493)+1,2),YEAR($A493)-1&amp;"/"&amp;RIGHT(YEAR($A493),2)))</f>
        <v/>
      </c>
    </row>
    <row r="494" customFormat="false" ht="15" hidden="false" customHeight="false" outlineLevel="0" collapsed="false">
      <c r="A494" s="22"/>
      <c r="B494" s="23"/>
      <c r="C494" s="23"/>
      <c r="D494" s="23"/>
      <c r="E494" s="32"/>
      <c r="F494" s="25"/>
      <c r="G494" s="23"/>
      <c r="H494" s="23"/>
      <c r="I494" s="23"/>
      <c r="J494" s="23"/>
      <c r="K494" s="23"/>
      <c r="L494" s="27" t="str">
        <f aca="false">IF($B494="","",IFERROR(INDEX(Properties!$D$5:$D$104,MATCH($B494,Properties!$A$5:$A$104,0)),"-"))</f>
        <v/>
      </c>
      <c r="M494" s="28" t="str">
        <f aca="false">IF(OR($A494="",N($E494)=0),"",$F494/$E494)</f>
        <v/>
      </c>
      <c r="N494" s="28" t="str">
        <f aca="false">IF($A494="","",IF($H494="Y",$F494*(1+Settings!$B$3),0))</f>
        <v/>
      </c>
      <c r="O494" s="27" t="str">
        <f aca="false">IF($A494="","",IF(AND($H494="Y",$G494&lt;&gt;"Restock",N($M494)&gt;Settings!$B$4,$I494&lt;&gt;"Y"),"Get host OK",IF(AND($H494="Y",$F494&gt;Settings!$B$5,$I494&lt;&gt;"Y"),"Host should pay upfront",IF($J494&lt;&gt;"Y","Save receipt","OK"))))</f>
        <v/>
      </c>
      <c r="P494" s="29" t="str">
        <f aca="false">IF($A494="","",DATE(YEAR($A494),MONTH($A494),1))</f>
        <v/>
      </c>
      <c r="Q494" s="31" t="str">
        <f aca="false">IF($A494="","",IF(AND($L494='Invoice Builder'!$C$5,$P494='Invoice Builder'!$C$6,N($N494)&gt;0),COUNTIFS($L$5:$L494,'Invoice Builder'!$C$5,$P$5:$P494,'Invoice Builder'!$C$6,$N$5:$N494,"&gt;0"),""))</f>
        <v/>
      </c>
      <c r="R494" s="27" t="str">
        <f aca="false">IF($A494="","",IF($A494&gt;=DATE(YEAR($A494),4,6),YEAR($A494)&amp;"/"&amp;RIGHT(YEAR($A494)+1,2),YEAR($A494)-1&amp;"/"&amp;RIGHT(YEAR($A494),2)))</f>
        <v/>
      </c>
    </row>
    <row r="495" customFormat="false" ht="15" hidden="false" customHeight="false" outlineLevel="0" collapsed="false">
      <c r="A495" s="22"/>
      <c r="B495" s="23"/>
      <c r="C495" s="23"/>
      <c r="D495" s="23"/>
      <c r="E495" s="32"/>
      <c r="F495" s="25"/>
      <c r="G495" s="23"/>
      <c r="H495" s="23"/>
      <c r="I495" s="23"/>
      <c r="J495" s="23"/>
      <c r="K495" s="23"/>
      <c r="L495" s="27" t="str">
        <f aca="false">IF($B495="","",IFERROR(INDEX(Properties!$D$5:$D$104,MATCH($B495,Properties!$A$5:$A$104,0)),"-"))</f>
        <v/>
      </c>
      <c r="M495" s="28" t="str">
        <f aca="false">IF(OR($A495="",N($E495)=0),"",$F495/$E495)</f>
        <v/>
      </c>
      <c r="N495" s="28" t="str">
        <f aca="false">IF($A495="","",IF($H495="Y",$F495*(1+Settings!$B$3),0))</f>
        <v/>
      </c>
      <c r="O495" s="27" t="str">
        <f aca="false">IF($A495="","",IF(AND($H495="Y",$G495&lt;&gt;"Restock",N($M495)&gt;Settings!$B$4,$I495&lt;&gt;"Y"),"Get host OK",IF(AND($H495="Y",$F495&gt;Settings!$B$5,$I495&lt;&gt;"Y"),"Host should pay upfront",IF($J495&lt;&gt;"Y","Save receipt","OK"))))</f>
        <v/>
      </c>
      <c r="P495" s="29" t="str">
        <f aca="false">IF($A495="","",DATE(YEAR($A495),MONTH($A495),1))</f>
        <v/>
      </c>
      <c r="Q495" s="31" t="str">
        <f aca="false">IF($A495="","",IF(AND($L495='Invoice Builder'!$C$5,$P495='Invoice Builder'!$C$6,N($N495)&gt;0),COUNTIFS($L$5:$L495,'Invoice Builder'!$C$5,$P$5:$P495,'Invoice Builder'!$C$6,$N$5:$N495,"&gt;0"),""))</f>
        <v/>
      </c>
      <c r="R495" s="27" t="str">
        <f aca="false">IF($A495="","",IF($A495&gt;=DATE(YEAR($A495),4,6),YEAR($A495)&amp;"/"&amp;RIGHT(YEAR($A495)+1,2),YEAR($A495)-1&amp;"/"&amp;RIGHT(YEAR($A495),2)))</f>
        <v/>
      </c>
    </row>
    <row r="496" customFormat="false" ht="15" hidden="false" customHeight="false" outlineLevel="0" collapsed="false">
      <c r="A496" s="22"/>
      <c r="B496" s="23"/>
      <c r="C496" s="23"/>
      <c r="D496" s="23"/>
      <c r="E496" s="32"/>
      <c r="F496" s="25"/>
      <c r="G496" s="23"/>
      <c r="H496" s="23"/>
      <c r="I496" s="23"/>
      <c r="J496" s="23"/>
      <c r="K496" s="23"/>
      <c r="L496" s="27" t="str">
        <f aca="false">IF($B496="","",IFERROR(INDEX(Properties!$D$5:$D$104,MATCH($B496,Properties!$A$5:$A$104,0)),"-"))</f>
        <v/>
      </c>
      <c r="M496" s="28" t="str">
        <f aca="false">IF(OR($A496="",N($E496)=0),"",$F496/$E496)</f>
        <v/>
      </c>
      <c r="N496" s="28" t="str">
        <f aca="false">IF($A496="","",IF($H496="Y",$F496*(1+Settings!$B$3),0))</f>
        <v/>
      </c>
      <c r="O496" s="27" t="str">
        <f aca="false">IF($A496="","",IF(AND($H496="Y",$G496&lt;&gt;"Restock",N($M496)&gt;Settings!$B$4,$I496&lt;&gt;"Y"),"Get host OK",IF(AND($H496="Y",$F496&gt;Settings!$B$5,$I496&lt;&gt;"Y"),"Host should pay upfront",IF($J496&lt;&gt;"Y","Save receipt","OK"))))</f>
        <v/>
      </c>
      <c r="P496" s="29" t="str">
        <f aca="false">IF($A496="","",DATE(YEAR($A496),MONTH($A496),1))</f>
        <v/>
      </c>
      <c r="Q496" s="31" t="str">
        <f aca="false">IF($A496="","",IF(AND($L496='Invoice Builder'!$C$5,$P496='Invoice Builder'!$C$6,N($N496)&gt;0),COUNTIFS($L$5:$L496,'Invoice Builder'!$C$5,$P$5:$P496,'Invoice Builder'!$C$6,$N$5:$N496,"&gt;0"),""))</f>
        <v/>
      </c>
      <c r="R496" s="27" t="str">
        <f aca="false">IF($A496="","",IF($A496&gt;=DATE(YEAR($A496),4,6),YEAR($A496)&amp;"/"&amp;RIGHT(YEAR($A496)+1,2),YEAR($A496)-1&amp;"/"&amp;RIGHT(YEAR($A496),2)))</f>
        <v/>
      </c>
    </row>
    <row r="497" customFormat="false" ht="15" hidden="false" customHeight="false" outlineLevel="0" collapsed="false">
      <c r="A497" s="22"/>
      <c r="B497" s="23"/>
      <c r="C497" s="23"/>
      <c r="D497" s="23"/>
      <c r="E497" s="32"/>
      <c r="F497" s="25"/>
      <c r="G497" s="23"/>
      <c r="H497" s="23"/>
      <c r="I497" s="23"/>
      <c r="J497" s="23"/>
      <c r="K497" s="23"/>
      <c r="L497" s="27" t="str">
        <f aca="false">IF($B497="","",IFERROR(INDEX(Properties!$D$5:$D$104,MATCH($B497,Properties!$A$5:$A$104,0)),"-"))</f>
        <v/>
      </c>
      <c r="M497" s="28" t="str">
        <f aca="false">IF(OR($A497="",N($E497)=0),"",$F497/$E497)</f>
        <v/>
      </c>
      <c r="N497" s="28" t="str">
        <f aca="false">IF($A497="","",IF($H497="Y",$F497*(1+Settings!$B$3),0))</f>
        <v/>
      </c>
      <c r="O497" s="27" t="str">
        <f aca="false">IF($A497="","",IF(AND($H497="Y",$G497&lt;&gt;"Restock",N($M497)&gt;Settings!$B$4,$I497&lt;&gt;"Y"),"Get host OK",IF(AND($H497="Y",$F497&gt;Settings!$B$5,$I497&lt;&gt;"Y"),"Host should pay upfront",IF($J497&lt;&gt;"Y","Save receipt","OK"))))</f>
        <v/>
      </c>
      <c r="P497" s="29" t="str">
        <f aca="false">IF($A497="","",DATE(YEAR($A497),MONTH($A497),1))</f>
        <v/>
      </c>
      <c r="Q497" s="31" t="str">
        <f aca="false">IF($A497="","",IF(AND($L497='Invoice Builder'!$C$5,$P497='Invoice Builder'!$C$6,N($N497)&gt;0),COUNTIFS($L$5:$L497,'Invoice Builder'!$C$5,$P$5:$P497,'Invoice Builder'!$C$6,$N$5:$N497,"&gt;0"),""))</f>
        <v/>
      </c>
      <c r="R497" s="27" t="str">
        <f aca="false">IF($A497="","",IF($A497&gt;=DATE(YEAR($A497),4,6),YEAR($A497)&amp;"/"&amp;RIGHT(YEAR($A497)+1,2),YEAR($A497)-1&amp;"/"&amp;RIGHT(YEAR($A497),2)))</f>
        <v/>
      </c>
    </row>
    <row r="498" customFormat="false" ht="15" hidden="false" customHeight="false" outlineLevel="0" collapsed="false">
      <c r="A498" s="22"/>
      <c r="B498" s="23"/>
      <c r="C498" s="23"/>
      <c r="D498" s="23"/>
      <c r="E498" s="32"/>
      <c r="F498" s="25"/>
      <c r="G498" s="23"/>
      <c r="H498" s="23"/>
      <c r="I498" s="23"/>
      <c r="J498" s="23"/>
      <c r="K498" s="23"/>
      <c r="L498" s="27" t="str">
        <f aca="false">IF($B498="","",IFERROR(INDEX(Properties!$D$5:$D$104,MATCH($B498,Properties!$A$5:$A$104,0)),"-"))</f>
        <v/>
      </c>
      <c r="M498" s="28" t="str">
        <f aca="false">IF(OR($A498="",N($E498)=0),"",$F498/$E498)</f>
        <v/>
      </c>
      <c r="N498" s="28" t="str">
        <f aca="false">IF($A498="","",IF($H498="Y",$F498*(1+Settings!$B$3),0))</f>
        <v/>
      </c>
      <c r="O498" s="27" t="str">
        <f aca="false">IF($A498="","",IF(AND($H498="Y",$G498&lt;&gt;"Restock",N($M498)&gt;Settings!$B$4,$I498&lt;&gt;"Y"),"Get host OK",IF(AND($H498="Y",$F498&gt;Settings!$B$5,$I498&lt;&gt;"Y"),"Host should pay upfront",IF($J498&lt;&gt;"Y","Save receipt","OK"))))</f>
        <v/>
      </c>
      <c r="P498" s="29" t="str">
        <f aca="false">IF($A498="","",DATE(YEAR($A498),MONTH($A498),1))</f>
        <v/>
      </c>
      <c r="Q498" s="31" t="str">
        <f aca="false">IF($A498="","",IF(AND($L498='Invoice Builder'!$C$5,$P498='Invoice Builder'!$C$6,N($N498)&gt;0),COUNTIFS($L$5:$L498,'Invoice Builder'!$C$5,$P$5:$P498,'Invoice Builder'!$C$6,$N$5:$N498,"&gt;0"),""))</f>
        <v/>
      </c>
      <c r="R498" s="27" t="str">
        <f aca="false">IF($A498="","",IF($A498&gt;=DATE(YEAR($A498),4,6),YEAR($A498)&amp;"/"&amp;RIGHT(YEAR($A498)+1,2),YEAR($A498)-1&amp;"/"&amp;RIGHT(YEAR($A498),2)))</f>
        <v/>
      </c>
    </row>
    <row r="499" customFormat="false" ht="15" hidden="false" customHeight="false" outlineLevel="0" collapsed="false">
      <c r="A499" s="22"/>
      <c r="B499" s="23"/>
      <c r="C499" s="23"/>
      <c r="D499" s="23"/>
      <c r="E499" s="32"/>
      <c r="F499" s="25"/>
      <c r="G499" s="23"/>
      <c r="H499" s="23"/>
      <c r="I499" s="23"/>
      <c r="J499" s="23"/>
      <c r="K499" s="23"/>
      <c r="L499" s="27" t="str">
        <f aca="false">IF($B499="","",IFERROR(INDEX(Properties!$D$5:$D$104,MATCH($B499,Properties!$A$5:$A$104,0)),"-"))</f>
        <v/>
      </c>
      <c r="M499" s="28" t="str">
        <f aca="false">IF(OR($A499="",N($E499)=0),"",$F499/$E499)</f>
        <v/>
      </c>
      <c r="N499" s="28" t="str">
        <f aca="false">IF($A499="","",IF($H499="Y",$F499*(1+Settings!$B$3),0))</f>
        <v/>
      </c>
      <c r="O499" s="27" t="str">
        <f aca="false">IF($A499="","",IF(AND($H499="Y",$G499&lt;&gt;"Restock",N($M499)&gt;Settings!$B$4,$I499&lt;&gt;"Y"),"Get host OK",IF(AND($H499="Y",$F499&gt;Settings!$B$5,$I499&lt;&gt;"Y"),"Host should pay upfront",IF($J499&lt;&gt;"Y","Save receipt","OK"))))</f>
        <v/>
      </c>
      <c r="P499" s="29" t="str">
        <f aca="false">IF($A499="","",DATE(YEAR($A499),MONTH($A499),1))</f>
        <v/>
      </c>
      <c r="Q499" s="31" t="str">
        <f aca="false">IF($A499="","",IF(AND($L499='Invoice Builder'!$C$5,$P499='Invoice Builder'!$C$6,N($N499)&gt;0),COUNTIFS($L$5:$L499,'Invoice Builder'!$C$5,$P$5:$P499,'Invoice Builder'!$C$6,$N$5:$N499,"&gt;0"),""))</f>
        <v/>
      </c>
      <c r="R499" s="27" t="str">
        <f aca="false">IF($A499="","",IF($A499&gt;=DATE(YEAR($A499),4,6),YEAR($A499)&amp;"/"&amp;RIGHT(YEAR($A499)+1,2),YEAR($A499)-1&amp;"/"&amp;RIGHT(YEAR($A499),2)))</f>
        <v/>
      </c>
    </row>
    <row r="500" customFormat="false" ht="15" hidden="false" customHeight="false" outlineLevel="0" collapsed="false">
      <c r="A500" s="22"/>
      <c r="B500" s="23"/>
      <c r="C500" s="23"/>
      <c r="D500" s="23"/>
      <c r="E500" s="32"/>
      <c r="F500" s="25"/>
      <c r="G500" s="23"/>
      <c r="H500" s="23"/>
      <c r="I500" s="23"/>
      <c r="J500" s="23"/>
      <c r="K500" s="23"/>
      <c r="L500" s="27" t="str">
        <f aca="false">IF($B500="","",IFERROR(INDEX(Properties!$D$5:$D$104,MATCH($B500,Properties!$A$5:$A$104,0)),"-"))</f>
        <v/>
      </c>
      <c r="M500" s="28" t="str">
        <f aca="false">IF(OR($A500="",N($E500)=0),"",$F500/$E500)</f>
        <v/>
      </c>
      <c r="N500" s="28" t="str">
        <f aca="false">IF($A500="","",IF($H500="Y",$F500*(1+Settings!$B$3),0))</f>
        <v/>
      </c>
      <c r="O500" s="27" t="str">
        <f aca="false">IF($A500="","",IF(AND($H500="Y",$G500&lt;&gt;"Restock",N($M500)&gt;Settings!$B$4,$I500&lt;&gt;"Y"),"Get host OK",IF(AND($H500="Y",$F500&gt;Settings!$B$5,$I500&lt;&gt;"Y"),"Host should pay upfront",IF($J500&lt;&gt;"Y","Save receipt","OK"))))</f>
        <v/>
      </c>
      <c r="P500" s="29" t="str">
        <f aca="false">IF($A500="","",DATE(YEAR($A500),MONTH($A500),1))</f>
        <v/>
      </c>
      <c r="Q500" s="31" t="str">
        <f aca="false">IF($A500="","",IF(AND($L500='Invoice Builder'!$C$5,$P500='Invoice Builder'!$C$6,N($N500)&gt;0),COUNTIFS($L$5:$L500,'Invoice Builder'!$C$5,$P$5:$P500,'Invoice Builder'!$C$6,$N$5:$N500,"&gt;0"),""))</f>
        <v/>
      </c>
      <c r="R500" s="27" t="str">
        <f aca="false">IF($A500="","",IF($A500&gt;=DATE(YEAR($A500),4,6),YEAR($A500)&amp;"/"&amp;RIGHT(YEAR($A500)+1,2),YEAR($A500)-1&amp;"/"&amp;RIGHT(YEAR($A500),2)))</f>
        <v/>
      </c>
    </row>
    <row r="501" customFormat="false" ht="15" hidden="false" customHeight="false" outlineLevel="0" collapsed="false">
      <c r="A501" s="22"/>
      <c r="B501" s="23"/>
      <c r="C501" s="23"/>
      <c r="D501" s="23"/>
      <c r="E501" s="32"/>
      <c r="F501" s="25"/>
      <c r="G501" s="23"/>
      <c r="H501" s="23"/>
      <c r="I501" s="23"/>
      <c r="J501" s="23"/>
      <c r="K501" s="23"/>
      <c r="L501" s="27" t="str">
        <f aca="false">IF($B501="","",IFERROR(INDEX(Properties!$D$5:$D$104,MATCH($B501,Properties!$A$5:$A$104,0)),"-"))</f>
        <v/>
      </c>
      <c r="M501" s="28" t="str">
        <f aca="false">IF(OR($A501="",N($E501)=0),"",$F501/$E501)</f>
        <v/>
      </c>
      <c r="N501" s="28" t="str">
        <f aca="false">IF($A501="","",IF($H501="Y",$F501*(1+Settings!$B$3),0))</f>
        <v/>
      </c>
      <c r="O501" s="27" t="str">
        <f aca="false">IF($A501="","",IF(AND($H501="Y",$G501&lt;&gt;"Restock",N($M501)&gt;Settings!$B$4,$I501&lt;&gt;"Y"),"Get host OK",IF(AND($H501="Y",$F501&gt;Settings!$B$5,$I501&lt;&gt;"Y"),"Host should pay upfront",IF($J501&lt;&gt;"Y","Save receipt","OK"))))</f>
        <v/>
      </c>
      <c r="P501" s="29" t="str">
        <f aca="false">IF($A501="","",DATE(YEAR($A501),MONTH($A501),1))</f>
        <v/>
      </c>
      <c r="Q501" s="31" t="str">
        <f aca="false">IF($A501="","",IF(AND($L501='Invoice Builder'!$C$5,$P501='Invoice Builder'!$C$6,N($N501)&gt;0),COUNTIFS($L$5:$L501,'Invoice Builder'!$C$5,$P$5:$P501,'Invoice Builder'!$C$6,$N$5:$N501,"&gt;0"),""))</f>
        <v/>
      </c>
      <c r="R501" s="27" t="str">
        <f aca="false">IF($A501="","",IF($A501&gt;=DATE(YEAR($A501),4,6),YEAR($A501)&amp;"/"&amp;RIGHT(YEAR($A501)+1,2),YEAR($A501)-1&amp;"/"&amp;RIGHT(YEAR($A501),2)))</f>
        <v/>
      </c>
    </row>
    <row r="502" customFormat="false" ht="15" hidden="false" customHeight="false" outlineLevel="0" collapsed="false">
      <c r="A502" s="22"/>
      <c r="B502" s="23"/>
      <c r="C502" s="23"/>
      <c r="D502" s="23"/>
      <c r="E502" s="32"/>
      <c r="F502" s="25"/>
      <c r="G502" s="23"/>
      <c r="H502" s="23"/>
      <c r="I502" s="23"/>
      <c r="J502" s="23"/>
      <c r="K502" s="23"/>
      <c r="L502" s="27" t="str">
        <f aca="false">IF($B502="","",IFERROR(INDEX(Properties!$D$5:$D$104,MATCH($B502,Properties!$A$5:$A$104,0)),"-"))</f>
        <v/>
      </c>
      <c r="M502" s="28" t="str">
        <f aca="false">IF(OR($A502="",N($E502)=0),"",$F502/$E502)</f>
        <v/>
      </c>
      <c r="N502" s="28" t="str">
        <f aca="false">IF($A502="","",IF($H502="Y",$F502*(1+Settings!$B$3),0))</f>
        <v/>
      </c>
      <c r="O502" s="27" t="str">
        <f aca="false">IF($A502="","",IF(AND($H502="Y",$G502&lt;&gt;"Restock",N($M502)&gt;Settings!$B$4,$I502&lt;&gt;"Y"),"Get host OK",IF(AND($H502="Y",$F502&gt;Settings!$B$5,$I502&lt;&gt;"Y"),"Host should pay upfront",IF($J502&lt;&gt;"Y","Save receipt","OK"))))</f>
        <v/>
      </c>
      <c r="P502" s="29" t="str">
        <f aca="false">IF($A502="","",DATE(YEAR($A502),MONTH($A502),1))</f>
        <v/>
      </c>
      <c r="Q502" s="31" t="str">
        <f aca="false">IF($A502="","",IF(AND($L502='Invoice Builder'!$C$5,$P502='Invoice Builder'!$C$6,N($N502)&gt;0),COUNTIFS($L$5:$L502,'Invoice Builder'!$C$5,$P$5:$P502,'Invoice Builder'!$C$6,$N$5:$N502,"&gt;0"),""))</f>
        <v/>
      </c>
      <c r="R502" s="27" t="str">
        <f aca="false">IF($A502="","",IF($A502&gt;=DATE(YEAR($A502),4,6),YEAR($A502)&amp;"/"&amp;RIGHT(YEAR($A502)+1,2),YEAR($A502)-1&amp;"/"&amp;RIGHT(YEAR($A502),2)))</f>
        <v/>
      </c>
    </row>
    <row r="503" customFormat="false" ht="15" hidden="false" customHeight="false" outlineLevel="0" collapsed="false">
      <c r="A503" s="22"/>
      <c r="B503" s="23"/>
      <c r="C503" s="23"/>
      <c r="D503" s="23"/>
      <c r="E503" s="32"/>
      <c r="F503" s="25"/>
      <c r="G503" s="23"/>
      <c r="H503" s="23"/>
      <c r="I503" s="23"/>
      <c r="J503" s="23"/>
      <c r="K503" s="23"/>
      <c r="L503" s="27" t="str">
        <f aca="false">IF($B503="","",IFERROR(INDEX(Properties!$D$5:$D$104,MATCH($B503,Properties!$A$5:$A$104,0)),"-"))</f>
        <v/>
      </c>
      <c r="M503" s="28" t="str">
        <f aca="false">IF(OR($A503="",N($E503)=0),"",$F503/$E503)</f>
        <v/>
      </c>
      <c r="N503" s="28" t="str">
        <f aca="false">IF($A503="","",IF($H503="Y",$F503*(1+Settings!$B$3),0))</f>
        <v/>
      </c>
      <c r="O503" s="27" t="str">
        <f aca="false">IF($A503="","",IF(AND($H503="Y",$G503&lt;&gt;"Restock",N($M503)&gt;Settings!$B$4,$I503&lt;&gt;"Y"),"Get host OK",IF(AND($H503="Y",$F503&gt;Settings!$B$5,$I503&lt;&gt;"Y"),"Host should pay upfront",IF($J503&lt;&gt;"Y","Save receipt","OK"))))</f>
        <v/>
      </c>
      <c r="P503" s="29" t="str">
        <f aca="false">IF($A503="","",DATE(YEAR($A503),MONTH($A503),1))</f>
        <v/>
      </c>
      <c r="Q503" s="31" t="str">
        <f aca="false">IF($A503="","",IF(AND($L503='Invoice Builder'!$C$5,$P503='Invoice Builder'!$C$6,N($N503)&gt;0),COUNTIFS($L$5:$L503,'Invoice Builder'!$C$5,$P$5:$P503,'Invoice Builder'!$C$6,$N$5:$N503,"&gt;0"),""))</f>
        <v/>
      </c>
      <c r="R503" s="27" t="str">
        <f aca="false">IF($A503="","",IF($A503&gt;=DATE(YEAR($A503),4,6),YEAR($A503)&amp;"/"&amp;RIGHT(YEAR($A503)+1,2),YEAR($A503)-1&amp;"/"&amp;RIGHT(YEAR($A503),2)))</f>
        <v/>
      </c>
    </row>
    <row r="504" customFormat="false" ht="15" hidden="false" customHeight="false" outlineLevel="0" collapsed="false">
      <c r="A504" s="22"/>
      <c r="B504" s="23"/>
      <c r="C504" s="23"/>
      <c r="D504" s="23"/>
      <c r="E504" s="32"/>
      <c r="F504" s="25"/>
      <c r="G504" s="23"/>
      <c r="H504" s="23"/>
      <c r="I504" s="23"/>
      <c r="J504" s="23"/>
      <c r="K504" s="23"/>
      <c r="L504" s="27" t="str">
        <f aca="false">IF($B504="","",IFERROR(INDEX(Properties!$D$5:$D$104,MATCH($B504,Properties!$A$5:$A$104,0)),"-"))</f>
        <v/>
      </c>
      <c r="M504" s="28" t="str">
        <f aca="false">IF(OR($A504="",N($E504)=0),"",$F504/$E504)</f>
        <v/>
      </c>
      <c r="N504" s="28" t="str">
        <f aca="false">IF($A504="","",IF($H504="Y",$F504*(1+Settings!$B$3),0))</f>
        <v/>
      </c>
      <c r="O504" s="27" t="str">
        <f aca="false">IF($A504="","",IF(AND($H504="Y",$G504&lt;&gt;"Restock",N($M504)&gt;Settings!$B$4,$I504&lt;&gt;"Y"),"Get host OK",IF(AND($H504="Y",$F504&gt;Settings!$B$5,$I504&lt;&gt;"Y"),"Host should pay upfront",IF($J504&lt;&gt;"Y","Save receipt","OK"))))</f>
        <v/>
      </c>
      <c r="P504" s="29" t="str">
        <f aca="false">IF($A504="","",DATE(YEAR($A504),MONTH($A504),1))</f>
        <v/>
      </c>
      <c r="Q504" s="31" t="str">
        <f aca="false">IF($A504="","",IF(AND($L504='Invoice Builder'!$C$5,$P504='Invoice Builder'!$C$6,N($N504)&gt;0),COUNTIFS($L$5:$L504,'Invoice Builder'!$C$5,$P$5:$P504,'Invoice Builder'!$C$6,$N$5:$N504,"&gt;0"),""))</f>
        <v/>
      </c>
      <c r="R504" s="27" t="str">
        <f aca="false">IF($A504="","",IF($A504&gt;=DATE(YEAR($A504),4,6),YEAR($A504)&amp;"/"&amp;RIGHT(YEAR($A504)+1,2),YEAR($A504)-1&amp;"/"&amp;RIGHT(YEAR($A504),2)))</f>
        <v/>
      </c>
    </row>
    <row r="505" customFormat="false" ht="15" hidden="false" customHeight="false" outlineLevel="0" collapsed="false">
      <c r="A505" s="22"/>
      <c r="B505" s="23"/>
      <c r="C505" s="23"/>
      <c r="D505" s="23"/>
      <c r="E505" s="32"/>
      <c r="F505" s="25"/>
      <c r="G505" s="23"/>
      <c r="H505" s="23"/>
      <c r="I505" s="23"/>
      <c r="J505" s="23"/>
      <c r="K505" s="23"/>
      <c r="L505" s="27" t="str">
        <f aca="false">IF($B505="","",IFERROR(INDEX(Properties!$D$5:$D$104,MATCH($B505,Properties!$A$5:$A$104,0)),"-"))</f>
        <v/>
      </c>
      <c r="M505" s="28" t="str">
        <f aca="false">IF(OR($A505="",N($E505)=0),"",$F505/$E505)</f>
        <v/>
      </c>
      <c r="N505" s="28" t="str">
        <f aca="false">IF($A505="","",IF($H505="Y",$F505*(1+Settings!$B$3),0))</f>
        <v/>
      </c>
      <c r="O505" s="27" t="str">
        <f aca="false">IF($A505="","",IF(AND($H505="Y",$G505&lt;&gt;"Restock",N($M505)&gt;Settings!$B$4,$I505&lt;&gt;"Y"),"Get host OK",IF(AND($H505="Y",$F505&gt;Settings!$B$5,$I505&lt;&gt;"Y"),"Host should pay upfront",IF($J505&lt;&gt;"Y","Save receipt","OK"))))</f>
        <v/>
      </c>
      <c r="P505" s="29" t="str">
        <f aca="false">IF($A505="","",DATE(YEAR($A505),MONTH($A505),1))</f>
        <v/>
      </c>
      <c r="Q505" s="31" t="str">
        <f aca="false">IF($A505="","",IF(AND($L505='Invoice Builder'!$C$5,$P505='Invoice Builder'!$C$6,N($N505)&gt;0),COUNTIFS($L$5:$L505,'Invoice Builder'!$C$5,$P$5:$P505,'Invoice Builder'!$C$6,$N$5:$N505,"&gt;0"),""))</f>
        <v/>
      </c>
      <c r="R505" s="27" t="str">
        <f aca="false">IF($A505="","",IF($A505&gt;=DATE(YEAR($A505),4,6),YEAR($A505)&amp;"/"&amp;RIGHT(YEAR($A505)+1,2),YEAR($A505)-1&amp;"/"&amp;RIGHT(YEAR($A505),2)))</f>
        <v/>
      </c>
    </row>
    <row r="506" customFormat="false" ht="15" hidden="false" customHeight="false" outlineLevel="0" collapsed="false">
      <c r="A506" s="22"/>
      <c r="B506" s="23"/>
      <c r="C506" s="23"/>
      <c r="D506" s="23"/>
      <c r="E506" s="32"/>
      <c r="F506" s="25"/>
      <c r="G506" s="23"/>
      <c r="H506" s="23"/>
      <c r="I506" s="23"/>
      <c r="J506" s="23"/>
      <c r="K506" s="23"/>
      <c r="L506" s="27" t="str">
        <f aca="false">IF($B506="","",IFERROR(INDEX(Properties!$D$5:$D$104,MATCH($B506,Properties!$A$5:$A$104,0)),"-"))</f>
        <v/>
      </c>
      <c r="M506" s="28" t="str">
        <f aca="false">IF(OR($A506="",N($E506)=0),"",$F506/$E506)</f>
        <v/>
      </c>
      <c r="N506" s="28" t="str">
        <f aca="false">IF($A506="","",IF($H506="Y",$F506*(1+Settings!$B$3),0))</f>
        <v/>
      </c>
      <c r="O506" s="27" t="str">
        <f aca="false">IF($A506="","",IF(AND($H506="Y",$G506&lt;&gt;"Restock",N($M506)&gt;Settings!$B$4,$I506&lt;&gt;"Y"),"Get host OK",IF(AND($H506="Y",$F506&gt;Settings!$B$5,$I506&lt;&gt;"Y"),"Host should pay upfront",IF($J506&lt;&gt;"Y","Save receipt","OK"))))</f>
        <v/>
      </c>
      <c r="P506" s="29" t="str">
        <f aca="false">IF($A506="","",DATE(YEAR($A506),MONTH($A506),1))</f>
        <v/>
      </c>
      <c r="Q506" s="31" t="str">
        <f aca="false">IF($A506="","",IF(AND($L506='Invoice Builder'!$C$5,$P506='Invoice Builder'!$C$6,N($N506)&gt;0),COUNTIFS($L$5:$L506,'Invoice Builder'!$C$5,$P$5:$P506,'Invoice Builder'!$C$6,$N$5:$N506,"&gt;0"),""))</f>
        <v/>
      </c>
      <c r="R506" s="27" t="str">
        <f aca="false">IF($A506="","",IF($A506&gt;=DATE(YEAR($A506),4,6),YEAR($A506)&amp;"/"&amp;RIGHT(YEAR($A506)+1,2),YEAR($A506)-1&amp;"/"&amp;RIGHT(YEAR($A506),2)))</f>
        <v/>
      </c>
    </row>
    <row r="507" customFormat="false" ht="15" hidden="false" customHeight="false" outlineLevel="0" collapsed="false">
      <c r="A507" s="22"/>
      <c r="B507" s="23"/>
      <c r="C507" s="23"/>
      <c r="D507" s="23"/>
      <c r="E507" s="32"/>
      <c r="F507" s="25"/>
      <c r="G507" s="23"/>
      <c r="H507" s="23"/>
      <c r="I507" s="23"/>
      <c r="J507" s="23"/>
      <c r="K507" s="23"/>
      <c r="L507" s="27" t="str">
        <f aca="false">IF($B507="","",IFERROR(INDEX(Properties!$D$5:$D$104,MATCH($B507,Properties!$A$5:$A$104,0)),"-"))</f>
        <v/>
      </c>
      <c r="M507" s="28" t="str">
        <f aca="false">IF(OR($A507="",N($E507)=0),"",$F507/$E507)</f>
        <v/>
      </c>
      <c r="N507" s="28" t="str">
        <f aca="false">IF($A507="","",IF($H507="Y",$F507*(1+Settings!$B$3),0))</f>
        <v/>
      </c>
      <c r="O507" s="27" t="str">
        <f aca="false">IF($A507="","",IF(AND($H507="Y",$G507&lt;&gt;"Restock",N($M507)&gt;Settings!$B$4,$I507&lt;&gt;"Y"),"Get host OK",IF(AND($H507="Y",$F507&gt;Settings!$B$5,$I507&lt;&gt;"Y"),"Host should pay upfront",IF($J507&lt;&gt;"Y","Save receipt","OK"))))</f>
        <v/>
      </c>
      <c r="P507" s="29" t="str">
        <f aca="false">IF($A507="","",DATE(YEAR($A507),MONTH($A507),1))</f>
        <v/>
      </c>
      <c r="Q507" s="31" t="str">
        <f aca="false">IF($A507="","",IF(AND($L507='Invoice Builder'!$C$5,$P507='Invoice Builder'!$C$6,N($N507)&gt;0),COUNTIFS($L$5:$L507,'Invoice Builder'!$C$5,$P$5:$P507,'Invoice Builder'!$C$6,$N$5:$N507,"&gt;0"),""))</f>
        <v/>
      </c>
      <c r="R507" s="27" t="str">
        <f aca="false">IF($A507="","",IF($A507&gt;=DATE(YEAR($A507),4,6),YEAR($A507)&amp;"/"&amp;RIGHT(YEAR($A507)+1,2),YEAR($A507)-1&amp;"/"&amp;RIGHT(YEAR($A507),2)))</f>
        <v/>
      </c>
    </row>
    <row r="508" customFormat="false" ht="15" hidden="false" customHeight="false" outlineLevel="0" collapsed="false">
      <c r="A508" s="22"/>
      <c r="B508" s="23"/>
      <c r="C508" s="23"/>
      <c r="D508" s="23"/>
      <c r="E508" s="32"/>
      <c r="F508" s="25"/>
      <c r="G508" s="23"/>
      <c r="H508" s="23"/>
      <c r="I508" s="23"/>
      <c r="J508" s="23"/>
      <c r="K508" s="23"/>
      <c r="L508" s="27" t="str">
        <f aca="false">IF($B508="","",IFERROR(INDEX(Properties!$D$5:$D$104,MATCH($B508,Properties!$A$5:$A$104,0)),"-"))</f>
        <v/>
      </c>
      <c r="M508" s="28" t="str">
        <f aca="false">IF(OR($A508="",N($E508)=0),"",$F508/$E508)</f>
        <v/>
      </c>
      <c r="N508" s="28" t="str">
        <f aca="false">IF($A508="","",IF($H508="Y",$F508*(1+Settings!$B$3),0))</f>
        <v/>
      </c>
      <c r="O508" s="27" t="str">
        <f aca="false">IF($A508="","",IF(AND($H508="Y",$G508&lt;&gt;"Restock",N($M508)&gt;Settings!$B$4,$I508&lt;&gt;"Y"),"Get host OK",IF(AND($H508="Y",$F508&gt;Settings!$B$5,$I508&lt;&gt;"Y"),"Host should pay upfront",IF($J508&lt;&gt;"Y","Save receipt","OK"))))</f>
        <v/>
      </c>
      <c r="P508" s="29" t="str">
        <f aca="false">IF($A508="","",DATE(YEAR($A508),MONTH($A508),1))</f>
        <v/>
      </c>
      <c r="Q508" s="31" t="str">
        <f aca="false">IF($A508="","",IF(AND($L508='Invoice Builder'!$C$5,$P508='Invoice Builder'!$C$6,N($N508)&gt;0),COUNTIFS($L$5:$L508,'Invoice Builder'!$C$5,$P$5:$P508,'Invoice Builder'!$C$6,$N$5:$N508,"&gt;0"),""))</f>
        <v/>
      </c>
      <c r="R508" s="27" t="str">
        <f aca="false">IF($A508="","",IF($A508&gt;=DATE(YEAR($A508),4,6),YEAR($A508)&amp;"/"&amp;RIGHT(YEAR($A508)+1,2),YEAR($A508)-1&amp;"/"&amp;RIGHT(YEAR($A508),2)))</f>
        <v/>
      </c>
    </row>
    <row r="509" customFormat="false" ht="15" hidden="false" customHeight="false" outlineLevel="0" collapsed="false">
      <c r="A509" s="22"/>
      <c r="B509" s="23"/>
      <c r="C509" s="23"/>
      <c r="D509" s="23"/>
      <c r="E509" s="32"/>
      <c r="F509" s="25"/>
      <c r="G509" s="23"/>
      <c r="H509" s="23"/>
      <c r="I509" s="23"/>
      <c r="J509" s="23"/>
      <c r="K509" s="23"/>
      <c r="L509" s="27" t="str">
        <f aca="false">IF($B509="","",IFERROR(INDEX(Properties!$D$5:$D$104,MATCH($B509,Properties!$A$5:$A$104,0)),"-"))</f>
        <v/>
      </c>
      <c r="M509" s="28" t="str">
        <f aca="false">IF(OR($A509="",N($E509)=0),"",$F509/$E509)</f>
        <v/>
      </c>
      <c r="N509" s="28" t="str">
        <f aca="false">IF($A509="","",IF($H509="Y",$F509*(1+Settings!$B$3),0))</f>
        <v/>
      </c>
      <c r="O509" s="27" t="str">
        <f aca="false">IF($A509="","",IF(AND($H509="Y",$G509&lt;&gt;"Restock",N($M509)&gt;Settings!$B$4,$I509&lt;&gt;"Y"),"Get host OK",IF(AND($H509="Y",$F509&gt;Settings!$B$5,$I509&lt;&gt;"Y"),"Host should pay upfront",IF($J509&lt;&gt;"Y","Save receipt","OK"))))</f>
        <v/>
      </c>
      <c r="P509" s="29" t="str">
        <f aca="false">IF($A509="","",DATE(YEAR($A509),MONTH($A509),1))</f>
        <v/>
      </c>
      <c r="Q509" s="31" t="str">
        <f aca="false">IF($A509="","",IF(AND($L509='Invoice Builder'!$C$5,$P509='Invoice Builder'!$C$6,N($N509)&gt;0),COUNTIFS($L$5:$L509,'Invoice Builder'!$C$5,$P$5:$P509,'Invoice Builder'!$C$6,$N$5:$N509,"&gt;0"),""))</f>
        <v/>
      </c>
      <c r="R509" s="27" t="str">
        <f aca="false">IF($A509="","",IF($A509&gt;=DATE(YEAR($A509),4,6),YEAR($A509)&amp;"/"&amp;RIGHT(YEAR($A509)+1,2),YEAR($A509)-1&amp;"/"&amp;RIGHT(YEAR($A509),2)))</f>
        <v/>
      </c>
    </row>
    <row r="510" customFormat="false" ht="15" hidden="false" customHeight="false" outlineLevel="0" collapsed="false">
      <c r="A510" s="22"/>
      <c r="B510" s="23"/>
      <c r="C510" s="23"/>
      <c r="D510" s="23"/>
      <c r="E510" s="32"/>
      <c r="F510" s="25"/>
      <c r="G510" s="23"/>
      <c r="H510" s="23"/>
      <c r="I510" s="23"/>
      <c r="J510" s="23"/>
      <c r="K510" s="23"/>
      <c r="L510" s="27" t="str">
        <f aca="false">IF($B510="","",IFERROR(INDEX(Properties!$D$5:$D$104,MATCH($B510,Properties!$A$5:$A$104,0)),"-"))</f>
        <v/>
      </c>
      <c r="M510" s="28" t="str">
        <f aca="false">IF(OR($A510="",N($E510)=0),"",$F510/$E510)</f>
        <v/>
      </c>
      <c r="N510" s="28" t="str">
        <f aca="false">IF($A510="","",IF($H510="Y",$F510*(1+Settings!$B$3),0))</f>
        <v/>
      </c>
      <c r="O510" s="27" t="str">
        <f aca="false">IF($A510="","",IF(AND($H510="Y",$G510&lt;&gt;"Restock",N($M510)&gt;Settings!$B$4,$I510&lt;&gt;"Y"),"Get host OK",IF(AND($H510="Y",$F510&gt;Settings!$B$5,$I510&lt;&gt;"Y"),"Host should pay upfront",IF($J510&lt;&gt;"Y","Save receipt","OK"))))</f>
        <v/>
      </c>
      <c r="P510" s="29" t="str">
        <f aca="false">IF($A510="","",DATE(YEAR($A510),MONTH($A510),1))</f>
        <v/>
      </c>
      <c r="Q510" s="31" t="str">
        <f aca="false">IF($A510="","",IF(AND($L510='Invoice Builder'!$C$5,$P510='Invoice Builder'!$C$6,N($N510)&gt;0),COUNTIFS($L$5:$L510,'Invoice Builder'!$C$5,$P$5:$P510,'Invoice Builder'!$C$6,$N$5:$N510,"&gt;0"),""))</f>
        <v/>
      </c>
      <c r="R510" s="27" t="str">
        <f aca="false">IF($A510="","",IF($A510&gt;=DATE(YEAR($A510),4,6),YEAR($A510)&amp;"/"&amp;RIGHT(YEAR($A510)+1,2),YEAR($A510)-1&amp;"/"&amp;RIGHT(YEAR($A510),2)))</f>
        <v/>
      </c>
    </row>
    <row r="511" customFormat="false" ht="15" hidden="false" customHeight="false" outlineLevel="0" collapsed="false">
      <c r="A511" s="22"/>
      <c r="B511" s="23"/>
      <c r="C511" s="23"/>
      <c r="D511" s="23"/>
      <c r="E511" s="32"/>
      <c r="F511" s="25"/>
      <c r="G511" s="23"/>
      <c r="H511" s="23"/>
      <c r="I511" s="23"/>
      <c r="J511" s="23"/>
      <c r="K511" s="23"/>
      <c r="L511" s="27" t="str">
        <f aca="false">IF($B511="","",IFERROR(INDEX(Properties!$D$5:$D$104,MATCH($B511,Properties!$A$5:$A$104,0)),"-"))</f>
        <v/>
      </c>
      <c r="M511" s="28" t="str">
        <f aca="false">IF(OR($A511="",N($E511)=0),"",$F511/$E511)</f>
        <v/>
      </c>
      <c r="N511" s="28" t="str">
        <f aca="false">IF($A511="","",IF($H511="Y",$F511*(1+Settings!$B$3),0))</f>
        <v/>
      </c>
      <c r="O511" s="27" t="str">
        <f aca="false">IF($A511="","",IF(AND($H511="Y",$G511&lt;&gt;"Restock",N($M511)&gt;Settings!$B$4,$I511&lt;&gt;"Y"),"Get host OK",IF(AND($H511="Y",$F511&gt;Settings!$B$5,$I511&lt;&gt;"Y"),"Host should pay upfront",IF($J511&lt;&gt;"Y","Save receipt","OK"))))</f>
        <v/>
      </c>
      <c r="P511" s="29" t="str">
        <f aca="false">IF($A511="","",DATE(YEAR($A511),MONTH($A511),1))</f>
        <v/>
      </c>
      <c r="Q511" s="31" t="str">
        <f aca="false">IF($A511="","",IF(AND($L511='Invoice Builder'!$C$5,$P511='Invoice Builder'!$C$6,N($N511)&gt;0),COUNTIFS($L$5:$L511,'Invoice Builder'!$C$5,$P$5:$P511,'Invoice Builder'!$C$6,$N$5:$N511,"&gt;0"),""))</f>
        <v/>
      </c>
      <c r="R511" s="27" t="str">
        <f aca="false">IF($A511="","",IF($A511&gt;=DATE(YEAR($A511),4,6),YEAR($A511)&amp;"/"&amp;RIGHT(YEAR($A511)+1,2),YEAR($A511)-1&amp;"/"&amp;RIGHT(YEAR($A511),2)))</f>
        <v/>
      </c>
    </row>
    <row r="512" customFormat="false" ht="15" hidden="false" customHeight="false" outlineLevel="0" collapsed="false">
      <c r="A512" s="22"/>
      <c r="B512" s="23"/>
      <c r="C512" s="23"/>
      <c r="D512" s="23"/>
      <c r="E512" s="32"/>
      <c r="F512" s="25"/>
      <c r="G512" s="23"/>
      <c r="H512" s="23"/>
      <c r="I512" s="23"/>
      <c r="J512" s="23"/>
      <c r="K512" s="23"/>
      <c r="L512" s="27" t="str">
        <f aca="false">IF($B512="","",IFERROR(INDEX(Properties!$D$5:$D$104,MATCH($B512,Properties!$A$5:$A$104,0)),"-"))</f>
        <v/>
      </c>
      <c r="M512" s="28" t="str">
        <f aca="false">IF(OR($A512="",N($E512)=0),"",$F512/$E512)</f>
        <v/>
      </c>
      <c r="N512" s="28" t="str">
        <f aca="false">IF($A512="","",IF($H512="Y",$F512*(1+Settings!$B$3),0))</f>
        <v/>
      </c>
      <c r="O512" s="27" t="str">
        <f aca="false">IF($A512="","",IF(AND($H512="Y",$G512&lt;&gt;"Restock",N($M512)&gt;Settings!$B$4,$I512&lt;&gt;"Y"),"Get host OK",IF(AND($H512="Y",$F512&gt;Settings!$B$5,$I512&lt;&gt;"Y"),"Host should pay upfront",IF($J512&lt;&gt;"Y","Save receipt","OK"))))</f>
        <v/>
      </c>
      <c r="P512" s="29" t="str">
        <f aca="false">IF($A512="","",DATE(YEAR($A512),MONTH($A512),1))</f>
        <v/>
      </c>
      <c r="Q512" s="31" t="str">
        <f aca="false">IF($A512="","",IF(AND($L512='Invoice Builder'!$C$5,$P512='Invoice Builder'!$C$6,N($N512)&gt;0),COUNTIFS($L$5:$L512,'Invoice Builder'!$C$5,$P$5:$P512,'Invoice Builder'!$C$6,$N$5:$N512,"&gt;0"),""))</f>
        <v/>
      </c>
      <c r="R512" s="27" t="str">
        <f aca="false">IF($A512="","",IF($A512&gt;=DATE(YEAR($A512),4,6),YEAR($A512)&amp;"/"&amp;RIGHT(YEAR($A512)+1,2),YEAR($A512)-1&amp;"/"&amp;RIGHT(YEAR($A512),2)))</f>
        <v/>
      </c>
    </row>
    <row r="513" customFormat="false" ht="15" hidden="false" customHeight="false" outlineLevel="0" collapsed="false">
      <c r="A513" s="22"/>
      <c r="B513" s="23"/>
      <c r="C513" s="23"/>
      <c r="D513" s="23"/>
      <c r="E513" s="32"/>
      <c r="F513" s="25"/>
      <c r="G513" s="23"/>
      <c r="H513" s="23"/>
      <c r="I513" s="23"/>
      <c r="J513" s="23"/>
      <c r="K513" s="23"/>
      <c r="L513" s="27" t="str">
        <f aca="false">IF($B513="","",IFERROR(INDEX(Properties!$D$5:$D$104,MATCH($B513,Properties!$A$5:$A$104,0)),"-"))</f>
        <v/>
      </c>
      <c r="M513" s="28" t="str">
        <f aca="false">IF(OR($A513="",N($E513)=0),"",$F513/$E513)</f>
        <v/>
      </c>
      <c r="N513" s="28" t="str">
        <f aca="false">IF($A513="","",IF($H513="Y",$F513*(1+Settings!$B$3),0))</f>
        <v/>
      </c>
      <c r="O513" s="27" t="str">
        <f aca="false">IF($A513="","",IF(AND($H513="Y",$G513&lt;&gt;"Restock",N($M513)&gt;Settings!$B$4,$I513&lt;&gt;"Y"),"Get host OK",IF(AND($H513="Y",$F513&gt;Settings!$B$5,$I513&lt;&gt;"Y"),"Host should pay upfront",IF($J513&lt;&gt;"Y","Save receipt","OK"))))</f>
        <v/>
      </c>
      <c r="P513" s="29" t="str">
        <f aca="false">IF($A513="","",DATE(YEAR($A513),MONTH($A513),1))</f>
        <v/>
      </c>
      <c r="Q513" s="31" t="str">
        <f aca="false">IF($A513="","",IF(AND($L513='Invoice Builder'!$C$5,$P513='Invoice Builder'!$C$6,N($N513)&gt;0),COUNTIFS($L$5:$L513,'Invoice Builder'!$C$5,$P$5:$P513,'Invoice Builder'!$C$6,$N$5:$N513,"&gt;0"),""))</f>
        <v/>
      </c>
      <c r="R513" s="27" t="str">
        <f aca="false">IF($A513="","",IF($A513&gt;=DATE(YEAR($A513),4,6),YEAR($A513)&amp;"/"&amp;RIGHT(YEAR($A513)+1,2),YEAR($A513)-1&amp;"/"&amp;RIGHT(YEAR($A513),2)))</f>
        <v/>
      </c>
    </row>
    <row r="514" customFormat="false" ht="15" hidden="false" customHeight="false" outlineLevel="0" collapsed="false">
      <c r="A514" s="22"/>
      <c r="B514" s="23"/>
      <c r="C514" s="23"/>
      <c r="D514" s="23"/>
      <c r="E514" s="32"/>
      <c r="F514" s="25"/>
      <c r="G514" s="23"/>
      <c r="H514" s="23"/>
      <c r="I514" s="23"/>
      <c r="J514" s="23"/>
      <c r="K514" s="23"/>
      <c r="L514" s="27" t="str">
        <f aca="false">IF($B514="","",IFERROR(INDEX(Properties!$D$5:$D$104,MATCH($B514,Properties!$A$5:$A$104,0)),"-"))</f>
        <v/>
      </c>
      <c r="M514" s="28" t="str">
        <f aca="false">IF(OR($A514="",N($E514)=0),"",$F514/$E514)</f>
        <v/>
      </c>
      <c r="N514" s="28" t="str">
        <f aca="false">IF($A514="","",IF($H514="Y",$F514*(1+Settings!$B$3),0))</f>
        <v/>
      </c>
      <c r="O514" s="27" t="str">
        <f aca="false">IF($A514="","",IF(AND($H514="Y",$G514&lt;&gt;"Restock",N($M514)&gt;Settings!$B$4,$I514&lt;&gt;"Y"),"Get host OK",IF(AND($H514="Y",$F514&gt;Settings!$B$5,$I514&lt;&gt;"Y"),"Host should pay upfront",IF($J514&lt;&gt;"Y","Save receipt","OK"))))</f>
        <v/>
      </c>
      <c r="P514" s="29" t="str">
        <f aca="false">IF($A514="","",DATE(YEAR($A514),MONTH($A514),1))</f>
        <v/>
      </c>
      <c r="Q514" s="31" t="str">
        <f aca="false">IF($A514="","",IF(AND($L514='Invoice Builder'!$C$5,$P514='Invoice Builder'!$C$6,N($N514)&gt;0),COUNTIFS($L$5:$L514,'Invoice Builder'!$C$5,$P$5:$P514,'Invoice Builder'!$C$6,$N$5:$N514,"&gt;0"),""))</f>
        <v/>
      </c>
      <c r="R514" s="27" t="str">
        <f aca="false">IF($A514="","",IF($A514&gt;=DATE(YEAR($A514),4,6),YEAR($A514)&amp;"/"&amp;RIGHT(YEAR($A514)+1,2),YEAR($A514)-1&amp;"/"&amp;RIGHT(YEAR($A514),2)))</f>
        <v/>
      </c>
    </row>
    <row r="515" customFormat="false" ht="15" hidden="false" customHeight="false" outlineLevel="0" collapsed="false">
      <c r="A515" s="22"/>
      <c r="B515" s="23"/>
      <c r="C515" s="23"/>
      <c r="D515" s="23"/>
      <c r="E515" s="32"/>
      <c r="F515" s="25"/>
      <c r="G515" s="23"/>
      <c r="H515" s="23"/>
      <c r="I515" s="23"/>
      <c r="J515" s="23"/>
      <c r="K515" s="23"/>
      <c r="L515" s="27" t="str">
        <f aca="false">IF($B515="","",IFERROR(INDEX(Properties!$D$5:$D$104,MATCH($B515,Properties!$A$5:$A$104,0)),"-"))</f>
        <v/>
      </c>
      <c r="M515" s="28" t="str">
        <f aca="false">IF(OR($A515="",N($E515)=0),"",$F515/$E515)</f>
        <v/>
      </c>
      <c r="N515" s="28" t="str">
        <f aca="false">IF($A515="","",IF($H515="Y",$F515*(1+Settings!$B$3),0))</f>
        <v/>
      </c>
      <c r="O515" s="27" t="str">
        <f aca="false">IF($A515="","",IF(AND($H515="Y",$G515&lt;&gt;"Restock",N($M515)&gt;Settings!$B$4,$I515&lt;&gt;"Y"),"Get host OK",IF(AND($H515="Y",$F515&gt;Settings!$B$5,$I515&lt;&gt;"Y"),"Host should pay upfront",IF($J515&lt;&gt;"Y","Save receipt","OK"))))</f>
        <v/>
      </c>
      <c r="P515" s="29" t="str">
        <f aca="false">IF($A515="","",DATE(YEAR($A515),MONTH($A515),1))</f>
        <v/>
      </c>
      <c r="Q515" s="31" t="str">
        <f aca="false">IF($A515="","",IF(AND($L515='Invoice Builder'!$C$5,$P515='Invoice Builder'!$C$6,N($N515)&gt;0),COUNTIFS($L$5:$L515,'Invoice Builder'!$C$5,$P$5:$P515,'Invoice Builder'!$C$6,$N$5:$N515,"&gt;0"),""))</f>
        <v/>
      </c>
      <c r="R515" s="27" t="str">
        <f aca="false">IF($A515="","",IF($A515&gt;=DATE(YEAR($A515),4,6),YEAR($A515)&amp;"/"&amp;RIGHT(YEAR($A515)+1,2),YEAR($A515)-1&amp;"/"&amp;RIGHT(YEAR($A515),2)))</f>
        <v/>
      </c>
    </row>
    <row r="516" customFormat="false" ht="15" hidden="false" customHeight="false" outlineLevel="0" collapsed="false">
      <c r="A516" s="22"/>
      <c r="B516" s="23"/>
      <c r="C516" s="23"/>
      <c r="D516" s="23"/>
      <c r="E516" s="32"/>
      <c r="F516" s="25"/>
      <c r="G516" s="23"/>
      <c r="H516" s="23"/>
      <c r="I516" s="23"/>
      <c r="J516" s="23"/>
      <c r="K516" s="23"/>
      <c r="L516" s="27" t="str">
        <f aca="false">IF($B516="","",IFERROR(INDEX(Properties!$D$5:$D$104,MATCH($B516,Properties!$A$5:$A$104,0)),"-"))</f>
        <v/>
      </c>
      <c r="M516" s="28" t="str">
        <f aca="false">IF(OR($A516="",N($E516)=0),"",$F516/$E516)</f>
        <v/>
      </c>
      <c r="N516" s="28" t="str">
        <f aca="false">IF($A516="","",IF($H516="Y",$F516*(1+Settings!$B$3),0))</f>
        <v/>
      </c>
      <c r="O516" s="27" t="str">
        <f aca="false">IF($A516="","",IF(AND($H516="Y",$G516&lt;&gt;"Restock",N($M516)&gt;Settings!$B$4,$I516&lt;&gt;"Y"),"Get host OK",IF(AND($H516="Y",$F516&gt;Settings!$B$5,$I516&lt;&gt;"Y"),"Host should pay upfront",IF($J516&lt;&gt;"Y","Save receipt","OK"))))</f>
        <v/>
      </c>
      <c r="P516" s="29" t="str">
        <f aca="false">IF($A516="","",DATE(YEAR($A516),MONTH($A516),1))</f>
        <v/>
      </c>
      <c r="Q516" s="31" t="str">
        <f aca="false">IF($A516="","",IF(AND($L516='Invoice Builder'!$C$5,$P516='Invoice Builder'!$C$6,N($N516)&gt;0),COUNTIFS($L$5:$L516,'Invoice Builder'!$C$5,$P$5:$P516,'Invoice Builder'!$C$6,$N$5:$N516,"&gt;0"),""))</f>
        <v/>
      </c>
      <c r="R516" s="27" t="str">
        <f aca="false">IF($A516="","",IF($A516&gt;=DATE(YEAR($A516),4,6),YEAR($A516)&amp;"/"&amp;RIGHT(YEAR($A516)+1,2),YEAR($A516)-1&amp;"/"&amp;RIGHT(YEAR($A516),2)))</f>
        <v/>
      </c>
    </row>
    <row r="517" customFormat="false" ht="15" hidden="false" customHeight="false" outlineLevel="0" collapsed="false">
      <c r="A517" s="22"/>
      <c r="B517" s="23"/>
      <c r="C517" s="23"/>
      <c r="D517" s="23"/>
      <c r="E517" s="32"/>
      <c r="F517" s="25"/>
      <c r="G517" s="23"/>
      <c r="H517" s="23"/>
      <c r="I517" s="23"/>
      <c r="J517" s="23"/>
      <c r="K517" s="23"/>
      <c r="L517" s="27" t="str">
        <f aca="false">IF($B517="","",IFERROR(INDEX(Properties!$D$5:$D$104,MATCH($B517,Properties!$A$5:$A$104,0)),"-"))</f>
        <v/>
      </c>
      <c r="M517" s="28" t="str">
        <f aca="false">IF(OR($A517="",N($E517)=0),"",$F517/$E517)</f>
        <v/>
      </c>
      <c r="N517" s="28" t="str">
        <f aca="false">IF($A517="","",IF($H517="Y",$F517*(1+Settings!$B$3),0))</f>
        <v/>
      </c>
      <c r="O517" s="27" t="str">
        <f aca="false">IF($A517="","",IF(AND($H517="Y",$G517&lt;&gt;"Restock",N($M517)&gt;Settings!$B$4,$I517&lt;&gt;"Y"),"Get host OK",IF(AND($H517="Y",$F517&gt;Settings!$B$5,$I517&lt;&gt;"Y"),"Host should pay upfront",IF($J517&lt;&gt;"Y","Save receipt","OK"))))</f>
        <v/>
      </c>
      <c r="P517" s="29" t="str">
        <f aca="false">IF($A517="","",DATE(YEAR($A517),MONTH($A517),1))</f>
        <v/>
      </c>
      <c r="Q517" s="31" t="str">
        <f aca="false">IF($A517="","",IF(AND($L517='Invoice Builder'!$C$5,$P517='Invoice Builder'!$C$6,N($N517)&gt;0),COUNTIFS($L$5:$L517,'Invoice Builder'!$C$5,$P$5:$P517,'Invoice Builder'!$C$6,$N$5:$N517,"&gt;0"),""))</f>
        <v/>
      </c>
      <c r="R517" s="27" t="str">
        <f aca="false">IF($A517="","",IF($A517&gt;=DATE(YEAR($A517),4,6),YEAR($A517)&amp;"/"&amp;RIGHT(YEAR($A517)+1,2),YEAR($A517)-1&amp;"/"&amp;RIGHT(YEAR($A517),2)))</f>
        <v/>
      </c>
    </row>
    <row r="518" customFormat="false" ht="15" hidden="false" customHeight="false" outlineLevel="0" collapsed="false">
      <c r="A518" s="22"/>
      <c r="B518" s="23"/>
      <c r="C518" s="23"/>
      <c r="D518" s="23"/>
      <c r="E518" s="32"/>
      <c r="F518" s="25"/>
      <c r="G518" s="23"/>
      <c r="H518" s="23"/>
      <c r="I518" s="23"/>
      <c r="J518" s="23"/>
      <c r="K518" s="23"/>
      <c r="L518" s="27" t="str">
        <f aca="false">IF($B518="","",IFERROR(INDEX(Properties!$D$5:$D$104,MATCH($B518,Properties!$A$5:$A$104,0)),"-"))</f>
        <v/>
      </c>
      <c r="M518" s="28" t="str">
        <f aca="false">IF(OR($A518="",N($E518)=0),"",$F518/$E518)</f>
        <v/>
      </c>
      <c r="N518" s="28" t="str">
        <f aca="false">IF($A518="","",IF($H518="Y",$F518*(1+Settings!$B$3),0))</f>
        <v/>
      </c>
      <c r="O518" s="27" t="str">
        <f aca="false">IF($A518="","",IF(AND($H518="Y",$G518&lt;&gt;"Restock",N($M518)&gt;Settings!$B$4,$I518&lt;&gt;"Y"),"Get host OK",IF(AND($H518="Y",$F518&gt;Settings!$B$5,$I518&lt;&gt;"Y"),"Host should pay upfront",IF($J518&lt;&gt;"Y","Save receipt","OK"))))</f>
        <v/>
      </c>
      <c r="P518" s="29" t="str">
        <f aca="false">IF($A518="","",DATE(YEAR($A518),MONTH($A518),1))</f>
        <v/>
      </c>
      <c r="Q518" s="31" t="str">
        <f aca="false">IF($A518="","",IF(AND($L518='Invoice Builder'!$C$5,$P518='Invoice Builder'!$C$6,N($N518)&gt;0),COUNTIFS($L$5:$L518,'Invoice Builder'!$C$5,$P$5:$P518,'Invoice Builder'!$C$6,$N$5:$N518,"&gt;0"),""))</f>
        <v/>
      </c>
      <c r="R518" s="27" t="str">
        <f aca="false">IF($A518="","",IF($A518&gt;=DATE(YEAR($A518),4,6),YEAR($A518)&amp;"/"&amp;RIGHT(YEAR($A518)+1,2),YEAR($A518)-1&amp;"/"&amp;RIGHT(YEAR($A518),2)))</f>
        <v/>
      </c>
    </row>
    <row r="519" customFormat="false" ht="15" hidden="false" customHeight="false" outlineLevel="0" collapsed="false">
      <c r="A519" s="22"/>
      <c r="B519" s="23"/>
      <c r="C519" s="23"/>
      <c r="D519" s="23"/>
      <c r="E519" s="32"/>
      <c r="F519" s="25"/>
      <c r="G519" s="23"/>
      <c r="H519" s="23"/>
      <c r="I519" s="23"/>
      <c r="J519" s="23"/>
      <c r="K519" s="23"/>
      <c r="L519" s="27" t="str">
        <f aca="false">IF($B519="","",IFERROR(INDEX(Properties!$D$5:$D$104,MATCH($B519,Properties!$A$5:$A$104,0)),"-"))</f>
        <v/>
      </c>
      <c r="M519" s="28" t="str">
        <f aca="false">IF(OR($A519="",N($E519)=0),"",$F519/$E519)</f>
        <v/>
      </c>
      <c r="N519" s="28" t="str">
        <f aca="false">IF($A519="","",IF($H519="Y",$F519*(1+Settings!$B$3),0))</f>
        <v/>
      </c>
      <c r="O519" s="27" t="str">
        <f aca="false">IF($A519="","",IF(AND($H519="Y",$G519&lt;&gt;"Restock",N($M519)&gt;Settings!$B$4,$I519&lt;&gt;"Y"),"Get host OK",IF(AND($H519="Y",$F519&gt;Settings!$B$5,$I519&lt;&gt;"Y"),"Host should pay upfront",IF($J519&lt;&gt;"Y","Save receipt","OK"))))</f>
        <v/>
      </c>
      <c r="P519" s="29" t="str">
        <f aca="false">IF($A519="","",DATE(YEAR($A519),MONTH($A519),1))</f>
        <v/>
      </c>
      <c r="Q519" s="31" t="str">
        <f aca="false">IF($A519="","",IF(AND($L519='Invoice Builder'!$C$5,$P519='Invoice Builder'!$C$6,N($N519)&gt;0),COUNTIFS($L$5:$L519,'Invoice Builder'!$C$5,$P$5:$P519,'Invoice Builder'!$C$6,$N$5:$N519,"&gt;0"),""))</f>
        <v/>
      </c>
      <c r="R519" s="27" t="str">
        <f aca="false">IF($A519="","",IF($A519&gt;=DATE(YEAR($A519),4,6),YEAR($A519)&amp;"/"&amp;RIGHT(YEAR($A519)+1,2),YEAR($A519)-1&amp;"/"&amp;RIGHT(YEAR($A519),2)))</f>
        <v/>
      </c>
    </row>
    <row r="520" customFormat="false" ht="15" hidden="false" customHeight="false" outlineLevel="0" collapsed="false">
      <c r="A520" s="22"/>
      <c r="B520" s="23"/>
      <c r="C520" s="23"/>
      <c r="D520" s="23"/>
      <c r="E520" s="32"/>
      <c r="F520" s="25"/>
      <c r="G520" s="23"/>
      <c r="H520" s="23"/>
      <c r="I520" s="23"/>
      <c r="J520" s="23"/>
      <c r="K520" s="23"/>
      <c r="L520" s="27" t="str">
        <f aca="false">IF($B520="","",IFERROR(INDEX(Properties!$D$5:$D$104,MATCH($B520,Properties!$A$5:$A$104,0)),"-"))</f>
        <v/>
      </c>
      <c r="M520" s="28" t="str">
        <f aca="false">IF(OR($A520="",N($E520)=0),"",$F520/$E520)</f>
        <v/>
      </c>
      <c r="N520" s="28" t="str">
        <f aca="false">IF($A520="","",IF($H520="Y",$F520*(1+Settings!$B$3),0))</f>
        <v/>
      </c>
      <c r="O520" s="27" t="str">
        <f aca="false">IF($A520="","",IF(AND($H520="Y",$G520&lt;&gt;"Restock",N($M520)&gt;Settings!$B$4,$I520&lt;&gt;"Y"),"Get host OK",IF(AND($H520="Y",$F520&gt;Settings!$B$5,$I520&lt;&gt;"Y"),"Host should pay upfront",IF($J520&lt;&gt;"Y","Save receipt","OK"))))</f>
        <v/>
      </c>
      <c r="P520" s="29" t="str">
        <f aca="false">IF($A520="","",DATE(YEAR($A520),MONTH($A520),1))</f>
        <v/>
      </c>
      <c r="Q520" s="31" t="str">
        <f aca="false">IF($A520="","",IF(AND($L520='Invoice Builder'!$C$5,$P520='Invoice Builder'!$C$6,N($N520)&gt;0),COUNTIFS($L$5:$L520,'Invoice Builder'!$C$5,$P$5:$P520,'Invoice Builder'!$C$6,$N$5:$N520,"&gt;0"),""))</f>
        <v/>
      </c>
      <c r="R520" s="27" t="str">
        <f aca="false">IF($A520="","",IF($A520&gt;=DATE(YEAR($A520),4,6),YEAR($A520)&amp;"/"&amp;RIGHT(YEAR($A520)+1,2),YEAR($A520)-1&amp;"/"&amp;RIGHT(YEAR($A520),2)))</f>
        <v/>
      </c>
    </row>
    <row r="521" customFormat="false" ht="15" hidden="false" customHeight="false" outlineLevel="0" collapsed="false">
      <c r="A521" s="22"/>
      <c r="B521" s="23"/>
      <c r="C521" s="23"/>
      <c r="D521" s="23"/>
      <c r="E521" s="32"/>
      <c r="F521" s="25"/>
      <c r="G521" s="23"/>
      <c r="H521" s="23"/>
      <c r="I521" s="23"/>
      <c r="J521" s="23"/>
      <c r="K521" s="23"/>
      <c r="L521" s="27" t="str">
        <f aca="false">IF($B521="","",IFERROR(INDEX(Properties!$D$5:$D$104,MATCH($B521,Properties!$A$5:$A$104,0)),"-"))</f>
        <v/>
      </c>
      <c r="M521" s="28" t="str">
        <f aca="false">IF(OR($A521="",N($E521)=0),"",$F521/$E521)</f>
        <v/>
      </c>
      <c r="N521" s="28" t="str">
        <f aca="false">IF($A521="","",IF($H521="Y",$F521*(1+Settings!$B$3),0))</f>
        <v/>
      </c>
      <c r="O521" s="27" t="str">
        <f aca="false">IF($A521="","",IF(AND($H521="Y",$G521&lt;&gt;"Restock",N($M521)&gt;Settings!$B$4,$I521&lt;&gt;"Y"),"Get host OK",IF(AND($H521="Y",$F521&gt;Settings!$B$5,$I521&lt;&gt;"Y"),"Host should pay upfront",IF($J521&lt;&gt;"Y","Save receipt","OK"))))</f>
        <v/>
      </c>
      <c r="P521" s="29" t="str">
        <f aca="false">IF($A521="","",DATE(YEAR($A521),MONTH($A521),1))</f>
        <v/>
      </c>
      <c r="Q521" s="31" t="str">
        <f aca="false">IF($A521="","",IF(AND($L521='Invoice Builder'!$C$5,$P521='Invoice Builder'!$C$6,N($N521)&gt;0),COUNTIFS($L$5:$L521,'Invoice Builder'!$C$5,$P$5:$P521,'Invoice Builder'!$C$6,$N$5:$N521,"&gt;0"),""))</f>
        <v/>
      </c>
      <c r="R521" s="27" t="str">
        <f aca="false">IF($A521="","",IF($A521&gt;=DATE(YEAR($A521),4,6),YEAR($A521)&amp;"/"&amp;RIGHT(YEAR($A521)+1,2),YEAR($A521)-1&amp;"/"&amp;RIGHT(YEAR($A521),2)))</f>
        <v/>
      </c>
    </row>
    <row r="522" customFormat="false" ht="15" hidden="false" customHeight="false" outlineLevel="0" collapsed="false">
      <c r="A522" s="22"/>
      <c r="B522" s="23"/>
      <c r="C522" s="23"/>
      <c r="D522" s="23"/>
      <c r="E522" s="32"/>
      <c r="F522" s="25"/>
      <c r="G522" s="23"/>
      <c r="H522" s="23"/>
      <c r="I522" s="23"/>
      <c r="J522" s="23"/>
      <c r="K522" s="23"/>
      <c r="L522" s="27" t="str">
        <f aca="false">IF($B522="","",IFERROR(INDEX(Properties!$D$5:$D$104,MATCH($B522,Properties!$A$5:$A$104,0)),"-"))</f>
        <v/>
      </c>
      <c r="M522" s="28" t="str">
        <f aca="false">IF(OR($A522="",N($E522)=0),"",$F522/$E522)</f>
        <v/>
      </c>
      <c r="N522" s="28" t="str">
        <f aca="false">IF($A522="","",IF($H522="Y",$F522*(1+Settings!$B$3),0))</f>
        <v/>
      </c>
      <c r="O522" s="27" t="str">
        <f aca="false">IF($A522="","",IF(AND($H522="Y",$G522&lt;&gt;"Restock",N($M522)&gt;Settings!$B$4,$I522&lt;&gt;"Y"),"Get host OK",IF(AND($H522="Y",$F522&gt;Settings!$B$5,$I522&lt;&gt;"Y"),"Host should pay upfront",IF($J522&lt;&gt;"Y","Save receipt","OK"))))</f>
        <v/>
      </c>
      <c r="P522" s="29" t="str">
        <f aca="false">IF($A522="","",DATE(YEAR($A522),MONTH($A522),1))</f>
        <v/>
      </c>
      <c r="Q522" s="31" t="str">
        <f aca="false">IF($A522="","",IF(AND($L522='Invoice Builder'!$C$5,$P522='Invoice Builder'!$C$6,N($N522)&gt;0),COUNTIFS($L$5:$L522,'Invoice Builder'!$C$5,$P$5:$P522,'Invoice Builder'!$C$6,$N$5:$N522,"&gt;0"),""))</f>
        <v/>
      </c>
      <c r="R522" s="27" t="str">
        <f aca="false">IF($A522="","",IF($A522&gt;=DATE(YEAR($A522),4,6),YEAR($A522)&amp;"/"&amp;RIGHT(YEAR($A522)+1,2),YEAR($A522)-1&amp;"/"&amp;RIGHT(YEAR($A522),2)))</f>
        <v/>
      </c>
    </row>
    <row r="523" customFormat="false" ht="15" hidden="false" customHeight="false" outlineLevel="0" collapsed="false">
      <c r="A523" s="22"/>
      <c r="B523" s="23"/>
      <c r="C523" s="23"/>
      <c r="D523" s="23"/>
      <c r="E523" s="32"/>
      <c r="F523" s="25"/>
      <c r="G523" s="23"/>
      <c r="H523" s="23"/>
      <c r="I523" s="23"/>
      <c r="J523" s="23"/>
      <c r="K523" s="23"/>
      <c r="L523" s="27" t="str">
        <f aca="false">IF($B523="","",IFERROR(INDEX(Properties!$D$5:$D$104,MATCH($B523,Properties!$A$5:$A$104,0)),"-"))</f>
        <v/>
      </c>
      <c r="M523" s="28" t="str">
        <f aca="false">IF(OR($A523="",N($E523)=0),"",$F523/$E523)</f>
        <v/>
      </c>
      <c r="N523" s="28" t="str">
        <f aca="false">IF($A523="","",IF($H523="Y",$F523*(1+Settings!$B$3),0))</f>
        <v/>
      </c>
      <c r="O523" s="27" t="str">
        <f aca="false">IF($A523="","",IF(AND($H523="Y",$G523&lt;&gt;"Restock",N($M523)&gt;Settings!$B$4,$I523&lt;&gt;"Y"),"Get host OK",IF(AND($H523="Y",$F523&gt;Settings!$B$5,$I523&lt;&gt;"Y"),"Host should pay upfront",IF($J523&lt;&gt;"Y","Save receipt","OK"))))</f>
        <v/>
      </c>
      <c r="P523" s="29" t="str">
        <f aca="false">IF($A523="","",DATE(YEAR($A523),MONTH($A523),1))</f>
        <v/>
      </c>
      <c r="Q523" s="31" t="str">
        <f aca="false">IF($A523="","",IF(AND($L523='Invoice Builder'!$C$5,$P523='Invoice Builder'!$C$6,N($N523)&gt;0),COUNTIFS($L$5:$L523,'Invoice Builder'!$C$5,$P$5:$P523,'Invoice Builder'!$C$6,$N$5:$N523,"&gt;0"),""))</f>
        <v/>
      </c>
      <c r="R523" s="27" t="str">
        <f aca="false">IF($A523="","",IF($A523&gt;=DATE(YEAR($A523),4,6),YEAR($A523)&amp;"/"&amp;RIGHT(YEAR($A523)+1,2),YEAR($A523)-1&amp;"/"&amp;RIGHT(YEAR($A523),2)))</f>
        <v/>
      </c>
    </row>
    <row r="524" customFormat="false" ht="15" hidden="false" customHeight="false" outlineLevel="0" collapsed="false">
      <c r="A524" s="22"/>
      <c r="B524" s="23"/>
      <c r="C524" s="23"/>
      <c r="D524" s="23"/>
      <c r="E524" s="32"/>
      <c r="F524" s="25"/>
      <c r="G524" s="23"/>
      <c r="H524" s="23"/>
      <c r="I524" s="23"/>
      <c r="J524" s="23"/>
      <c r="K524" s="23"/>
      <c r="L524" s="27" t="str">
        <f aca="false">IF($B524="","",IFERROR(INDEX(Properties!$D$5:$D$104,MATCH($B524,Properties!$A$5:$A$104,0)),"-"))</f>
        <v/>
      </c>
      <c r="M524" s="28" t="str">
        <f aca="false">IF(OR($A524="",N($E524)=0),"",$F524/$E524)</f>
        <v/>
      </c>
      <c r="N524" s="28" t="str">
        <f aca="false">IF($A524="","",IF($H524="Y",$F524*(1+Settings!$B$3),0))</f>
        <v/>
      </c>
      <c r="O524" s="27" t="str">
        <f aca="false">IF($A524="","",IF(AND($H524="Y",$G524&lt;&gt;"Restock",N($M524)&gt;Settings!$B$4,$I524&lt;&gt;"Y"),"Get host OK",IF(AND($H524="Y",$F524&gt;Settings!$B$5,$I524&lt;&gt;"Y"),"Host should pay upfront",IF($J524&lt;&gt;"Y","Save receipt","OK"))))</f>
        <v/>
      </c>
      <c r="P524" s="29" t="str">
        <f aca="false">IF($A524="","",DATE(YEAR($A524),MONTH($A524),1))</f>
        <v/>
      </c>
      <c r="Q524" s="31" t="str">
        <f aca="false">IF($A524="","",IF(AND($L524='Invoice Builder'!$C$5,$P524='Invoice Builder'!$C$6,N($N524)&gt;0),COUNTIFS($L$5:$L524,'Invoice Builder'!$C$5,$P$5:$P524,'Invoice Builder'!$C$6,$N$5:$N524,"&gt;0"),""))</f>
        <v/>
      </c>
      <c r="R524" s="27" t="str">
        <f aca="false">IF($A524="","",IF($A524&gt;=DATE(YEAR($A524),4,6),YEAR($A524)&amp;"/"&amp;RIGHT(YEAR($A524)+1,2),YEAR($A524)-1&amp;"/"&amp;RIGHT(YEAR($A524),2)))</f>
        <v/>
      </c>
    </row>
    <row r="525" customFormat="false" ht="15" hidden="false" customHeight="false" outlineLevel="0" collapsed="false">
      <c r="A525" s="22"/>
      <c r="B525" s="23"/>
      <c r="C525" s="23"/>
      <c r="D525" s="23"/>
      <c r="E525" s="32"/>
      <c r="F525" s="25"/>
      <c r="G525" s="23"/>
      <c r="H525" s="23"/>
      <c r="I525" s="23"/>
      <c r="J525" s="23"/>
      <c r="K525" s="23"/>
      <c r="L525" s="27" t="str">
        <f aca="false">IF($B525="","",IFERROR(INDEX(Properties!$D$5:$D$104,MATCH($B525,Properties!$A$5:$A$104,0)),"-"))</f>
        <v/>
      </c>
      <c r="M525" s="28" t="str">
        <f aca="false">IF(OR($A525="",N($E525)=0),"",$F525/$E525)</f>
        <v/>
      </c>
      <c r="N525" s="28" t="str">
        <f aca="false">IF($A525="","",IF($H525="Y",$F525*(1+Settings!$B$3),0))</f>
        <v/>
      </c>
      <c r="O525" s="27" t="str">
        <f aca="false">IF($A525="","",IF(AND($H525="Y",$G525&lt;&gt;"Restock",N($M525)&gt;Settings!$B$4,$I525&lt;&gt;"Y"),"Get host OK",IF(AND($H525="Y",$F525&gt;Settings!$B$5,$I525&lt;&gt;"Y"),"Host should pay upfront",IF($J525&lt;&gt;"Y","Save receipt","OK"))))</f>
        <v/>
      </c>
      <c r="P525" s="29" t="str">
        <f aca="false">IF($A525="","",DATE(YEAR($A525),MONTH($A525),1))</f>
        <v/>
      </c>
      <c r="Q525" s="31" t="str">
        <f aca="false">IF($A525="","",IF(AND($L525='Invoice Builder'!$C$5,$P525='Invoice Builder'!$C$6,N($N525)&gt;0),COUNTIFS($L$5:$L525,'Invoice Builder'!$C$5,$P$5:$P525,'Invoice Builder'!$C$6,$N$5:$N525,"&gt;0"),""))</f>
        <v/>
      </c>
      <c r="R525" s="27" t="str">
        <f aca="false">IF($A525="","",IF($A525&gt;=DATE(YEAR($A525),4,6),YEAR($A525)&amp;"/"&amp;RIGHT(YEAR($A525)+1,2),YEAR($A525)-1&amp;"/"&amp;RIGHT(YEAR($A525),2)))</f>
        <v/>
      </c>
    </row>
    <row r="526" customFormat="false" ht="15" hidden="false" customHeight="false" outlineLevel="0" collapsed="false">
      <c r="A526" s="22"/>
      <c r="B526" s="23"/>
      <c r="C526" s="23"/>
      <c r="D526" s="23"/>
      <c r="E526" s="32"/>
      <c r="F526" s="25"/>
      <c r="G526" s="23"/>
      <c r="H526" s="23"/>
      <c r="I526" s="23"/>
      <c r="J526" s="23"/>
      <c r="K526" s="23"/>
      <c r="L526" s="27" t="str">
        <f aca="false">IF($B526="","",IFERROR(INDEX(Properties!$D$5:$D$104,MATCH($B526,Properties!$A$5:$A$104,0)),"-"))</f>
        <v/>
      </c>
      <c r="M526" s="28" t="str">
        <f aca="false">IF(OR($A526="",N($E526)=0),"",$F526/$E526)</f>
        <v/>
      </c>
      <c r="N526" s="28" t="str">
        <f aca="false">IF($A526="","",IF($H526="Y",$F526*(1+Settings!$B$3),0))</f>
        <v/>
      </c>
      <c r="O526" s="27" t="str">
        <f aca="false">IF($A526="","",IF(AND($H526="Y",$G526&lt;&gt;"Restock",N($M526)&gt;Settings!$B$4,$I526&lt;&gt;"Y"),"Get host OK",IF(AND($H526="Y",$F526&gt;Settings!$B$5,$I526&lt;&gt;"Y"),"Host should pay upfront",IF($J526&lt;&gt;"Y","Save receipt","OK"))))</f>
        <v/>
      </c>
      <c r="P526" s="29" t="str">
        <f aca="false">IF($A526="","",DATE(YEAR($A526),MONTH($A526),1))</f>
        <v/>
      </c>
      <c r="Q526" s="31" t="str">
        <f aca="false">IF($A526="","",IF(AND($L526='Invoice Builder'!$C$5,$P526='Invoice Builder'!$C$6,N($N526)&gt;0),COUNTIFS($L$5:$L526,'Invoice Builder'!$C$5,$P$5:$P526,'Invoice Builder'!$C$6,$N$5:$N526,"&gt;0"),""))</f>
        <v/>
      </c>
      <c r="R526" s="27" t="str">
        <f aca="false">IF($A526="","",IF($A526&gt;=DATE(YEAR($A526),4,6),YEAR($A526)&amp;"/"&amp;RIGHT(YEAR($A526)+1,2),YEAR($A526)-1&amp;"/"&amp;RIGHT(YEAR($A526),2)))</f>
        <v/>
      </c>
    </row>
    <row r="527" customFormat="false" ht="15" hidden="false" customHeight="false" outlineLevel="0" collapsed="false">
      <c r="A527" s="22"/>
      <c r="B527" s="23"/>
      <c r="C527" s="23"/>
      <c r="D527" s="23"/>
      <c r="E527" s="32"/>
      <c r="F527" s="25"/>
      <c r="G527" s="23"/>
      <c r="H527" s="23"/>
      <c r="I527" s="23"/>
      <c r="J527" s="23"/>
      <c r="K527" s="23"/>
      <c r="L527" s="27" t="str">
        <f aca="false">IF($B527="","",IFERROR(INDEX(Properties!$D$5:$D$104,MATCH($B527,Properties!$A$5:$A$104,0)),"-"))</f>
        <v/>
      </c>
      <c r="M527" s="28" t="str">
        <f aca="false">IF(OR($A527="",N($E527)=0),"",$F527/$E527)</f>
        <v/>
      </c>
      <c r="N527" s="28" t="str">
        <f aca="false">IF($A527="","",IF($H527="Y",$F527*(1+Settings!$B$3),0))</f>
        <v/>
      </c>
      <c r="O527" s="27" t="str">
        <f aca="false">IF($A527="","",IF(AND($H527="Y",$G527&lt;&gt;"Restock",N($M527)&gt;Settings!$B$4,$I527&lt;&gt;"Y"),"Get host OK",IF(AND($H527="Y",$F527&gt;Settings!$B$5,$I527&lt;&gt;"Y"),"Host should pay upfront",IF($J527&lt;&gt;"Y","Save receipt","OK"))))</f>
        <v/>
      </c>
      <c r="P527" s="29" t="str">
        <f aca="false">IF($A527="","",DATE(YEAR($A527),MONTH($A527),1))</f>
        <v/>
      </c>
      <c r="Q527" s="31" t="str">
        <f aca="false">IF($A527="","",IF(AND($L527='Invoice Builder'!$C$5,$P527='Invoice Builder'!$C$6,N($N527)&gt;0),COUNTIFS($L$5:$L527,'Invoice Builder'!$C$5,$P$5:$P527,'Invoice Builder'!$C$6,$N$5:$N527,"&gt;0"),""))</f>
        <v/>
      </c>
      <c r="R527" s="27" t="str">
        <f aca="false">IF($A527="","",IF($A527&gt;=DATE(YEAR($A527),4,6),YEAR($A527)&amp;"/"&amp;RIGHT(YEAR($A527)+1,2),YEAR($A527)-1&amp;"/"&amp;RIGHT(YEAR($A527),2)))</f>
        <v/>
      </c>
    </row>
    <row r="528" customFormat="false" ht="15" hidden="false" customHeight="false" outlineLevel="0" collapsed="false">
      <c r="A528" s="22"/>
      <c r="B528" s="23"/>
      <c r="C528" s="23"/>
      <c r="D528" s="23"/>
      <c r="E528" s="32"/>
      <c r="F528" s="25"/>
      <c r="G528" s="23"/>
      <c r="H528" s="23"/>
      <c r="I528" s="23"/>
      <c r="J528" s="23"/>
      <c r="K528" s="23"/>
      <c r="L528" s="27" t="str">
        <f aca="false">IF($B528="","",IFERROR(INDEX(Properties!$D$5:$D$104,MATCH($B528,Properties!$A$5:$A$104,0)),"-"))</f>
        <v/>
      </c>
      <c r="M528" s="28" t="str">
        <f aca="false">IF(OR($A528="",N($E528)=0),"",$F528/$E528)</f>
        <v/>
      </c>
      <c r="N528" s="28" t="str">
        <f aca="false">IF($A528="","",IF($H528="Y",$F528*(1+Settings!$B$3),0))</f>
        <v/>
      </c>
      <c r="O528" s="27" t="str">
        <f aca="false">IF($A528="","",IF(AND($H528="Y",$G528&lt;&gt;"Restock",N($M528)&gt;Settings!$B$4,$I528&lt;&gt;"Y"),"Get host OK",IF(AND($H528="Y",$F528&gt;Settings!$B$5,$I528&lt;&gt;"Y"),"Host should pay upfront",IF($J528&lt;&gt;"Y","Save receipt","OK"))))</f>
        <v/>
      </c>
      <c r="P528" s="29" t="str">
        <f aca="false">IF($A528="","",DATE(YEAR($A528),MONTH($A528),1))</f>
        <v/>
      </c>
      <c r="Q528" s="31" t="str">
        <f aca="false">IF($A528="","",IF(AND($L528='Invoice Builder'!$C$5,$P528='Invoice Builder'!$C$6,N($N528)&gt;0),COUNTIFS($L$5:$L528,'Invoice Builder'!$C$5,$P$5:$P528,'Invoice Builder'!$C$6,$N$5:$N528,"&gt;0"),""))</f>
        <v/>
      </c>
      <c r="R528" s="27" t="str">
        <f aca="false">IF($A528="","",IF($A528&gt;=DATE(YEAR($A528),4,6),YEAR($A528)&amp;"/"&amp;RIGHT(YEAR($A528)+1,2),YEAR($A528)-1&amp;"/"&amp;RIGHT(YEAR($A528),2)))</f>
        <v/>
      </c>
    </row>
    <row r="529" customFormat="false" ht="15" hidden="false" customHeight="false" outlineLevel="0" collapsed="false">
      <c r="A529" s="22"/>
      <c r="B529" s="23"/>
      <c r="C529" s="23"/>
      <c r="D529" s="23"/>
      <c r="E529" s="32"/>
      <c r="F529" s="25"/>
      <c r="G529" s="23"/>
      <c r="H529" s="23"/>
      <c r="I529" s="23"/>
      <c r="J529" s="23"/>
      <c r="K529" s="23"/>
      <c r="L529" s="27" t="str">
        <f aca="false">IF($B529="","",IFERROR(INDEX(Properties!$D$5:$D$104,MATCH($B529,Properties!$A$5:$A$104,0)),"-"))</f>
        <v/>
      </c>
      <c r="M529" s="28" t="str">
        <f aca="false">IF(OR($A529="",N($E529)=0),"",$F529/$E529)</f>
        <v/>
      </c>
      <c r="N529" s="28" t="str">
        <f aca="false">IF($A529="","",IF($H529="Y",$F529*(1+Settings!$B$3),0))</f>
        <v/>
      </c>
      <c r="O529" s="27" t="str">
        <f aca="false">IF($A529="","",IF(AND($H529="Y",$G529&lt;&gt;"Restock",N($M529)&gt;Settings!$B$4,$I529&lt;&gt;"Y"),"Get host OK",IF(AND($H529="Y",$F529&gt;Settings!$B$5,$I529&lt;&gt;"Y"),"Host should pay upfront",IF($J529&lt;&gt;"Y","Save receipt","OK"))))</f>
        <v/>
      </c>
      <c r="P529" s="29" t="str">
        <f aca="false">IF($A529="","",DATE(YEAR($A529),MONTH($A529),1))</f>
        <v/>
      </c>
      <c r="Q529" s="31" t="str">
        <f aca="false">IF($A529="","",IF(AND($L529='Invoice Builder'!$C$5,$P529='Invoice Builder'!$C$6,N($N529)&gt;0),COUNTIFS($L$5:$L529,'Invoice Builder'!$C$5,$P$5:$P529,'Invoice Builder'!$C$6,$N$5:$N529,"&gt;0"),""))</f>
        <v/>
      </c>
      <c r="R529" s="27" t="str">
        <f aca="false">IF($A529="","",IF($A529&gt;=DATE(YEAR($A529),4,6),YEAR($A529)&amp;"/"&amp;RIGHT(YEAR($A529)+1,2),YEAR($A529)-1&amp;"/"&amp;RIGHT(YEAR($A529),2)))</f>
        <v/>
      </c>
    </row>
    <row r="530" customFormat="false" ht="15" hidden="false" customHeight="false" outlineLevel="0" collapsed="false">
      <c r="A530" s="22"/>
      <c r="B530" s="23"/>
      <c r="C530" s="23"/>
      <c r="D530" s="23"/>
      <c r="E530" s="32"/>
      <c r="F530" s="25"/>
      <c r="G530" s="23"/>
      <c r="H530" s="23"/>
      <c r="I530" s="23"/>
      <c r="J530" s="23"/>
      <c r="K530" s="23"/>
      <c r="L530" s="27" t="str">
        <f aca="false">IF($B530="","",IFERROR(INDEX(Properties!$D$5:$D$104,MATCH($B530,Properties!$A$5:$A$104,0)),"-"))</f>
        <v/>
      </c>
      <c r="M530" s="28" t="str">
        <f aca="false">IF(OR($A530="",N($E530)=0),"",$F530/$E530)</f>
        <v/>
      </c>
      <c r="N530" s="28" t="str">
        <f aca="false">IF($A530="","",IF($H530="Y",$F530*(1+Settings!$B$3),0))</f>
        <v/>
      </c>
      <c r="O530" s="27" t="str">
        <f aca="false">IF($A530="","",IF(AND($H530="Y",$G530&lt;&gt;"Restock",N($M530)&gt;Settings!$B$4,$I530&lt;&gt;"Y"),"Get host OK",IF(AND($H530="Y",$F530&gt;Settings!$B$5,$I530&lt;&gt;"Y"),"Host should pay upfront",IF($J530&lt;&gt;"Y","Save receipt","OK"))))</f>
        <v/>
      </c>
      <c r="P530" s="29" t="str">
        <f aca="false">IF($A530="","",DATE(YEAR($A530),MONTH($A530),1))</f>
        <v/>
      </c>
      <c r="Q530" s="31" t="str">
        <f aca="false">IF($A530="","",IF(AND($L530='Invoice Builder'!$C$5,$P530='Invoice Builder'!$C$6,N($N530)&gt;0),COUNTIFS($L$5:$L530,'Invoice Builder'!$C$5,$P$5:$P530,'Invoice Builder'!$C$6,$N$5:$N530,"&gt;0"),""))</f>
        <v/>
      </c>
      <c r="R530" s="27" t="str">
        <f aca="false">IF($A530="","",IF($A530&gt;=DATE(YEAR($A530),4,6),YEAR($A530)&amp;"/"&amp;RIGHT(YEAR($A530)+1,2),YEAR($A530)-1&amp;"/"&amp;RIGHT(YEAR($A530),2)))</f>
        <v/>
      </c>
    </row>
    <row r="531" customFormat="false" ht="15" hidden="false" customHeight="false" outlineLevel="0" collapsed="false">
      <c r="A531" s="22"/>
      <c r="B531" s="23"/>
      <c r="C531" s="23"/>
      <c r="D531" s="23"/>
      <c r="E531" s="32"/>
      <c r="F531" s="25"/>
      <c r="G531" s="23"/>
      <c r="H531" s="23"/>
      <c r="I531" s="23"/>
      <c r="J531" s="23"/>
      <c r="K531" s="23"/>
      <c r="L531" s="27" t="str">
        <f aca="false">IF($B531="","",IFERROR(INDEX(Properties!$D$5:$D$104,MATCH($B531,Properties!$A$5:$A$104,0)),"-"))</f>
        <v/>
      </c>
      <c r="M531" s="28" t="str">
        <f aca="false">IF(OR($A531="",N($E531)=0),"",$F531/$E531)</f>
        <v/>
      </c>
      <c r="N531" s="28" t="str">
        <f aca="false">IF($A531="","",IF($H531="Y",$F531*(1+Settings!$B$3),0))</f>
        <v/>
      </c>
      <c r="O531" s="27" t="str">
        <f aca="false">IF($A531="","",IF(AND($H531="Y",$G531&lt;&gt;"Restock",N($M531)&gt;Settings!$B$4,$I531&lt;&gt;"Y"),"Get host OK",IF(AND($H531="Y",$F531&gt;Settings!$B$5,$I531&lt;&gt;"Y"),"Host should pay upfront",IF($J531&lt;&gt;"Y","Save receipt","OK"))))</f>
        <v/>
      </c>
      <c r="P531" s="29" t="str">
        <f aca="false">IF($A531="","",DATE(YEAR($A531),MONTH($A531),1))</f>
        <v/>
      </c>
      <c r="Q531" s="31" t="str">
        <f aca="false">IF($A531="","",IF(AND($L531='Invoice Builder'!$C$5,$P531='Invoice Builder'!$C$6,N($N531)&gt;0),COUNTIFS($L$5:$L531,'Invoice Builder'!$C$5,$P$5:$P531,'Invoice Builder'!$C$6,$N$5:$N531,"&gt;0"),""))</f>
        <v/>
      </c>
      <c r="R531" s="27" t="str">
        <f aca="false">IF($A531="","",IF($A531&gt;=DATE(YEAR($A531),4,6),YEAR($A531)&amp;"/"&amp;RIGHT(YEAR($A531)+1,2),YEAR($A531)-1&amp;"/"&amp;RIGHT(YEAR($A531),2)))</f>
        <v/>
      </c>
    </row>
    <row r="532" customFormat="false" ht="15" hidden="false" customHeight="false" outlineLevel="0" collapsed="false">
      <c r="A532" s="22"/>
      <c r="B532" s="23"/>
      <c r="C532" s="23"/>
      <c r="D532" s="23"/>
      <c r="E532" s="32"/>
      <c r="F532" s="25"/>
      <c r="G532" s="23"/>
      <c r="H532" s="23"/>
      <c r="I532" s="23"/>
      <c r="J532" s="23"/>
      <c r="K532" s="23"/>
      <c r="L532" s="27" t="str">
        <f aca="false">IF($B532="","",IFERROR(INDEX(Properties!$D$5:$D$104,MATCH($B532,Properties!$A$5:$A$104,0)),"-"))</f>
        <v/>
      </c>
      <c r="M532" s="28" t="str">
        <f aca="false">IF(OR($A532="",N($E532)=0),"",$F532/$E532)</f>
        <v/>
      </c>
      <c r="N532" s="28" t="str">
        <f aca="false">IF($A532="","",IF($H532="Y",$F532*(1+Settings!$B$3),0))</f>
        <v/>
      </c>
      <c r="O532" s="27" t="str">
        <f aca="false">IF($A532="","",IF(AND($H532="Y",$G532&lt;&gt;"Restock",N($M532)&gt;Settings!$B$4,$I532&lt;&gt;"Y"),"Get host OK",IF(AND($H532="Y",$F532&gt;Settings!$B$5,$I532&lt;&gt;"Y"),"Host should pay upfront",IF($J532&lt;&gt;"Y","Save receipt","OK"))))</f>
        <v/>
      </c>
      <c r="P532" s="29" t="str">
        <f aca="false">IF($A532="","",DATE(YEAR($A532),MONTH($A532),1))</f>
        <v/>
      </c>
      <c r="Q532" s="31" t="str">
        <f aca="false">IF($A532="","",IF(AND($L532='Invoice Builder'!$C$5,$P532='Invoice Builder'!$C$6,N($N532)&gt;0),COUNTIFS($L$5:$L532,'Invoice Builder'!$C$5,$P$5:$P532,'Invoice Builder'!$C$6,$N$5:$N532,"&gt;0"),""))</f>
        <v/>
      </c>
      <c r="R532" s="27" t="str">
        <f aca="false">IF($A532="","",IF($A532&gt;=DATE(YEAR($A532),4,6),YEAR($A532)&amp;"/"&amp;RIGHT(YEAR($A532)+1,2),YEAR($A532)-1&amp;"/"&amp;RIGHT(YEAR($A532),2)))</f>
        <v/>
      </c>
    </row>
    <row r="533" customFormat="false" ht="15" hidden="false" customHeight="false" outlineLevel="0" collapsed="false">
      <c r="A533" s="22"/>
      <c r="B533" s="23"/>
      <c r="C533" s="23"/>
      <c r="D533" s="23"/>
      <c r="E533" s="32"/>
      <c r="F533" s="25"/>
      <c r="G533" s="23"/>
      <c r="H533" s="23"/>
      <c r="I533" s="23"/>
      <c r="J533" s="23"/>
      <c r="K533" s="23"/>
      <c r="L533" s="27" t="str">
        <f aca="false">IF($B533="","",IFERROR(INDEX(Properties!$D$5:$D$104,MATCH($B533,Properties!$A$5:$A$104,0)),"-"))</f>
        <v/>
      </c>
      <c r="M533" s="28" t="str">
        <f aca="false">IF(OR($A533="",N($E533)=0),"",$F533/$E533)</f>
        <v/>
      </c>
      <c r="N533" s="28" t="str">
        <f aca="false">IF($A533="","",IF($H533="Y",$F533*(1+Settings!$B$3),0))</f>
        <v/>
      </c>
      <c r="O533" s="27" t="str">
        <f aca="false">IF($A533="","",IF(AND($H533="Y",$G533&lt;&gt;"Restock",N($M533)&gt;Settings!$B$4,$I533&lt;&gt;"Y"),"Get host OK",IF(AND($H533="Y",$F533&gt;Settings!$B$5,$I533&lt;&gt;"Y"),"Host should pay upfront",IF($J533&lt;&gt;"Y","Save receipt","OK"))))</f>
        <v/>
      </c>
      <c r="P533" s="29" t="str">
        <f aca="false">IF($A533="","",DATE(YEAR($A533),MONTH($A533),1))</f>
        <v/>
      </c>
      <c r="Q533" s="31" t="str">
        <f aca="false">IF($A533="","",IF(AND($L533='Invoice Builder'!$C$5,$P533='Invoice Builder'!$C$6,N($N533)&gt;0),COUNTIFS($L$5:$L533,'Invoice Builder'!$C$5,$P$5:$P533,'Invoice Builder'!$C$6,$N$5:$N533,"&gt;0"),""))</f>
        <v/>
      </c>
      <c r="R533" s="27" t="str">
        <f aca="false">IF($A533="","",IF($A533&gt;=DATE(YEAR($A533),4,6),YEAR($A533)&amp;"/"&amp;RIGHT(YEAR($A533)+1,2),YEAR($A533)-1&amp;"/"&amp;RIGHT(YEAR($A533),2)))</f>
        <v/>
      </c>
    </row>
    <row r="534" customFormat="false" ht="15" hidden="false" customHeight="false" outlineLevel="0" collapsed="false">
      <c r="A534" s="22"/>
      <c r="B534" s="23"/>
      <c r="C534" s="23"/>
      <c r="D534" s="23"/>
      <c r="E534" s="32"/>
      <c r="F534" s="25"/>
      <c r="G534" s="23"/>
      <c r="H534" s="23"/>
      <c r="I534" s="23"/>
      <c r="J534" s="23"/>
      <c r="K534" s="23"/>
      <c r="L534" s="27" t="str">
        <f aca="false">IF($B534="","",IFERROR(INDEX(Properties!$D$5:$D$104,MATCH($B534,Properties!$A$5:$A$104,0)),"-"))</f>
        <v/>
      </c>
      <c r="M534" s="28" t="str">
        <f aca="false">IF(OR($A534="",N($E534)=0),"",$F534/$E534)</f>
        <v/>
      </c>
      <c r="N534" s="28" t="str">
        <f aca="false">IF($A534="","",IF($H534="Y",$F534*(1+Settings!$B$3),0))</f>
        <v/>
      </c>
      <c r="O534" s="27" t="str">
        <f aca="false">IF($A534="","",IF(AND($H534="Y",$G534&lt;&gt;"Restock",N($M534)&gt;Settings!$B$4,$I534&lt;&gt;"Y"),"Get host OK",IF(AND($H534="Y",$F534&gt;Settings!$B$5,$I534&lt;&gt;"Y"),"Host should pay upfront",IF($J534&lt;&gt;"Y","Save receipt","OK"))))</f>
        <v/>
      </c>
      <c r="P534" s="29" t="str">
        <f aca="false">IF($A534="","",DATE(YEAR($A534),MONTH($A534),1))</f>
        <v/>
      </c>
      <c r="Q534" s="31" t="str">
        <f aca="false">IF($A534="","",IF(AND($L534='Invoice Builder'!$C$5,$P534='Invoice Builder'!$C$6,N($N534)&gt;0),COUNTIFS($L$5:$L534,'Invoice Builder'!$C$5,$P$5:$P534,'Invoice Builder'!$C$6,$N$5:$N534,"&gt;0"),""))</f>
        <v/>
      </c>
      <c r="R534" s="27" t="str">
        <f aca="false">IF($A534="","",IF($A534&gt;=DATE(YEAR($A534),4,6),YEAR($A534)&amp;"/"&amp;RIGHT(YEAR($A534)+1,2),YEAR($A534)-1&amp;"/"&amp;RIGHT(YEAR($A534),2)))</f>
        <v/>
      </c>
    </row>
    <row r="535" customFormat="false" ht="15" hidden="false" customHeight="false" outlineLevel="0" collapsed="false">
      <c r="A535" s="22"/>
      <c r="B535" s="23"/>
      <c r="C535" s="23"/>
      <c r="D535" s="23"/>
      <c r="E535" s="32"/>
      <c r="F535" s="25"/>
      <c r="G535" s="23"/>
      <c r="H535" s="23"/>
      <c r="I535" s="23"/>
      <c r="J535" s="23"/>
      <c r="K535" s="23"/>
      <c r="L535" s="27" t="str">
        <f aca="false">IF($B535="","",IFERROR(INDEX(Properties!$D$5:$D$104,MATCH($B535,Properties!$A$5:$A$104,0)),"-"))</f>
        <v/>
      </c>
      <c r="M535" s="28" t="str">
        <f aca="false">IF(OR($A535="",N($E535)=0),"",$F535/$E535)</f>
        <v/>
      </c>
      <c r="N535" s="28" t="str">
        <f aca="false">IF($A535="","",IF($H535="Y",$F535*(1+Settings!$B$3),0))</f>
        <v/>
      </c>
      <c r="O535" s="27" t="str">
        <f aca="false">IF($A535="","",IF(AND($H535="Y",$G535&lt;&gt;"Restock",N($M535)&gt;Settings!$B$4,$I535&lt;&gt;"Y"),"Get host OK",IF(AND($H535="Y",$F535&gt;Settings!$B$5,$I535&lt;&gt;"Y"),"Host should pay upfront",IF($J535&lt;&gt;"Y","Save receipt","OK"))))</f>
        <v/>
      </c>
      <c r="P535" s="29" t="str">
        <f aca="false">IF($A535="","",DATE(YEAR($A535),MONTH($A535),1))</f>
        <v/>
      </c>
      <c r="Q535" s="31" t="str">
        <f aca="false">IF($A535="","",IF(AND($L535='Invoice Builder'!$C$5,$P535='Invoice Builder'!$C$6,N($N535)&gt;0),COUNTIFS($L$5:$L535,'Invoice Builder'!$C$5,$P$5:$P535,'Invoice Builder'!$C$6,$N$5:$N535,"&gt;0"),""))</f>
        <v/>
      </c>
      <c r="R535" s="27" t="str">
        <f aca="false">IF($A535="","",IF($A535&gt;=DATE(YEAR($A535),4,6),YEAR($A535)&amp;"/"&amp;RIGHT(YEAR($A535)+1,2),YEAR($A535)-1&amp;"/"&amp;RIGHT(YEAR($A535),2)))</f>
        <v/>
      </c>
    </row>
    <row r="536" customFormat="false" ht="15" hidden="false" customHeight="false" outlineLevel="0" collapsed="false">
      <c r="A536" s="22"/>
      <c r="B536" s="23"/>
      <c r="C536" s="23"/>
      <c r="D536" s="23"/>
      <c r="E536" s="32"/>
      <c r="F536" s="25"/>
      <c r="G536" s="23"/>
      <c r="H536" s="23"/>
      <c r="I536" s="23"/>
      <c r="J536" s="23"/>
      <c r="K536" s="23"/>
      <c r="L536" s="27" t="str">
        <f aca="false">IF($B536="","",IFERROR(INDEX(Properties!$D$5:$D$104,MATCH($B536,Properties!$A$5:$A$104,0)),"-"))</f>
        <v/>
      </c>
      <c r="M536" s="28" t="str">
        <f aca="false">IF(OR($A536="",N($E536)=0),"",$F536/$E536)</f>
        <v/>
      </c>
      <c r="N536" s="28" t="str">
        <f aca="false">IF($A536="","",IF($H536="Y",$F536*(1+Settings!$B$3),0))</f>
        <v/>
      </c>
      <c r="O536" s="27" t="str">
        <f aca="false">IF($A536="","",IF(AND($H536="Y",$G536&lt;&gt;"Restock",N($M536)&gt;Settings!$B$4,$I536&lt;&gt;"Y"),"Get host OK",IF(AND($H536="Y",$F536&gt;Settings!$B$5,$I536&lt;&gt;"Y"),"Host should pay upfront",IF($J536&lt;&gt;"Y","Save receipt","OK"))))</f>
        <v/>
      </c>
      <c r="P536" s="29" t="str">
        <f aca="false">IF($A536="","",DATE(YEAR($A536),MONTH($A536),1))</f>
        <v/>
      </c>
      <c r="Q536" s="31" t="str">
        <f aca="false">IF($A536="","",IF(AND($L536='Invoice Builder'!$C$5,$P536='Invoice Builder'!$C$6,N($N536)&gt;0),COUNTIFS($L$5:$L536,'Invoice Builder'!$C$5,$P$5:$P536,'Invoice Builder'!$C$6,$N$5:$N536,"&gt;0"),""))</f>
        <v/>
      </c>
      <c r="R536" s="27" t="str">
        <f aca="false">IF($A536="","",IF($A536&gt;=DATE(YEAR($A536),4,6),YEAR($A536)&amp;"/"&amp;RIGHT(YEAR($A536)+1,2),YEAR($A536)-1&amp;"/"&amp;RIGHT(YEAR($A536),2)))</f>
        <v/>
      </c>
    </row>
    <row r="537" customFormat="false" ht="15" hidden="false" customHeight="false" outlineLevel="0" collapsed="false">
      <c r="A537" s="22"/>
      <c r="B537" s="23"/>
      <c r="C537" s="23"/>
      <c r="D537" s="23"/>
      <c r="E537" s="32"/>
      <c r="F537" s="25"/>
      <c r="G537" s="23"/>
      <c r="H537" s="23"/>
      <c r="I537" s="23"/>
      <c r="J537" s="23"/>
      <c r="K537" s="23"/>
      <c r="L537" s="27" t="str">
        <f aca="false">IF($B537="","",IFERROR(INDEX(Properties!$D$5:$D$104,MATCH($B537,Properties!$A$5:$A$104,0)),"-"))</f>
        <v/>
      </c>
      <c r="M537" s="28" t="str">
        <f aca="false">IF(OR($A537="",N($E537)=0),"",$F537/$E537)</f>
        <v/>
      </c>
      <c r="N537" s="28" t="str">
        <f aca="false">IF($A537="","",IF($H537="Y",$F537*(1+Settings!$B$3),0))</f>
        <v/>
      </c>
      <c r="O537" s="27" t="str">
        <f aca="false">IF($A537="","",IF(AND($H537="Y",$G537&lt;&gt;"Restock",N($M537)&gt;Settings!$B$4,$I537&lt;&gt;"Y"),"Get host OK",IF(AND($H537="Y",$F537&gt;Settings!$B$5,$I537&lt;&gt;"Y"),"Host should pay upfront",IF($J537&lt;&gt;"Y","Save receipt","OK"))))</f>
        <v/>
      </c>
      <c r="P537" s="29" t="str">
        <f aca="false">IF($A537="","",DATE(YEAR($A537),MONTH($A537),1))</f>
        <v/>
      </c>
      <c r="Q537" s="31" t="str">
        <f aca="false">IF($A537="","",IF(AND($L537='Invoice Builder'!$C$5,$P537='Invoice Builder'!$C$6,N($N537)&gt;0),COUNTIFS($L$5:$L537,'Invoice Builder'!$C$5,$P$5:$P537,'Invoice Builder'!$C$6,$N$5:$N537,"&gt;0"),""))</f>
        <v/>
      </c>
      <c r="R537" s="27" t="str">
        <f aca="false">IF($A537="","",IF($A537&gt;=DATE(YEAR($A537),4,6),YEAR($A537)&amp;"/"&amp;RIGHT(YEAR($A537)+1,2),YEAR($A537)-1&amp;"/"&amp;RIGHT(YEAR($A537),2)))</f>
        <v/>
      </c>
    </row>
    <row r="538" customFormat="false" ht="15" hidden="false" customHeight="false" outlineLevel="0" collapsed="false">
      <c r="A538" s="22"/>
      <c r="B538" s="23"/>
      <c r="C538" s="23"/>
      <c r="D538" s="23"/>
      <c r="E538" s="32"/>
      <c r="F538" s="25"/>
      <c r="G538" s="23"/>
      <c r="H538" s="23"/>
      <c r="I538" s="23"/>
      <c r="J538" s="23"/>
      <c r="K538" s="23"/>
      <c r="L538" s="27" t="str">
        <f aca="false">IF($B538="","",IFERROR(INDEX(Properties!$D$5:$D$104,MATCH($B538,Properties!$A$5:$A$104,0)),"-"))</f>
        <v/>
      </c>
      <c r="M538" s="28" t="str">
        <f aca="false">IF(OR($A538="",N($E538)=0),"",$F538/$E538)</f>
        <v/>
      </c>
      <c r="N538" s="28" t="str">
        <f aca="false">IF($A538="","",IF($H538="Y",$F538*(1+Settings!$B$3),0))</f>
        <v/>
      </c>
      <c r="O538" s="27" t="str">
        <f aca="false">IF($A538="","",IF(AND($H538="Y",$G538&lt;&gt;"Restock",N($M538)&gt;Settings!$B$4,$I538&lt;&gt;"Y"),"Get host OK",IF(AND($H538="Y",$F538&gt;Settings!$B$5,$I538&lt;&gt;"Y"),"Host should pay upfront",IF($J538&lt;&gt;"Y","Save receipt","OK"))))</f>
        <v/>
      </c>
      <c r="P538" s="29" t="str">
        <f aca="false">IF($A538="","",DATE(YEAR($A538),MONTH($A538),1))</f>
        <v/>
      </c>
      <c r="Q538" s="31" t="str">
        <f aca="false">IF($A538="","",IF(AND($L538='Invoice Builder'!$C$5,$P538='Invoice Builder'!$C$6,N($N538)&gt;0),COUNTIFS($L$5:$L538,'Invoice Builder'!$C$5,$P$5:$P538,'Invoice Builder'!$C$6,$N$5:$N538,"&gt;0"),""))</f>
        <v/>
      </c>
      <c r="R538" s="27" t="str">
        <f aca="false">IF($A538="","",IF($A538&gt;=DATE(YEAR($A538),4,6),YEAR($A538)&amp;"/"&amp;RIGHT(YEAR($A538)+1,2),YEAR($A538)-1&amp;"/"&amp;RIGHT(YEAR($A538),2)))</f>
        <v/>
      </c>
    </row>
    <row r="539" customFormat="false" ht="15" hidden="false" customHeight="false" outlineLevel="0" collapsed="false">
      <c r="A539" s="22"/>
      <c r="B539" s="23"/>
      <c r="C539" s="23"/>
      <c r="D539" s="23"/>
      <c r="E539" s="32"/>
      <c r="F539" s="25"/>
      <c r="G539" s="23"/>
      <c r="H539" s="23"/>
      <c r="I539" s="23"/>
      <c r="J539" s="23"/>
      <c r="K539" s="23"/>
      <c r="L539" s="27" t="str">
        <f aca="false">IF($B539="","",IFERROR(INDEX(Properties!$D$5:$D$104,MATCH($B539,Properties!$A$5:$A$104,0)),"-"))</f>
        <v/>
      </c>
      <c r="M539" s="28" t="str">
        <f aca="false">IF(OR($A539="",N($E539)=0),"",$F539/$E539)</f>
        <v/>
      </c>
      <c r="N539" s="28" t="str">
        <f aca="false">IF($A539="","",IF($H539="Y",$F539*(1+Settings!$B$3),0))</f>
        <v/>
      </c>
      <c r="O539" s="27" t="str">
        <f aca="false">IF($A539="","",IF(AND($H539="Y",$G539&lt;&gt;"Restock",N($M539)&gt;Settings!$B$4,$I539&lt;&gt;"Y"),"Get host OK",IF(AND($H539="Y",$F539&gt;Settings!$B$5,$I539&lt;&gt;"Y"),"Host should pay upfront",IF($J539&lt;&gt;"Y","Save receipt","OK"))))</f>
        <v/>
      </c>
      <c r="P539" s="29" t="str">
        <f aca="false">IF($A539="","",DATE(YEAR($A539),MONTH($A539),1))</f>
        <v/>
      </c>
      <c r="Q539" s="31" t="str">
        <f aca="false">IF($A539="","",IF(AND($L539='Invoice Builder'!$C$5,$P539='Invoice Builder'!$C$6,N($N539)&gt;0),COUNTIFS($L$5:$L539,'Invoice Builder'!$C$5,$P$5:$P539,'Invoice Builder'!$C$6,$N$5:$N539,"&gt;0"),""))</f>
        <v/>
      </c>
      <c r="R539" s="27" t="str">
        <f aca="false">IF($A539="","",IF($A539&gt;=DATE(YEAR($A539),4,6),YEAR($A539)&amp;"/"&amp;RIGHT(YEAR($A539)+1,2),YEAR($A539)-1&amp;"/"&amp;RIGHT(YEAR($A539),2)))</f>
        <v/>
      </c>
    </row>
    <row r="540" customFormat="false" ht="15" hidden="false" customHeight="false" outlineLevel="0" collapsed="false">
      <c r="A540" s="22"/>
      <c r="B540" s="23"/>
      <c r="C540" s="23"/>
      <c r="D540" s="23"/>
      <c r="E540" s="32"/>
      <c r="F540" s="25"/>
      <c r="G540" s="23"/>
      <c r="H540" s="23"/>
      <c r="I540" s="23"/>
      <c r="J540" s="23"/>
      <c r="K540" s="23"/>
      <c r="L540" s="27" t="str">
        <f aca="false">IF($B540="","",IFERROR(INDEX(Properties!$D$5:$D$104,MATCH($B540,Properties!$A$5:$A$104,0)),"-"))</f>
        <v/>
      </c>
      <c r="M540" s="28" t="str">
        <f aca="false">IF(OR($A540="",N($E540)=0),"",$F540/$E540)</f>
        <v/>
      </c>
      <c r="N540" s="28" t="str">
        <f aca="false">IF($A540="","",IF($H540="Y",$F540*(1+Settings!$B$3),0))</f>
        <v/>
      </c>
      <c r="O540" s="27" t="str">
        <f aca="false">IF($A540="","",IF(AND($H540="Y",$G540&lt;&gt;"Restock",N($M540)&gt;Settings!$B$4,$I540&lt;&gt;"Y"),"Get host OK",IF(AND($H540="Y",$F540&gt;Settings!$B$5,$I540&lt;&gt;"Y"),"Host should pay upfront",IF($J540&lt;&gt;"Y","Save receipt","OK"))))</f>
        <v/>
      </c>
      <c r="P540" s="29" t="str">
        <f aca="false">IF($A540="","",DATE(YEAR($A540),MONTH($A540),1))</f>
        <v/>
      </c>
      <c r="Q540" s="31" t="str">
        <f aca="false">IF($A540="","",IF(AND($L540='Invoice Builder'!$C$5,$P540='Invoice Builder'!$C$6,N($N540)&gt;0),COUNTIFS($L$5:$L540,'Invoice Builder'!$C$5,$P$5:$P540,'Invoice Builder'!$C$6,$N$5:$N540,"&gt;0"),""))</f>
        <v/>
      </c>
      <c r="R540" s="27" t="str">
        <f aca="false">IF($A540="","",IF($A540&gt;=DATE(YEAR($A540),4,6),YEAR($A540)&amp;"/"&amp;RIGHT(YEAR($A540)+1,2),YEAR($A540)-1&amp;"/"&amp;RIGHT(YEAR($A540),2)))</f>
        <v/>
      </c>
    </row>
    <row r="541" customFormat="false" ht="15" hidden="false" customHeight="false" outlineLevel="0" collapsed="false">
      <c r="A541" s="22"/>
      <c r="B541" s="23"/>
      <c r="C541" s="23"/>
      <c r="D541" s="23"/>
      <c r="E541" s="32"/>
      <c r="F541" s="25"/>
      <c r="G541" s="23"/>
      <c r="H541" s="23"/>
      <c r="I541" s="23"/>
      <c r="J541" s="23"/>
      <c r="K541" s="23"/>
      <c r="L541" s="27" t="str">
        <f aca="false">IF($B541="","",IFERROR(INDEX(Properties!$D$5:$D$104,MATCH($B541,Properties!$A$5:$A$104,0)),"-"))</f>
        <v/>
      </c>
      <c r="M541" s="28" t="str">
        <f aca="false">IF(OR($A541="",N($E541)=0),"",$F541/$E541)</f>
        <v/>
      </c>
      <c r="N541" s="28" t="str">
        <f aca="false">IF($A541="","",IF($H541="Y",$F541*(1+Settings!$B$3),0))</f>
        <v/>
      </c>
      <c r="O541" s="27" t="str">
        <f aca="false">IF($A541="","",IF(AND($H541="Y",$G541&lt;&gt;"Restock",N($M541)&gt;Settings!$B$4,$I541&lt;&gt;"Y"),"Get host OK",IF(AND($H541="Y",$F541&gt;Settings!$B$5,$I541&lt;&gt;"Y"),"Host should pay upfront",IF($J541&lt;&gt;"Y","Save receipt","OK"))))</f>
        <v/>
      </c>
      <c r="P541" s="29" t="str">
        <f aca="false">IF($A541="","",DATE(YEAR($A541),MONTH($A541),1))</f>
        <v/>
      </c>
      <c r="Q541" s="31" t="str">
        <f aca="false">IF($A541="","",IF(AND($L541='Invoice Builder'!$C$5,$P541='Invoice Builder'!$C$6,N($N541)&gt;0),COUNTIFS($L$5:$L541,'Invoice Builder'!$C$5,$P$5:$P541,'Invoice Builder'!$C$6,$N$5:$N541,"&gt;0"),""))</f>
        <v/>
      </c>
      <c r="R541" s="27" t="str">
        <f aca="false">IF($A541="","",IF($A541&gt;=DATE(YEAR($A541),4,6),YEAR($A541)&amp;"/"&amp;RIGHT(YEAR($A541)+1,2),YEAR($A541)-1&amp;"/"&amp;RIGHT(YEAR($A541),2)))</f>
        <v/>
      </c>
    </row>
    <row r="542" customFormat="false" ht="15" hidden="false" customHeight="false" outlineLevel="0" collapsed="false">
      <c r="A542" s="22"/>
      <c r="B542" s="23"/>
      <c r="C542" s="23"/>
      <c r="D542" s="23"/>
      <c r="E542" s="32"/>
      <c r="F542" s="25"/>
      <c r="G542" s="23"/>
      <c r="H542" s="23"/>
      <c r="I542" s="23"/>
      <c r="J542" s="23"/>
      <c r="K542" s="23"/>
      <c r="L542" s="27" t="str">
        <f aca="false">IF($B542="","",IFERROR(INDEX(Properties!$D$5:$D$104,MATCH($B542,Properties!$A$5:$A$104,0)),"-"))</f>
        <v/>
      </c>
      <c r="M542" s="28" t="str">
        <f aca="false">IF(OR($A542="",N($E542)=0),"",$F542/$E542)</f>
        <v/>
      </c>
      <c r="N542" s="28" t="str">
        <f aca="false">IF($A542="","",IF($H542="Y",$F542*(1+Settings!$B$3),0))</f>
        <v/>
      </c>
      <c r="O542" s="27" t="str">
        <f aca="false">IF($A542="","",IF(AND($H542="Y",$G542&lt;&gt;"Restock",N($M542)&gt;Settings!$B$4,$I542&lt;&gt;"Y"),"Get host OK",IF(AND($H542="Y",$F542&gt;Settings!$B$5,$I542&lt;&gt;"Y"),"Host should pay upfront",IF($J542&lt;&gt;"Y","Save receipt","OK"))))</f>
        <v/>
      </c>
      <c r="P542" s="29" t="str">
        <f aca="false">IF($A542="","",DATE(YEAR($A542),MONTH($A542),1))</f>
        <v/>
      </c>
      <c r="Q542" s="31" t="str">
        <f aca="false">IF($A542="","",IF(AND($L542='Invoice Builder'!$C$5,$P542='Invoice Builder'!$C$6,N($N542)&gt;0),COUNTIFS($L$5:$L542,'Invoice Builder'!$C$5,$P$5:$P542,'Invoice Builder'!$C$6,$N$5:$N542,"&gt;0"),""))</f>
        <v/>
      </c>
      <c r="R542" s="27" t="str">
        <f aca="false">IF($A542="","",IF($A542&gt;=DATE(YEAR($A542),4,6),YEAR($A542)&amp;"/"&amp;RIGHT(YEAR($A542)+1,2),YEAR($A542)-1&amp;"/"&amp;RIGHT(YEAR($A542),2)))</f>
        <v/>
      </c>
    </row>
    <row r="543" customFormat="false" ht="15" hidden="false" customHeight="false" outlineLevel="0" collapsed="false">
      <c r="A543" s="22"/>
      <c r="B543" s="23"/>
      <c r="C543" s="23"/>
      <c r="D543" s="23"/>
      <c r="E543" s="32"/>
      <c r="F543" s="25"/>
      <c r="G543" s="23"/>
      <c r="H543" s="23"/>
      <c r="I543" s="23"/>
      <c r="J543" s="23"/>
      <c r="K543" s="23"/>
      <c r="L543" s="27" t="str">
        <f aca="false">IF($B543="","",IFERROR(INDEX(Properties!$D$5:$D$104,MATCH($B543,Properties!$A$5:$A$104,0)),"-"))</f>
        <v/>
      </c>
      <c r="M543" s="28" t="str">
        <f aca="false">IF(OR($A543="",N($E543)=0),"",$F543/$E543)</f>
        <v/>
      </c>
      <c r="N543" s="28" t="str">
        <f aca="false">IF($A543="","",IF($H543="Y",$F543*(1+Settings!$B$3),0))</f>
        <v/>
      </c>
      <c r="O543" s="27" t="str">
        <f aca="false">IF($A543="","",IF(AND($H543="Y",$G543&lt;&gt;"Restock",N($M543)&gt;Settings!$B$4,$I543&lt;&gt;"Y"),"Get host OK",IF(AND($H543="Y",$F543&gt;Settings!$B$5,$I543&lt;&gt;"Y"),"Host should pay upfront",IF($J543&lt;&gt;"Y","Save receipt","OK"))))</f>
        <v/>
      </c>
      <c r="P543" s="29" t="str">
        <f aca="false">IF($A543="","",DATE(YEAR($A543),MONTH($A543),1))</f>
        <v/>
      </c>
      <c r="Q543" s="31" t="str">
        <f aca="false">IF($A543="","",IF(AND($L543='Invoice Builder'!$C$5,$P543='Invoice Builder'!$C$6,N($N543)&gt;0),COUNTIFS($L$5:$L543,'Invoice Builder'!$C$5,$P$5:$P543,'Invoice Builder'!$C$6,$N$5:$N543,"&gt;0"),""))</f>
        <v/>
      </c>
      <c r="R543" s="27" t="str">
        <f aca="false">IF($A543="","",IF($A543&gt;=DATE(YEAR($A543),4,6),YEAR($A543)&amp;"/"&amp;RIGHT(YEAR($A543)+1,2),YEAR($A543)-1&amp;"/"&amp;RIGHT(YEAR($A543),2)))</f>
        <v/>
      </c>
    </row>
    <row r="544" customFormat="false" ht="15" hidden="false" customHeight="false" outlineLevel="0" collapsed="false">
      <c r="A544" s="22"/>
      <c r="B544" s="23"/>
      <c r="C544" s="23"/>
      <c r="D544" s="23"/>
      <c r="E544" s="32"/>
      <c r="F544" s="25"/>
      <c r="G544" s="23"/>
      <c r="H544" s="23"/>
      <c r="I544" s="23"/>
      <c r="J544" s="23"/>
      <c r="K544" s="23"/>
      <c r="L544" s="27" t="str">
        <f aca="false">IF($B544="","",IFERROR(INDEX(Properties!$D$5:$D$104,MATCH($B544,Properties!$A$5:$A$104,0)),"-"))</f>
        <v/>
      </c>
      <c r="M544" s="28" t="str">
        <f aca="false">IF(OR($A544="",N($E544)=0),"",$F544/$E544)</f>
        <v/>
      </c>
      <c r="N544" s="28" t="str">
        <f aca="false">IF($A544="","",IF($H544="Y",$F544*(1+Settings!$B$3),0))</f>
        <v/>
      </c>
      <c r="O544" s="27" t="str">
        <f aca="false">IF($A544="","",IF(AND($H544="Y",$G544&lt;&gt;"Restock",N($M544)&gt;Settings!$B$4,$I544&lt;&gt;"Y"),"Get host OK",IF(AND($H544="Y",$F544&gt;Settings!$B$5,$I544&lt;&gt;"Y"),"Host should pay upfront",IF($J544&lt;&gt;"Y","Save receipt","OK"))))</f>
        <v/>
      </c>
      <c r="P544" s="29" t="str">
        <f aca="false">IF($A544="","",DATE(YEAR($A544),MONTH($A544),1))</f>
        <v/>
      </c>
      <c r="Q544" s="31" t="str">
        <f aca="false">IF($A544="","",IF(AND($L544='Invoice Builder'!$C$5,$P544='Invoice Builder'!$C$6,N($N544)&gt;0),COUNTIFS($L$5:$L544,'Invoice Builder'!$C$5,$P$5:$P544,'Invoice Builder'!$C$6,$N$5:$N544,"&gt;0"),""))</f>
        <v/>
      </c>
      <c r="R544" s="27" t="str">
        <f aca="false">IF($A544="","",IF($A544&gt;=DATE(YEAR($A544),4,6),YEAR($A544)&amp;"/"&amp;RIGHT(YEAR($A544)+1,2),YEAR($A544)-1&amp;"/"&amp;RIGHT(YEAR($A544),2)))</f>
        <v/>
      </c>
    </row>
    <row r="545" customFormat="false" ht="15" hidden="false" customHeight="false" outlineLevel="0" collapsed="false">
      <c r="A545" s="22"/>
      <c r="B545" s="23"/>
      <c r="C545" s="23"/>
      <c r="D545" s="23"/>
      <c r="E545" s="32"/>
      <c r="F545" s="25"/>
      <c r="G545" s="23"/>
      <c r="H545" s="23"/>
      <c r="I545" s="23"/>
      <c r="J545" s="23"/>
      <c r="K545" s="23"/>
      <c r="L545" s="27" t="str">
        <f aca="false">IF($B545="","",IFERROR(INDEX(Properties!$D$5:$D$104,MATCH($B545,Properties!$A$5:$A$104,0)),"-"))</f>
        <v/>
      </c>
      <c r="M545" s="28" t="str">
        <f aca="false">IF(OR($A545="",N($E545)=0),"",$F545/$E545)</f>
        <v/>
      </c>
      <c r="N545" s="28" t="str">
        <f aca="false">IF($A545="","",IF($H545="Y",$F545*(1+Settings!$B$3),0))</f>
        <v/>
      </c>
      <c r="O545" s="27" t="str">
        <f aca="false">IF($A545="","",IF(AND($H545="Y",$G545&lt;&gt;"Restock",N($M545)&gt;Settings!$B$4,$I545&lt;&gt;"Y"),"Get host OK",IF(AND($H545="Y",$F545&gt;Settings!$B$5,$I545&lt;&gt;"Y"),"Host should pay upfront",IF($J545&lt;&gt;"Y","Save receipt","OK"))))</f>
        <v/>
      </c>
      <c r="P545" s="29" t="str">
        <f aca="false">IF($A545="","",DATE(YEAR($A545),MONTH($A545),1))</f>
        <v/>
      </c>
      <c r="Q545" s="31" t="str">
        <f aca="false">IF($A545="","",IF(AND($L545='Invoice Builder'!$C$5,$P545='Invoice Builder'!$C$6,N($N545)&gt;0),COUNTIFS($L$5:$L545,'Invoice Builder'!$C$5,$P$5:$P545,'Invoice Builder'!$C$6,$N$5:$N545,"&gt;0"),""))</f>
        <v/>
      </c>
      <c r="R545" s="27" t="str">
        <f aca="false">IF($A545="","",IF($A545&gt;=DATE(YEAR($A545),4,6),YEAR($A545)&amp;"/"&amp;RIGHT(YEAR($A545)+1,2),YEAR($A545)-1&amp;"/"&amp;RIGHT(YEAR($A545),2)))</f>
        <v/>
      </c>
    </row>
    <row r="546" customFormat="false" ht="15" hidden="false" customHeight="false" outlineLevel="0" collapsed="false">
      <c r="A546" s="22"/>
      <c r="B546" s="23"/>
      <c r="C546" s="23"/>
      <c r="D546" s="23"/>
      <c r="E546" s="32"/>
      <c r="F546" s="25"/>
      <c r="G546" s="23"/>
      <c r="H546" s="23"/>
      <c r="I546" s="23"/>
      <c r="J546" s="23"/>
      <c r="K546" s="23"/>
      <c r="L546" s="27" t="str">
        <f aca="false">IF($B546="","",IFERROR(INDEX(Properties!$D$5:$D$104,MATCH($B546,Properties!$A$5:$A$104,0)),"-"))</f>
        <v/>
      </c>
      <c r="M546" s="28" t="str">
        <f aca="false">IF(OR($A546="",N($E546)=0),"",$F546/$E546)</f>
        <v/>
      </c>
      <c r="N546" s="28" t="str">
        <f aca="false">IF($A546="","",IF($H546="Y",$F546*(1+Settings!$B$3),0))</f>
        <v/>
      </c>
      <c r="O546" s="27" t="str">
        <f aca="false">IF($A546="","",IF(AND($H546="Y",$G546&lt;&gt;"Restock",N($M546)&gt;Settings!$B$4,$I546&lt;&gt;"Y"),"Get host OK",IF(AND($H546="Y",$F546&gt;Settings!$B$5,$I546&lt;&gt;"Y"),"Host should pay upfront",IF($J546&lt;&gt;"Y","Save receipt","OK"))))</f>
        <v/>
      </c>
      <c r="P546" s="29" t="str">
        <f aca="false">IF($A546="","",DATE(YEAR($A546),MONTH($A546),1))</f>
        <v/>
      </c>
      <c r="Q546" s="31" t="str">
        <f aca="false">IF($A546="","",IF(AND($L546='Invoice Builder'!$C$5,$P546='Invoice Builder'!$C$6,N($N546)&gt;0),COUNTIFS($L$5:$L546,'Invoice Builder'!$C$5,$P$5:$P546,'Invoice Builder'!$C$6,$N$5:$N546,"&gt;0"),""))</f>
        <v/>
      </c>
      <c r="R546" s="27" t="str">
        <f aca="false">IF($A546="","",IF($A546&gt;=DATE(YEAR($A546),4,6),YEAR($A546)&amp;"/"&amp;RIGHT(YEAR($A546)+1,2),YEAR($A546)-1&amp;"/"&amp;RIGHT(YEAR($A546),2)))</f>
        <v/>
      </c>
    </row>
    <row r="547" customFormat="false" ht="15" hidden="false" customHeight="false" outlineLevel="0" collapsed="false">
      <c r="A547" s="22"/>
      <c r="B547" s="23"/>
      <c r="C547" s="23"/>
      <c r="D547" s="23"/>
      <c r="E547" s="32"/>
      <c r="F547" s="25"/>
      <c r="G547" s="23"/>
      <c r="H547" s="23"/>
      <c r="I547" s="23"/>
      <c r="J547" s="23"/>
      <c r="K547" s="23"/>
      <c r="L547" s="27" t="str">
        <f aca="false">IF($B547="","",IFERROR(INDEX(Properties!$D$5:$D$104,MATCH($B547,Properties!$A$5:$A$104,0)),"-"))</f>
        <v/>
      </c>
      <c r="M547" s="28" t="str">
        <f aca="false">IF(OR($A547="",N($E547)=0),"",$F547/$E547)</f>
        <v/>
      </c>
      <c r="N547" s="28" t="str">
        <f aca="false">IF($A547="","",IF($H547="Y",$F547*(1+Settings!$B$3),0))</f>
        <v/>
      </c>
      <c r="O547" s="27" t="str">
        <f aca="false">IF($A547="","",IF(AND($H547="Y",$G547&lt;&gt;"Restock",N($M547)&gt;Settings!$B$4,$I547&lt;&gt;"Y"),"Get host OK",IF(AND($H547="Y",$F547&gt;Settings!$B$5,$I547&lt;&gt;"Y"),"Host should pay upfront",IF($J547&lt;&gt;"Y","Save receipt","OK"))))</f>
        <v/>
      </c>
      <c r="P547" s="29" t="str">
        <f aca="false">IF($A547="","",DATE(YEAR($A547),MONTH($A547),1))</f>
        <v/>
      </c>
      <c r="Q547" s="31" t="str">
        <f aca="false">IF($A547="","",IF(AND($L547='Invoice Builder'!$C$5,$P547='Invoice Builder'!$C$6,N($N547)&gt;0),COUNTIFS($L$5:$L547,'Invoice Builder'!$C$5,$P$5:$P547,'Invoice Builder'!$C$6,$N$5:$N547,"&gt;0"),""))</f>
        <v/>
      </c>
      <c r="R547" s="27" t="str">
        <f aca="false">IF($A547="","",IF($A547&gt;=DATE(YEAR($A547),4,6),YEAR($A547)&amp;"/"&amp;RIGHT(YEAR($A547)+1,2),YEAR($A547)-1&amp;"/"&amp;RIGHT(YEAR($A547),2)))</f>
        <v/>
      </c>
    </row>
    <row r="548" customFormat="false" ht="15" hidden="false" customHeight="false" outlineLevel="0" collapsed="false">
      <c r="A548" s="22"/>
      <c r="B548" s="23"/>
      <c r="C548" s="23"/>
      <c r="D548" s="23"/>
      <c r="E548" s="32"/>
      <c r="F548" s="25"/>
      <c r="G548" s="23"/>
      <c r="H548" s="23"/>
      <c r="I548" s="23"/>
      <c r="J548" s="23"/>
      <c r="K548" s="23"/>
      <c r="L548" s="27" t="str">
        <f aca="false">IF($B548="","",IFERROR(INDEX(Properties!$D$5:$D$104,MATCH($B548,Properties!$A$5:$A$104,0)),"-"))</f>
        <v/>
      </c>
      <c r="M548" s="28" t="str">
        <f aca="false">IF(OR($A548="",N($E548)=0),"",$F548/$E548)</f>
        <v/>
      </c>
      <c r="N548" s="28" t="str">
        <f aca="false">IF($A548="","",IF($H548="Y",$F548*(1+Settings!$B$3),0))</f>
        <v/>
      </c>
      <c r="O548" s="27" t="str">
        <f aca="false">IF($A548="","",IF(AND($H548="Y",$G548&lt;&gt;"Restock",N($M548)&gt;Settings!$B$4,$I548&lt;&gt;"Y"),"Get host OK",IF(AND($H548="Y",$F548&gt;Settings!$B$5,$I548&lt;&gt;"Y"),"Host should pay upfront",IF($J548&lt;&gt;"Y","Save receipt","OK"))))</f>
        <v/>
      </c>
      <c r="P548" s="29" t="str">
        <f aca="false">IF($A548="","",DATE(YEAR($A548),MONTH($A548),1))</f>
        <v/>
      </c>
      <c r="Q548" s="31" t="str">
        <f aca="false">IF($A548="","",IF(AND($L548='Invoice Builder'!$C$5,$P548='Invoice Builder'!$C$6,N($N548)&gt;0),COUNTIFS($L$5:$L548,'Invoice Builder'!$C$5,$P$5:$P548,'Invoice Builder'!$C$6,$N$5:$N548,"&gt;0"),""))</f>
        <v/>
      </c>
      <c r="R548" s="27" t="str">
        <f aca="false">IF($A548="","",IF($A548&gt;=DATE(YEAR($A548),4,6),YEAR($A548)&amp;"/"&amp;RIGHT(YEAR($A548)+1,2),YEAR($A548)-1&amp;"/"&amp;RIGHT(YEAR($A548),2)))</f>
        <v/>
      </c>
    </row>
    <row r="549" customFormat="false" ht="15" hidden="false" customHeight="false" outlineLevel="0" collapsed="false">
      <c r="A549" s="22"/>
      <c r="B549" s="23"/>
      <c r="C549" s="23"/>
      <c r="D549" s="23"/>
      <c r="E549" s="32"/>
      <c r="F549" s="25"/>
      <c r="G549" s="23"/>
      <c r="H549" s="23"/>
      <c r="I549" s="23"/>
      <c r="J549" s="23"/>
      <c r="K549" s="23"/>
      <c r="L549" s="27" t="str">
        <f aca="false">IF($B549="","",IFERROR(INDEX(Properties!$D$5:$D$104,MATCH($B549,Properties!$A$5:$A$104,0)),"-"))</f>
        <v/>
      </c>
      <c r="M549" s="28" t="str">
        <f aca="false">IF(OR($A549="",N($E549)=0),"",$F549/$E549)</f>
        <v/>
      </c>
      <c r="N549" s="28" t="str">
        <f aca="false">IF($A549="","",IF($H549="Y",$F549*(1+Settings!$B$3),0))</f>
        <v/>
      </c>
      <c r="O549" s="27" t="str">
        <f aca="false">IF($A549="","",IF(AND($H549="Y",$G549&lt;&gt;"Restock",N($M549)&gt;Settings!$B$4,$I549&lt;&gt;"Y"),"Get host OK",IF(AND($H549="Y",$F549&gt;Settings!$B$5,$I549&lt;&gt;"Y"),"Host should pay upfront",IF($J549&lt;&gt;"Y","Save receipt","OK"))))</f>
        <v/>
      </c>
      <c r="P549" s="29" t="str">
        <f aca="false">IF($A549="","",DATE(YEAR($A549),MONTH($A549),1))</f>
        <v/>
      </c>
      <c r="Q549" s="31" t="str">
        <f aca="false">IF($A549="","",IF(AND($L549='Invoice Builder'!$C$5,$P549='Invoice Builder'!$C$6,N($N549)&gt;0),COUNTIFS($L$5:$L549,'Invoice Builder'!$C$5,$P$5:$P549,'Invoice Builder'!$C$6,$N$5:$N549,"&gt;0"),""))</f>
        <v/>
      </c>
      <c r="R549" s="27" t="str">
        <f aca="false">IF($A549="","",IF($A549&gt;=DATE(YEAR($A549),4,6),YEAR($A549)&amp;"/"&amp;RIGHT(YEAR($A549)+1,2),YEAR($A549)-1&amp;"/"&amp;RIGHT(YEAR($A549),2)))</f>
        <v/>
      </c>
    </row>
    <row r="550" customFormat="false" ht="15" hidden="false" customHeight="false" outlineLevel="0" collapsed="false">
      <c r="A550" s="22"/>
      <c r="B550" s="23"/>
      <c r="C550" s="23"/>
      <c r="D550" s="23"/>
      <c r="E550" s="32"/>
      <c r="F550" s="25"/>
      <c r="G550" s="23"/>
      <c r="H550" s="23"/>
      <c r="I550" s="23"/>
      <c r="J550" s="23"/>
      <c r="K550" s="23"/>
      <c r="L550" s="27" t="str">
        <f aca="false">IF($B550="","",IFERROR(INDEX(Properties!$D$5:$D$104,MATCH($B550,Properties!$A$5:$A$104,0)),"-"))</f>
        <v/>
      </c>
      <c r="M550" s="28" t="str">
        <f aca="false">IF(OR($A550="",N($E550)=0),"",$F550/$E550)</f>
        <v/>
      </c>
      <c r="N550" s="28" t="str">
        <f aca="false">IF($A550="","",IF($H550="Y",$F550*(1+Settings!$B$3),0))</f>
        <v/>
      </c>
      <c r="O550" s="27" t="str">
        <f aca="false">IF($A550="","",IF(AND($H550="Y",$G550&lt;&gt;"Restock",N($M550)&gt;Settings!$B$4,$I550&lt;&gt;"Y"),"Get host OK",IF(AND($H550="Y",$F550&gt;Settings!$B$5,$I550&lt;&gt;"Y"),"Host should pay upfront",IF($J550&lt;&gt;"Y","Save receipt","OK"))))</f>
        <v/>
      </c>
      <c r="P550" s="29" t="str">
        <f aca="false">IF($A550="","",DATE(YEAR($A550),MONTH($A550),1))</f>
        <v/>
      </c>
      <c r="Q550" s="31" t="str">
        <f aca="false">IF($A550="","",IF(AND($L550='Invoice Builder'!$C$5,$P550='Invoice Builder'!$C$6,N($N550)&gt;0),COUNTIFS($L$5:$L550,'Invoice Builder'!$C$5,$P$5:$P550,'Invoice Builder'!$C$6,$N$5:$N550,"&gt;0"),""))</f>
        <v/>
      </c>
      <c r="R550" s="27" t="str">
        <f aca="false">IF($A550="","",IF($A550&gt;=DATE(YEAR($A550),4,6),YEAR($A550)&amp;"/"&amp;RIGHT(YEAR($A550)+1,2),YEAR($A550)-1&amp;"/"&amp;RIGHT(YEAR($A550),2)))</f>
        <v/>
      </c>
    </row>
    <row r="551" customFormat="false" ht="15" hidden="false" customHeight="false" outlineLevel="0" collapsed="false">
      <c r="A551" s="22"/>
      <c r="B551" s="23"/>
      <c r="C551" s="23"/>
      <c r="D551" s="23"/>
      <c r="E551" s="32"/>
      <c r="F551" s="25"/>
      <c r="G551" s="23"/>
      <c r="H551" s="23"/>
      <c r="I551" s="23"/>
      <c r="J551" s="23"/>
      <c r="K551" s="23"/>
      <c r="L551" s="27" t="str">
        <f aca="false">IF($B551="","",IFERROR(INDEX(Properties!$D$5:$D$104,MATCH($B551,Properties!$A$5:$A$104,0)),"-"))</f>
        <v/>
      </c>
      <c r="M551" s="28" t="str">
        <f aca="false">IF(OR($A551="",N($E551)=0),"",$F551/$E551)</f>
        <v/>
      </c>
      <c r="N551" s="28" t="str">
        <f aca="false">IF($A551="","",IF($H551="Y",$F551*(1+Settings!$B$3),0))</f>
        <v/>
      </c>
      <c r="O551" s="27" t="str">
        <f aca="false">IF($A551="","",IF(AND($H551="Y",$G551&lt;&gt;"Restock",N($M551)&gt;Settings!$B$4,$I551&lt;&gt;"Y"),"Get host OK",IF(AND($H551="Y",$F551&gt;Settings!$B$5,$I551&lt;&gt;"Y"),"Host should pay upfront",IF($J551&lt;&gt;"Y","Save receipt","OK"))))</f>
        <v/>
      </c>
      <c r="P551" s="29" t="str">
        <f aca="false">IF($A551="","",DATE(YEAR($A551),MONTH($A551),1))</f>
        <v/>
      </c>
      <c r="Q551" s="31" t="str">
        <f aca="false">IF($A551="","",IF(AND($L551='Invoice Builder'!$C$5,$P551='Invoice Builder'!$C$6,N($N551)&gt;0),COUNTIFS($L$5:$L551,'Invoice Builder'!$C$5,$P$5:$P551,'Invoice Builder'!$C$6,$N$5:$N551,"&gt;0"),""))</f>
        <v/>
      </c>
      <c r="R551" s="27" t="str">
        <f aca="false">IF($A551="","",IF($A551&gt;=DATE(YEAR($A551),4,6),YEAR($A551)&amp;"/"&amp;RIGHT(YEAR($A551)+1,2),YEAR($A551)-1&amp;"/"&amp;RIGHT(YEAR($A551),2)))</f>
        <v/>
      </c>
    </row>
    <row r="552" customFormat="false" ht="15" hidden="false" customHeight="false" outlineLevel="0" collapsed="false">
      <c r="A552" s="22"/>
      <c r="B552" s="23"/>
      <c r="C552" s="23"/>
      <c r="D552" s="23"/>
      <c r="E552" s="32"/>
      <c r="F552" s="25"/>
      <c r="G552" s="23"/>
      <c r="H552" s="23"/>
      <c r="I552" s="23"/>
      <c r="J552" s="23"/>
      <c r="K552" s="23"/>
      <c r="L552" s="27" t="str">
        <f aca="false">IF($B552="","",IFERROR(INDEX(Properties!$D$5:$D$104,MATCH($B552,Properties!$A$5:$A$104,0)),"-"))</f>
        <v/>
      </c>
      <c r="M552" s="28" t="str">
        <f aca="false">IF(OR($A552="",N($E552)=0),"",$F552/$E552)</f>
        <v/>
      </c>
      <c r="N552" s="28" t="str">
        <f aca="false">IF($A552="","",IF($H552="Y",$F552*(1+Settings!$B$3),0))</f>
        <v/>
      </c>
      <c r="O552" s="27" t="str">
        <f aca="false">IF($A552="","",IF(AND($H552="Y",$G552&lt;&gt;"Restock",N($M552)&gt;Settings!$B$4,$I552&lt;&gt;"Y"),"Get host OK",IF(AND($H552="Y",$F552&gt;Settings!$B$5,$I552&lt;&gt;"Y"),"Host should pay upfront",IF($J552&lt;&gt;"Y","Save receipt","OK"))))</f>
        <v/>
      </c>
      <c r="P552" s="29" t="str">
        <f aca="false">IF($A552="","",DATE(YEAR($A552),MONTH($A552),1))</f>
        <v/>
      </c>
      <c r="Q552" s="31" t="str">
        <f aca="false">IF($A552="","",IF(AND($L552='Invoice Builder'!$C$5,$P552='Invoice Builder'!$C$6,N($N552)&gt;0),COUNTIFS($L$5:$L552,'Invoice Builder'!$C$5,$P$5:$P552,'Invoice Builder'!$C$6,$N$5:$N552,"&gt;0"),""))</f>
        <v/>
      </c>
      <c r="R552" s="27" t="str">
        <f aca="false">IF($A552="","",IF($A552&gt;=DATE(YEAR($A552),4,6),YEAR($A552)&amp;"/"&amp;RIGHT(YEAR($A552)+1,2),YEAR($A552)-1&amp;"/"&amp;RIGHT(YEAR($A552),2)))</f>
        <v/>
      </c>
    </row>
    <row r="553" customFormat="false" ht="15" hidden="false" customHeight="false" outlineLevel="0" collapsed="false">
      <c r="A553" s="22"/>
      <c r="B553" s="23"/>
      <c r="C553" s="23"/>
      <c r="D553" s="23"/>
      <c r="E553" s="32"/>
      <c r="F553" s="25"/>
      <c r="G553" s="23"/>
      <c r="H553" s="23"/>
      <c r="I553" s="23"/>
      <c r="J553" s="23"/>
      <c r="K553" s="23"/>
      <c r="L553" s="27" t="str">
        <f aca="false">IF($B553="","",IFERROR(INDEX(Properties!$D$5:$D$104,MATCH($B553,Properties!$A$5:$A$104,0)),"-"))</f>
        <v/>
      </c>
      <c r="M553" s="28" t="str">
        <f aca="false">IF(OR($A553="",N($E553)=0),"",$F553/$E553)</f>
        <v/>
      </c>
      <c r="N553" s="28" t="str">
        <f aca="false">IF($A553="","",IF($H553="Y",$F553*(1+Settings!$B$3),0))</f>
        <v/>
      </c>
      <c r="O553" s="27" t="str">
        <f aca="false">IF($A553="","",IF(AND($H553="Y",$G553&lt;&gt;"Restock",N($M553)&gt;Settings!$B$4,$I553&lt;&gt;"Y"),"Get host OK",IF(AND($H553="Y",$F553&gt;Settings!$B$5,$I553&lt;&gt;"Y"),"Host should pay upfront",IF($J553&lt;&gt;"Y","Save receipt","OK"))))</f>
        <v/>
      </c>
      <c r="P553" s="29" t="str">
        <f aca="false">IF($A553="","",DATE(YEAR($A553),MONTH($A553),1))</f>
        <v/>
      </c>
      <c r="Q553" s="31" t="str">
        <f aca="false">IF($A553="","",IF(AND($L553='Invoice Builder'!$C$5,$P553='Invoice Builder'!$C$6,N($N553)&gt;0),COUNTIFS($L$5:$L553,'Invoice Builder'!$C$5,$P$5:$P553,'Invoice Builder'!$C$6,$N$5:$N553,"&gt;0"),""))</f>
        <v/>
      </c>
      <c r="R553" s="27" t="str">
        <f aca="false">IF($A553="","",IF($A553&gt;=DATE(YEAR($A553),4,6),YEAR($A553)&amp;"/"&amp;RIGHT(YEAR($A553)+1,2),YEAR($A553)-1&amp;"/"&amp;RIGHT(YEAR($A553),2)))</f>
        <v/>
      </c>
    </row>
    <row r="554" customFormat="false" ht="15" hidden="false" customHeight="false" outlineLevel="0" collapsed="false">
      <c r="A554" s="22"/>
      <c r="B554" s="23"/>
      <c r="C554" s="23"/>
      <c r="D554" s="23"/>
      <c r="E554" s="32"/>
      <c r="F554" s="25"/>
      <c r="G554" s="23"/>
      <c r="H554" s="23"/>
      <c r="I554" s="23"/>
      <c r="J554" s="23"/>
      <c r="K554" s="23"/>
      <c r="L554" s="27" t="str">
        <f aca="false">IF($B554="","",IFERROR(INDEX(Properties!$D$5:$D$104,MATCH($B554,Properties!$A$5:$A$104,0)),"-"))</f>
        <v/>
      </c>
      <c r="M554" s="28" t="str">
        <f aca="false">IF(OR($A554="",N($E554)=0),"",$F554/$E554)</f>
        <v/>
      </c>
      <c r="N554" s="28" t="str">
        <f aca="false">IF($A554="","",IF($H554="Y",$F554*(1+Settings!$B$3),0))</f>
        <v/>
      </c>
      <c r="O554" s="27" t="str">
        <f aca="false">IF($A554="","",IF(AND($H554="Y",$G554&lt;&gt;"Restock",N($M554)&gt;Settings!$B$4,$I554&lt;&gt;"Y"),"Get host OK",IF(AND($H554="Y",$F554&gt;Settings!$B$5,$I554&lt;&gt;"Y"),"Host should pay upfront",IF($J554&lt;&gt;"Y","Save receipt","OK"))))</f>
        <v/>
      </c>
      <c r="P554" s="29" t="str">
        <f aca="false">IF($A554="","",DATE(YEAR($A554),MONTH($A554),1))</f>
        <v/>
      </c>
      <c r="Q554" s="31" t="str">
        <f aca="false">IF($A554="","",IF(AND($L554='Invoice Builder'!$C$5,$P554='Invoice Builder'!$C$6,N($N554)&gt;0),COUNTIFS($L$5:$L554,'Invoice Builder'!$C$5,$P$5:$P554,'Invoice Builder'!$C$6,$N$5:$N554,"&gt;0"),""))</f>
        <v/>
      </c>
      <c r="R554" s="27" t="str">
        <f aca="false">IF($A554="","",IF($A554&gt;=DATE(YEAR($A554),4,6),YEAR($A554)&amp;"/"&amp;RIGHT(YEAR($A554)+1,2),YEAR($A554)-1&amp;"/"&amp;RIGHT(YEAR($A554),2)))</f>
        <v/>
      </c>
    </row>
    <row r="555" customFormat="false" ht="15" hidden="false" customHeight="false" outlineLevel="0" collapsed="false">
      <c r="A555" s="22"/>
      <c r="B555" s="23"/>
      <c r="C555" s="23"/>
      <c r="D555" s="23"/>
      <c r="E555" s="32"/>
      <c r="F555" s="25"/>
      <c r="G555" s="23"/>
      <c r="H555" s="23"/>
      <c r="I555" s="23"/>
      <c r="J555" s="23"/>
      <c r="K555" s="23"/>
      <c r="L555" s="27" t="str">
        <f aca="false">IF($B555="","",IFERROR(INDEX(Properties!$D$5:$D$104,MATCH($B555,Properties!$A$5:$A$104,0)),"-"))</f>
        <v/>
      </c>
      <c r="M555" s="28" t="str">
        <f aca="false">IF(OR($A555="",N($E555)=0),"",$F555/$E555)</f>
        <v/>
      </c>
      <c r="N555" s="28" t="str">
        <f aca="false">IF($A555="","",IF($H555="Y",$F555*(1+Settings!$B$3),0))</f>
        <v/>
      </c>
      <c r="O555" s="27" t="str">
        <f aca="false">IF($A555="","",IF(AND($H555="Y",$G555&lt;&gt;"Restock",N($M555)&gt;Settings!$B$4,$I555&lt;&gt;"Y"),"Get host OK",IF(AND($H555="Y",$F555&gt;Settings!$B$5,$I555&lt;&gt;"Y"),"Host should pay upfront",IF($J555&lt;&gt;"Y","Save receipt","OK"))))</f>
        <v/>
      </c>
      <c r="P555" s="29" t="str">
        <f aca="false">IF($A555="","",DATE(YEAR($A555),MONTH($A555),1))</f>
        <v/>
      </c>
      <c r="Q555" s="31" t="str">
        <f aca="false">IF($A555="","",IF(AND($L555='Invoice Builder'!$C$5,$P555='Invoice Builder'!$C$6,N($N555)&gt;0),COUNTIFS($L$5:$L555,'Invoice Builder'!$C$5,$P$5:$P555,'Invoice Builder'!$C$6,$N$5:$N555,"&gt;0"),""))</f>
        <v/>
      </c>
      <c r="R555" s="27" t="str">
        <f aca="false">IF($A555="","",IF($A555&gt;=DATE(YEAR($A555),4,6),YEAR($A555)&amp;"/"&amp;RIGHT(YEAR($A555)+1,2),YEAR($A555)-1&amp;"/"&amp;RIGHT(YEAR($A555),2)))</f>
        <v/>
      </c>
    </row>
    <row r="556" customFormat="false" ht="15" hidden="false" customHeight="false" outlineLevel="0" collapsed="false">
      <c r="A556" s="22"/>
      <c r="B556" s="23"/>
      <c r="C556" s="23"/>
      <c r="D556" s="23"/>
      <c r="E556" s="32"/>
      <c r="F556" s="25"/>
      <c r="G556" s="23"/>
      <c r="H556" s="23"/>
      <c r="I556" s="23"/>
      <c r="J556" s="23"/>
      <c r="K556" s="23"/>
      <c r="L556" s="27" t="str">
        <f aca="false">IF($B556="","",IFERROR(INDEX(Properties!$D$5:$D$104,MATCH($B556,Properties!$A$5:$A$104,0)),"-"))</f>
        <v/>
      </c>
      <c r="M556" s="28" t="str">
        <f aca="false">IF(OR($A556="",N($E556)=0),"",$F556/$E556)</f>
        <v/>
      </c>
      <c r="N556" s="28" t="str">
        <f aca="false">IF($A556="","",IF($H556="Y",$F556*(1+Settings!$B$3),0))</f>
        <v/>
      </c>
      <c r="O556" s="27" t="str">
        <f aca="false">IF($A556="","",IF(AND($H556="Y",$G556&lt;&gt;"Restock",N($M556)&gt;Settings!$B$4,$I556&lt;&gt;"Y"),"Get host OK",IF(AND($H556="Y",$F556&gt;Settings!$B$5,$I556&lt;&gt;"Y"),"Host should pay upfront",IF($J556&lt;&gt;"Y","Save receipt","OK"))))</f>
        <v/>
      </c>
      <c r="P556" s="29" t="str">
        <f aca="false">IF($A556="","",DATE(YEAR($A556),MONTH($A556),1))</f>
        <v/>
      </c>
      <c r="Q556" s="31" t="str">
        <f aca="false">IF($A556="","",IF(AND($L556='Invoice Builder'!$C$5,$P556='Invoice Builder'!$C$6,N($N556)&gt;0),COUNTIFS($L$5:$L556,'Invoice Builder'!$C$5,$P$5:$P556,'Invoice Builder'!$C$6,$N$5:$N556,"&gt;0"),""))</f>
        <v/>
      </c>
      <c r="R556" s="27" t="str">
        <f aca="false">IF($A556="","",IF($A556&gt;=DATE(YEAR($A556),4,6),YEAR($A556)&amp;"/"&amp;RIGHT(YEAR($A556)+1,2),YEAR($A556)-1&amp;"/"&amp;RIGHT(YEAR($A556),2)))</f>
        <v/>
      </c>
    </row>
    <row r="557" customFormat="false" ht="15" hidden="false" customHeight="false" outlineLevel="0" collapsed="false">
      <c r="A557" s="22"/>
      <c r="B557" s="23"/>
      <c r="C557" s="23"/>
      <c r="D557" s="23"/>
      <c r="E557" s="32"/>
      <c r="F557" s="25"/>
      <c r="G557" s="23"/>
      <c r="H557" s="23"/>
      <c r="I557" s="23"/>
      <c r="J557" s="23"/>
      <c r="K557" s="23"/>
      <c r="L557" s="27" t="str">
        <f aca="false">IF($B557="","",IFERROR(INDEX(Properties!$D$5:$D$104,MATCH($B557,Properties!$A$5:$A$104,0)),"-"))</f>
        <v/>
      </c>
      <c r="M557" s="28" t="str">
        <f aca="false">IF(OR($A557="",N($E557)=0),"",$F557/$E557)</f>
        <v/>
      </c>
      <c r="N557" s="28" t="str">
        <f aca="false">IF($A557="","",IF($H557="Y",$F557*(1+Settings!$B$3),0))</f>
        <v/>
      </c>
      <c r="O557" s="27" t="str">
        <f aca="false">IF($A557="","",IF(AND($H557="Y",$G557&lt;&gt;"Restock",N($M557)&gt;Settings!$B$4,$I557&lt;&gt;"Y"),"Get host OK",IF(AND($H557="Y",$F557&gt;Settings!$B$5,$I557&lt;&gt;"Y"),"Host should pay upfront",IF($J557&lt;&gt;"Y","Save receipt","OK"))))</f>
        <v/>
      </c>
      <c r="P557" s="29" t="str">
        <f aca="false">IF($A557="","",DATE(YEAR($A557),MONTH($A557),1))</f>
        <v/>
      </c>
      <c r="Q557" s="31" t="str">
        <f aca="false">IF($A557="","",IF(AND($L557='Invoice Builder'!$C$5,$P557='Invoice Builder'!$C$6,N($N557)&gt;0),COUNTIFS($L$5:$L557,'Invoice Builder'!$C$5,$P$5:$P557,'Invoice Builder'!$C$6,$N$5:$N557,"&gt;0"),""))</f>
        <v/>
      </c>
      <c r="R557" s="27" t="str">
        <f aca="false">IF($A557="","",IF($A557&gt;=DATE(YEAR($A557),4,6),YEAR($A557)&amp;"/"&amp;RIGHT(YEAR($A557)+1,2),YEAR($A557)-1&amp;"/"&amp;RIGHT(YEAR($A557),2)))</f>
        <v/>
      </c>
    </row>
    <row r="558" customFormat="false" ht="15" hidden="false" customHeight="false" outlineLevel="0" collapsed="false">
      <c r="A558" s="22"/>
      <c r="B558" s="23"/>
      <c r="C558" s="23"/>
      <c r="D558" s="23"/>
      <c r="E558" s="32"/>
      <c r="F558" s="25"/>
      <c r="G558" s="23"/>
      <c r="H558" s="23"/>
      <c r="I558" s="23"/>
      <c r="J558" s="23"/>
      <c r="K558" s="23"/>
      <c r="L558" s="27" t="str">
        <f aca="false">IF($B558="","",IFERROR(INDEX(Properties!$D$5:$D$104,MATCH($B558,Properties!$A$5:$A$104,0)),"-"))</f>
        <v/>
      </c>
      <c r="M558" s="28" t="str">
        <f aca="false">IF(OR($A558="",N($E558)=0),"",$F558/$E558)</f>
        <v/>
      </c>
      <c r="N558" s="28" t="str">
        <f aca="false">IF($A558="","",IF($H558="Y",$F558*(1+Settings!$B$3),0))</f>
        <v/>
      </c>
      <c r="O558" s="27" t="str">
        <f aca="false">IF($A558="","",IF(AND($H558="Y",$G558&lt;&gt;"Restock",N($M558)&gt;Settings!$B$4,$I558&lt;&gt;"Y"),"Get host OK",IF(AND($H558="Y",$F558&gt;Settings!$B$5,$I558&lt;&gt;"Y"),"Host should pay upfront",IF($J558&lt;&gt;"Y","Save receipt","OK"))))</f>
        <v/>
      </c>
      <c r="P558" s="29" t="str">
        <f aca="false">IF($A558="","",DATE(YEAR($A558),MONTH($A558),1))</f>
        <v/>
      </c>
      <c r="Q558" s="31" t="str">
        <f aca="false">IF($A558="","",IF(AND($L558='Invoice Builder'!$C$5,$P558='Invoice Builder'!$C$6,N($N558)&gt;0),COUNTIFS($L$5:$L558,'Invoice Builder'!$C$5,$P$5:$P558,'Invoice Builder'!$C$6,$N$5:$N558,"&gt;0"),""))</f>
        <v/>
      </c>
      <c r="R558" s="27" t="str">
        <f aca="false">IF($A558="","",IF($A558&gt;=DATE(YEAR($A558),4,6),YEAR($A558)&amp;"/"&amp;RIGHT(YEAR($A558)+1,2),YEAR($A558)-1&amp;"/"&amp;RIGHT(YEAR($A558),2)))</f>
        <v/>
      </c>
    </row>
    <row r="559" customFormat="false" ht="15" hidden="false" customHeight="false" outlineLevel="0" collapsed="false">
      <c r="A559" s="22"/>
      <c r="B559" s="23"/>
      <c r="C559" s="23"/>
      <c r="D559" s="23"/>
      <c r="E559" s="32"/>
      <c r="F559" s="25"/>
      <c r="G559" s="23"/>
      <c r="H559" s="23"/>
      <c r="I559" s="23"/>
      <c r="J559" s="23"/>
      <c r="K559" s="23"/>
      <c r="L559" s="27" t="str">
        <f aca="false">IF($B559="","",IFERROR(INDEX(Properties!$D$5:$D$104,MATCH($B559,Properties!$A$5:$A$104,0)),"-"))</f>
        <v/>
      </c>
      <c r="M559" s="28" t="str">
        <f aca="false">IF(OR($A559="",N($E559)=0),"",$F559/$E559)</f>
        <v/>
      </c>
      <c r="N559" s="28" t="str">
        <f aca="false">IF($A559="","",IF($H559="Y",$F559*(1+Settings!$B$3),0))</f>
        <v/>
      </c>
      <c r="O559" s="27" t="str">
        <f aca="false">IF($A559="","",IF(AND($H559="Y",$G559&lt;&gt;"Restock",N($M559)&gt;Settings!$B$4,$I559&lt;&gt;"Y"),"Get host OK",IF(AND($H559="Y",$F559&gt;Settings!$B$5,$I559&lt;&gt;"Y"),"Host should pay upfront",IF($J559&lt;&gt;"Y","Save receipt","OK"))))</f>
        <v/>
      </c>
      <c r="P559" s="29" t="str">
        <f aca="false">IF($A559="","",DATE(YEAR($A559),MONTH($A559),1))</f>
        <v/>
      </c>
      <c r="Q559" s="31" t="str">
        <f aca="false">IF($A559="","",IF(AND($L559='Invoice Builder'!$C$5,$P559='Invoice Builder'!$C$6,N($N559)&gt;0),COUNTIFS($L$5:$L559,'Invoice Builder'!$C$5,$P$5:$P559,'Invoice Builder'!$C$6,$N$5:$N559,"&gt;0"),""))</f>
        <v/>
      </c>
      <c r="R559" s="27" t="str">
        <f aca="false">IF($A559="","",IF($A559&gt;=DATE(YEAR($A559),4,6),YEAR($A559)&amp;"/"&amp;RIGHT(YEAR($A559)+1,2),YEAR($A559)-1&amp;"/"&amp;RIGHT(YEAR($A559),2)))</f>
        <v/>
      </c>
    </row>
    <row r="560" customFormat="false" ht="15" hidden="false" customHeight="false" outlineLevel="0" collapsed="false">
      <c r="A560" s="22"/>
      <c r="B560" s="23"/>
      <c r="C560" s="23"/>
      <c r="D560" s="23"/>
      <c r="E560" s="32"/>
      <c r="F560" s="25"/>
      <c r="G560" s="23"/>
      <c r="H560" s="23"/>
      <c r="I560" s="23"/>
      <c r="J560" s="23"/>
      <c r="K560" s="23"/>
      <c r="L560" s="27" t="str">
        <f aca="false">IF($B560="","",IFERROR(INDEX(Properties!$D$5:$D$104,MATCH($B560,Properties!$A$5:$A$104,0)),"-"))</f>
        <v/>
      </c>
      <c r="M560" s="28" t="str">
        <f aca="false">IF(OR($A560="",N($E560)=0),"",$F560/$E560)</f>
        <v/>
      </c>
      <c r="N560" s="28" t="str">
        <f aca="false">IF($A560="","",IF($H560="Y",$F560*(1+Settings!$B$3),0))</f>
        <v/>
      </c>
      <c r="O560" s="27" t="str">
        <f aca="false">IF($A560="","",IF(AND($H560="Y",$G560&lt;&gt;"Restock",N($M560)&gt;Settings!$B$4,$I560&lt;&gt;"Y"),"Get host OK",IF(AND($H560="Y",$F560&gt;Settings!$B$5,$I560&lt;&gt;"Y"),"Host should pay upfront",IF($J560&lt;&gt;"Y","Save receipt","OK"))))</f>
        <v/>
      </c>
      <c r="P560" s="29" t="str">
        <f aca="false">IF($A560="","",DATE(YEAR($A560),MONTH($A560),1))</f>
        <v/>
      </c>
      <c r="Q560" s="31" t="str">
        <f aca="false">IF($A560="","",IF(AND($L560='Invoice Builder'!$C$5,$P560='Invoice Builder'!$C$6,N($N560)&gt;0),COUNTIFS($L$5:$L560,'Invoice Builder'!$C$5,$P$5:$P560,'Invoice Builder'!$C$6,$N$5:$N560,"&gt;0"),""))</f>
        <v/>
      </c>
      <c r="R560" s="27" t="str">
        <f aca="false">IF($A560="","",IF($A560&gt;=DATE(YEAR($A560),4,6),YEAR($A560)&amp;"/"&amp;RIGHT(YEAR($A560)+1,2),YEAR($A560)-1&amp;"/"&amp;RIGHT(YEAR($A560),2)))</f>
        <v/>
      </c>
    </row>
    <row r="561" customFormat="false" ht="15" hidden="false" customHeight="false" outlineLevel="0" collapsed="false">
      <c r="A561" s="22"/>
      <c r="B561" s="23"/>
      <c r="C561" s="23"/>
      <c r="D561" s="23"/>
      <c r="E561" s="32"/>
      <c r="F561" s="25"/>
      <c r="G561" s="23"/>
      <c r="H561" s="23"/>
      <c r="I561" s="23"/>
      <c r="J561" s="23"/>
      <c r="K561" s="23"/>
      <c r="L561" s="27" t="str">
        <f aca="false">IF($B561="","",IFERROR(INDEX(Properties!$D$5:$D$104,MATCH($B561,Properties!$A$5:$A$104,0)),"-"))</f>
        <v/>
      </c>
      <c r="M561" s="28" t="str">
        <f aca="false">IF(OR($A561="",N($E561)=0),"",$F561/$E561)</f>
        <v/>
      </c>
      <c r="N561" s="28" t="str">
        <f aca="false">IF($A561="","",IF($H561="Y",$F561*(1+Settings!$B$3),0))</f>
        <v/>
      </c>
      <c r="O561" s="27" t="str">
        <f aca="false">IF($A561="","",IF(AND($H561="Y",$G561&lt;&gt;"Restock",N($M561)&gt;Settings!$B$4,$I561&lt;&gt;"Y"),"Get host OK",IF(AND($H561="Y",$F561&gt;Settings!$B$5,$I561&lt;&gt;"Y"),"Host should pay upfront",IF($J561&lt;&gt;"Y","Save receipt","OK"))))</f>
        <v/>
      </c>
      <c r="P561" s="29" t="str">
        <f aca="false">IF($A561="","",DATE(YEAR($A561),MONTH($A561),1))</f>
        <v/>
      </c>
      <c r="Q561" s="31" t="str">
        <f aca="false">IF($A561="","",IF(AND($L561='Invoice Builder'!$C$5,$P561='Invoice Builder'!$C$6,N($N561)&gt;0),COUNTIFS($L$5:$L561,'Invoice Builder'!$C$5,$P$5:$P561,'Invoice Builder'!$C$6,$N$5:$N561,"&gt;0"),""))</f>
        <v/>
      </c>
      <c r="R561" s="27" t="str">
        <f aca="false">IF($A561="","",IF($A561&gt;=DATE(YEAR($A561),4,6),YEAR($A561)&amp;"/"&amp;RIGHT(YEAR($A561)+1,2),YEAR($A561)-1&amp;"/"&amp;RIGHT(YEAR($A561),2)))</f>
        <v/>
      </c>
    </row>
    <row r="562" customFormat="false" ht="15" hidden="false" customHeight="false" outlineLevel="0" collapsed="false">
      <c r="A562" s="22"/>
      <c r="B562" s="23"/>
      <c r="C562" s="23"/>
      <c r="D562" s="23"/>
      <c r="E562" s="32"/>
      <c r="F562" s="25"/>
      <c r="G562" s="23"/>
      <c r="H562" s="23"/>
      <c r="I562" s="23"/>
      <c r="J562" s="23"/>
      <c r="K562" s="23"/>
      <c r="L562" s="27" t="str">
        <f aca="false">IF($B562="","",IFERROR(INDEX(Properties!$D$5:$D$104,MATCH($B562,Properties!$A$5:$A$104,0)),"-"))</f>
        <v/>
      </c>
      <c r="M562" s="28" t="str">
        <f aca="false">IF(OR($A562="",N($E562)=0),"",$F562/$E562)</f>
        <v/>
      </c>
      <c r="N562" s="28" t="str">
        <f aca="false">IF($A562="","",IF($H562="Y",$F562*(1+Settings!$B$3),0))</f>
        <v/>
      </c>
      <c r="O562" s="27" t="str">
        <f aca="false">IF($A562="","",IF(AND($H562="Y",$G562&lt;&gt;"Restock",N($M562)&gt;Settings!$B$4,$I562&lt;&gt;"Y"),"Get host OK",IF(AND($H562="Y",$F562&gt;Settings!$B$5,$I562&lt;&gt;"Y"),"Host should pay upfront",IF($J562&lt;&gt;"Y","Save receipt","OK"))))</f>
        <v/>
      </c>
      <c r="P562" s="29" t="str">
        <f aca="false">IF($A562="","",DATE(YEAR($A562),MONTH($A562),1))</f>
        <v/>
      </c>
      <c r="Q562" s="31" t="str">
        <f aca="false">IF($A562="","",IF(AND($L562='Invoice Builder'!$C$5,$P562='Invoice Builder'!$C$6,N($N562)&gt;0),COUNTIFS($L$5:$L562,'Invoice Builder'!$C$5,$P$5:$P562,'Invoice Builder'!$C$6,$N$5:$N562,"&gt;0"),""))</f>
        <v/>
      </c>
      <c r="R562" s="27" t="str">
        <f aca="false">IF($A562="","",IF($A562&gt;=DATE(YEAR($A562),4,6),YEAR($A562)&amp;"/"&amp;RIGHT(YEAR($A562)+1,2),YEAR($A562)-1&amp;"/"&amp;RIGHT(YEAR($A562),2)))</f>
        <v/>
      </c>
    </row>
    <row r="563" customFormat="false" ht="15" hidden="false" customHeight="false" outlineLevel="0" collapsed="false">
      <c r="A563" s="22"/>
      <c r="B563" s="23"/>
      <c r="C563" s="23"/>
      <c r="D563" s="23"/>
      <c r="E563" s="32"/>
      <c r="F563" s="25"/>
      <c r="G563" s="23"/>
      <c r="H563" s="23"/>
      <c r="I563" s="23"/>
      <c r="J563" s="23"/>
      <c r="K563" s="23"/>
      <c r="L563" s="27" t="str">
        <f aca="false">IF($B563="","",IFERROR(INDEX(Properties!$D$5:$D$104,MATCH($B563,Properties!$A$5:$A$104,0)),"-"))</f>
        <v/>
      </c>
      <c r="M563" s="28" t="str">
        <f aca="false">IF(OR($A563="",N($E563)=0),"",$F563/$E563)</f>
        <v/>
      </c>
      <c r="N563" s="28" t="str">
        <f aca="false">IF($A563="","",IF($H563="Y",$F563*(1+Settings!$B$3),0))</f>
        <v/>
      </c>
      <c r="O563" s="27" t="str">
        <f aca="false">IF($A563="","",IF(AND($H563="Y",$G563&lt;&gt;"Restock",N($M563)&gt;Settings!$B$4,$I563&lt;&gt;"Y"),"Get host OK",IF(AND($H563="Y",$F563&gt;Settings!$B$5,$I563&lt;&gt;"Y"),"Host should pay upfront",IF($J563&lt;&gt;"Y","Save receipt","OK"))))</f>
        <v/>
      </c>
      <c r="P563" s="29" t="str">
        <f aca="false">IF($A563="","",DATE(YEAR($A563),MONTH($A563),1))</f>
        <v/>
      </c>
      <c r="Q563" s="31" t="str">
        <f aca="false">IF($A563="","",IF(AND($L563='Invoice Builder'!$C$5,$P563='Invoice Builder'!$C$6,N($N563)&gt;0),COUNTIFS($L$5:$L563,'Invoice Builder'!$C$5,$P$5:$P563,'Invoice Builder'!$C$6,$N$5:$N563,"&gt;0"),""))</f>
        <v/>
      </c>
      <c r="R563" s="27" t="str">
        <f aca="false">IF($A563="","",IF($A563&gt;=DATE(YEAR($A563),4,6),YEAR($A563)&amp;"/"&amp;RIGHT(YEAR($A563)+1,2),YEAR($A563)-1&amp;"/"&amp;RIGHT(YEAR($A563),2)))</f>
        <v/>
      </c>
    </row>
    <row r="564" customFormat="false" ht="15" hidden="false" customHeight="false" outlineLevel="0" collapsed="false">
      <c r="A564" s="22"/>
      <c r="B564" s="23"/>
      <c r="C564" s="23"/>
      <c r="D564" s="23"/>
      <c r="E564" s="32"/>
      <c r="F564" s="25"/>
      <c r="G564" s="23"/>
      <c r="H564" s="23"/>
      <c r="I564" s="23"/>
      <c r="J564" s="23"/>
      <c r="K564" s="23"/>
      <c r="L564" s="27" t="str">
        <f aca="false">IF($B564="","",IFERROR(INDEX(Properties!$D$5:$D$104,MATCH($B564,Properties!$A$5:$A$104,0)),"-"))</f>
        <v/>
      </c>
      <c r="M564" s="28" t="str">
        <f aca="false">IF(OR($A564="",N($E564)=0),"",$F564/$E564)</f>
        <v/>
      </c>
      <c r="N564" s="28" t="str">
        <f aca="false">IF($A564="","",IF($H564="Y",$F564*(1+Settings!$B$3),0))</f>
        <v/>
      </c>
      <c r="O564" s="27" t="str">
        <f aca="false">IF($A564="","",IF(AND($H564="Y",$G564&lt;&gt;"Restock",N($M564)&gt;Settings!$B$4,$I564&lt;&gt;"Y"),"Get host OK",IF(AND($H564="Y",$F564&gt;Settings!$B$5,$I564&lt;&gt;"Y"),"Host should pay upfront",IF($J564&lt;&gt;"Y","Save receipt","OK"))))</f>
        <v/>
      </c>
      <c r="P564" s="29" t="str">
        <f aca="false">IF($A564="","",DATE(YEAR($A564),MONTH($A564),1))</f>
        <v/>
      </c>
      <c r="Q564" s="31" t="str">
        <f aca="false">IF($A564="","",IF(AND($L564='Invoice Builder'!$C$5,$P564='Invoice Builder'!$C$6,N($N564)&gt;0),COUNTIFS($L$5:$L564,'Invoice Builder'!$C$5,$P$5:$P564,'Invoice Builder'!$C$6,$N$5:$N564,"&gt;0"),""))</f>
        <v/>
      </c>
      <c r="R564" s="27" t="str">
        <f aca="false">IF($A564="","",IF($A564&gt;=DATE(YEAR($A564),4,6),YEAR($A564)&amp;"/"&amp;RIGHT(YEAR($A564)+1,2),YEAR($A564)-1&amp;"/"&amp;RIGHT(YEAR($A564),2)))</f>
        <v/>
      </c>
    </row>
    <row r="565" customFormat="false" ht="15" hidden="false" customHeight="false" outlineLevel="0" collapsed="false">
      <c r="A565" s="22"/>
      <c r="B565" s="23"/>
      <c r="C565" s="23"/>
      <c r="D565" s="23"/>
      <c r="E565" s="32"/>
      <c r="F565" s="25"/>
      <c r="G565" s="23"/>
      <c r="H565" s="23"/>
      <c r="I565" s="23"/>
      <c r="J565" s="23"/>
      <c r="K565" s="23"/>
      <c r="L565" s="27" t="str">
        <f aca="false">IF($B565="","",IFERROR(INDEX(Properties!$D$5:$D$104,MATCH($B565,Properties!$A$5:$A$104,0)),"-"))</f>
        <v/>
      </c>
      <c r="M565" s="28" t="str">
        <f aca="false">IF(OR($A565="",N($E565)=0),"",$F565/$E565)</f>
        <v/>
      </c>
      <c r="N565" s="28" t="str">
        <f aca="false">IF($A565="","",IF($H565="Y",$F565*(1+Settings!$B$3),0))</f>
        <v/>
      </c>
      <c r="O565" s="27" t="str">
        <f aca="false">IF($A565="","",IF(AND($H565="Y",$G565&lt;&gt;"Restock",N($M565)&gt;Settings!$B$4,$I565&lt;&gt;"Y"),"Get host OK",IF(AND($H565="Y",$F565&gt;Settings!$B$5,$I565&lt;&gt;"Y"),"Host should pay upfront",IF($J565&lt;&gt;"Y","Save receipt","OK"))))</f>
        <v/>
      </c>
      <c r="P565" s="29" t="str">
        <f aca="false">IF($A565="","",DATE(YEAR($A565),MONTH($A565),1))</f>
        <v/>
      </c>
      <c r="Q565" s="31" t="str">
        <f aca="false">IF($A565="","",IF(AND($L565='Invoice Builder'!$C$5,$P565='Invoice Builder'!$C$6,N($N565)&gt;0),COUNTIFS($L$5:$L565,'Invoice Builder'!$C$5,$P$5:$P565,'Invoice Builder'!$C$6,$N$5:$N565,"&gt;0"),""))</f>
        <v/>
      </c>
      <c r="R565" s="27" t="str">
        <f aca="false">IF($A565="","",IF($A565&gt;=DATE(YEAR($A565),4,6),YEAR($A565)&amp;"/"&amp;RIGHT(YEAR($A565)+1,2),YEAR($A565)-1&amp;"/"&amp;RIGHT(YEAR($A565),2)))</f>
        <v/>
      </c>
    </row>
    <row r="566" customFormat="false" ht="15" hidden="false" customHeight="false" outlineLevel="0" collapsed="false">
      <c r="A566" s="22"/>
      <c r="B566" s="23"/>
      <c r="C566" s="23"/>
      <c r="D566" s="23"/>
      <c r="E566" s="32"/>
      <c r="F566" s="25"/>
      <c r="G566" s="23"/>
      <c r="H566" s="23"/>
      <c r="I566" s="23"/>
      <c r="J566" s="23"/>
      <c r="K566" s="23"/>
      <c r="L566" s="27" t="str">
        <f aca="false">IF($B566="","",IFERROR(INDEX(Properties!$D$5:$D$104,MATCH($B566,Properties!$A$5:$A$104,0)),"-"))</f>
        <v/>
      </c>
      <c r="M566" s="28" t="str">
        <f aca="false">IF(OR($A566="",N($E566)=0),"",$F566/$E566)</f>
        <v/>
      </c>
      <c r="N566" s="28" t="str">
        <f aca="false">IF($A566="","",IF($H566="Y",$F566*(1+Settings!$B$3),0))</f>
        <v/>
      </c>
      <c r="O566" s="27" t="str">
        <f aca="false">IF($A566="","",IF(AND($H566="Y",$G566&lt;&gt;"Restock",N($M566)&gt;Settings!$B$4,$I566&lt;&gt;"Y"),"Get host OK",IF(AND($H566="Y",$F566&gt;Settings!$B$5,$I566&lt;&gt;"Y"),"Host should pay upfront",IF($J566&lt;&gt;"Y","Save receipt","OK"))))</f>
        <v/>
      </c>
      <c r="P566" s="29" t="str">
        <f aca="false">IF($A566="","",DATE(YEAR($A566),MONTH($A566),1))</f>
        <v/>
      </c>
      <c r="Q566" s="31" t="str">
        <f aca="false">IF($A566="","",IF(AND($L566='Invoice Builder'!$C$5,$P566='Invoice Builder'!$C$6,N($N566)&gt;0),COUNTIFS($L$5:$L566,'Invoice Builder'!$C$5,$P$5:$P566,'Invoice Builder'!$C$6,$N$5:$N566,"&gt;0"),""))</f>
        <v/>
      </c>
      <c r="R566" s="27" t="str">
        <f aca="false">IF($A566="","",IF($A566&gt;=DATE(YEAR($A566),4,6),YEAR($A566)&amp;"/"&amp;RIGHT(YEAR($A566)+1,2),YEAR($A566)-1&amp;"/"&amp;RIGHT(YEAR($A566),2)))</f>
        <v/>
      </c>
    </row>
    <row r="567" customFormat="false" ht="15" hidden="false" customHeight="false" outlineLevel="0" collapsed="false">
      <c r="A567" s="22"/>
      <c r="B567" s="23"/>
      <c r="C567" s="23"/>
      <c r="D567" s="23"/>
      <c r="E567" s="32"/>
      <c r="F567" s="25"/>
      <c r="G567" s="23"/>
      <c r="H567" s="23"/>
      <c r="I567" s="23"/>
      <c r="J567" s="23"/>
      <c r="K567" s="23"/>
      <c r="L567" s="27" t="str">
        <f aca="false">IF($B567="","",IFERROR(INDEX(Properties!$D$5:$D$104,MATCH($B567,Properties!$A$5:$A$104,0)),"-"))</f>
        <v/>
      </c>
      <c r="M567" s="28" t="str">
        <f aca="false">IF(OR($A567="",N($E567)=0),"",$F567/$E567)</f>
        <v/>
      </c>
      <c r="N567" s="28" t="str">
        <f aca="false">IF($A567="","",IF($H567="Y",$F567*(1+Settings!$B$3),0))</f>
        <v/>
      </c>
      <c r="O567" s="27" t="str">
        <f aca="false">IF($A567="","",IF(AND($H567="Y",$G567&lt;&gt;"Restock",N($M567)&gt;Settings!$B$4,$I567&lt;&gt;"Y"),"Get host OK",IF(AND($H567="Y",$F567&gt;Settings!$B$5,$I567&lt;&gt;"Y"),"Host should pay upfront",IF($J567&lt;&gt;"Y","Save receipt","OK"))))</f>
        <v/>
      </c>
      <c r="P567" s="29" t="str">
        <f aca="false">IF($A567="","",DATE(YEAR($A567),MONTH($A567),1))</f>
        <v/>
      </c>
      <c r="Q567" s="31" t="str">
        <f aca="false">IF($A567="","",IF(AND($L567='Invoice Builder'!$C$5,$P567='Invoice Builder'!$C$6,N($N567)&gt;0),COUNTIFS($L$5:$L567,'Invoice Builder'!$C$5,$P$5:$P567,'Invoice Builder'!$C$6,$N$5:$N567,"&gt;0"),""))</f>
        <v/>
      </c>
      <c r="R567" s="27" t="str">
        <f aca="false">IF($A567="","",IF($A567&gt;=DATE(YEAR($A567),4,6),YEAR($A567)&amp;"/"&amp;RIGHT(YEAR($A567)+1,2),YEAR($A567)-1&amp;"/"&amp;RIGHT(YEAR($A567),2)))</f>
        <v/>
      </c>
    </row>
    <row r="568" customFormat="false" ht="15" hidden="false" customHeight="false" outlineLevel="0" collapsed="false">
      <c r="A568" s="22"/>
      <c r="B568" s="23"/>
      <c r="C568" s="23"/>
      <c r="D568" s="23"/>
      <c r="E568" s="32"/>
      <c r="F568" s="25"/>
      <c r="G568" s="23"/>
      <c r="H568" s="23"/>
      <c r="I568" s="23"/>
      <c r="J568" s="23"/>
      <c r="K568" s="23"/>
      <c r="L568" s="27" t="str">
        <f aca="false">IF($B568="","",IFERROR(INDEX(Properties!$D$5:$D$104,MATCH($B568,Properties!$A$5:$A$104,0)),"-"))</f>
        <v/>
      </c>
      <c r="M568" s="28" t="str">
        <f aca="false">IF(OR($A568="",N($E568)=0),"",$F568/$E568)</f>
        <v/>
      </c>
      <c r="N568" s="28" t="str">
        <f aca="false">IF($A568="","",IF($H568="Y",$F568*(1+Settings!$B$3),0))</f>
        <v/>
      </c>
      <c r="O568" s="27" t="str">
        <f aca="false">IF($A568="","",IF(AND($H568="Y",$G568&lt;&gt;"Restock",N($M568)&gt;Settings!$B$4,$I568&lt;&gt;"Y"),"Get host OK",IF(AND($H568="Y",$F568&gt;Settings!$B$5,$I568&lt;&gt;"Y"),"Host should pay upfront",IF($J568&lt;&gt;"Y","Save receipt","OK"))))</f>
        <v/>
      </c>
      <c r="P568" s="29" t="str">
        <f aca="false">IF($A568="","",DATE(YEAR($A568),MONTH($A568),1))</f>
        <v/>
      </c>
      <c r="Q568" s="31" t="str">
        <f aca="false">IF($A568="","",IF(AND($L568='Invoice Builder'!$C$5,$P568='Invoice Builder'!$C$6,N($N568)&gt;0),COUNTIFS($L$5:$L568,'Invoice Builder'!$C$5,$P$5:$P568,'Invoice Builder'!$C$6,$N$5:$N568,"&gt;0"),""))</f>
        <v/>
      </c>
      <c r="R568" s="27" t="str">
        <f aca="false">IF($A568="","",IF($A568&gt;=DATE(YEAR($A568),4,6),YEAR($A568)&amp;"/"&amp;RIGHT(YEAR($A568)+1,2),YEAR($A568)-1&amp;"/"&amp;RIGHT(YEAR($A568),2)))</f>
        <v/>
      </c>
    </row>
    <row r="569" customFormat="false" ht="15" hidden="false" customHeight="false" outlineLevel="0" collapsed="false">
      <c r="A569" s="22"/>
      <c r="B569" s="23"/>
      <c r="C569" s="23"/>
      <c r="D569" s="23"/>
      <c r="E569" s="32"/>
      <c r="F569" s="25"/>
      <c r="G569" s="23"/>
      <c r="H569" s="23"/>
      <c r="I569" s="23"/>
      <c r="J569" s="23"/>
      <c r="K569" s="23"/>
      <c r="L569" s="27" t="str">
        <f aca="false">IF($B569="","",IFERROR(INDEX(Properties!$D$5:$D$104,MATCH($B569,Properties!$A$5:$A$104,0)),"-"))</f>
        <v/>
      </c>
      <c r="M569" s="28" t="str">
        <f aca="false">IF(OR($A569="",N($E569)=0),"",$F569/$E569)</f>
        <v/>
      </c>
      <c r="N569" s="28" t="str">
        <f aca="false">IF($A569="","",IF($H569="Y",$F569*(1+Settings!$B$3),0))</f>
        <v/>
      </c>
      <c r="O569" s="27" t="str">
        <f aca="false">IF($A569="","",IF(AND($H569="Y",$G569&lt;&gt;"Restock",N($M569)&gt;Settings!$B$4,$I569&lt;&gt;"Y"),"Get host OK",IF(AND($H569="Y",$F569&gt;Settings!$B$5,$I569&lt;&gt;"Y"),"Host should pay upfront",IF($J569&lt;&gt;"Y","Save receipt","OK"))))</f>
        <v/>
      </c>
      <c r="P569" s="29" t="str">
        <f aca="false">IF($A569="","",DATE(YEAR($A569),MONTH($A569),1))</f>
        <v/>
      </c>
      <c r="Q569" s="31" t="str">
        <f aca="false">IF($A569="","",IF(AND($L569='Invoice Builder'!$C$5,$P569='Invoice Builder'!$C$6,N($N569)&gt;0),COUNTIFS($L$5:$L569,'Invoice Builder'!$C$5,$P$5:$P569,'Invoice Builder'!$C$6,$N$5:$N569,"&gt;0"),""))</f>
        <v/>
      </c>
      <c r="R569" s="27" t="str">
        <f aca="false">IF($A569="","",IF($A569&gt;=DATE(YEAR($A569),4,6),YEAR($A569)&amp;"/"&amp;RIGHT(YEAR($A569)+1,2),YEAR($A569)-1&amp;"/"&amp;RIGHT(YEAR($A569),2)))</f>
        <v/>
      </c>
    </row>
    <row r="570" customFormat="false" ht="15" hidden="false" customHeight="false" outlineLevel="0" collapsed="false">
      <c r="A570" s="22"/>
      <c r="B570" s="23"/>
      <c r="C570" s="23"/>
      <c r="D570" s="23"/>
      <c r="E570" s="32"/>
      <c r="F570" s="25"/>
      <c r="G570" s="23"/>
      <c r="H570" s="23"/>
      <c r="I570" s="23"/>
      <c r="J570" s="23"/>
      <c r="K570" s="23"/>
      <c r="L570" s="27" t="str">
        <f aca="false">IF($B570="","",IFERROR(INDEX(Properties!$D$5:$D$104,MATCH($B570,Properties!$A$5:$A$104,0)),"-"))</f>
        <v/>
      </c>
      <c r="M570" s="28" t="str">
        <f aca="false">IF(OR($A570="",N($E570)=0),"",$F570/$E570)</f>
        <v/>
      </c>
      <c r="N570" s="28" t="str">
        <f aca="false">IF($A570="","",IF($H570="Y",$F570*(1+Settings!$B$3),0))</f>
        <v/>
      </c>
      <c r="O570" s="27" t="str">
        <f aca="false">IF($A570="","",IF(AND($H570="Y",$G570&lt;&gt;"Restock",N($M570)&gt;Settings!$B$4,$I570&lt;&gt;"Y"),"Get host OK",IF(AND($H570="Y",$F570&gt;Settings!$B$5,$I570&lt;&gt;"Y"),"Host should pay upfront",IF($J570&lt;&gt;"Y","Save receipt","OK"))))</f>
        <v/>
      </c>
      <c r="P570" s="29" t="str">
        <f aca="false">IF($A570="","",DATE(YEAR($A570),MONTH($A570),1))</f>
        <v/>
      </c>
      <c r="Q570" s="31" t="str">
        <f aca="false">IF($A570="","",IF(AND($L570='Invoice Builder'!$C$5,$P570='Invoice Builder'!$C$6,N($N570)&gt;0),COUNTIFS($L$5:$L570,'Invoice Builder'!$C$5,$P$5:$P570,'Invoice Builder'!$C$6,$N$5:$N570,"&gt;0"),""))</f>
        <v/>
      </c>
      <c r="R570" s="27" t="str">
        <f aca="false">IF($A570="","",IF($A570&gt;=DATE(YEAR($A570),4,6),YEAR($A570)&amp;"/"&amp;RIGHT(YEAR($A570)+1,2),YEAR($A570)-1&amp;"/"&amp;RIGHT(YEAR($A570),2)))</f>
        <v/>
      </c>
    </row>
    <row r="571" customFormat="false" ht="15" hidden="false" customHeight="false" outlineLevel="0" collapsed="false">
      <c r="A571" s="22"/>
      <c r="B571" s="23"/>
      <c r="C571" s="23"/>
      <c r="D571" s="23"/>
      <c r="E571" s="32"/>
      <c r="F571" s="25"/>
      <c r="G571" s="23"/>
      <c r="H571" s="23"/>
      <c r="I571" s="23"/>
      <c r="J571" s="23"/>
      <c r="K571" s="23"/>
      <c r="L571" s="27" t="str">
        <f aca="false">IF($B571="","",IFERROR(INDEX(Properties!$D$5:$D$104,MATCH($B571,Properties!$A$5:$A$104,0)),"-"))</f>
        <v/>
      </c>
      <c r="M571" s="28" t="str">
        <f aca="false">IF(OR($A571="",N($E571)=0),"",$F571/$E571)</f>
        <v/>
      </c>
      <c r="N571" s="28" t="str">
        <f aca="false">IF($A571="","",IF($H571="Y",$F571*(1+Settings!$B$3),0))</f>
        <v/>
      </c>
      <c r="O571" s="27" t="str">
        <f aca="false">IF($A571="","",IF(AND($H571="Y",$G571&lt;&gt;"Restock",N($M571)&gt;Settings!$B$4,$I571&lt;&gt;"Y"),"Get host OK",IF(AND($H571="Y",$F571&gt;Settings!$B$5,$I571&lt;&gt;"Y"),"Host should pay upfront",IF($J571&lt;&gt;"Y","Save receipt","OK"))))</f>
        <v/>
      </c>
      <c r="P571" s="29" t="str">
        <f aca="false">IF($A571="","",DATE(YEAR($A571),MONTH($A571),1))</f>
        <v/>
      </c>
      <c r="Q571" s="31" t="str">
        <f aca="false">IF($A571="","",IF(AND($L571='Invoice Builder'!$C$5,$P571='Invoice Builder'!$C$6,N($N571)&gt;0),COUNTIFS($L$5:$L571,'Invoice Builder'!$C$5,$P$5:$P571,'Invoice Builder'!$C$6,$N$5:$N571,"&gt;0"),""))</f>
        <v/>
      </c>
      <c r="R571" s="27" t="str">
        <f aca="false">IF($A571="","",IF($A571&gt;=DATE(YEAR($A571),4,6),YEAR($A571)&amp;"/"&amp;RIGHT(YEAR($A571)+1,2),YEAR($A571)-1&amp;"/"&amp;RIGHT(YEAR($A571),2)))</f>
        <v/>
      </c>
    </row>
    <row r="572" customFormat="false" ht="15" hidden="false" customHeight="false" outlineLevel="0" collapsed="false">
      <c r="A572" s="22"/>
      <c r="B572" s="23"/>
      <c r="C572" s="23"/>
      <c r="D572" s="23"/>
      <c r="E572" s="32"/>
      <c r="F572" s="25"/>
      <c r="G572" s="23"/>
      <c r="H572" s="23"/>
      <c r="I572" s="23"/>
      <c r="J572" s="23"/>
      <c r="K572" s="23"/>
      <c r="L572" s="27" t="str">
        <f aca="false">IF($B572="","",IFERROR(INDEX(Properties!$D$5:$D$104,MATCH($B572,Properties!$A$5:$A$104,0)),"-"))</f>
        <v/>
      </c>
      <c r="M572" s="28" t="str">
        <f aca="false">IF(OR($A572="",N($E572)=0),"",$F572/$E572)</f>
        <v/>
      </c>
      <c r="N572" s="28" t="str">
        <f aca="false">IF($A572="","",IF($H572="Y",$F572*(1+Settings!$B$3),0))</f>
        <v/>
      </c>
      <c r="O572" s="27" t="str">
        <f aca="false">IF($A572="","",IF(AND($H572="Y",$G572&lt;&gt;"Restock",N($M572)&gt;Settings!$B$4,$I572&lt;&gt;"Y"),"Get host OK",IF(AND($H572="Y",$F572&gt;Settings!$B$5,$I572&lt;&gt;"Y"),"Host should pay upfront",IF($J572&lt;&gt;"Y","Save receipt","OK"))))</f>
        <v/>
      </c>
      <c r="P572" s="29" t="str">
        <f aca="false">IF($A572="","",DATE(YEAR($A572),MONTH($A572),1))</f>
        <v/>
      </c>
      <c r="Q572" s="31" t="str">
        <f aca="false">IF($A572="","",IF(AND($L572='Invoice Builder'!$C$5,$P572='Invoice Builder'!$C$6,N($N572)&gt;0),COUNTIFS($L$5:$L572,'Invoice Builder'!$C$5,$P$5:$P572,'Invoice Builder'!$C$6,$N$5:$N572,"&gt;0"),""))</f>
        <v/>
      </c>
      <c r="R572" s="27" t="str">
        <f aca="false">IF($A572="","",IF($A572&gt;=DATE(YEAR($A572),4,6),YEAR($A572)&amp;"/"&amp;RIGHT(YEAR($A572)+1,2),YEAR($A572)-1&amp;"/"&amp;RIGHT(YEAR($A572),2)))</f>
        <v/>
      </c>
    </row>
    <row r="573" customFormat="false" ht="15" hidden="false" customHeight="false" outlineLevel="0" collapsed="false">
      <c r="A573" s="22"/>
      <c r="B573" s="23"/>
      <c r="C573" s="23"/>
      <c r="D573" s="23"/>
      <c r="E573" s="32"/>
      <c r="F573" s="25"/>
      <c r="G573" s="23"/>
      <c r="H573" s="23"/>
      <c r="I573" s="23"/>
      <c r="J573" s="23"/>
      <c r="K573" s="23"/>
      <c r="L573" s="27" t="str">
        <f aca="false">IF($B573="","",IFERROR(INDEX(Properties!$D$5:$D$104,MATCH($B573,Properties!$A$5:$A$104,0)),"-"))</f>
        <v/>
      </c>
      <c r="M573" s="28" t="str">
        <f aca="false">IF(OR($A573="",N($E573)=0),"",$F573/$E573)</f>
        <v/>
      </c>
      <c r="N573" s="28" t="str">
        <f aca="false">IF($A573="","",IF($H573="Y",$F573*(1+Settings!$B$3),0))</f>
        <v/>
      </c>
      <c r="O573" s="27" t="str">
        <f aca="false">IF($A573="","",IF(AND($H573="Y",$G573&lt;&gt;"Restock",N($M573)&gt;Settings!$B$4,$I573&lt;&gt;"Y"),"Get host OK",IF(AND($H573="Y",$F573&gt;Settings!$B$5,$I573&lt;&gt;"Y"),"Host should pay upfront",IF($J573&lt;&gt;"Y","Save receipt","OK"))))</f>
        <v/>
      </c>
      <c r="P573" s="29" t="str">
        <f aca="false">IF($A573="","",DATE(YEAR($A573),MONTH($A573),1))</f>
        <v/>
      </c>
      <c r="Q573" s="31" t="str">
        <f aca="false">IF($A573="","",IF(AND($L573='Invoice Builder'!$C$5,$P573='Invoice Builder'!$C$6,N($N573)&gt;0),COUNTIFS($L$5:$L573,'Invoice Builder'!$C$5,$P$5:$P573,'Invoice Builder'!$C$6,$N$5:$N573,"&gt;0"),""))</f>
        <v/>
      </c>
      <c r="R573" s="27" t="str">
        <f aca="false">IF($A573="","",IF($A573&gt;=DATE(YEAR($A573),4,6),YEAR($A573)&amp;"/"&amp;RIGHT(YEAR($A573)+1,2),YEAR($A573)-1&amp;"/"&amp;RIGHT(YEAR($A573),2)))</f>
        <v/>
      </c>
    </row>
    <row r="574" customFormat="false" ht="15" hidden="false" customHeight="false" outlineLevel="0" collapsed="false">
      <c r="A574" s="22"/>
      <c r="B574" s="23"/>
      <c r="C574" s="23"/>
      <c r="D574" s="23"/>
      <c r="E574" s="32"/>
      <c r="F574" s="25"/>
      <c r="G574" s="23"/>
      <c r="H574" s="23"/>
      <c r="I574" s="23"/>
      <c r="J574" s="23"/>
      <c r="K574" s="23"/>
      <c r="L574" s="27" t="str">
        <f aca="false">IF($B574="","",IFERROR(INDEX(Properties!$D$5:$D$104,MATCH($B574,Properties!$A$5:$A$104,0)),"-"))</f>
        <v/>
      </c>
      <c r="M574" s="28" t="str">
        <f aca="false">IF(OR($A574="",N($E574)=0),"",$F574/$E574)</f>
        <v/>
      </c>
      <c r="N574" s="28" t="str">
        <f aca="false">IF($A574="","",IF($H574="Y",$F574*(1+Settings!$B$3),0))</f>
        <v/>
      </c>
      <c r="O574" s="27" t="str">
        <f aca="false">IF($A574="","",IF(AND($H574="Y",$G574&lt;&gt;"Restock",N($M574)&gt;Settings!$B$4,$I574&lt;&gt;"Y"),"Get host OK",IF(AND($H574="Y",$F574&gt;Settings!$B$5,$I574&lt;&gt;"Y"),"Host should pay upfront",IF($J574&lt;&gt;"Y","Save receipt","OK"))))</f>
        <v/>
      </c>
      <c r="P574" s="29" t="str">
        <f aca="false">IF($A574="","",DATE(YEAR($A574),MONTH($A574),1))</f>
        <v/>
      </c>
      <c r="Q574" s="31" t="str">
        <f aca="false">IF($A574="","",IF(AND($L574='Invoice Builder'!$C$5,$P574='Invoice Builder'!$C$6,N($N574)&gt;0),COUNTIFS($L$5:$L574,'Invoice Builder'!$C$5,$P$5:$P574,'Invoice Builder'!$C$6,$N$5:$N574,"&gt;0"),""))</f>
        <v/>
      </c>
      <c r="R574" s="27" t="str">
        <f aca="false">IF($A574="","",IF($A574&gt;=DATE(YEAR($A574),4,6),YEAR($A574)&amp;"/"&amp;RIGHT(YEAR($A574)+1,2),YEAR($A574)-1&amp;"/"&amp;RIGHT(YEAR($A574),2)))</f>
        <v/>
      </c>
    </row>
    <row r="575" customFormat="false" ht="15" hidden="false" customHeight="false" outlineLevel="0" collapsed="false">
      <c r="A575" s="22"/>
      <c r="B575" s="23"/>
      <c r="C575" s="23"/>
      <c r="D575" s="23"/>
      <c r="E575" s="32"/>
      <c r="F575" s="25"/>
      <c r="G575" s="23"/>
      <c r="H575" s="23"/>
      <c r="I575" s="23"/>
      <c r="J575" s="23"/>
      <c r="K575" s="23"/>
      <c r="L575" s="27" t="str">
        <f aca="false">IF($B575="","",IFERROR(INDEX(Properties!$D$5:$D$104,MATCH($B575,Properties!$A$5:$A$104,0)),"-"))</f>
        <v/>
      </c>
      <c r="M575" s="28" t="str">
        <f aca="false">IF(OR($A575="",N($E575)=0),"",$F575/$E575)</f>
        <v/>
      </c>
      <c r="N575" s="28" t="str">
        <f aca="false">IF($A575="","",IF($H575="Y",$F575*(1+Settings!$B$3),0))</f>
        <v/>
      </c>
      <c r="O575" s="27" t="str">
        <f aca="false">IF($A575="","",IF(AND($H575="Y",$G575&lt;&gt;"Restock",N($M575)&gt;Settings!$B$4,$I575&lt;&gt;"Y"),"Get host OK",IF(AND($H575="Y",$F575&gt;Settings!$B$5,$I575&lt;&gt;"Y"),"Host should pay upfront",IF($J575&lt;&gt;"Y","Save receipt","OK"))))</f>
        <v/>
      </c>
      <c r="P575" s="29" t="str">
        <f aca="false">IF($A575="","",DATE(YEAR($A575),MONTH($A575),1))</f>
        <v/>
      </c>
      <c r="Q575" s="31" t="str">
        <f aca="false">IF($A575="","",IF(AND($L575='Invoice Builder'!$C$5,$P575='Invoice Builder'!$C$6,N($N575)&gt;0),COUNTIFS($L$5:$L575,'Invoice Builder'!$C$5,$P$5:$P575,'Invoice Builder'!$C$6,$N$5:$N575,"&gt;0"),""))</f>
        <v/>
      </c>
      <c r="R575" s="27" t="str">
        <f aca="false">IF($A575="","",IF($A575&gt;=DATE(YEAR($A575),4,6),YEAR($A575)&amp;"/"&amp;RIGHT(YEAR($A575)+1,2),YEAR($A575)-1&amp;"/"&amp;RIGHT(YEAR($A575),2)))</f>
        <v/>
      </c>
    </row>
    <row r="576" customFormat="false" ht="15" hidden="false" customHeight="false" outlineLevel="0" collapsed="false">
      <c r="A576" s="22"/>
      <c r="B576" s="23"/>
      <c r="C576" s="23"/>
      <c r="D576" s="23"/>
      <c r="E576" s="32"/>
      <c r="F576" s="25"/>
      <c r="G576" s="23"/>
      <c r="H576" s="23"/>
      <c r="I576" s="23"/>
      <c r="J576" s="23"/>
      <c r="K576" s="23"/>
      <c r="L576" s="27" t="str">
        <f aca="false">IF($B576="","",IFERROR(INDEX(Properties!$D$5:$D$104,MATCH($B576,Properties!$A$5:$A$104,0)),"-"))</f>
        <v/>
      </c>
      <c r="M576" s="28" t="str">
        <f aca="false">IF(OR($A576="",N($E576)=0),"",$F576/$E576)</f>
        <v/>
      </c>
      <c r="N576" s="28" t="str">
        <f aca="false">IF($A576="","",IF($H576="Y",$F576*(1+Settings!$B$3),0))</f>
        <v/>
      </c>
      <c r="O576" s="27" t="str">
        <f aca="false">IF($A576="","",IF(AND($H576="Y",$G576&lt;&gt;"Restock",N($M576)&gt;Settings!$B$4,$I576&lt;&gt;"Y"),"Get host OK",IF(AND($H576="Y",$F576&gt;Settings!$B$5,$I576&lt;&gt;"Y"),"Host should pay upfront",IF($J576&lt;&gt;"Y","Save receipt","OK"))))</f>
        <v/>
      </c>
      <c r="P576" s="29" t="str">
        <f aca="false">IF($A576="","",DATE(YEAR($A576),MONTH($A576),1))</f>
        <v/>
      </c>
      <c r="Q576" s="31" t="str">
        <f aca="false">IF($A576="","",IF(AND($L576='Invoice Builder'!$C$5,$P576='Invoice Builder'!$C$6,N($N576)&gt;0),COUNTIFS($L$5:$L576,'Invoice Builder'!$C$5,$P$5:$P576,'Invoice Builder'!$C$6,$N$5:$N576,"&gt;0"),""))</f>
        <v/>
      </c>
      <c r="R576" s="27" t="str">
        <f aca="false">IF($A576="","",IF($A576&gt;=DATE(YEAR($A576),4,6),YEAR($A576)&amp;"/"&amp;RIGHT(YEAR($A576)+1,2),YEAR($A576)-1&amp;"/"&amp;RIGHT(YEAR($A576),2)))</f>
        <v/>
      </c>
    </row>
    <row r="577" customFormat="false" ht="15" hidden="false" customHeight="false" outlineLevel="0" collapsed="false">
      <c r="A577" s="22"/>
      <c r="B577" s="23"/>
      <c r="C577" s="23"/>
      <c r="D577" s="23"/>
      <c r="E577" s="32"/>
      <c r="F577" s="25"/>
      <c r="G577" s="23"/>
      <c r="H577" s="23"/>
      <c r="I577" s="23"/>
      <c r="J577" s="23"/>
      <c r="K577" s="23"/>
      <c r="L577" s="27" t="str">
        <f aca="false">IF($B577="","",IFERROR(INDEX(Properties!$D$5:$D$104,MATCH($B577,Properties!$A$5:$A$104,0)),"-"))</f>
        <v/>
      </c>
      <c r="M577" s="28" t="str">
        <f aca="false">IF(OR($A577="",N($E577)=0),"",$F577/$E577)</f>
        <v/>
      </c>
      <c r="N577" s="28" t="str">
        <f aca="false">IF($A577="","",IF($H577="Y",$F577*(1+Settings!$B$3),0))</f>
        <v/>
      </c>
      <c r="O577" s="27" t="str">
        <f aca="false">IF($A577="","",IF(AND($H577="Y",$G577&lt;&gt;"Restock",N($M577)&gt;Settings!$B$4,$I577&lt;&gt;"Y"),"Get host OK",IF(AND($H577="Y",$F577&gt;Settings!$B$5,$I577&lt;&gt;"Y"),"Host should pay upfront",IF($J577&lt;&gt;"Y","Save receipt","OK"))))</f>
        <v/>
      </c>
      <c r="P577" s="29" t="str">
        <f aca="false">IF($A577="","",DATE(YEAR($A577),MONTH($A577),1))</f>
        <v/>
      </c>
      <c r="Q577" s="31" t="str">
        <f aca="false">IF($A577="","",IF(AND($L577='Invoice Builder'!$C$5,$P577='Invoice Builder'!$C$6,N($N577)&gt;0),COUNTIFS($L$5:$L577,'Invoice Builder'!$C$5,$P$5:$P577,'Invoice Builder'!$C$6,$N$5:$N577,"&gt;0"),""))</f>
        <v/>
      </c>
      <c r="R577" s="27" t="str">
        <f aca="false">IF($A577="","",IF($A577&gt;=DATE(YEAR($A577),4,6),YEAR($A577)&amp;"/"&amp;RIGHT(YEAR($A577)+1,2),YEAR($A577)-1&amp;"/"&amp;RIGHT(YEAR($A577),2)))</f>
        <v/>
      </c>
    </row>
    <row r="578" customFormat="false" ht="15" hidden="false" customHeight="false" outlineLevel="0" collapsed="false">
      <c r="A578" s="22"/>
      <c r="B578" s="23"/>
      <c r="C578" s="23"/>
      <c r="D578" s="23"/>
      <c r="E578" s="32"/>
      <c r="F578" s="25"/>
      <c r="G578" s="23"/>
      <c r="H578" s="23"/>
      <c r="I578" s="23"/>
      <c r="J578" s="23"/>
      <c r="K578" s="23"/>
      <c r="L578" s="27" t="str">
        <f aca="false">IF($B578="","",IFERROR(INDEX(Properties!$D$5:$D$104,MATCH($B578,Properties!$A$5:$A$104,0)),"-"))</f>
        <v/>
      </c>
      <c r="M578" s="28" t="str">
        <f aca="false">IF(OR($A578="",N($E578)=0),"",$F578/$E578)</f>
        <v/>
      </c>
      <c r="N578" s="28" t="str">
        <f aca="false">IF($A578="","",IF($H578="Y",$F578*(1+Settings!$B$3),0))</f>
        <v/>
      </c>
      <c r="O578" s="27" t="str">
        <f aca="false">IF($A578="","",IF(AND($H578="Y",$G578&lt;&gt;"Restock",N($M578)&gt;Settings!$B$4,$I578&lt;&gt;"Y"),"Get host OK",IF(AND($H578="Y",$F578&gt;Settings!$B$5,$I578&lt;&gt;"Y"),"Host should pay upfront",IF($J578&lt;&gt;"Y","Save receipt","OK"))))</f>
        <v/>
      </c>
      <c r="P578" s="29" t="str">
        <f aca="false">IF($A578="","",DATE(YEAR($A578),MONTH($A578),1))</f>
        <v/>
      </c>
      <c r="Q578" s="31" t="str">
        <f aca="false">IF($A578="","",IF(AND($L578='Invoice Builder'!$C$5,$P578='Invoice Builder'!$C$6,N($N578)&gt;0),COUNTIFS($L$5:$L578,'Invoice Builder'!$C$5,$P$5:$P578,'Invoice Builder'!$C$6,$N$5:$N578,"&gt;0"),""))</f>
        <v/>
      </c>
      <c r="R578" s="27" t="str">
        <f aca="false">IF($A578="","",IF($A578&gt;=DATE(YEAR($A578),4,6),YEAR($A578)&amp;"/"&amp;RIGHT(YEAR($A578)+1,2),YEAR($A578)-1&amp;"/"&amp;RIGHT(YEAR($A578),2)))</f>
        <v/>
      </c>
    </row>
    <row r="579" customFormat="false" ht="15" hidden="false" customHeight="false" outlineLevel="0" collapsed="false">
      <c r="A579" s="22"/>
      <c r="B579" s="23"/>
      <c r="C579" s="23"/>
      <c r="D579" s="23"/>
      <c r="E579" s="32"/>
      <c r="F579" s="25"/>
      <c r="G579" s="23"/>
      <c r="H579" s="23"/>
      <c r="I579" s="23"/>
      <c r="J579" s="23"/>
      <c r="K579" s="23"/>
      <c r="L579" s="27" t="str">
        <f aca="false">IF($B579="","",IFERROR(INDEX(Properties!$D$5:$D$104,MATCH($B579,Properties!$A$5:$A$104,0)),"-"))</f>
        <v/>
      </c>
      <c r="M579" s="28" t="str">
        <f aca="false">IF(OR($A579="",N($E579)=0),"",$F579/$E579)</f>
        <v/>
      </c>
      <c r="N579" s="28" t="str">
        <f aca="false">IF($A579="","",IF($H579="Y",$F579*(1+Settings!$B$3),0))</f>
        <v/>
      </c>
      <c r="O579" s="27" t="str">
        <f aca="false">IF($A579="","",IF(AND($H579="Y",$G579&lt;&gt;"Restock",N($M579)&gt;Settings!$B$4,$I579&lt;&gt;"Y"),"Get host OK",IF(AND($H579="Y",$F579&gt;Settings!$B$5,$I579&lt;&gt;"Y"),"Host should pay upfront",IF($J579&lt;&gt;"Y","Save receipt","OK"))))</f>
        <v/>
      </c>
      <c r="P579" s="29" t="str">
        <f aca="false">IF($A579="","",DATE(YEAR($A579),MONTH($A579),1))</f>
        <v/>
      </c>
      <c r="Q579" s="31" t="str">
        <f aca="false">IF($A579="","",IF(AND($L579='Invoice Builder'!$C$5,$P579='Invoice Builder'!$C$6,N($N579)&gt;0),COUNTIFS($L$5:$L579,'Invoice Builder'!$C$5,$P$5:$P579,'Invoice Builder'!$C$6,$N$5:$N579,"&gt;0"),""))</f>
        <v/>
      </c>
      <c r="R579" s="27" t="str">
        <f aca="false">IF($A579="","",IF($A579&gt;=DATE(YEAR($A579),4,6),YEAR($A579)&amp;"/"&amp;RIGHT(YEAR($A579)+1,2),YEAR($A579)-1&amp;"/"&amp;RIGHT(YEAR($A579),2)))</f>
        <v/>
      </c>
    </row>
    <row r="580" customFormat="false" ht="15" hidden="false" customHeight="false" outlineLevel="0" collapsed="false">
      <c r="A580" s="22"/>
      <c r="B580" s="23"/>
      <c r="C580" s="23"/>
      <c r="D580" s="23"/>
      <c r="E580" s="32"/>
      <c r="F580" s="25"/>
      <c r="G580" s="23"/>
      <c r="H580" s="23"/>
      <c r="I580" s="23"/>
      <c r="J580" s="23"/>
      <c r="K580" s="23"/>
      <c r="L580" s="27" t="str">
        <f aca="false">IF($B580="","",IFERROR(INDEX(Properties!$D$5:$D$104,MATCH($B580,Properties!$A$5:$A$104,0)),"-"))</f>
        <v/>
      </c>
      <c r="M580" s="28" t="str">
        <f aca="false">IF(OR($A580="",N($E580)=0),"",$F580/$E580)</f>
        <v/>
      </c>
      <c r="N580" s="28" t="str">
        <f aca="false">IF($A580="","",IF($H580="Y",$F580*(1+Settings!$B$3),0))</f>
        <v/>
      </c>
      <c r="O580" s="27" t="str">
        <f aca="false">IF($A580="","",IF(AND($H580="Y",$G580&lt;&gt;"Restock",N($M580)&gt;Settings!$B$4,$I580&lt;&gt;"Y"),"Get host OK",IF(AND($H580="Y",$F580&gt;Settings!$B$5,$I580&lt;&gt;"Y"),"Host should pay upfront",IF($J580&lt;&gt;"Y","Save receipt","OK"))))</f>
        <v/>
      </c>
      <c r="P580" s="29" t="str">
        <f aca="false">IF($A580="","",DATE(YEAR($A580),MONTH($A580),1))</f>
        <v/>
      </c>
      <c r="Q580" s="31" t="str">
        <f aca="false">IF($A580="","",IF(AND($L580='Invoice Builder'!$C$5,$P580='Invoice Builder'!$C$6,N($N580)&gt;0),COUNTIFS($L$5:$L580,'Invoice Builder'!$C$5,$P$5:$P580,'Invoice Builder'!$C$6,$N$5:$N580,"&gt;0"),""))</f>
        <v/>
      </c>
      <c r="R580" s="27" t="str">
        <f aca="false">IF($A580="","",IF($A580&gt;=DATE(YEAR($A580),4,6),YEAR($A580)&amp;"/"&amp;RIGHT(YEAR($A580)+1,2),YEAR($A580)-1&amp;"/"&amp;RIGHT(YEAR($A580),2)))</f>
        <v/>
      </c>
    </row>
    <row r="581" customFormat="false" ht="15" hidden="false" customHeight="false" outlineLevel="0" collapsed="false">
      <c r="A581" s="22"/>
      <c r="B581" s="23"/>
      <c r="C581" s="23"/>
      <c r="D581" s="23"/>
      <c r="E581" s="32"/>
      <c r="F581" s="25"/>
      <c r="G581" s="23"/>
      <c r="H581" s="23"/>
      <c r="I581" s="23"/>
      <c r="J581" s="23"/>
      <c r="K581" s="23"/>
      <c r="L581" s="27" t="str">
        <f aca="false">IF($B581="","",IFERROR(INDEX(Properties!$D$5:$D$104,MATCH($B581,Properties!$A$5:$A$104,0)),"-"))</f>
        <v/>
      </c>
      <c r="M581" s="28" t="str">
        <f aca="false">IF(OR($A581="",N($E581)=0),"",$F581/$E581)</f>
        <v/>
      </c>
      <c r="N581" s="28" t="str">
        <f aca="false">IF($A581="","",IF($H581="Y",$F581*(1+Settings!$B$3),0))</f>
        <v/>
      </c>
      <c r="O581" s="27" t="str">
        <f aca="false">IF($A581="","",IF(AND($H581="Y",$G581&lt;&gt;"Restock",N($M581)&gt;Settings!$B$4,$I581&lt;&gt;"Y"),"Get host OK",IF(AND($H581="Y",$F581&gt;Settings!$B$5,$I581&lt;&gt;"Y"),"Host should pay upfront",IF($J581&lt;&gt;"Y","Save receipt","OK"))))</f>
        <v/>
      </c>
      <c r="P581" s="29" t="str">
        <f aca="false">IF($A581="","",DATE(YEAR($A581),MONTH($A581),1))</f>
        <v/>
      </c>
      <c r="Q581" s="31" t="str">
        <f aca="false">IF($A581="","",IF(AND($L581='Invoice Builder'!$C$5,$P581='Invoice Builder'!$C$6,N($N581)&gt;0),COUNTIFS($L$5:$L581,'Invoice Builder'!$C$5,$P$5:$P581,'Invoice Builder'!$C$6,$N$5:$N581,"&gt;0"),""))</f>
        <v/>
      </c>
      <c r="R581" s="27" t="str">
        <f aca="false">IF($A581="","",IF($A581&gt;=DATE(YEAR($A581),4,6),YEAR($A581)&amp;"/"&amp;RIGHT(YEAR($A581)+1,2),YEAR($A581)-1&amp;"/"&amp;RIGHT(YEAR($A581),2)))</f>
        <v/>
      </c>
    </row>
    <row r="582" customFormat="false" ht="15" hidden="false" customHeight="false" outlineLevel="0" collapsed="false">
      <c r="A582" s="22"/>
      <c r="B582" s="23"/>
      <c r="C582" s="23"/>
      <c r="D582" s="23"/>
      <c r="E582" s="32"/>
      <c r="F582" s="25"/>
      <c r="G582" s="23"/>
      <c r="H582" s="23"/>
      <c r="I582" s="23"/>
      <c r="J582" s="23"/>
      <c r="K582" s="23"/>
      <c r="L582" s="27" t="str">
        <f aca="false">IF($B582="","",IFERROR(INDEX(Properties!$D$5:$D$104,MATCH($B582,Properties!$A$5:$A$104,0)),"-"))</f>
        <v/>
      </c>
      <c r="M582" s="28" t="str">
        <f aca="false">IF(OR($A582="",N($E582)=0),"",$F582/$E582)</f>
        <v/>
      </c>
      <c r="N582" s="28" t="str">
        <f aca="false">IF($A582="","",IF($H582="Y",$F582*(1+Settings!$B$3),0))</f>
        <v/>
      </c>
      <c r="O582" s="27" t="str">
        <f aca="false">IF($A582="","",IF(AND($H582="Y",$G582&lt;&gt;"Restock",N($M582)&gt;Settings!$B$4,$I582&lt;&gt;"Y"),"Get host OK",IF(AND($H582="Y",$F582&gt;Settings!$B$5,$I582&lt;&gt;"Y"),"Host should pay upfront",IF($J582&lt;&gt;"Y","Save receipt","OK"))))</f>
        <v/>
      </c>
      <c r="P582" s="29" t="str">
        <f aca="false">IF($A582="","",DATE(YEAR($A582),MONTH($A582),1))</f>
        <v/>
      </c>
      <c r="Q582" s="31" t="str">
        <f aca="false">IF($A582="","",IF(AND($L582='Invoice Builder'!$C$5,$P582='Invoice Builder'!$C$6,N($N582)&gt;0),COUNTIFS($L$5:$L582,'Invoice Builder'!$C$5,$P$5:$P582,'Invoice Builder'!$C$6,$N$5:$N582,"&gt;0"),""))</f>
        <v/>
      </c>
      <c r="R582" s="27" t="str">
        <f aca="false">IF($A582="","",IF($A582&gt;=DATE(YEAR($A582),4,6),YEAR($A582)&amp;"/"&amp;RIGHT(YEAR($A582)+1,2),YEAR($A582)-1&amp;"/"&amp;RIGHT(YEAR($A582),2)))</f>
        <v/>
      </c>
    </row>
    <row r="583" customFormat="false" ht="15" hidden="false" customHeight="false" outlineLevel="0" collapsed="false">
      <c r="A583" s="22"/>
      <c r="B583" s="23"/>
      <c r="C583" s="23"/>
      <c r="D583" s="23"/>
      <c r="E583" s="32"/>
      <c r="F583" s="25"/>
      <c r="G583" s="23"/>
      <c r="H583" s="23"/>
      <c r="I583" s="23"/>
      <c r="J583" s="23"/>
      <c r="K583" s="23"/>
      <c r="L583" s="27" t="str">
        <f aca="false">IF($B583="","",IFERROR(INDEX(Properties!$D$5:$D$104,MATCH($B583,Properties!$A$5:$A$104,0)),"-"))</f>
        <v/>
      </c>
      <c r="M583" s="28" t="str">
        <f aca="false">IF(OR($A583="",N($E583)=0),"",$F583/$E583)</f>
        <v/>
      </c>
      <c r="N583" s="28" t="str">
        <f aca="false">IF($A583="","",IF($H583="Y",$F583*(1+Settings!$B$3),0))</f>
        <v/>
      </c>
      <c r="O583" s="27" t="str">
        <f aca="false">IF($A583="","",IF(AND($H583="Y",$G583&lt;&gt;"Restock",N($M583)&gt;Settings!$B$4,$I583&lt;&gt;"Y"),"Get host OK",IF(AND($H583="Y",$F583&gt;Settings!$B$5,$I583&lt;&gt;"Y"),"Host should pay upfront",IF($J583&lt;&gt;"Y","Save receipt","OK"))))</f>
        <v/>
      </c>
      <c r="P583" s="29" t="str">
        <f aca="false">IF($A583="","",DATE(YEAR($A583),MONTH($A583),1))</f>
        <v/>
      </c>
      <c r="Q583" s="31" t="str">
        <f aca="false">IF($A583="","",IF(AND($L583='Invoice Builder'!$C$5,$P583='Invoice Builder'!$C$6,N($N583)&gt;0),COUNTIFS($L$5:$L583,'Invoice Builder'!$C$5,$P$5:$P583,'Invoice Builder'!$C$6,$N$5:$N583,"&gt;0"),""))</f>
        <v/>
      </c>
      <c r="R583" s="27" t="str">
        <f aca="false">IF($A583="","",IF($A583&gt;=DATE(YEAR($A583),4,6),YEAR($A583)&amp;"/"&amp;RIGHT(YEAR($A583)+1,2),YEAR($A583)-1&amp;"/"&amp;RIGHT(YEAR($A583),2)))</f>
        <v/>
      </c>
    </row>
    <row r="584" customFormat="false" ht="15" hidden="false" customHeight="false" outlineLevel="0" collapsed="false">
      <c r="A584" s="22"/>
      <c r="B584" s="23"/>
      <c r="C584" s="23"/>
      <c r="D584" s="23"/>
      <c r="E584" s="32"/>
      <c r="F584" s="25"/>
      <c r="G584" s="23"/>
      <c r="H584" s="23"/>
      <c r="I584" s="23"/>
      <c r="J584" s="23"/>
      <c r="K584" s="23"/>
      <c r="L584" s="27" t="str">
        <f aca="false">IF($B584="","",IFERROR(INDEX(Properties!$D$5:$D$104,MATCH($B584,Properties!$A$5:$A$104,0)),"-"))</f>
        <v/>
      </c>
      <c r="M584" s="28" t="str">
        <f aca="false">IF(OR($A584="",N($E584)=0),"",$F584/$E584)</f>
        <v/>
      </c>
      <c r="N584" s="28" t="str">
        <f aca="false">IF($A584="","",IF($H584="Y",$F584*(1+Settings!$B$3),0))</f>
        <v/>
      </c>
      <c r="O584" s="27" t="str">
        <f aca="false">IF($A584="","",IF(AND($H584="Y",$G584&lt;&gt;"Restock",N($M584)&gt;Settings!$B$4,$I584&lt;&gt;"Y"),"Get host OK",IF(AND($H584="Y",$F584&gt;Settings!$B$5,$I584&lt;&gt;"Y"),"Host should pay upfront",IF($J584&lt;&gt;"Y","Save receipt","OK"))))</f>
        <v/>
      </c>
      <c r="P584" s="29" t="str">
        <f aca="false">IF($A584="","",DATE(YEAR($A584),MONTH($A584),1))</f>
        <v/>
      </c>
      <c r="Q584" s="31" t="str">
        <f aca="false">IF($A584="","",IF(AND($L584='Invoice Builder'!$C$5,$P584='Invoice Builder'!$C$6,N($N584)&gt;0),COUNTIFS($L$5:$L584,'Invoice Builder'!$C$5,$P$5:$P584,'Invoice Builder'!$C$6,$N$5:$N584,"&gt;0"),""))</f>
        <v/>
      </c>
      <c r="R584" s="27" t="str">
        <f aca="false">IF($A584="","",IF($A584&gt;=DATE(YEAR($A584),4,6),YEAR($A584)&amp;"/"&amp;RIGHT(YEAR($A584)+1,2),YEAR($A584)-1&amp;"/"&amp;RIGHT(YEAR($A584),2)))</f>
        <v/>
      </c>
    </row>
    <row r="585" customFormat="false" ht="15" hidden="false" customHeight="false" outlineLevel="0" collapsed="false">
      <c r="A585" s="22"/>
      <c r="B585" s="23"/>
      <c r="C585" s="23"/>
      <c r="D585" s="23"/>
      <c r="E585" s="32"/>
      <c r="F585" s="25"/>
      <c r="G585" s="23"/>
      <c r="H585" s="23"/>
      <c r="I585" s="23"/>
      <c r="J585" s="23"/>
      <c r="K585" s="23"/>
      <c r="L585" s="27" t="str">
        <f aca="false">IF($B585="","",IFERROR(INDEX(Properties!$D$5:$D$104,MATCH($B585,Properties!$A$5:$A$104,0)),"-"))</f>
        <v/>
      </c>
      <c r="M585" s="28" t="str">
        <f aca="false">IF(OR($A585="",N($E585)=0),"",$F585/$E585)</f>
        <v/>
      </c>
      <c r="N585" s="28" t="str">
        <f aca="false">IF($A585="","",IF($H585="Y",$F585*(1+Settings!$B$3),0))</f>
        <v/>
      </c>
      <c r="O585" s="27" t="str">
        <f aca="false">IF($A585="","",IF(AND($H585="Y",$G585&lt;&gt;"Restock",N($M585)&gt;Settings!$B$4,$I585&lt;&gt;"Y"),"Get host OK",IF(AND($H585="Y",$F585&gt;Settings!$B$5,$I585&lt;&gt;"Y"),"Host should pay upfront",IF($J585&lt;&gt;"Y","Save receipt","OK"))))</f>
        <v/>
      </c>
      <c r="P585" s="29" t="str">
        <f aca="false">IF($A585="","",DATE(YEAR($A585),MONTH($A585),1))</f>
        <v/>
      </c>
      <c r="Q585" s="31" t="str">
        <f aca="false">IF($A585="","",IF(AND($L585='Invoice Builder'!$C$5,$P585='Invoice Builder'!$C$6,N($N585)&gt;0),COUNTIFS($L$5:$L585,'Invoice Builder'!$C$5,$P$5:$P585,'Invoice Builder'!$C$6,$N$5:$N585,"&gt;0"),""))</f>
        <v/>
      </c>
      <c r="R585" s="27" t="str">
        <f aca="false">IF($A585="","",IF($A585&gt;=DATE(YEAR($A585),4,6),YEAR($A585)&amp;"/"&amp;RIGHT(YEAR($A585)+1,2),YEAR($A585)-1&amp;"/"&amp;RIGHT(YEAR($A585),2)))</f>
        <v/>
      </c>
    </row>
    <row r="586" customFormat="false" ht="15" hidden="false" customHeight="false" outlineLevel="0" collapsed="false">
      <c r="A586" s="22"/>
      <c r="B586" s="23"/>
      <c r="C586" s="23"/>
      <c r="D586" s="23"/>
      <c r="E586" s="32"/>
      <c r="F586" s="25"/>
      <c r="G586" s="23"/>
      <c r="H586" s="23"/>
      <c r="I586" s="23"/>
      <c r="J586" s="23"/>
      <c r="K586" s="23"/>
      <c r="L586" s="27" t="str">
        <f aca="false">IF($B586="","",IFERROR(INDEX(Properties!$D$5:$D$104,MATCH($B586,Properties!$A$5:$A$104,0)),"-"))</f>
        <v/>
      </c>
      <c r="M586" s="28" t="str">
        <f aca="false">IF(OR($A586="",N($E586)=0),"",$F586/$E586)</f>
        <v/>
      </c>
      <c r="N586" s="28" t="str">
        <f aca="false">IF($A586="","",IF($H586="Y",$F586*(1+Settings!$B$3),0))</f>
        <v/>
      </c>
      <c r="O586" s="27" t="str">
        <f aca="false">IF($A586="","",IF(AND($H586="Y",$G586&lt;&gt;"Restock",N($M586)&gt;Settings!$B$4,$I586&lt;&gt;"Y"),"Get host OK",IF(AND($H586="Y",$F586&gt;Settings!$B$5,$I586&lt;&gt;"Y"),"Host should pay upfront",IF($J586&lt;&gt;"Y","Save receipt","OK"))))</f>
        <v/>
      </c>
      <c r="P586" s="29" t="str">
        <f aca="false">IF($A586="","",DATE(YEAR($A586),MONTH($A586),1))</f>
        <v/>
      </c>
      <c r="Q586" s="31" t="str">
        <f aca="false">IF($A586="","",IF(AND($L586='Invoice Builder'!$C$5,$P586='Invoice Builder'!$C$6,N($N586)&gt;0),COUNTIFS($L$5:$L586,'Invoice Builder'!$C$5,$P$5:$P586,'Invoice Builder'!$C$6,$N$5:$N586,"&gt;0"),""))</f>
        <v/>
      </c>
      <c r="R586" s="27" t="str">
        <f aca="false">IF($A586="","",IF($A586&gt;=DATE(YEAR($A586),4,6),YEAR($A586)&amp;"/"&amp;RIGHT(YEAR($A586)+1,2),YEAR($A586)-1&amp;"/"&amp;RIGHT(YEAR($A586),2)))</f>
        <v/>
      </c>
    </row>
    <row r="587" customFormat="false" ht="15" hidden="false" customHeight="false" outlineLevel="0" collapsed="false">
      <c r="A587" s="22"/>
      <c r="B587" s="23"/>
      <c r="C587" s="23"/>
      <c r="D587" s="23"/>
      <c r="E587" s="32"/>
      <c r="F587" s="25"/>
      <c r="G587" s="23"/>
      <c r="H587" s="23"/>
      <c r="I587" s="23"/>
      <c r="J587" s="23"/>
      <c r="K587" s="23"/>
      <c r="L587" s="27" t="str">
        <f aca="false">IF($B587="","",IFERROR(INDEX(Properties!$D$5:$D$104,MATCH($B587,Properties!$A$5:$A$104,0)),"-"))</f>
        <v/>
      </c>
      <c r="M587" s="28" t="str">
        <f aca="false">IF(OR($A587="",N($E587)=0),"",$F587/$E587)</f>
        <v/>
      </c>
      <c r="N587" s="28" t="str">
        <f aca="false">IF($A587="","",IF($H587="Y",$F587*(1+Settings!$B$3),0))</f>
        <v/>
      </c>
      <c r="O587" s="27" t="str">
        <f aca="false">IF($A587="","",IF(AND($H587="Y",$G587&lt;&gt;"Restock",N($M587)&gt;Settings!$B$4,$I587&lt;&gt;"Y"),"Get host OK",IF(AND($H587="Y",$F587&gt;Settings!$B$5,$I587&lt;&gt;"Y"),"Host should pay upfront",IF($J587&lt;&gt;"Y","Save receipt","OK"))))</f>
        <v/>
      </c>
      <c r="P587" s="29" t="str">
        <f aca="false">IF($A587="","",DATE(YEAR($A587),MONTH($A587),1))</f>
        <v/>
      </c>
      <c r="Q587" s="31" t="str">
        <f aca="false">IF($A587="","",IF(AND($L587='Invoice Builder'!$C$5,$P587='Invoice Builder'!$C$6,N($N587)&gt;0),COUNTIFS($L$5:$L587,'Invoice Builder'!$C$5,$P$5:$P587,'Invoice Builder'!$C$6,$N$5:$N587,"&gt;0"),""))</f>
        <v/>
      </c>
      <c r="R587" s="27" t="str">
        <f aca="false">IF($A587="","",IF($A587&gt;=DATE(YEAR($A587),4,6),YEAR($A587)&amp;"/"&amp;RIGHT(YEAR($A587)+1,2),YEAR($A587)-1&amp;"/"&amp;RIGHT(YEAR($A587),2)))</f>
        <v/>
      </c>
    </row>
    <row r="588" customFormat="false" ht="15" hidden="false" customHeight="false" outlineLevel="0" collapsed="false">
      <c r="A588" s="22"/>
      <c r="B588" s="23"/>
      <c r="C588" s="23"/>
      <c r="D588" s="23"/>
      <c r="E588" s="32"/>
      <c r="F588" s="25"/>
      <c r="G588" s="23"/>
      <c r="H588" s="23"/>
      <c r="I588" s="23"/>
      <c r="J588" s="23"/>
      <c r="K588" s="23"/>
      <c r="L588" s="27" t="str">
        <f aca="false">IF($B588="","",IFERROR(INDEX(Properties!$D$5:$D$104,MATCH($B588,Properties!$A$5:$A$104,0)),"-"))</f>
        <v/>
      </c>
      <c r="M588" s="28" t="str">
        <f aca="false">IF(OR($A588="",N($E588)=0),"",$F588/$E588)</f>
        <v/>
      </c>
      <c r="N588" s="28" t="str">
        <f aca="false">IF($A588="","",IF($H588="Y",$F588*(1+Settings!$B$3),0))</f>
        <v/>
      </c>
      <c r="O588" s="27" t="str">
        <f aca="false">IF($A588="","",IF(AND($H588="Y",$G588&lt;&gt;"Restock",N($M588)&gt;Settings!$B$4,$I588&lt;&gt;"Y"),"Get host OK",IF(AND($H588="Y",$F588&gt;Settings!$B$5,$I588&lt;&gt;"Y"),"Host should pay upfront",IF($J588&lt;&gt;"Y","Save receipt","OK"))))</f>
        <v/>
      </c>
      <c r="P588" s="29" t="str">
        <f aca="false">IF($A588="","",DATE(YEAR($A588),MONTH($A588),1))</f>
        <v/>
      </c>
      <c r="Q588" s="31" t="str">
        <f aca="false">IF($A588="","",IF(AND($L588='Invoice Builder'!$C$5,$P588='Invoice Builder'!$C$6,N($N588)&gt;0),COUNTIFS($L$5:$L588,'Invoice Builder'!$C$5,$P$5:$P588,'Invoice Builder'!$C$6,$N$5:$N588,"&gt;0"),""))</f>
        <v/>
      </c>
      <c r="R588" s="27" t="str">
        <f aca="false">IF($A588="","",IF($A588&gt;=DATE(YEAR($A588),4,6),YEAR($A588)&amp;"/"&amp;RIGHT(YEAR($A588)+1,2),YEAR($A588)-1&amp;"/"&amp;RIGHT(YEAR($A588),2)))</f>
        <v/>
      </c>
    </row>
    <row r="589" customFormat="false" ht="15" hidden="false" customHeight="false" outlineLevel="0" collapsed="false">
      <c r="A589" s="22"/>
      <c r="B589" s="23"/>
      <c r="C589" s="23"/>
      <c r="D589" s="23"/>
      <c r="E589" s="32"/>
      <c r="F589" s="25"/>
      <c r="G589" s="23"/>
      <c r="H589" s="23"/>
      <c r="I589" s="23"/>
      <c r="J589" s="23"/>
      <c r="K589" s="23"/>
      <c r="L589" s="27" t="str">
        <f aca="false">IF($B589="","",IFERROR(INDEX(Properties!$D$5:$D$104,MATCH($B589,Properties!$A$5:$A$104,0)),"-"))</f>
        <v/>
      </c>
      <c r="M589" s="28" t="str">
        <f aca="false">IF(OR($A589="",N($E589)=0),"",$F589/$E589)</f>
        <v/>
      </c>
      <c r="N589" s="28" t="str">
        <f aca="false">IF($A589="","",IF($H589="Y",$F589*(1+Settings!$B$3),0))</f>
        <v/>
      </c>
      <c r="O589" s="27" t="str">
        <f aca="false">IF($A589="","",IF(AND($H589="Y",$G589&lt;&gt;"Restock",N($M589)&gt;Settings!$B$4,$I589&lt;&gt;"Y"),"Get host OK",IF(AND($H589="Y",$F589&gt;Settings!$B$5,$I589&lt;&gt;"Y"),"Host should pay upfront",IF($J589&lt;&gt;"Y","Save receipt","OK"))))</f>
        <v/>
      </c>
      <c r="P589" s="29" t="str">
        <f aca="false">IF($A589="","",DATE(YEAR($A589),MONTH($A589),1))</f>
        <v/>
      </c>
      <c r="Q589" s="31" t="str">
        <f aca="false">IF($A589="","",IF(AND($L589='Invoice Builder'!$C$5,$P589='Invoice Builder'!$C$6,N($N589)&gt;0),COUNTIFS($L$5:$L589,'Invoice Builder'!$C$5,$P$5:$P589,'Invoice Builder'!$C$6,$N$5:$N589,"&gt;0"),""))</f>
        <v/>
      </c>
      <c r="R589" s="27" t="str">
        <f aca="false">IF($A589="","",IF($A589&gt;=DATE(YEAR($A589),4,6),YEAR($A589)&amp;"/"&amp;RIGHT(YEAR($A589)+1,2),YEAR($A589)-1&amp;"/"&amp;RIGHT(YEAR($A589),2)))</f>
        <v/>
      </c>
    </row>
    <row r="590" customFormat="false" ht="15" hidden="false" customHeight="false" outlineLevel="0" collapsed="false">
      <c r="A590" s="22"/>
      <c r="B590" s="23"/>
      <c r="C590" s="23"/>
      <c r="D590" s="23"/>
      <c r="E590" s="32"/>
      <c r="F590" s="25"/>
      <c r="G590" s="23"/>
      <c r="H590" s="23"/>
      <c r="I590" s="23"/>
      <c r="J590" s="23"/>
      <c r="K590" s="23"/>
      <c r="L590" s="27" t="str">
        <f aca="false">IF($B590="","",IFERROR(INDEX(Properties!$D$5:$D$104,MATCH($B590,Properties!$A$5:$A$104,0)),"-"))</f>
        <v/>
      </c>
      <c r="M590" s="28" t="str">
        <f aca="false">IF(OR($A590="",N($E590)=0),"",$F590/$E590)</f>
        <v/>
      </c>
      <c r="N590" s="28" t="str">
        <f aca="false">IF($A590="","",IF($H590="Y",$F590*(1+Settings!$B$3),0))</f>
        <v/>
      </c>
      <c r="O590" s="27" t="str">
        <f aca="false">IF($A590="","",IF(AND($H590="Y",$G590&lt;&gt;"Restock",N($M590)&gt;Settings!$B$4,$I590&lt;&gt;"Y"),"Get host OK",IF(AND($H590="Y",$F590&gt;Settings!$B$5,$I590&lt;&gt;"Y"),"Host should pay upfront",IF($J590&lt;&gt;"Y","Save receipt","OK"))))</f>
        <v/>
      </c>
      <c r="P590" s="29" t="str">
        <f aca="false">IF($A590="","",DATE(YEAR($A590),MONTH($A590),1))</f>
        <v/>
      </c>
      <c r="Q590" s="31" t="str">
        <f aca="false">IF($A590="","",IF(AND($L590='Invoice Builder'!$C$5,$P590='Invoice Builder'!$C$6,N($N590)&gt;0),COUNTIFS($L$5:$L590,'Invoice Builder'!$C$5,$P$5:$P590,'Invoice Builder'!$C$6,$N$5:$N590,"&gt;0"),""))</f>
        <v/>
      </c>
      <c r="R590" s="27" t="str">
        <f aca="false">IF($A590="","",IF($A590&gt;=DATE(YEAR($A590),4,6),YEAR($A590)&amp;"/"&amp;RIGHT(YEAR($A590)+1,2),YEAR($A590)-1&amp;"/"&amp;RIGHT(YEAR($A590),2)))</f>
        <v/>
      </c>
    </row>
    <row r="591" customFormat="false" ht="15" hidden="false" customHeight="false" outlineLevel="0" collapsed="false">
      <c r="A591" s="22"/>
      <c r="B591" s="23"/>
      <c r="C591" s="23"/>
      <c r="D591" s="23"/>
      <c r="E591" s="32"/>
      <c r="F591" s="25"/>
      <c r="G591" s="23"/>
      <c r="H591" s="23"/>
      <c r="I591" s="23"/>
      <c r="J591" s="23"/>
      <c r="K591" s="23"/>
      <c r="L591" s="27" t="str">
        <f aca="false">IF($B591="","",IFERROR(INDEX(Properties!$D$5:$D$104,MATCH($B591,Properties!$A$5:$A$104,0)),"-"))</f>
        <v/>
      </c>
      <c r="M591" s="28" t="str">
        <f aca="false">IF(OR($A591="",N($E591)=0),"",$F591/$E591)</f>
        <v/>
      </c>
      <c r="N591" s="28" t="str">
        <f aca="false">IF($A591="","",IF($H591="Y",$F591*(1+Settings!$B$3),0))</f>
        <v/>
      </c>
      <c r="O591" s="27" t="str">
        <f aca="false">IF($A591="","",IF(AND($H591="Y",$G591&lt;&gt;"Restock",N($M591)&gt;Settings!$B$4,$I591&lt;&gt;"Y"),"Get host OK",IF(AND($H591="Y",$F591&gt;Settings!$B$5,$I591&lt;&gt;"Y"),"Host should pay upfront",IF($J591&lt;&gt;"Y","Save receipt","OK"))))</f>
        <v/>
      </c>
      <c r="P591" s="29" t="str">
        <f aca="false">IF($A591="","",DATE(YEAR($A591),MONTH($A591),1))</f>
        <v/>
      </c>
      <c r="Q591" s="31" t="str">
        <f aca="false">IF($A591="","",IF(AND($L591='Invoice Builder'!$C$5,$P591='Invoice Builder'!$C$6,N($N591)&gt;0),COUNTIFS($L$5:$L591,'Invoice Builder'!$C$5,$P$5:$P591,'Invoice Builder'!$C$6,$N$5:$N591,"&gt;0"),""))</f>
        <v/>
      </c>
      <c r="R591" s="27" t="str">
        <f aca="false">IF($A591="","",IF($A591&gt;=DATE(YEAR($A591),4,6),YEAR($A591)&amp;"/"&amp;RIGHT(YEAR($A591)+1,2),YEAR($A591)-1&amp;"/"&amp;RIGHT(YEAR($A591),2)))</f>
        <v/>
      </c>
    </row>
    <row r="592" customFormat="false" ht="15" hidden="false" customHeight="false" outlineLevel="0" collapsed="false">
      <c r="A592" s="22"/>
      <c r="B592" s="23"/>
      <c r="C592" s="23"/>
      <c r="D592" s="23"/>
      <c r="E592" s="32"/>
      <c r="F592" s="25"/>
      <c r="G592" s="23"/>
      <c r="H592" s="23"/>
      <c r="I592" s="23"/>
      <c r="J592" s="23"/>
      <c r="K592" s="23"/>
      <c r="L592" s="27" t="str">
        <f aca="false">IF($B592="","",IFERROR(INDEX(Properties!$D$5:$D$104,MATCH($B592,Properties!$A$5:$A$104,0)),"-"))</f>
        <v/>
      </c>
      <c r="M592" s="28" t="str">
        <f aca="false">IF(OR($A592="",N($E592)=0),"",$F592/$E592)</f>
        <v/>
      </c>
      <c r="N592" s="28" t="str">
        <f aca="false">IF($A592="","",IF($H592="Y",$F592*(1+Settings!$B$3),0))</f>
        <v/>
      </c>
      <c r="O592" s="27" t="str">
        <f aca="false">IF($A592="","",IF(AND($H592="Y",$G592&lt;&gt;"Restock",N($M592)&gt;Settings!$B$4,$I592&lt;&gt;"Y"),"Get host OK",IF(AND($H592="Y",$F592&gt;Settings!$B$5,$I592&lt;&gt;"Y"),"Host should pay upfront",IF($J592&lt;&gt;"Y","Save receipt","OK"))))</f>
        <v/>
      </c>
      <c r="P592" s="29" t="str">
        <f aca="false">IF($A592="","",DATE(YEAR($A592),MONTH($A592),1))</f>
        <v/>
      </c>
      <c r="Q592" s="31" t="str">
        <f aca="false">IF($A592="","",IF(AND($L592='Invoice Builder'!$C$5,$P592='Invoice Builder'!$C$6,N($N592)&gt;0),COUNTIFS($L$5:$L592,'Invoice Builder'!$C$5,$P$5:$P592,'Invoice Builder'!$C$6,$N$5:$N592,"&gt;0"),""))</f>
        <v/>
      </c>
      <c r="R592" s="27" t="str">
        <f aca="false">IF($A592="","",IF($A592&gt;=DATE(YEAR($A592),4,6),YEAR($A592)&amp;"/"&amp;RIGHT(YEAR($A592)+1,2),YEAR($A592)-1&amp;"/"&amp;RIGHT(YEAR($A592),2)))</f>
        <v/>
      </c>
    </row>
    <row r="593" customFormat="false" ht="15" hidden="false" customHeight="false" outlineLevel="0" collapsed="false">
      <c r="A593" s="22"/>
      <c r="B593" s="23"/>
      <c r="C593" s="23"/>
      <c r="D593" s="23"/>
      <c r="E593" s="32"/>
      <c r="F593" s="25"/>
      <c r="G593" s="23"/>
      <c r="H593" s="23"/>
      <c r="I593" s="23"/>
      <c r="J593" s="23"/>
      <c r="K593" s="23"/>
      <c r="L593" s="27" t="str">
        <f aca="false">IF($B593="","",IFERROR(INDEX(Properties!$D$5:$D$104,MATCH($B593,Properties!$A$5:$A$104,0)),"-"))</f>
        <v/>
      </c>
      <c r="M593" s="28" t="str">
        <f aca="false">IF(OR($A593="",N($E593)=0),"",$F593/$E593)</f>
        <v/>
      </c>
      <c r="N593" s="28" t="str">
        <f aca="false">IF($A593="","",IF($H593="Y",$F593*(1+Settings!$B$3),0))</f>
        <v/>
      </c>
      <c r="O593" s="27" t="str">
        <f aca="false">IF($A593="","",IF(AND($H593="Y",$G593&lt;&gt;"Restock",N($M593)&gt;Settings!$B$4,$I593&lt;&gt;"Y"),"Get host OK",IF(AND($H593="Y",$F593&gt;Settings!$B$5,$I593&lt;&gt;"Y"),"Host should pay upfront",IF($J593&lt;&gt;"Y","Save receipt","OK"))))</f>
        <v/>
      </c>
      <c r="P593" s="29" t="str">
        <f aca="false">IF($A593="","",DATE(YEAR($A593),MONTH($A593),1))</f>
        <v/>
      </c>
      <c r="Q593" s="31" t="str">
        <f aca="false">IF($A593="","",IF(AND($L593='Invoice Builder'!$C$5,$P593='Invoice Builder'!$C$6,N($N593)&gt;0),COUNTIFS($L$5:$L593,'Invoice Builder'!$C$5,$P$5:$P593,'Invoice Builder'!$C$6,$N$5:$N593,"&gt;0"),""))</f>
        <v/>
      </c>
      <c r="R593" s="27" t="str">
        <f aca="false">IF($A593="","",IF($A593&gt;=DATE(YEAR($A593),4,6),YEAR($A593)&amp;"/"&amp;RIGHT(YEAR($A593)+1,2),YEAR($A593)-1&amp;"/"&amp;RIGHT(YEAR($A593),2)))</f>
        <v/>
      </c>
    </row>
    <row r="594" customFormat="false" ht="15" hidden="false" customHeight="false" outlineLevel="0" collapsed="false">
      <c r="A594" s="22"/>
      <c r="B594" s="23"/>
      <c r="C594" s="23"/>
      <c r="D594" s="23"/>
      <c r="E594" s="32"/>
      <c r="F594" s="25"/>
      <c r="G594" s="23"/>
      <c r="H594" s="23"/>
      <c r="I594" s="23"/>
      <c r="J594" s="23"/>
      <c r="K594" s="23"/>
      <c r="L594" s="27" t="str">
        <f aca="false">IF($B594="","",IFERROR(INDEX(Properties!$D$5:$D$104,MATCH($B594,Properties!$A$5:$A$104,0)),"-"))</f>
        <v/>
      </c>
      <c r="M594" s="28" t="str">
        <f aca="false">IF(OR($A594="",N($E594)=0),"",$F594/$E594)</f>
        <v/>
      </c>
      <c r="N594" s="28" t="str">
        <f aca="false">IF($A594="","",IF($H594="Y",$F594*(1+Settings!$B$3),0))</f>
        <v/>
      </c>
      <c r="O594" s="27" t="str">
        <f aca="false">IF($A594="","",IF(AND($H594="Y",$G594&lt;&gt;"Restock",N($M594)&gt;Settings!$B$4,$I594&lt;&gt;"Y"),"Get host OK",IF(AND($H594="Y",$F594&gt;Settings!$B$5,$I594&lt;&gt;"Y"),"Host should pay upfront",IF($J594&lt;&gt;"Y","Save receipt","OK"))))</f>
        <v/>
      </c>
      <c r="P594" s="29" t="str">
        <f aca="false">IF($A594="","",DATE(YEAR($A594),MONTH($A594),1))</f>
        <v/>
      </c>
      <c r="Q594" s="31" t="str">
        <f aca="false">IF($A594="","",IF(AND($L594='Invoice Builder'!$C$5,$P594='Invoice Builder'!$C$6,N($N594)&gt;0),COUNTIFS($L$5:$L594,'Invoice Builder'!$C$5,$P$5:$P594,'Invoice Builder'!$C$6,$N$5:$N594,"&gt;0"),""))</f>
        <v/>
      </c>
      <c r="R594" s="27" t="str">
        <f aca="false">IF($A594="","",IF($A594&gt;=DATE(YEAR($A594),4,6),YEAR($A594)&amp;"/"&amp;RIGHT(YEAR($A594)+1,2),YEAR($A594)-1&amp;"/"&amp;RIGHT(YEAR($A594),2)))</f>
        <v/>
      </c>
    </row>
    <row r="595" customFormat="false" ht="15" hidden="false" customHeight="false" outlineLevel="0" collapsed="false">
      <c r="A595" s="22"/>
      <c r="B595" s="23"/>
      <c r="C595" s="23"/>
      <c r="D595" s="23"/>
      <c r="E595" s="32"/>
      <c r="F595" s="25"/>
      <c r="G595" s="23"/>
      <c r="H595" s="23"/>
      <c r="I595" s="23"/>
      <c r="J595" s="23"/>
      <c r="K595" s="23"/>
      <c r="L595" s="27" t="str">
        <f aca="false">IF($B595="","",IFERROR(INDEX(Properties!$D$5:$D$104,MATCH($B595,Properties!$A$5:$A$104,0)),"-"))</f>
        <v/>
      </c>
      <c r="M595" s="28" t="str">
        <f aca="false">IF(OR($A595="",N($E595)=0),"",$F595/$E595)</f>
        <v/>
      </c>
      <c r="N595" s="28" t="str">
        <f aca="false">IF($A595="","",IF($H595="Y",$F595*(1+Settings!$B$3),0))</f>
        <v/>
      </c>
      <c r="O595" s="27" t="str">
        <f aca="false">IF($A595="","",IF(AND($H595="Y",$G595&lt;&gt;"Restock",N($M595)&gt;Settings!$B$4,$I595&lt;&gt;"Y"),"Get host OK",IF(AND($H595="Y",$F595&gt;Settings!$B$5,$I595&lt;&gt;"Y"),"Host should pay upfront",IF($J595&lt;&gt;"Y","Save receipt","OK"))))</f>
        <v/>
      </c>
      <c r="P595" s="29" t="str">
        <f aca="false">IF($A595="","",DATE(YEAR($A595),MONTH($A595),1))</f>
        <v/>
      </c>
      <c r="Q595" s="31" t="str">
        <f aca="false">IF($A595="","",IF(AND($L595='Invoice Builder'!$C$5,$P595='Invoice Builder'!$C$6,N($N595)&gt;0),COUNTIFS($L$5:$L595,'Invoice Builder'!$C$5,$P$5:$P595,'Invoice Builder'!$C$6,$N$5:$N595,"&gt;0"),""))</f>
        <v/>
      </c>
      <c r="R595" s="27" t="str">
        <f aca="false">IF($A595="","",IF($A595&gt;=DATE(YEAR($A595),4,6),YEAR($A595)&amp;"/"&amp;RIGHT(YEAR($A595)+1,2),YEAR($A595)-1&amp;"/"&amp;RIGHT(YEAR($A595),2)))</f>
        <v/>
      </c>
    </row>
    <row r="596" customFormat="false" ht="15" hidden="false" customHeight="false" outlineLevel="0" collapsed="false">
      <c r="A596" s="22"/>
      <c r="B596" s="23"/>
      <c r="C596" s="23"/>
      <c r="D596" s="23"/>
      <c r="E596" s="32"/>
      <c r="F596" s="25"/>
      <c r="G596" s="23"/>
      <c r="H596" s="23"/>
      <c r="I596" s="23"/>
      <c r="J596" s="23"/>
      <c r="K596" s="23"/>
      <c r="L596" s="27" t="str">
        <f aca="false">IF($B596="","",IFERROR(INDEX(Properties!$D$5:$D$104,MATCH($B596,Properties!$A$5:$A$104,0)),"-"))</f>
        <v/>
      </c>
      <c r="M596" s="28" t="str">
        <f aca="false">IF(OR($A596="",N($E596)=0),"",$F596/$E596)</f>
        <v/>
      </c>
      <c r="N596" s="28" t="str">
        <f aca="false">IF($A596="","",IF($H596="Y",$F596*(1+Settings!$B$3),0))</f>
        <v/>
      </c>
      <c r="O596" s="27" t="str">
        <f aca="false">IF($A596="","",IF(AND($H596="Y",$G596&lt;&gt;"Restock",N($M596)&gt;Settings!$B$4,$I596&lt;&gt;"Y"),"Get host OK",IF(AND($H596="Y",$F596&gt;Settings!$B$5,$I596&lt;&gt;"Y"),"Host should pay upfront",IF($J596&lt;&gt;"Y","Save receipt","OK"))))</f>
        <v/>
      </c>
      <c r="P596" s="29" t="str">
        <f aca="false">IF($A596="","",DATE(YEAR($A596),MONTH($A596),1))</f>
        <v/>
      </c>
      <c r="Q596" s="31" t="str">
        <f aca="false">IF($A596="","",IF(AND($L596='Invoice Builder'!$C$5,$P596='Invoice Builder'!$C$6,N($N596)&gt;0),COUNTIFS($L$5:$L596,'Invoice Builder'!$C$5,$P$5:$P596,'Invoice Builder'!$C$6,$N$5:$N596,"&gt;0"),""))</f>
        <v/>
      </c>
      <c r="R596" s="27" t="str">
        <f aca="false">IF($A596="","",IF($A596&gt;=DATE(YEAR($A596),4,6),YEAR($A596)&amp;"/"&amp;RIGHT(YEAR($A596)+1,2),YEAR($A596)-1&amp;"/"&amp;RIGHT(YEAR($A596),2)))</f>
        <v/>
      </c>
    </row>
    <row r="597" customFormat="false" ht="15" hidden="false" customHeight="false" outlineLevel="0" collapsed="false">
      <c r="A597" s="22"/>
      <c r="B597" s="23"/>
      <c r="C597" s="23"/>
      <c r="D597" s="23"/>
      <c r="E597" s="32"/>
      <c r="F597" s="25"/>
      <c r="G597" s="23"/>
      <c r="H597" s="23"/>
      <c r="I597" s="23"/>
      <c r="J597" s="23"/>
      <c r="K597" s="23"/>
      <c r="L597" s="27" t="str">
        <f aca="false">IF($B597="","",IFERROR(INDEX(Properties!$D$5:$D$104,MATCH($B597,Properties!$A$5:$A$104,0)),"-"))</f>
        <v/>
      </c>
      <c r="M597" s="28" t="str">
        <f aca="false">IF(OR($A597="",N($E597)=0),"",$F597/$E597)</f>
        <v/>
      </c>
      <c r="N597" s="28" t="str">
        <f aca="false">IF($A597="","",IF($H597="Y",$F597*(1+Settings!$B$3),0))</f>
        <v/>
      </c>
      <c r="O597" s="27" t="str">
        <f aca="false">IF($A597="","",IF(AND($H597="Y",$G597&lt;&gt;"Restock",N($M597)&gt;Settings!$B$4,$I597&lt;&gt;"Y"),"Get host OK",IF(AND($H597="Y",$F597&gt;Settings!$B$5,$I597&lt;&gt;"Y"),"Host should pay upfront",IF($J597&lt;&gt;"Y","Save receipt","OK"))))</f>
        <v/>
      </c>
      <c r="P597" s="29" t="str">
        <f aca="false">IF($A597="","",DATE(YEAR($A597),MONTH($A597),1))</f>
        <v/>
      </c>
      <c r="Q597" s="31" t="str">
        <f aca="false">IF($A597="","",IF(AND($L597='Invoice Builder'!$C$5,$P597='Invoice Builder'!$C$6,N($N597)&gt;0),COUNTIFS($L$5:$L597,'Invoice Builder'!$C$5,$P$5:$P597,'Invoice Builder'!$C$6,$N$5:$N597,"&gt;0"),""))</f>
        <v/>
      </c>
      <c r="R597" s="27" t="str">
        <f aca="false">IF($A597="","",IF($A597&gt;=DATE(YEAR($A597),4,6),YEAR($A597)&amp;"/"&amp;RIGHT(YEAR($A597)+1,2),YEAR($A597)-1&amp;"/"&amp;RIGHT(YEAR($A597),2)))</f>
        <v/>
      </c>
    </row>
    <row r="598" customFormat="false" ht="15" hidden="false" customHeight="false" outlineLevel="0" collapsed="false">
      <c r="A598" s="22"/>
      <c r="B598" s="23"/>
      <c r="C598" s="23"/>
      <c r="D598" s="23"/>
      <c r="E598" s="32"/>
      <c r="F598" s="25"/>
      <c r="G598" s="23"/>
      <c r="H598" s="23"/>
      <c r="I598" s="23"/>
      <c r="J598" s="23"/>
      <c r="K598" s="23"/>
      <c r="L598" s="27" t="str">
        <f aca="false">IF($B598="","",IFERROR(INDEX(Properties!$D$5:$D$104,MATCH($B598,Properties!$A$5:$A$104,0)),"-"))</f>
        <v/>
      </c>
      <c r="M598" s="28" t="str">
        <f aca="false">IF(OR($A598="",N($E598)=0),"",$F598/$E598)</f>
        <v/>
      </c>
      <c r="N598" s="28" t="str">
        <f aca="false">IF($A598="","",IF($H598="Y",$F598*(1+Settings!$B$3),0))</f>
        <v/>
      </c>
      <c r="O598" s="27" t="str">
        <f aca="false">IF($A598="","",IF(AND($H598="Y",$G598&lt;&gt;"Restock",N($M598)&gt;Settings!$B$4,$I598&lt;&gt;"Y"),"Get host OK",IF(AND($H598="Y",$F598&gt;Settings!$B$5,$I598&lt;&gt;"Y"),"Host should pay upfront",IF($J598&lt;&gt;"Y","Save receipt","OK"))))</f>
        <v/>
      </c>
      <c r="P598" s="29" t="str">
        <f aca="false">IF($A598="","",DATE(YEAR($A598),MONTH($A598),1))</f>
        <v/>
      </c>
      <c r="Q598" s="31" t="str">
        <f aca="false">IF($A598="","",IF(AND($L598='Invoice Builder'!$C$5,$P598='Invoice Builder'!$C$6,N($N598)&gt;0),COUNTIFS($L$5:$L598,'Invoice Builder'!$C$5,$P$5:$P598,'Invoice Builder'!$C$6,$N$5:$N598,"&gt;0"),""))</f>
        <v/>
      </c>
      <c r="R598" s="27" t="str">
        <f aca="false">IF($A598="","",IF($A598&gt;=DATE(YEAR($A598),4,6),YEAR($A598)&amp;"/"&amp;RIGHT(YEAR($A598)+1,2),YEAR($A598)-1&amp;"/"&amp;RIGHT(YEAR($A598),2)))</f>
        <v/>
      </c>
    </row>
    <row r="599" customFormat="false" ht="15" hidden="false" customHeight="false" outlineLevel="0" collapsed="false">
      <c r="A599" s="22"/>
      <c r="B599" s="23"/>
      <c r="C599" s="23"/>
      <c r="D599" s="23"/>
      <c r="E599" s="32"/>
      <c r="F599" s="25"/>
      <c r="G599" s="23"/>
      <c r="H599" s="23"/>
      <c r="I599" s="23"/>
      <c r="J599" s="23"/>
      <c r="K599" s="23"/>
      <c r="L599" s="27" t="str">
        <f aca="false">IF($B599="","",IFERROR(INDEX(Properties!$D$5:$D$104,MATCH($B599,Properties!$A$5:$A$104,0)),"-"))</f>
        <v/>
      </c>
      <c r="M599" s="28" t="str">
        <f aca="false">IF(OR($A599="",N($E599)=0),"",$F599/$E599)</f>
        <v/>
      </c>
      <c r="N599" s="28" t="str">
        <f aca="false">IF($A599="","",IF($H599="Y",$F599*(1+Settings!$B$3),0))</f>
        <v/>
      </c>
      <c r="O599" s="27" t="str">
        <f aca="false">IF($A599="","",IF(AND($H599="Y",$G599&lt;&gt;"Restock",N($M599)&gt;Settings!$B$4,$I599&lt;&gt;"Y"),"Get host OK",IF(AND($H599="Y",$F599&gt;Settings!$B$5,$I599&lt;&gt;"Y"),"Host should pay upfront",IF($J599&lt;&gt;"Y","Save receipt","OK"))))</f>
        <v/>
      </c>
      <c r="P599" s="29" t="str">
        <f aca="false">IF($A599="","",DATE(YEAR($A599),MONTH($A599),1))</f>
        <v/>
      </c>
      <c r="Q599" s="31" t="str">
        <f aca="false">IF($A599="","",IF(AND($L599='Invoice Builder'!$C$5,$P599='Invoice Builder'!$C$6,N($N599)&gt;0),COUNTIFS($L$5:$L599,'Invoice Builder'!$C$5,$P$5:$P599,'Invoice Builder'!$C$6,$N$5:$N599,"&gt;0"),""))</f>
        <v/>
      </c>
      <c r="R599" s="27" t="str">
        <f aca="false">IF($A599="","",IF($A599&gt;=DATE(YEAR($A599),4,6),YEAR($A599)&amp;"/"&amp;RIGHT(YEAR($A599)+1,2),YEAR($A599)-1&amp;"/"&amp;RIGHT(YEAR($A599),2)))</f>
        <v/>
      </c>
    </row>
    <row r="600" customFormat="false" ht="15" hidden="false" customHeight="false" outlineLevel="0" collapsed="false">
      <c r="A600" s="22"/>
      <c r="B600" s="23"/>
      <c r="C600" s="23"/>
      <c r="D600" s="23"/>
      <c r="E600" s="32"/>
      <c r="F600" s="25"/>
      <c r="G600" s="23"/>
      <c r="H600" s="23"/>
      <c r="I600" s="23"/>
      <c r="J600" s="23"/>
      <c r="K600" s="23"/>
      <c r="L600" s="27" t="str">
        <f aca="false">IF($B600="","",IFERROR(INDEX(Properties!$D$5:$D$104,MATCH($B600,Properties!$A$5:$A$104,0)),"-"))</f>
        <v/>
      </c>
      <c r="M600" s="28" t="str">
        <f aca="false">IF(OR($A600="",N($E600)=0),"",$F600/$E600)</f>
        <v/>
      </c>
      <c r="N600" s="28" t="str">
        <f aca="false">IF($A600="","",IF($H600="Y",$F600*(1+Settings!$B$3),0))</f>
        <v/>
      </c>
      <c r="O600" s="27" t="str">
        <f aca="false">IF($A600="","",IF(AND($H600="Y",$G600&lt;&gt;"Restock",N($M600)&gt;Settings!$B$4,$I600&lt;&gt;"Y"),"Get host OK",IF(AND($H600="Y",$F600&gt;Settings!$B$5,$I600&lt;&gt;"Y"),"Host should pay upfront",IF($J600&lt;&gt;"Y","Save receipt","OK"))))</f>
        <v/>
      </c>
      <c r="P600" s="29" t="str">
        <f aca="false">IF($A600="","",DATE(YEAR($A600),MONTH($A600),1))</f>
        <v/>
      </c>
      <c r="Q600" s="31" t="str">
        <f aca="false">IF($A600="","",IF(AND($L600='Invoice Builder'!$C$5,$P600='Invoice Builder'!$C$6,N($N600)&gt;0),COUNTIFS($L$5:$L600,'Invoice Builder'!$C$5,$P$5:$P600,'Invoice Builder'!$C$6,$N$5:$N600,"&gt;0"),""))</f>
        <v/>
      </c>
      <c r="R600" s="27" t="str">
        <f aca="false">IF($A600="","",IF($A600&gt;=DATE(YEAR($A600),4,6),YEAR($A600)&amp;"/"&amp;RIGHT(YEAR($A600)+1,2),YEAR($A600)-1&amp;"/"&amp;RIGHT(YEAR($A600),2)))</f>
        <v/>
      </c>
    </row>
    <row r="601" customFormat="false" ht="15" hidden="false" customHeight="false" outlineLevel="0" collapsed="false">
      <c r="A601" s="22"/>
      <c r="B601" s="23"/>
      <c r="C601" s="23"/>
      <c r="D601" s="23"/>
      <c r="E601" s="32"/>
      <c r="F601" s="25"/>
      <c r="G601" s="23"/>
      <c r="H601" s="23"/>
      <c r="I601" s="23"/>
      <c r="J601" s="23"/>
      <c r="K601" s="23"/>
      <c r="L601" s="27" t="str">
        <f aca="false">IF($B601="","",IFERROR(INDEX(Properties!$D$5:$D$104,MATCH($B601,Properties!$A$5:$A$104,0)),"-"))</f>
        <v/>
      </c>
      <c r="M601" s="28" t="str">
        <f aca="false">IF(OR($A601="",N($E601)=0),"",$F601/$E601)</f>
        <v/>
      </c>
      <c r="N601" s="28" t="str">
        <f aca="false">IF($A601="","",IF($H601="Y",$F601*(1+Settings!$B$3),0))</f>
        <v/>
      </c>
      <c r="O601" s="27" t="str">
        <f aca="false">IF($A601="","",IF(AND($H601="Y",$G601&lt;&gt;"Restock",N($M601)&gt;Settings!$B$4,$I601&lt;&gt;"Y"),"Get host OK",IF(AND($H601="Y",$F601&gt;Settings!$B$5,$I601&lt;&gt;"Y"),"Host should pay upfront",IF($J601&lt;&gt;"Y","Save receipt","OK"))))</f>
        <v/>
      </c>
      <c r="P601" s="29" t="str">
        <f aca="false">IF($A601="","",DATE(YEAR($A601),MONTH($A601),1))</f>
        <v/>
      </c>
      <c r="Q601" s="31" t="str">
        <f aca="false">IF($A601="","",IF(AND($L601='Invoice Builder'!$C$5,$P601='Invoice Builder'!$C$6,N($N601)&gt;0),COUNTIFS($L$5:$L601,'Invoice Builder'!$C$5,$P$5:$P601,'Invoice Builder'!$C$6,$N$5:$N601,"&gt;0"),""))</f>
        <v/>
      </c>
      <c r="R601" s="27" t="str">
        <f aca="false">IF($A601="","",IF($A601&gt;=DATE(YEAR($A601),4,6),YEAR($A601)&amp;"/"&amp;RIGHT(YEAR($A601)+1,2),YEAR($A601)-1&amp;"/"&amp;RIGHT(YEAR($A601),2)))</f>
        <v/>
      </c>
    </row>
    <row r="602" customFormat="false" ht="15" hidden="false" customHeight="false" outlineLevel="0" collapsed="false">
      <c r="A602" s="22"/>
      <c r="B602" s="23"/>
      <c r="C602" s="23"/>
      <c r="D602" s="23"/>
      <c r="E602" s="32"/>
      <c r="F602" s="25"/>
      <c r="G602" s="23"/>
      <c r="H602" s="23"/>
      <c r="I602" s="23"/>
      <c r="J602" s="23"/>
      <c r="K602" s="23"/>
      <c r="L602" s="27" t="str">
        <f aca="false">IF($B602="","",IFERROR(INDEX(Properties!$D$5:$D$104,MATCH($B602,Properties!$A$5:$A$104,0)),"-"))</f>
        <v/>
      </c>
      <c r="M602" s="28" t="str">
        <f aca="false">IF(OR($A602="",N($E602)=0),"",$F602/$E602)</f>
        <v/>
      </c>
      <c r="N602" s="28" t="str">
        <f aca="false">IF($A602="","",IF($H602="Y",$F602*(1+Settings!$B$3),0))</f>
        <v/>
      </c>
      <c r="O602" s="27" t="str">
        <f aca="false">IF($A602="","",IF(AND($H602="Y",$G602&lt;&gt;"Restock",N($M602)&gt;Settings!$B$4,$I602&lt;&gt;"Y"),"Get host OK",IF(AND($H602="Y",$F602&gt;Settings!$B$5,$I602&lt;&gt;"Y"),"Host should pay upfront",IF($J602&lt;&gt;"Y","Save receipt","OK"))))</f>
        <v/>
      </c>
      <c r="P602" s="29" t="str">
        <f aca="false">IF($A602="","",DATE(YEAR($A602),MONTH($A602),1))</f>
        <v/>
      </c>
      <c r="Q602" s="31" t="str">
        <f aca="false">IF($A602="","",IF(AND($L602='Invoice Builder'!$C$5,$P602='Invoice Builder'!$C$6,N($N602)&gt;0),COUNTIFS($L$5:$L602,'Invoice Builder'!$C$5,$P$5:$P602,'Invoice Builder'!$C$6,$N$5:$N602,"&gt;0"),""))</f>
        <v/>
      </c>
      <c r="R602" s="27" t="str">
        <f aca="false">IF($A602="","",IF($A602&gt;=DATE(YEAR($A602),4,6),YEAR($A602)&amp;"/"&amp;RIGHT(YEAR($A602)+1,2),YEAR($A602)-1&amp;"/"&amp;RIGHT(YEAR($A602),2)))</f>
        <v/>
      </c>
    </row>
    <row r="603" customFormat="false" ht="15" hidden="false" customHeight="false" outlineLevel="0" collapsed="false">
      <c r="A603" s="22"/>
      <c r="B603" s="23"/>
      <c r="C603" s="23"/>
      <c r="D603" s="23"/>
      <c r="E603" s="32"/>
      <c r="F603" s="25"/>
      <c r="G603" s="23"/>
      <c r="H603" s="23"/>
      <c r="I603" s="23"/>
      <c r="J603" s="23"/>
      <c r="K603" s="23"/>
      <c r="L603" s="27" t="str">
        <f aca="false">IF($B603="","",IFERROR(INDEX(Properties!$D$5:$D$104,MATCH($B603,Properties!$A$5:$A$104,0)),"-"))</f>
        <v/>
      </c>
      <c r="M603" s="28" t="str">
        <f aca="false">IF(OR($A603="",N($E603)=0),"",$F603/$E603)</f>
        <v/>
      </c>
      <c r="N603" s="28" t="str">
        <f aca="false">IF($A603="","",IF($H603="Y",$F603*(1+Settings!$B$3),0))</f>
        <v/>
      </c>
      <c r="O603" s="27" t="str">
        <f aca="false">IF($A603="","",IF(AND($H603="Y",$G603&lt;&gt;"Restock",N($M603)&gt;Settings!$B$4,$I603&lt;&gt;"Y"),"Get host OK",IF(AND($H603="Y",$F603&gt;Settings!$B$5,$I603&lt;&gt;"Y"),"Host should pay upfront",IF($J603&lt;&gt;"Y","Save receipt","OK"))))</f>
        <v/>
      </c>
      <c r="P603" s="29" t="str">
        <f aca="false">IF($A603="","",DATE(YEAR($A603),MONTH($A603),1))</f>
        <v/>
      </c>
      <c r="Q603" s="31" t="str">
        <f aca="false">IF($A603="","",IF(AND($L603='Invoice Builder'!$C$5,$P603='Invoice Builder'!$C$6,N($N603)&gt;0),COUNTIFS($L$5:$L603,'Invoice Builder'!$C$5,$P$5:$P603,'Invoice Builder'!$C$6,$N$5:$N603,"&gt;0"),""))</f>
        <v/>
      </c>
      <c r="R603" s="27" t="str">
        <f aca="false">IF($A603="","",IF($A603&gt;=DATE(YEAR($A603),4,6),YEAR($A603)&amp;"/"&amp;RIGHT(YEAR($A603)+1,2),YEAR($A603)-1&amp;"/"&amp;RIGHT(YEAR($A603),2)))</f>
        <v/>
      </c>
    </row>
    <row r="604" customFormat="false" ht="15" hidden="false" customHeight="false" outlineLevel="0" collapsed="false">
      <c r="A604" s="22"/>
      <c r="B604" s="23"/>
      <c r="C604" s="23"/>
      <c r="D604" s="23"/>
      <c r="E604" s="32"/>
      <c r="F604" s="25"/>
      <c r="G604" s="23"/>
      <c r="H604" s="23"/>
      <c r="I604" s="23"/>
      <c r="J604" s="23"/>
      <c r="K604" s="23"/>
      <c r="L604" s="27" t="str">
        <f aca="false">IF($B604="","",IFERROR(INDEX(Properties!$D$5:$D$104,MATCH($B604,Properties!$A$5:$A$104,0)),"-"))</f>
        <v/>
      </c>
      <c r="M604" s="28" t="str">
        <f aca="false">IF(OR($A604="",N($E604)=0),"",$F604/$E604)</f>
        <v/>
      </c>
      <c r="N604" s="28" t="str">
        <f aca="false">IF($A604="","",IF($H604="Y",$F604*(1+Settings!$B$3),0))</f>
        <v/>
      </c>
      <c r="O604" s="27" t="str">
        <f aca="false">IF($A604="","",IF(AND($H604="Y",$G604&lt;&gt;"Restock",N($M604)&gt;Settings!$B$4,$I604&lt;&gt;"Y"),"Get host OK",IF(AND($H604="Y",$F604&gt;Settings!$B$5,$I604&lt;&gt;"Y"),"Host should pay upfront",IF($J604&lt;&gt;"Y","Save receipt","OK"))))</f>
        <v/>
      </c>
      <c r="P604" s="29" t="str">
        <f aca="false">IF($A604="","",DATE(YEAR($A604),MONTH($A604),1))</f>
        <v/>
      </c>
      <c r="Q604" s="31" t="str">
        <f aca="false">IF($A604="","",IF(AND($L604='Invoice Builder'!$C$5,$P604='Invoice Builder'!$C$6,N($N604)&gt;0),COUNTIFS($L$5:$L604,'Invoice Builder'!$C$5,$P$5:$P604,'Invoice Builder'!$C$6,$N$5:$N604,"&gt;0"),""))</f>
        <v/>
      </c>
      <c r="R604" s="27" t="str">
        <f aca="false">IF($A604="","",IF($A604&gt;=DATE(YEAR($A604),4,6),YEAR($A604)&amp;"/"&amp;RIGHT(YEAR($A604)+1,2),YEAR($A604)-1&amp;"/"&amp;RIGHT(YEAR($A604),2)))</f>
        <v/>
      </c>
    </row>
    <row r="605" customFormat="false" ht="15" hidden="false" customHeight="false" outlineLevel="0" collapsed="false">
      <c r="A605" s="22"/>
      <c r="B605" s="23"/>
      <c r="C605" s="23"/>
      <c r="D605" s="23"/>
      <c r="E605" s="32"/>
      <c r="F605" s="25"/>
      <c r="G605" s="23"/>
      <c r="H605" s="23"/>
      <c r="I605" s="23"/>
      <c r="J605" s="23"/>
      <c r="K605" s="23"/>
      <c r="L605" s="27" t="str">
        <f aca="false">IF($B605="","",IFERROR(INDEX(Properties!$D$5:$D$104,MATCH($B605,Properties!$A$5:$A$104,0)),"-"))</f>
        <v/>
      </c>
      <c r="M605" s="28" t="str">
        <f aca="false">IF(OR($A605="",N($E605)=0),"",$F605/$E605)</f>
        <v/>
      </c>
      <c r="N605" s="28" t="str">
        <f aca="false">IF($A605="","",IF($H605="Y",$F605*(1+Settings!$B$3),0))</f>
        <v/>
      </c>
      <c r="O605" s="27" t="str">
        <f aca="false">IF($A605="","",IF(AND($H605="Y",$G605&lt;&gt;"Restock",N($M605)&gt;Settings!$B$4,$I605&lt;&gt;"Y"),"Get host OK",IF(AND($H605="Y",$F605&gt;Settings!$B$5,$I605&lt;&gt;"Y"),"Host should pay upfront",IF($J605&lt;&gt;"Y","Save receipt","OK"))))</f>
        <v/>
      </c>
      <c r="P605" s="29" t="str">
        <f aca="false">IF($A605="","",DATE(YEAR($A605),MONTH($A605),1))</f>
        <v/>
      </c>
      <c r="Q605" s="31" t="str">
        <f aca="false">IF($A605="","",IF(AND($L605='Invoice Builder'!$C$5,$P605='Invoice Builder'!$C$6,N($N605)&gt;0),COUNTIFS($L$5:$L605,'Invoice Builder'!$C$5,$P$5:$P605,'Invoice Builder'!$C$6,$N$5:$N605,"&gt;0"),""))</f>
        <v/>
      </c>
      <c r="R605" s="27" t="str">
        <f aca="false">IF($A605="","",IF($A605&gt;=DATE(YEAR($A605),4,6),YEAR($A605)&amp;"/"&amp;RIGHT(YEAR($A605)+1,2),YEAR($A605)-1&amp;"/"&amp;RIGHT(YEAR($A605),2)))</f>
        <v/>
      </c>
    </row>
    <row r="606" customFormat="false" ht="15" hidden="false" customHeight="false" outlineLevel="0" collapsed="false">
      <c r="A606" s="22"/>
      <c r="B606" s="23"/>
      <c r="C606" s="23"/>
      <c r="D606" s="23"/>
      <c r="E606" s="32"/>
      <c r="F606" s="25"/>
      <c r="G606" s="23"/>
      <c r="H606" s="23"/>
      <c r="I606" s="23"/>
      <c r="J606" s="23"/>
      <c r="K606" s="23"/>
      <c r="L606" s="27" t="str">
        <f aca="false">IF($B606="","",IFERROR(INDEX(Properties!$D$5:$D$104,MATCH($B606,Properties!$A$5:$A$104,0)),"-"))</f>
        <v/>
      </c>
      <c r="M606" s="28" t="str">
        <f aca="false">IF(OR($A606="",N($E606)=0),"",$F606/$E606)</f>
        <v/>
      </c>
      <c r="N606" s="28" t="str">
        <f aca="false">IF($A606="","",IF($H606="Y",$F606*(1+Settings!$B$3),0))</f>
        <v/>
      </c>
      <c r="O606" s="27" t="str">
        <f aca="false">IF($A606="","",IF(AND($H606="Y",$G606&lt;&gt;"Restock",N($M606)&gt;Settings!$B$4,$I606&lt;&gt;"Y"),"Get host OK",IF(AND($H606="Y",$F606&gt;Settings!$B$5,$I606&lt;&gt;"Y"),"Host should pay upfront",IF($J606&lt;&gt;"Y","Save receipt","OK"))))</f>
        <v/>
      </c>
      <c r="P606" s="29" t="str">
        <f aca="false">IF($A606="","",DATE(YEAR($A606),MONTH($A606),1))</f>
        <v/>
      </c>
      <c r="Q606" s="31" t="str">
        <f aca="false">IF($A606="","",IF(AND($L606='Invoice Builder'!$C$5,$P606='Invoice Builder'!$C$6,N($N606)&gt;0),COUNTIFS($L$5:$L606,'Invoice Builder'!$C$5,$P$5:$P606,'Invoice Builder'!$C$6,$N$5:$N606,"&gt;0"),""))</f>
        <v/>
      </c>
      <c r="R606" s="27" t="str">
        <f aca="false">IF($A606="","",IF($A606&gt;=DATE(YEAR($A606),4,6),YEAR($A606)&amp;"/"&amp;RIGHT(YEAR($A606)+1,2),YEAR($A606)-1&amp;"/"&amp;RIGHT(YEAR($A606),2)))</f>
        <v/>
      </c>
    </row>
    <row r="607" customFormat="false" ht="15" hidden="false" customHeight="false" outlineLevel="0" collapsed="false">
      <c r="A607" s="22"/>
      <c r="B607" s="23"/>
      <c r="C607" s="23"/>
      <c r="D607" s="23"/>
      <c r="E607" s="32"/>
      <c r="F607" s="25"/>
      <c r="G607" s="23"/>
      <c r="H607" s="23"/>
      <c r="I607" s="23"/>
      <c r="J607" s="23"/>
      <c r="K607" s="23"/>
      <c r="L607" s="27" t="str">
        <f aca="false">IF($B607="","",IFERROR(INDEX(Properties!$D$5:$D$104,MATCH($B607,Properties!$A$5:$A$104,0)),"-"))</f>
        <v/>
      </c>
      <c r="M607" s="28" t="str">
        <f aca="false">IF(OR($A607="",N($E607)=0),"",$F607/$E607)</f>
        <v/>
      </c>
      <c r="N607" s="28" t="str">
        <f aca="false">IF($A607="","",IF($H607="Y",$F607*(1+Settings!$B$3),0))</f>
        <v/>
      </c>
      <c r="O607" s="27" t="str">
        <f aca="false">IF($A607="","",IF(AND($H607="Y",$G607&lt;&gt;"Restock",N($M607)&gt;Settings!$B$4,$I607&lt;&gt;"Y"),"Get host OK",IF(AND($H607="Y",$F607&gt;Settings!$B$5,$I607&lt;&gt;"Y"),"Host should pay upfront",IF($J607&lt;&gt;"Y","Save receipt","OK"))))</f>
        <v/>
      </c>
      <c r="P607" s="29" t="str">
        <f aca="false">IF($A607="","",DATE(YEAR($A607),MONTH($A607),1))</f>
        <v/>
      </c>
      <c r="Q607" s="31" t="str">
        <f aca="false">IF($A607="","",IF(AND($L607='Invoice Builder'!$C$5,$P607='Invoice Builder'!$C$6,N($N607)&gt;0),COUNTIFS($L$5:$L607,'Invoice Builder'!$C$5,$P$5:$P607,'Invoice Builder'!$C$6,$N$5:$N607,"&gt;0"),""))</f>
        <v/>
      </c>
      <c r="R607" s="27" t="str">
        <f aca="false">IF($A607="","",IF($A607&gt;=DATE(YEAR($A607),4,6),YEAR($A607)&amp;"/"&amp;RIGHT(YEAR($A607)+1,2),YEAR($A607)-1&amp;"/"&amp;RIGHT(YEAR($A607),2)))</f>
        <v/>
      </c>
    </row>
    <row r="608" customFormat="false" ht="15" hidden="false" customHeight="false" outlineLevel="0" collapsed="false">
      <c r="A608" s="22"/>
      <c r="B608" s="23"/>
      <c r="C608" s="23"/>
      <c r="D608" s="23"/>
      <c r="E608" s="32"/>
      <c r="F608" s="25"/>
      <c r="G608" s="23"/>
      <c r="H608" s="23"/>
      <c r="I608" s="23"/>
      <c r="J608" s="23"/>
      <c r="K608" s="23"/>
      <c r="L608" s="27" t="str">
        <f aca="false">IF($B608="","",IFERROR(INDEX(Properties!$D$5:$D$104,MATCH($B608,Properties!$A$5:$A$104,0)),"-"))</f>
        <v/>
      </c>
      <c r="M608" s="28" t="str">
        <f aca="false">IF(OR($A608="",N($E608)=0),"",$F608/$E608)</f>
        <v/>
      </c>
      <c r="N608" s="28" t="str">
        <f aca="false">IF($A608="","",IF($H608="Y",$F608*(1+Settings!$B$3),0))</f>
        <v/>
      </c>
      <c r="O608" s="27" t="str">
        <f aca="false">IF($A608="","",IF(AND($H608="Y",$G608&lt;&gt;"Restock",N($M608)&gt;Settings!$B$4,$I608&lt;&gt;"Y"),"Get host OK",IF(AND($H608="Y",$F608&gt;Settings!$B$5,$I608&lt;&gt;"Y"),"Host should pay upfront",IF($J608&lt;&gt;"Y","Save receipt","OK"))))</f>
        <v/>
      </c>
      <c r="P608" s="29" t="str">
        <f aca="false">IF($A608="","",DATE(YEAR($A608),MONTH($A608),1))</f>
        <v/>
      </c>
      <c r="Q608" s="31" t="str">
        <f aca="false">IF($A608="","",IF(AND($L608='Invoice Builder'!$C$5,$P608='Invoice Builder'!$C$6,N($N608)&gt;0),COUNTIFS($L$5:$L608,'Invoice Builder'!$C$5,$P$5:$P608,'Invoice Builder'!$C$6,$N$5:$N608,"&gt;0"),""))</f>
        <v/>
      </c>
      <c r="R608" s="27" t="str">
        <f aca="false">IF($A608="","",IF($A608&gt;=DATE(YEAR($A608),4,6),YEAR($A608)&amp;"/"&amp;RIGHT(YEAR($A608)+1,2),YEAR($A608)-1&amp;"/"&amp;RIGHT(YEAR($A608),2)))</f>
        <v/>
      </c>
    </row>
    <row r="609" customFormat="false" ht="15" hidden="false" customHeight="false" outlineLevel="0" collapsed="false">
      <c r="A609" s="22"/>
      <c r="B609" s="23"/>
      <c r="C609" s="23"/>
      <c r="D609" s="23"/>
      <c r="E609" s="32"/>
      <c r="F609" s="25"/>
      <c r="G609" s="23"/>
      <c r="H609" s="23"/>
      <c r="I609" s="23"/>
      <c r="J609" s="23"/>
      <c r="K609" s="23"/>
      <c r="L609" s="27" t="str">
        <f aca="false">IF($B609="","",IFERROR(INDEX(Properties!$D$5:$D$104,MATCH($B609,Properties!$A$5:$A$104,0)),"-"))</f>
        <v/>
      </c>
      <c r="M609" s="28" t="str">
        <f aca="false">IF(OR($A609="",N($E609)=0),"",$F609/$E609)</f>
        <v/>
      </c>
      <c r="N609" s="28" t="str">
        <f aca="false">IF($A609="","",IF($H609="Y",$F609*(1+Settings!$B$3),0))</f>
        <v/>
      </c>
      <c r="O609" s="27" t="str">
        <f aca="false">IF($A609="","",IF(AND($H609="Y",$G609&lt;&gt;"Restock",N($M609)&gt;Settings!$B$4,$I609&lt;&gt;"Y"),"Get host OK",IF(AND($H609="Y",$F609&gt;Settings!$B$5,$I609&lt;&gt;"Y"),"Host should pay upfront",IF($J609&lt;&gt;"Y","Save receipt","OK"))))</f>
        <v/>
      </c>
      <c r="P609" s="29" t="str">
        <f aca="false">IF($A609="","",DATE(YEAR($A609),MONTH($A609),1))</f>
        <v/>
      </c>
      <c r="Q609" s="31" t="str">
        <f aca="false">IF($A609="","",IF(AND($L609='Invoice Builder'!$C$5,$P609='Invoice Builder'!$C$6,N($N609)&gt;0),COUNTIFS($L$5:$L609,'Invoice Builder'!$C$5,$P$5:$P609,'Invoice Builder'!$C$6,$N$5:$N609,"&gt;0"),""))</f>
        <v/>
      </c>
      <c r="R609" s="27" t="str">
        <f aca="false">IF($A609="","",IF($A609&gt;=DATE(YEAR($A609),4,6),YEAR($A609)&amp;"/"&amp;RIGHT(YEAR($A609)+1,2),YEAR($A609)-1&amp;"/"&amp;RIGHT(YEAR($A609),2)))</f>
        <v/>
      </c>
    </row>
    <row r="610" customFormat="false" ht="15" hidden="false" customHeight="false" outlineLevel="0" collapsed="false">
      <c r="A610" s="22"/>
      <c r="B610" s="23"/>
      <c r="C610" s="23"/>
      <c r="D610" s="23"/>
      <c r="E610" s="32"/>
      <c r="F610" s="25"/>
      <c r="G610" s="23"/>
      <c r="H610" s="23"/>
      <c r="I610" s="23"/>
      <c r="J610" s="23"/>
      <c r="K610" s="23"/>
      <c r="L610" s="27" t="str">
        <f aca="false">IF($B610="","",IFERROR(INDEX(Properties!$D$5:$D$104,MATCH($B610,Properties!$A$5:$A$104,0)),"-"))</f>
        <v/>
      </c>
      <c r="M610" s="28" t="str">
        <f aca="false">IF(OR($A610="",N($E610)=0),"",$F610/$E610)</f>
        <v/>
      </c>
      <c r="N610" s="28" t="str">
        <f aca="false">IF($A610="","",IF($H610="Y",$F610*(1+Settings!$B$3),0))</f>
        <v/>
      </c>
      <c r="O610" s="27" t="str">
        <f aca="false">IF($A610="","",IF(AND($H610="Y",$G610&lt;&gt;"Restock",N($M610)&gt;Settings!$B$4,$I610&lt;&gt;"Y"),"Get host OK",IF(AND($H610="Y",$F610&gt;Settings!$B$5,$I610&lt;&gt;"Y"),"Host should pay upfront",IF($J610&lt;&gt;"Y","Save receipt","OK"))))</f>
        <v/>
      </c>
      <c r="P610" s="29" t="str">
        <f aca="false">IF($A610="","",DATE(YEAR($A610),MONTH($A610),1))</f>
        <v/>
      </c>
      <c r="Q610" s="31" t="str">
        <f aca="false">IF($A610="","",IF(AND($L610='Invoice Builder'!$C$5,$P610='Invoice Builder'!$C$6,N($N610)&gt;0),COUNTIFS($L$5:$L610,'Invoice Builder'!$C$5,$P$5:$P610,'Invoice Builder'!$C$6,$N$5:$N610,"&gt;0"),""))</f>
        <v/>
      </c>
      <c r="R610" s="27" t="str">
        <f aca="false">IF($A610="","",IF($A610&gt;=DATE(YEAR($A610),4,6),YEAR($A610)&amp;"/"&amp;RIGHT(YEAR($A610)+1,2),YEAR($A610)-1&amp;"/"&amp;RIGHT(YEAR($A610),2)))</f>
        <v/>
      </c>
    </row>
    <row r="611" customFormat="false" ht="15" hidden="false" customHeight="false" outlineLevel="0" collapsed="false">
      <c r="A611" s="22"/>
      <c r="B611" s="23"/>
      <c r="C611" s="23"/>
      <c r="D611" s="23"/>
      <c r="E611" s="32"/>
      <c r="F611" s="25"/>
      <c r="G611" s="23"/>
      <c r="H611" s="23"/>
      <c r="I611" s="23"/>
      <c r="J611" s="23"/>
      <c r="K611" s="23"/>
      <c r="L611" s="27" t="str">
        <f aca="false">IF($B611="","",IFERROR(INDEX(Properties!$D$5:$D$104,MATCH($B611,Properties!$A$5:$A$104,0)),"-"))</f>
        <v/>
      </c>
      <c r="M611" s="28" t="str">
        <f aca="false">IF(OR($A611="",N($E611)=0),"",$F611/$E611)</f>
        <v/>
      </c>
      <c r="N611" s="28" t="str">
        <f aca="false">IF($A611="","",IF($H611="Y",$F611*(1+Settings!$B$3),0))</f>
        <v/>
      </c>
      <c r="O611" s="27" t="str">
        <f aca="false">IF($A611="","",IF(AND($H611="Y",$G611&lt;&gt;"Restock",N($M611)&gt;Settings!$B$4,$I611&lt;&gt;"Y"),"Get host OK",IF(AND($H611="Y",$F611&gt;Settings!$B$5,$I611&lt;&gt;"Y"),"Host should pay upfront",IF($J611&lt;&gt;"Y","Save receipt","OK"))))</f>
        <v/>
      </c>
      <c r="P611" s="29" t="str">
        <f aca="false">IF($A611="","",DATE(YEAR($A611),MONTH($A611),1))</f>
        <v/>
      </c>
      <c r="Q611" s="31" t="str">
        <f aca="false">IF($A611="","",IF(AND($L611='Invoice Builder'!$C$5,$P611='Invoice Builder'!$C$6,N($N611)&gt;0),COUNTIFS($L$5:$L611,'Invoice Builder'!$C$5,$P$5:$P611,'Invoice Builder'!$C$6,$N$5:$N611,"&gt;0"),""))</f>
        <v/>
      </c>
      <c r="R611" s="27" t="str">
        <f aca="false">IF($A611="","",IF($A611&gt;=DATE(YEAR($A611),4,6),YEAR($A611)&amp;"/"&amp;RIGHT(YEAR($A611)+1,2),YEAR($A611)-1&amp;"/"&amp;RIGHT(YEAR($A611),2)))</f>
        <v/>
      </c>
    </row>
    <row r="612" customFormat="false" ht="15" hidden="false" customHeight="false" outlineLevel="0" collapsed="false">
      <c r="A612" s="22"/>
      <c r="B612" s="23"/>
      <c r="C612" s="23"/>
      <c r="D612" s="23"/>
      <c r="E612" s="32"/>
      <c r="F612" s="25"/>
      <c r="G612" s="23"/>
      <c r="H612" s="23"/>
      <c r="I612" s="23"/>
      <c r="J612" s="23"/>
      <c r="K612" s="23"/>
      <c r="L612" s="27" t="str">
        <f aca="false">IF($B612="","",IFERROR(INDEX(Properties!$D$5:$D$104,MATCH($B612,Properties!$A$5:$A$104,0)),"-"))</f>
        <v/>
      </c>
      <c r="M612" s="28" t="str">
        <f aca="false">IF(OR($A612="",N($E612)=0),"",$F612/$E612)</f>
        <v/>
      </c>
      <c r="N612" s="28" t="str">
        <f aca="false">IF($A612="","",IF($H612="Y",$F612*(1+Settings!$B$3),0))</f>
        <v/>
      </c>
      <c r="O612" s="27" t="str">
        <f aca="false">IF($A612="","",IF(AND($H612="Y",$G612&lt;&gt;"Restock",N($M612)&gt;Settings!$B$4,$I612&lt;&gt;"Y"),"Get host OK",IF(AND($H612="Y",$F612&gt;Settings!$B$5,$I612&lt;&gt;"Y"),"Host should pay upfront",IF($J612&lt;&gt;"Y","Save receipt","OK"))))</f>
        <v/>
      </c>
      <c r="P612" s="29" t="str">
        <f aca="false">IF($A612="","",DATE(YEAR($A612),MONTH($A612),1))</f>
        <v/>
      </c>
      <c r="Q612" s="31" t="str">
        <f aca="false">IF($A612="","",IF(AND($L612='Invoice Builder'!$C$5,$P612='Invoice Builder'!$C$6,N($N612)&gt;0),COUNTIFS($L$5:$L612,'Invoice Builder'!$C$5,$P$5:$P612,'Invoice Builder'!$C$6,$N$5:$N612,"&gt;0"),""))</f>
        <v/>
      </c>
      <c r="R612" s="27" t="str">
        <f aca="false">IF($A612="","",IF($A612&gt;=DATE(YEAR($A612),4,6),YEAR($A612)&amp;"/"&amp;RIGHT(YEAR($A612)+1,2),YEAR($A612)-1&amp;"/"&amp;RIGHT(YEAR($A612),2)))</f>
        <v/>
      </c>
    </row>
    <row r="613" customFormat="false" ht="15" hidden="false" customHeight="false" outlineLevel="0" collapsed="false">
      <c r="A613" s="22"/>
      <c r="B613" s="23"/>
      <c r="C613" s="23"/>
      <c r="D613" s="23"/>
      <c r="E613" s="32"/>
      <c r="F613" s="25"/>
      <c r="G613" s="23"/>
      <c r="H613" s="23"/>
      <c r="I613" s="23"/>
      <c r="J613" s="23"/>
      <c r="K613" s="23"/>
      <c r="L613" s="27" t="str">
        <f aca="false">IF($B613="","",IFERROR(INDEX(Properties!$D$5:$D$104,MATCH($B613,Properties!$A$5:$A$104,0)),"-"))</f>
        <v/>
      </c>
      <c r="M613" s="28" t="str">
        <f aca="false">IF(OR($A613="",N($E613)=0),"",$F613/$E613)</f>
        <v/>
      </c>
      <c r="N613" s="28" t="str">
        <f aca="false">IF($A613="","",IF($H613="Y",$F613*(1+Settings!$B$3),0))</f>
        <v/>
      </c>
      <c r="O613" s="27" t="str">
        <f aca="false">IF($A613="","",IF(AND($H613="Y",$G613&lt;&gt;"Restock",N($M613)&gt;Settings!$B$4,$I613&lt;&gt;"Y"),"Get host OK",IF(AND($H613="Y",$F613&gt;Settings!$B$5,$I613&lt;&gt;"Y"),"Host should pay upfront",IF($J613&lt;&gt;"Y","Save receipt","OK"))))</f>
        <v/>
      </c>
      <c r="P613" s="29" t="str">
        <f aca="false">IF($A613="","",DATE(YEAR($A613),MONTH($A613),1))</f>
        <v/>
      </c>
      <c r="Q613" s="31" t="str">
        <f aca="false">IF($A613="","",IF(AND($L613='Invoice Builder'!$C$5,$P613='Invoice Builder'!$C$6,N($N613)&gt;0),COUNTIFS($L$5:$L613,'Invoice Builder'!$C$5,$P$5:$P613,'Invoice Builder'!$C$6,$N$5:$N613,"&gt;0"),""))</f>
        <v/>
      </c>
      <c r="R613" s="27" t="str">
        <f aca="false">IF($A613="","",IF($A613&gt;=DATE(YEAR($A613),4,6),YEAR($A613)&amp;"/"&amp;RIGHT(YEAR($A613)+1,2),YEAR($A613)-1&amp;"/"&amp;RIGHT(YEAR($A613),2)))</f>
        <v/>
      </c>
    </row>
    <row r="614" customFormat="false" ht="15" hidden="false" customHeight="false" outlineLevel="0" collapsed="false">
      <c r="A614" s="22"/>
      <c r="B614" s="23"/>
      <c r="C614" s="23"/>
      <c r="D614" s="23"/>
      <c r="E614" s="32"/>
      <c r="F614" s="25"/>
      <c r="G614" s="23"/>
      <c r="H614" s="23"/>
      <c r="I614" s="23"/>
      <c r="J614" s="23"/>
      <c r="K614" s="23"/>
      <c r="L614" s="27" t="str">
        <f aca="false">IF($B614="","",IFERROR(INDEX(Properties!$D$5:$D$104,MATCH($B614,Properties!$A$5:$A$104,0)),"-"))</f>
        <v/>
      </c>
      <c r="M614" s="28" t="str">
        <f aca="false">IF(OR($A614="",N($E614)=0),"",$F614/$E614)</f>
        <v/>
      </c>
      <c r="N614" s="28" t="str">
        <f aca="false">IF($A614="","",IF($H614="Y",$F614*(1+Settings!$B$3),0))</f>
        <v/>
      </c>
      <c r="O614" s="27" t="str">
        <f aca="false">IF($A614="","",IF(AND($H614="Y",$G614&lt;&gt;"Restock",N($M614)&gt;Settings!$B$4,$I614&lt;&gt;"Y"),"Get host OK",IF(AND($H614="Y",$F614&gt;Settings!$B$5,$I614&lt;&gt;"Y"),"Host should pay upfront",IF($J614&lt;&gt;"Y","Save receipt","OK"))))</f>
        <v/>
      </c>
      <c r="P614" s="29" t="str">
        <f aca="false">IF($A614="","",DATE(YEAR($A614),MONTH($A614),1))</f>
        <v/>
      </c>
      <c r="Q614" s="31" t="str">
        <f aca="false">IF($A614="","",IF(AND($L614='Invoice Builder'!$C$5,$P614='Invoice Builder'!$C$6,N($N614)&gt;0),COUNTIFS($L$5:$L614,'Invoice Builder'!$C$5,$P$5:$P614,'Invoice Builder'!$C$6,$N$5:$N614,"&gt;0"),""))</f>
        <v/>
      </c>
      <c r="R614" s="27" t="str">
        <f aca="false">IF($A614="","",IF($A614&gt;=DATE(YEAR($A614),4,6),YEAR($A614)&amp;"/"&amp;RIGHT(YEAR($A614)+1,2),YEAR($A614)-1&amp;"/"&amp;RIGHT(YEAR($A614),2)))</f>
        <v/>
      </c>
    </row>
    <row r="615" customFormat="false" ht="15" hidden="false" customHeight="false" outlineLevel="0" collapsed="false">
      <c r="A615" s="22"/>
      <c r="B615" s="23"/>
      <c r="C615" s="23"/>
      <c r="D615" s="23"/>
      <c r="E615" s="32"/>
      <c r="F615" s="25"/>
      <c r="G615" s="23"/>
      <c r="H615" s="23"/>
      <c r="I615" s="23"/>
      <c r="J615" s="23"/>
      <c r="K615" s="23"/>
      <c r="L615" s="27" t="str">
        <f aca="false">IF($B615="","",IFERROR(INDEX(Properties!$D$5:$D$104,MATCH($B615,Properties!$A$5:$A$104,0)),"-"))</f>
        <v/>
      </c>
      <c r="M615" s="28" t="str">
        <f aca="false">IF(OR($A615="",N($E615)=0),"",$F615/$E615)</f>
        <v/>
      </c>
      <c r="N615" s="28" t="str">
        <f aca="false">IF($A615="","",IF($H615="Y",$F615*(1+Settings!$B$3),0))</f>
        <v/>
      </c>
      <c r="O615" s="27" t="str">
        <f aca="false">IF($A615="","",IF(AND($H615="Y",$G615&lt;&gt;"Restock",N($M615)&gt;Settings!$B$4,$I615&lt;&gt;"Y"),"Get host OK",IF(AND($H615="Y",$F615&gt;Settings!$B$5,$I615&lt;&gt;"Y"),"Host should pay upfront",IF($J615&lt;&gt;"Y","Save receipt","OK"))))</f>
        <v/>
      </c>
      <c r="P615" s="29" t="str">
        <f aca="false">IF($A615="","",DATE(YEAR($A615),MONTH($A615),1))</f>
        <v/>
      </c>
      <c r="Q615" s="31" t="str">
        <f aca="false">IF($A615="","",IF(AND($L615='Invoice Builder'!$C$5,$P615='Invoice Builder'!$C$6,N($N615)&gt;0),COUNTIFS($L$5:$L615,'Invoice Builder'!$C$5,$P$5:$P615,'Invoice Builder'!$C$6,$N$5:$N615,"&gt;0"),""))</f>
        <v/>
      </c>
      <c r="R615" s="27" t="str">
        <f aca="false">IF($A615="","",IF($A615&gt;=DATE(YEAR($A615),4,6),YEAR($A615)&amp;"/"&amp;RIGHT(YEAR($A615)+1,2),YEAR($A615)-1&amp;"/"&amp;RIGHT(YEAR($A615),2)))</f>
        <v/>
      </c>
    </row>
    <row r="616" customFormat="false" ht="15" hidden="false" customHeight="false" outlineLevel="0" collapsed="false">
      <c r="A616" s="22"/>
      <c r="B616" s="23"/>
      <c r="C616" s="23"/>
      <c r="D616" s="23"/>
      <c r="E616" s="32"/>
      <c r="F616" s="25"/>
      <c r="G616" s="23"/>
      <c r="H616" s="23"/>
      <c r="I616" s="23"/>
      <c r="J616" s="23"/>
      <c r="K616" s="23"/>
      <c r="L616" s="27" t="str">
        <f aca="false">IF($B616="","",IFERROR(INDEX(Properties!$D$5:$D$104,MATCH($B616,Properties!$A$5:$A$104,0)),"-"))</f>
        <v/>
      </c>
      <c r="M616" s="28" t="str">
        <f aca="false">IF(OR($A616="",N($E616)=0),"",$F616/$E616)</f>
        <v/>
      </c>
      <c r="N616" s="28" t="str">
        <f aca="false">IF($A616="","",IF($H616="Y",$F616*(1+Settings!$B$3),0))</f>
        <v/>
      </c>
      <c r="O616" s="27" t="str">
        <f aca="false">IF($A616="","",IF(AND($H616="Y",$G616&lt;&gt;"Restock",N($M616)&gt;Settings!$B$4,$I616&lt;&gt;"Y"),"Get host OK",IF(AND($H616="Y",$F616&gt;Settings!$B$5,$I616&lt;&gt;"Y"),"Host should pay upfront",IF($J616&lt;&gt;"Y","Save receipt","OK"))))</f>
        <v/>
      </c>
      <c r="P616" s="29" t="str">
        <f aca="false">IF($A616="","",DATE(YEAR($A616),MONTH($A616),1))</f>
        <v/>
      </c>
      <c r="Q616" s="31" t="str">
        <f aca="false">IF($A616="","",IF(AND($L616='Invoice Builder'!$C$5,$P616='Invoice Builder'!$C$6,N($N616)&gt;0),COUNTIFS($L$5:$L616,'Invoice Builder'!$C$5,$P$5:$P616,'Invoice Builder'!$C$6,$N$5:$N616,"&gt;0"),""))</f>
        <v/>
      </c>
      <c r="R616" s="27" t="str">
        <f aca="false">IF($A616="","",IF($A616&gt;=DATE(YEAR($A616),4,6),YEAR($A616)&amp;"/"&amp;RIGHT(YEAR($A616)+1,2),YEAR($A616)-1&amp;"/"&amp;RIGHT(YEAR($A616),2)))</f>
        <v/>
      </c>
    </row>
    <row r="617" customFormat="false" ht="15" hidden="false" customHeight="false" outlineLevel="0" collapsed="false">
      <c r="A617" s="22"/>
      <c r="B617" s="23"/>
      <c r="C617" s="23"/>
      <c r="D617" s="23"/>
      <c r="E617" s="32"/>
      <c r="F617" s="25"/>
      <c r="G617" s="23"/>
      <c r="H617" s="23"/>
      <c r="I617" s="23"/>
      <c r="J617" s="23"/>
      <c r="K617" s="23"/>
      <c r="L617" s="27" t="str">
        <f aca="false">IF($B617="","",IFERROR(INDEX(Properties!$D$5:$D$104,MATCH($B617,Properties!$A$5:$A$104,0)),"-"))</f>
        <v/>
      </c>
      <c r="M617" s="28" t="str">
        <f aca="false">IF(OR($A617="",N($E617)=0),"",$F617/$E617)</f>
        <v/>
      </c>
      <c r="N617" s="28" t="str">
        <f aca="false">IF($A617="","",IF($H617="Y",$F617*(1+Settings!$B$3),0))</f>
        <v/>
      </c>
      <c r="O617" s="27" t="str">
        <f aca="false">IF($A617="","",IF(AND($H617="Y",$G617&lt;&gt;"Restock",N($M617)&gt;Settings!$B$4,$I617&lt;&gt;"Y"),"Get host OK",IF(AND($H617="Y",$F617&gt;Settings!$B$5,$I617&lt;&gt;"Y"),"Host should pay upfront",IF($J617&lt;&gt;"Y","Save receipt","OK"))))</f>
        <v/>
      </c>
      <c r="P617" s="29" t="str">
        <f aca="false">IF($A617="","",DATE(YEAR($A617),MONTH($A617),1))</f>
        <v/>
      </c>
      <c r="Q617" s="31" t="str">
        <f aca="false">IF($A617="","",IF(AND($L617='Invoice Builder'!$C$5,$P617='Invoice Builder'!$C$6,N($N617)&gt;0),COUNTIFS($L$5:$L617,'Invoice Builder'!$C$5,$P$5:$P617,'Invoice Builder'!$C$6,$N$5:$N617,"&gt;0"),""))</f>
        <v/>
      </c>
      <c r="R617" s="27" t="str">
        <f aca="false">IF($A617="","",IF($A617&gt;=DATE(YEAR($A617),4,6),YEAR($A617)&amp;"/"&amp;RIGHT(YEAR($A617)+1,2),YEAR($A617)-1&amp;"/"&amp;RIGHT(YEAR($A617),2)))</f>
        <v/>
      </c>
    </row>
    <row r="618" customFormat="false" ht="15" hidden="false" customHeight="false" outlineLevel="0" collapsed="false">
      <c r="A618" s="22"/>
      <c r="B618" s="23"/>
      <c r="C618" s="23"/>
      <c r="D618" s="23"/>
      <c r="E618" s="32"/>
      <c r="F618" s="25"/>
      <c r="G618" s="23"/>
      <c r="H618" s="23"/>
      <c r="I618" s="23"/>
      <c r="J618" s="23"/>
      <c r="K618" s="23"/>
      <c r="L618" s="27" t="str">
        <f aca="false">IF($B618="","",IFERROR(INDEX(Properties!$D$5:$D$104,MATCH($B618,Properties!$A$5:$A$104,0)),"-"))</f>
        <v/>
      </c>
      <c r="M618" s="28" t="str">
        <f aca="false">IF(OR($A618="",N($E618)=0),"",$F618/$E618)</f>
        <v/>
      </c>
      <c r="N618" s="28" t="str">
        <f aca="false">IF($A618="","",IF($H618="Y",$F618*(1+Settings!$B$3),0))</f>
        <v/>
      </c>
      <c r="O618" s="27" t="str">
        <f aca="false">IF($A618="","",IF(AND($H618="Y",$G618&lt;&gt;"Restock",N($M618)&gt;Settings!$B$4,$I618&lt;&gt;"Y"),"Get host OK",IF(AND($H618="Y",$F618&gt;Settings!$B$5,$I618&lt;&gt;"Y"),"Host should pay upfront",IF($J618&lt;&gt;"Y","Save receipt","OK"))))</f>
        <v/>
      </c>
      <c r="P618" s="29" t="str">
        <f aca="false">IF($A618="","",DATE(YEAR($A618),MONTH($A618),1))</f>
        <v/>
      </c>
      <c r="Q618" s="31" t="str">
        <f aca="false">IF($A618="","",IF(AND($L618='Invoice Builder'!$C$5,$P618='Invoice Builder'!$C$6,N($N618)&gt;0),COUNTIFS($L$5:$L618,'Invoice Builder'!$C$5,$P$5:$P618,'Invoice Builder'!$C$6,$N$5:$N618,"&gt;0"),""))</f>
        <v/>
      </c>
      <c r="R618" s="27" t="str">
        <f aca="false">IF($A618="","",IF($A618&gt;=DATE(YEAR($A618),4,6),YEAR($A618)&amp;"/"&amp;RIGHT(YEAR($A618)+1,2),YEAR($A618)-1&amp;"/"&amp;RIGHT(YEAR($A618),2)))</f>
        <v/>
      </c>
    </row>
    <row r="619" customFormat="false" ht="15" hidden="false" customHeight="false" outlineLevel="0" collapsed="false">
      <c r="A619" s="22"/>
      <c r="B619" s="23"/>
      <c r="C619" s="23"/>
      <c r="D619" s="23"/>
      <c r="E619" s="32"/>
      <c r="F619" s="25"/>
      <c r="G619" s="23"/>
      <c r="H619" s="23"/>
      <c r="I619" s="23"/>
      <c r="J619" s="23"/>
      <c r="K619" s="23"/>
      <c r="L619" s="27" t="str">
        <f aca="false">IF($B619="","",IFERROR(INDEX(Properties!$D$5:$D$104,MATCH($B619,Properties!$A$5:$A$104,0)),"-"))</f>
        <v/>
      </c>
      <c r="M619" s="28" t="str">
        <f aca="false">IF(OR($A619="",N($E619)=0),"",$F619/$E619)</f>
        <v/>
      </c>
      <c r="N619" s="28" t="str">
        <f aca="false">IF($A619="","",IF($H619="Y",$F619*(1+Settings!$B$3),0))</f>
        <v/>
      </c>
      <c r="O619" s="27" t="str">
        <f aca="false">IF($A619="","",IF(AND($H619="Y",$G619&lt;&gt;"Restock",N($M619)&gt;Settings!$B$4,$I619&lt;&gt;"Y"),"Get host OK",IF(AND($H619="Y",$F619&gt;Settings!$B$5,$I619&lt;&gt;"Y"),"Host should pay upfront",IF($J619&lt;&gt;"Y","Save receipt","OK"))))</f>
        <v/>
      </c>
      <c r="P619" s="29" t="str">
        <f aca="false">IF($A619="","",DATE(YEAR($A619),MONTH($A619),1))</f>
        <v/>
      </c>
      <c r="Q619" s="31" t="str">
        <f aca="false">IF($A619="","",IF(AND($L619='Invoice Builder'!$C$5,$P619='Invoice Builder'!$C$6,N($N619)&gt;0),COUNTIFS($L$5:$L619,'Invoice Builder'!$C$5,$P$5:$P619,'Invoice Builder'!$C$6,$N$5:$N619,"&gt;0"),""))</f>
        <v/>
      </c>
      <c r="R619" s="27" t="str">
        <f aca="false">IF($A619="","",IF($A619&gt;=DATE(YEAR($A619),4,6),YEAR($A619)&amp;"/"&amp;RIGHT(YEAR($A619)+1,2),YEAR($A619)-1&amp;"/"&amp;RIGHT(YEAR($A619),2)))</f>
        <v/>
      </c>
    </row>
    <row r="620" customFormat="false" ht="15" hidden="false" customHeight="false" outlineLevel="0" collapsed="false">
      <c r="A620" s="22"/>
      <c r="B620" s="23"/>
      <c r="C620" s="23"/>
      <c r="D620" s="23"/>
      <c r="E620" s="32"/>
      <c r="F620" s="25"/>
      <c r="G620" s="23"/>
      <c r="H620" s="23"/>
      <c r="I620" s="23"/>
      <c r="J620" s="23"/>
      <c r="K620" s="23"/>
      <c r="L620" s="27" t="str">
        <f aca="false">IF($B620="","",IFERROR(INDEX(Properties!$D$5:$D$104,MATCH($B620,Properties!$A$5:$A$104,0)),"-"))</f>
        <v/>
      </c>
      <c r="M620" s="28" t="str">
        <f aca="false">IF(OR($A620="",N($E620)=0),"",$F620/$E620)</f>
        <v/>
      </c>
      <c r="N620" s="28" t="str">
        <f aca="false">IF($A620="","",IF($H620="Y",$F620*(1+Settings!$B$3),0))</f>
        <v/>
      </c>
      <c r="O620" s="27" t="str">
        <f aca="false">IF($A620="","",IF(AND($H620="Y",$G620&lt;&gt;"Restock",N($M620)&gt;Settings!$B$4,$I620&lt;&gt;"Y"),"Get host OK",IF(AND($H620="Y",$F620&gt;Settings!$B$5,$I620&lt;&gt;"Y"),"Host should pay upfront",IF($J620&lt;&gt;"Y","Save receipt","OK"))))</f>
        <v/>
      </c>
      <c r="P620" s="29" t="str">
        <f aca="false">IF($A620="","",DATE(YEAR($A620),MONTH($A620),1))</f>
        <v/>
      </c>
      <c r="Q620" s="31" t="str">
        <f aca="false">IF($A620="","",IF(AND($L620='Invoice Builder'!$C$5,$P620='Invoice Builder'!$C$6,N($N620)&gt;0),COUNTIFS($L$5:$L620,'Invoice Builder'!$C$5,$P$5:$P620,'Invoice Builder'!$C$6,$N$5:$N620,"&gt;0"),""))</f>
        <v/>
      </c>
      <c r="R620" s="27" t="str">
        <f aca="false">IF($A620="","",IF($A620&gt;=DATE(YEAR($A620),4,6),YEAR($A620)&amp;"/"&amp;RIGHT(YEAR($A620)+1,2),YEAR($A620)-1&amp;"/"&amp;RIGHT(YEAR($A620),2)))</f>
        <v/>
      </c>
    </row>
    <row r="621" customFormat="false" ht="15" hidden="false" customHeight="false" outlineLevel="0" collapsed="false">
      <c r="A621" s="22"/>
      <c r="B621" s="23"/>
      <c r="C621" s="23"/>
      <c r="D621" s="23"/>
      <c r="E621" s="32"/>
      <c r="F621" s="25"/>
      <c r="G621" s="23"/>
      <c r="H621" s="23"/>
      <c r="I621" s="23"/>
      <c r="J621" s="23"/>
      <c r="K621" s="23"/>
      <c r="L621" s="27" t="str">
        <f aca="false">IF($B621="","",IFERROR(INDEX(Properties!$D$5:$D$104,MATCH($B621,Properties!$A$5:$A$104,0)),"-"))</f>
        <v/>
      </c>
      <c r="M621" s="28" t="str">
        <f aca="false">IF(OR($A621="",N($E621)=0),"",$F621/$E621)</f>
        <v/>
      </c>
      <c r="N621" s="28" t="str">
        <f aca="false">IF($A621="","",IF($H621="Y",$F621*(1+Settings!$B$3),0))</f>
        <v/>
      </c>
      <c r="O621" s="27" t="str">
        <f aca="false">IF($A621="","",IF(AND($H621="Y",$G621&lt;&gt;"Restock",N($M621)&gt;Settings!$B$4,$I621&lt;&gt;"Y"),"Get host OK",IF(AND($H621="Y",$F621&gt;Settings!$B$5,$I621&lt;&gt;"Y"),"Host should pay upfront",IF($J621&lt;&gt;"Y","Save receipt","OK"))))</f>
        <v/>
      </c>
      <c r="P621" s="29" t="str">
        <f aca="false">IF($A621="","",DATE(YEAR($A621),MONTH($A621),1))</f>
        <v/>
      </c>
      <c r="Q621" s="31" t="str">
        <f aca="false">IF($A621="","",IF(AND($L621='Invoice Builder'!$C$5,$P621='Invoice Builder'!$C$6,N($N621)&gt;0),COUNTIFS($L$5:$L621,'Invoice Builder'!$C$5,$P$5:$P621,'Invoice Builder'!$C$6,$N$5:$N621,"&gt;0"),""))</f>
        <v/>
      </c>
      <c r="R621" s="27" t="str">
        <f aca="false">IF($A621="","",IF($A621&gt;=DATE(YEAR($A621),4,6),YEAR($A621)&amp;"/"&amp;RIGHT(YEAR($A621)+1,2),YEAR($A621)-1&amp;"/"&amp;RIGHT(YEAR($A621),2)))</f>
        <v/>
      </c>
    </row>
    <row r="622" customFormat="false" ht="15" hidden="false" customHeight="false" outlineLevel="0" collapsed="false">
      <c r="A622" s="22"/>
      <c r="B622" s="23"/>
      <c r="C622" s="23"/>
      <c r="D622" s="23"/>
      <c r="E622" s="32"/>
      <c r="F622" s="25"/>
      <c r="G622" s="23"/>
      <c r="H622" s="23"/>
      <c r="I622" s="23"/>
      <c r="J622" s="23"/>
      <c r="K622" s="23"/>
      <c r="L622" s="27" t="str">
        <f aca="false">IF($B622="","",IFERROR(INDEX(Properties!$D$5:$D$104,MATCH($B622,Properties!$A$5:$A$104,0)),"-"))</f>
        <v/>
      </c>
      <c r="M622" s="28" t="str">
        <f aca="false">IF(OR($A622="",N($E622)=0),"",$F622/$E622)</f>
        <v/>
      </c>
      <c r="N622" s="28" t="str">
        <f aca="false">IF($A622="","",IF($H622="Y",$F622*(1+Settings!$B$3),0))</f>
        <v/>
      </c>
      <c r="O622" s="27" t="str">
        <f aca="false">IF($A622="","",IF(AND($H622="Y",$G622&lt;&gt;"Restock",N($M622)&gt;Settings!$B$4,$I622&lt;&gt;"Y"),"Get host OK",IF(AND($H622="Y",$F622&gt;Settings!$B$5,$I622&lt;&gt;"Y"),"Host should pay upfront",IF($J622&lt;&gt;"Y","Save receipt","OK"))))</f>
        <v/>
      </c>
      <c r="P622" s="29" t="str">
        <f aca="false">IF($A622="","",DATE(YEAR($A622),MONTH($A622),1))</f>
        <v/>
      </c>
      <c r="Q622" s="31" t="str">
        <f aca="false">IF($A622="","",IF(AND($L622='Invoice Builder'!$C$5,$P622='Invoice Builder'!$C$6,N($N622)&gt;0),COUNTIFS($L$5:$L622,'Invoice Builder'!$C$5,$P$5:$P622,'Invoice Builder'!$C$6,$N$5:$N622,"&gt;0"),""))</f>
        <v/>
      </c>
      <c r="R622" s="27" t="str">
        <f aca="false">IF($A622="","",IF($A622&gt;=DATE(YEAR($A622),4,6),YEAR($A622)&amp;"/"&amp;RIGHT(YEAR($A622)+1,2),YEAR($A622)-1&amp;"/"&amp;RIGHT(YEAR($A622),2)))</f>
        <v/>
      </c>
    </row>
    <row r="623" customFormat="false" ht="15" hidden="false" customHeight="false" outlineLevel="0" collapsed="false">
      <c r="A623" s="22"/>
      <c r="B623" s="23"/>
      <c r="C623" s="23"/>
      <c r="D623" s="23"/>
      <c r="E623" s="32"/>
      <c r="F623" s="25"/>
      <c r="G623" s="23"/>
      <c r="H623" s="23"/>
      <c r="I623" s="23"/>
      <c r="J623" s="23"/>
      <c r="K623" s="23"/>
      <c r="L623" s="27" t="str">
        <f aca="false">IF($B623="","",IFERROR(INDEX(Properties!$D$5:$D$104,MATCH($B623,Properties!$A$5:$A$104,0)),"-"))</f>
        <v/>
      </c>
      <c r="M623" s="28" t="str">
        <f aca="false">IF(OR($A623="",N($E623)=0),"",$F623/$E623)</f>
        <v/>
      </c>
      <c r="N623" s="28" t="str">
        <f aca="false">IF($A623="","",IF($H623="Y",$F623*(1+Settings!$B$3),0))</f>
        <v/>
      </c>
      <c r="O623" s="27" t="str">
        <f aca="false">IF($A623="","",IF(AND($H623="Y",$G623&lt;&gt;"Restock",N($M623)&gt;Settings!$B$4,$I623&lt;&gt;"Y"),"Get host OK",IF(AND($H623="Y",$F623&gt;Settings!$B$5,$I623&lt;&gt;"Y"),"Host should pay upfront",IF($J623&lt;&gt;"Y","Save receipt","OK"))))</f>
        <v/>
      </c>
      <c r="P623" s="29" t="str">
        <f aca="false">IF($A623="","",DATE(YEAR($A623),MONTH($A623),1))</f>
        <v/>
      </c>
      <c r="Q623" s="31" t="str">
        <f aca="false">IF($A623="","",IF(AND($L623='Invoice Builder'!$C$5,$P623='Invoice Builder'!$C$6,N($N623)&gt;0),COUNTIFS($L$5:$L623,'Invoice Builder'!$C$5,$P$5:$P623,'Invoice Builder'!$C$6,$N$5:$N623,"&gt;0"),""))</f>
        <v/>
      </c>
      <c r="R623" s="27" t="str">
        <f aca="false">IF($A623="","",IF($A623&gt;=DATE(YEAR($A623),4,6),YEAR($A623)&amp;"/"&amp;RIGHT(YEAR($A623)+1,2),YEAR($A623)-1&amp;"/"&amp;RIGHT(YEAR($A623),2)))</f>
        <v/>
      </c>
    </row>
    <row r="624" customFormat="false" ht="15" hidden="false" customHeight="false" outlineLevel="0" collapsed="false">
      <c r="A624" s="22"/>
      <c r="B624" s="23"/>
      <c r="C624" s="23"/>
      <c r="D624" s="23"/>
      <c r="E624" s="32"/>
      <c r="F624" s="25"/>
      <c r="G624" s="23"/>
      <c r="H624" s="23"/>
      <c r="I624" s="23"/>
      <c r="J624" s="23"/>
      <c r="K624" s="23"/>
      <c r="L624" s="27" t="str">
        <f aca="false">IF($B624="","",IFERROR(INDEX(Properties!$D$5:$D$104,MATCH($B624,Properties!$A$5:$A$104,0)),"-"))</f>
        <v/>
      </c>
      <c r="M624" s="28" t="str">
        <f aca="false">IF(OR($A624="",N($E624)=0),"",$F624/$E624)</f>
        <v/>
      </c>
      <c r="N624" s="28" t="str">
        <f aca="false">IF($A624="","",IF($H624="Y",$F624*(1+Settings!$B$3),0))</f>
        <v/>
      </c>
      <c r="O624" s="27" t="str">
        <f aca="false">IF($A624="","",IF(AND($H624="Y",$G624&lt;&gt;"Restock",N($M624)&gt;Settings!$B$4,$I624&lt;&gt;"Y"),"Get host OK",IF(AND($H624="Y",$F624&gt;Settings!$B$5,$I624&lt;&gt;"Y"),"Host should pay upfront",IF($J624&lt;&gt;"Y","Save receipt","OK"))))</f>
        <v/>
      </c>
      <c r="P624" s="29" t="str">
        <f aca="false">IF($A624="","",DATE(YEAR($A624),MONTH($A624),1))</f>
        <v/>
      </c>
      <c r="Q624" s="31" t="str">
        <f aca="false">IF($A624="","",IF(AND($L624='Invoice Builder'!$C$5,$P624='Invoice Builder'!$C$6,N($N624)&gt;0),COUNTIFS($L$5:$L624,'Invoice Builder'!$C$5,$P$5:$P624,'Invoice Builder'!$C$6,$N$5:$N624,"&gt;0"),""))</f>
        <v/>
      </c>
      <c r="R624" s="27" t="str">
        <f aca="false">IF($A624="","",IF($A624&gt;=DATE(YEAR($A624),4,6),YEAR($A624)&amp;"/"&amp;RIGHT(YEAR($A624)+1,2),YEAR($A624)-1&amp;"/"&amp;RIGHT(YEAR($A624),2)))</f>
        <v/>
      </c>
    </row>
    <row r="625" customFormat="false" ht="15" hidden="false" customHeight="false" outlineLevel="0" collapsed="false">
      <c r="A625" s="22"/>
      <c r="B625" s="23"/>
      <c r="C625" s="23"/>
      <c r="D625" s="23"/>
      <c r="E625" s="32"/>
      <c r="F625" s="25"/>
      <c r="G625" s="23"/>
      <c r="H625" s="23"/>
      <c r="I625" s="23"/>
      <c r="J625" s="23"/>
      <c r="K625" s="23"/>
      <c r="L625" s="27" t="str">
        <f aca="false">IF($B625="","",IFERROR(INDEX(Properties!$D$5:$D$104,MATCH($B625,Properties!$A$5:$A$104,0)),"-"))</f>
        <v/>
      </c>
      <c r="M625" s="28" t="str">
        <f aca="false">IF(OR($A625="",N($E625)=0),"",$F625/$E625)</f>
        <v/>
      </c>
      <c r="N625" s="28" t="str">
        <f aca="false">IF($A625="","",IF($H625="Y",$F625*(1+Settings!$B$3),0))</f>
        <v/>
      </c>
      <c r="O625" s="27" t="str">
        <f aca="false">IF($A625="","",IF(AND($H625="Y",$G625&lt;&gt;"Restock",N($M625)&gt;Settings!$B$4,$I625&lt;&gt;"Y"),"Get host OK",IF(AND($H625="Y",$F625&gt;Settings!$B$5,$I625&lt;&gt;"Y"),"Host should pay upfront",IF($J625&lt;&gt;"Y","Save receipt","OK"))))</f>
        <v/>
      </c>
      <c r="P625" s="29" t="str">
        <f aca="false">IF($A625="","",DATE(YEAR($A625),MONTH($A625),1))</f>
        <v/>
      </c>
      <c r="Q625" s="31" t="str">
        <f aca="false">IF($A625="","",IF(AND($L625='Invoice Builder'!$C$5,$P625='Invoice Builder'!$C$6,N($N625)&gt;0),COUNTIFS($L$5:$L625,'Invoice Builder'!$C$5,$P$5:$P625,'Invoice Builder'!$C$6,$N$5:$N625,"&gt;0"),""))</f>
        <v/>
      </c>
      <c r="R625" s="27" t="str">
        <f aca="false">IF($A625="","",IF($A625&gt;=DATE(YEAR($A625),4,6),YEAR($A625)&amp;"/"&amp;RIGHT(YEAR($A625)+1,2),YEAR($A625)-1&amp;"/"&amp;RIGHT(YEAR($A625),2)))</f>
        <v/>
      </c>
    </row>
    <row r="626" customFormat="false" ht="15" hidden="false" customHeight="false" outlineLevel="0" collapsed="false">
      <c r="A626" s="22"/>
      <c r="B626" s="23"/>
      <c r="C626" s="23"/>
      <c r="D626" s="23"/>
      <c r="E626" s="32"/>
      <c r="F626" s="25"/>
      <c r="G626" s="23"/>
      <c r="H626" s="23"/>
      <c r="I626" s="23"/>
      <c r="J626" s="23"/>
      <c r="K626" s="23"/>
      <c r="L626" s="27" t="str">
        <f aca="false">IF($B626="","",IFERROR(INDEX(Properties!$D$5:$D$104,MATCH($B626,Properties!$A$5:$A$104,0)),"-"))</f>
        <v/>
      </c>
      <c r="M626" s="28" t="str">
        <f aca="false">IF(OR($A626="",N($E626)=0),"",$F626/$E626)</f>
        <v/>
      </c>
      <c r="N626" s="28" t="str">
        <f aca="false">IF($A626="","",IF($H626="Y",$F626*(1+Settings!$B$3),0))</f>
        <v/>
      </c>
      <c r="O626" s="27" t="str">
        <f aca="false">IF($A626="","",IF(AND($H626="Y",$G626&lt;&gt;"Restock",N($M626)&gt;Settings!$B$4,$I626&lt;&gt;"Y"),"Get host OK",IF(AND($H626="Y",$F626&gt;Settings!$B$5,$I626&lt;&gt;"Y"),"Host should pay upfront",IF($J626&lt;&gt;"Y","Save receipt","OK"))))</f>
        <v/>
      </c>
      <c r="P626" s="29" t="str">
        <f aca="false">IF($A626="","",DATE(YEAR($A626),MONTH($A626),1))</f>
        <v/>
      </c>
      <c r="Q626" s="31" t="str">
        <f aca="false">IF($A626="","",IF(AND($L626='Invoice Builder'!$C$5,$P626='Invoice Builder'!$C$6,N($N626)&gt;0),COUNTIFS($L$5:$L626,'Invoice Builder'!$C$5,$P$5:$P626,'Invoice Builder'!$C$6,$N$5:$N626,"&gt;0"),""))</f>
        <v/>
      </c>
      <c r="R626" s="27" t="str">
        <f aca="false">IF($A626="","",IF($A626&gt;=DATE(YEAR($A626),4,6),YEAR($A626)&amp;"/"&amp;RIGHT(YEAR($A626)+1,2),YEAR($A626)-1&amp;"/"&amp;RIGHT(YEAR($A626),2)))</f>
        <v/>
      </c>
    </row>
    <row r="627" customFormat="false" ht="15" hidden="false" customHeight="false" outlineLevel="0" collapsed="false">
      <c r="A627" s="22"/>
      <c r="B627" s="23"/>
      <c r="C627" s="23"/>
      <c r="D627" s="23"/>
      <c r="E627" s="32"/>
      <c r="F627" s="25"/>
      <c r="G627" s="23"/>
      <c r="H627" s="23"/>
      <c r="I627" s="23"/>
      <c r="J627" s="23"/>
      <c r="K627" s="23"/>
      <c r="L627" s="27" t="str">
        <f aca="false">IF($B627="","",IFERROR(INDEX(Properties!$D$5:$D$104,MATCH($B627,Properties!$A$5:$A$104,0)),"-"))</f>
        <v/>
      </c>
      <c r="M627" s="28" t="str">
        <f aca="false">IF(OR($A627="",N($E627)=0),"",$F627/$E627)</f>
        <v/>
      </c>
      <c r="N627" s="28" t="str">
        <f aca="false">IF($A627="","",IF($H627="Y",$F627*(1+Settings!$B$3),0))</f>
        <v/>
      </c>
      <c r="O627" s="27" t="str">
        <f aca="false">IF($A627="","",IF(AND($H627="Y",$G627&lt;&gt;"Restock",N($M627)&gt;Settings!$B$4,$I627&lt;&gt;"Y"),"Get host OK",IF(AND($H627="Y",$F627&gt;Settings!$B$5,$I627&lt;&gt;"Y"),"Host should pay upfront",IF($J627&lt;&gt;"Y","Save receipt","OK"))))</f>
        <v/>
      </c>
      <c r="P627" s="29" t="str">
        <f aca="false">IF($A627="","",DATE(YEAR($A627),MONTH($A627),1))</f>
        <v/>
      </c>
      <c r="Q627" s="31" t="str">
        <f aca="false">IF($A627="","",IF(AND($L627='Invoice Builder'!$C$5,$P627='Invoice Builder'!$C$6,N($N627)&gt;0),COUNTIFS($L$5:$L627,'Invoice Builder'!$C$5,$P$5:$P627,'Invoice Builder'!$C$6,$N$5:$N627,"&gt;0"),""))</f>
        <v/>
      </c>
      <c r="R627" s="27" t="str">
        <f aca="false">IF($A627="","",IF($A627&gt;=DATE(YEAR($A627),4,6),YEAR($A627)&amp;"/"&amp;RIGHT(YEAR($A627)+1,2),YEAR($A627)-1&amp;"/"&amp;RIGHT(YEAR($A627),2)))</f>
        <v/>
      </c>
    </row>
    <row r="628" customFormat="false" ht="15" hidden="false" customHeight="false" outlineLevel="0" collapsed="false">
      <c r="A628" s="22"/>
      <c r="B628" s="23"/>
      <c r="C628" s="23"/>
      <c r="D628" s="23"/>
      <c r="E628" s="32"/>
      <c r="F628" s="25"/>
      <c r="G628" s="23"/>
      <c r="H628" s="23"/>
      <c r="I628" s="23"/>
      <c r="J628" s="23"/>
      <c r="K628" s="23"/>
      <c r="L628" s="27" t="str">
        <f aca="false">IF($B628="","",IFERROR(INDEX(Properties!$D$5:$D$104,MATCH($B628,Properties!$A$5:$A$104,0)),"-"))</f>
        <v/>
      </c>
      <c r="M628" s="28" t="str">
        <f aca="false">IF(OR($A628="",N($E628)=0),"",$F628/$E628)</f>
        <v/>
      </c>
      <c r="N628" s="28" t="str">
        <f aca="false">IF($A628="","",IF($H628="Y",$F628*(1+Settings!$B$3),0))</f>
        <v/>
      </c>
      <c r="O628" s="27" t="str">
        <f aca="false">IF($A628="","",IF(AND($H628="Y",$G628&lt;&gt;"Restock",N($M628)&gt;Settings!$B$4,$I628&lt;&gt;"Y"),"Get host OK",IF(AND($H628="Y",$F628&gt;Settings!$B$5,$I628&lt;&gt;"Y"),"Host should pay upfront",IF($J628&lt;&gt;"Y","Save receipt","OK"))))</f>
        <v/>
      </c>
      <c r="P628" s="29" t="str">
        <f aca="false">IF($A628="","",DATE(YEAR($A628),MONTH($A628),1))</f>
        <v/>
      </c>
      <c r="Q628" s="31" t="str">
        <f aca="false">IF($A628="","",IF(AND($L628='Invoice Builder'!$C$5,$P628='Invoice Builder'!$C$6,N($N628)&gt;0),COUNTIFS($L$5:$L628,'Invoice Builder'!$C$5,$P$5:$P628,'Invoice Builder'!$C$6,$N$5:$N628,"&gt;0"),""))</f>
        <v/>
      </c>
      <c r="R628" s="27" t="str">
        <f aca="false">IF($A628="","",IF($A628&gt;=DATE(YEAR($A628),4,6),YEAR($A628)&amp;"/"&amp;RIGHT(YEAR($A628)+1,2),YEAR($A628)-1&amp;"/"&amp;RIGHT(YEAR($A628),2)))</f>
        <v/>
      </c>
    </row>
    <row r="629" customFormat="false" ht="15" hidden="false" customHeight="false" outlineLevel="0" collapsed="false">
      <c r="A629" s="22"/>
      <c r="B629" s="23"/>
      <c r="C629" s="23"/>
      <c r="D629" s="23"/>
      <c r="E629" s="32"/>
      <c r="F629" s="25"/>
      <c r="G629" s="23"/>
      <c r="H629" s="23"/>
      <c r="I629" s="23"/>
      <c r="J629" s="23"/>
      <c r="K629" s="23"/>
      <c r="L629" s="27" t="str">
        <f aca="false">IF($B629="","",IFERROR(INDEX(Properties!$D$5:$D$104,MATCH($B629,Properties!$A$5:$A$104,0)),"-"))</f>
        <v/>
      </c>
      <c r="M629" s="28" t="str">
        <f aca="false">IF(OR($A629="",N($E629)=0),"",$F629/$E629)</f>
        <v/>
      </c>
      <c r="N629" s="28" t="str">
        <f aca="false">IF($A629="","",IF($H629="Y",$F629*(1+Settings!$B$3),0))</f>
        <v/>
      </c>
      <c r="O629" s="27" t="str">
        <f aca="false">IF($A629="","",IF(AND($H629="Y",$G629&lt;&gt;"Restock",N($M629)&gt;Settings!$B$4,$I629&lt;&gt;"Y"),"Get host OK",IF(AND($H629="Y",$F629&gt;Settings!$B$5,$I629&lt;&gt;"Y"),"Host should pay upfront",IF($J629&lt;&gt;"Y","Save receipt","OK"))))</f>
        <v/>
      </c>
      <c r="P629" s="29" t="str">
        <f aca="false">IF($A629="","",DATE(YEAR($A629),MONTH($A629),1))</f>
        <v/>
      </c>
      <c r="Q629" s="31" t="str">
        <f aca="false">IF($A629="","",IF(AND($L629='Invoice Builder'!$C$5,$P629='Invoice Builder'!$C$6,N($N629)&gt;0),COUNTIFS($L$5:$L629,'Invoice Builder'!$C$5,$P$5:$P629,'Invoice Builder'!$C$6,$N$5:$N629,"&gt;0"),""))</f>
        <v/>
      </c>
      <c r="R629" s="27" t="str">
        <f aca="false">IF($A629="","",IF($A629&gt;=DATE(YEAR($A629),4,6),YEAR($A629)&amp;"/"&amp;RIGHT(YEAR($A629)+1,2),YEAR($A629)-1&amp;"/"&amp;RIGHT(YEAR($A629),2)))</f>
        <v/>
      </c>
    </row>
    <row r="630" customFormat="false" ht="15" hidden="false" customHeight="false" outlineLevel="0" collapsed="false">
      <c r="A630" s="22"/>
      <c r="B630" s="23"/>
      <c r="C630" s="23"/>
      <c r="D630" s="23"/>
      <c r="E630" s="32"/>
      <c r="F630" s="25"/>
      <c r="G630" s="23"/>
      <c r="H630" s="23"/>
      <c r="I630" s="23"/>
      <c r="J630" s="23"/>
      <c r="K630" s="23"/>
      <c r="L630" s="27" t="str">
        <f aca="false">IF($B630="","",IFERROR(INDEX(Properties!$D$5:$D$104,MATCH($B630,Properties!$A$5:$A$104,0)),"-"))</f>
        <v/>
      </c>
      <c r="M630" s="28" t="str">
        <f aca="false">IF(OR($A630="",N($E630)=0),"",$F630/$E630)</f>
        <v/>
      </c>
      <c r="N630" s="28" t="str">
        <f aca="false">IF($A630="","",IF($H630="Y",$F630*(1+Settings!$B$3),0))</f>
        <v/>
      </c>
      <c r="O630" s="27" t="str">
        <f aca="false">IF($A630="","",IF(AND($H630="Y",$G630&lt;&gt;"Restock",N($M630)&gt;Settings!$B$4,$I630&lt;&gt;"Y"),"Get host OK",IF(AND($H630="Y",$F630&gt;Settings!$B$5,$I630&lt;&gt;"Y"),"Host should pay upfront",IF($J630&lt;&gt;"Y","Save receipt","OK"))))</f>
        <v/>
      </c>
      <c r="P630" s="29" t="str">
        <f aca="false">IF($A630="","",DATE(YEAR($A630),MONTH($A630),1))</f>
        <v/>
      </c>
      <c r="Q630" s="31" t="str">
        <f aca="false">IF($A630="","",IF(AND($L630='Invoice Builder'!$C$5,$P630='Invoice Builder'!$C$6,N($N630)&gt;0),COUNTIFS($L$5:$L630,'Invoice Builder'!$C$5,$P$5:$P630,'Invoice Builder'!$C$6,$N$5:$N630,"&gt;0"),""))</f>
        <v/>
      </c>
      <c r="R630" s="27" t="str">
        <f aca="false">IF($A630="","",IF($A630&gt;=DATE(YEAR($A630),4,6),YEAR($A630)&amp;"/"&amp;RIGHT(YEAR($A630)+1,2),YEAR($A630)-1&amp;"/"&amp;RIGHT(YEAR($A630),2)))</f>
        <v/>
      </c>
    </row>
    <row r="631" customFormat="false" ht="15" hidden="false" customHeight="false" outlineLevel="0" collapsed="false">
      <c r="A631" s="22"/>
      <c r="B631" s="23"/>
      <c r="C631" s="23"/>
      <c r="D631" s="23"/>
      <c r="E631" s="32"/>
      <c r="F631" s="25"/>
      <c r="G631" s="23"/>
      <c r="H631" s="23"/>
      <c r="I631" s="23"/>
      <c r="J631" s="23"/>
      <c r="K631" s="23"/>
      <c r="L631" s="27" t="str">
        <f aca="false">IF($B631="","",IFERROR(INDEX(Properties!$D$5:$D$104,MATCH($B631,Properties!$A$5:$A$104,0)),"-"))</f>
        <v/>
      </c>
      <c r="M631" s="28" t="str">
        <f aca="false">IF(OR($A631="",N($E631)=0),"",$F631/$E631)</f>
        <v/>
      </c>
      <c r="N631" s="28" t="str">
        <f aca="false">IF($A631="","",IF($H631="Y",$F631*(1+Settings!$B$3),0))</f>
        <v/>
      </c>
      <c r="O631" s="27" t="str">
        <f aca="false">IF($A631="","",IF(AND($H631="Y",$G631&lt;&gt;"Restock",N($M631)&gt;Settings!$B$4,$I631&lt;&gt;"Y"),"Get host OK",IF(AND($H631="Y",$F631&gt;Settings!$B$5,$I631&lt;&gt;"Y"),"Host should pay upfront",IF($J631&lt;&gt;"Y","Save receipt","OK"))))</f>
        <v/>
      </c>
      <c r="P631" s="29" t="str">
        <f aca="false">IF($A631="","",DATE(YEAR($A631),MONTH($A631),1))</f>
        <v/>
      </c>
      <c r="Q631" s="31" t="str">
        <f aca="false">IF($A631="","",IF(AND($L631='Invoice Builder'!$C$5,$P631='Invoice Builder'!$C$6,N($N631)&gt;0),COUNTIFS($L$5:$L631,'Invoice Builder'!$C$5,$P$5:$P631,'Invoice Builder'!$C$6,$N$5:$N631,"&gt;0"),""))</f>
        <v/>
      </c>
      <c r="R631" s="27" t="str">
        <f aca="false">IF($A631="","",IF($A631&gt;=DATE(YEAR($A631),4,6),YEAR($A631)&amp;"/"&amp;RIGHT(YEAR($A631)+1,2),YEAR($A631)-1&amp;"/"&amp;RIGHT(YEAR($A631),2)))</f>
        <v/>
      </c>
    </row>
    <row r="632" customFormat="false" ht="15" hidden="false" customHeight="false" outlineLevel="0" collapsed="false">
      <c r="A632" s="22"/>
      <c r="B632" s="23"/>
      <c r="C632" s="23"/>
      <c r="D632" s="23"/>
      <c r="E632" s="32"/>
      <c r="F632" s="25"/>
      <c r="G632" s="23"/>
      <c r="H632" s="23"/>
      <c r="I632" s="23"/>
      <c r="J632" s="23"/>
      <c r="K632" s="23"/>
      <c r="L632" s="27" t="str">
        <f aca="false">IF($B632="","",IFERROR(INDEX(Properties!$D$5:$D$104,MATCH($B632,Properties!$A$5:$A$104,0)),"-"))</f>
        <v/>
      </c>
      <c r="M632" s="28" t="str">
        <f aca="false">IF(OR($A632="",N($E632)=0),"",$F632/$E632)</f>
        <v/>
      </c>
      <c r="N632" s="28" t="str">
        <f aca="false">IF($A632="","",IF($H632="Y",$F632*(1+Settings!$B$3),0))</f>
        <v/>
      </c>
      <c r="O632" s="27" t="str">
        <f aca="false">IF($A632="","",IF(AND($H632="Y",$G632&lt;&gt;"Restock",N($M632)&gt;Settings!$B$4,$I632&lt;&gt;"Y"),"Get host OK",IF(AND($H632="Y",$F632&gt;Settings!$B$5,$I632&lt;&gt;"Y"),"Host should pay upfront",IF($J632&lt;&gt;"Y","Save receipt","OK"))))</f>
        <v/>
      </c>
      <c r="P632" s="29" t="str">
        <f aca="false">IF($A632="","",DATE(YEAR($A632),MONTH($A632),1))</f>
        <v/>
      </c>
      <c r="Q632" s="31" t="str">
        <f aca="false">IF($A632="","",IF(AND($L632='Invoice Builder'!$C$5,$P632='Invoice Builder'!$C$6,N($N632)&gt;0),COUNTIFS($L$5:$L632,'Invoice Builder'!$C$5,$P$5:$P632,'Invoice Builder'!$C$6,$N$5:$N632,"&gt;0"),""))</f>
        <v/>
      </c>
      <c r="R632" s="27" t="str">
        <f aca="false">IF($A632="","",IF($A632&gt;=DATE(YEAR($A632),4,6),YEAR($A632)&amp;"/"&amp;RIGHT(YEAR($A632)+1,2),YEAR($A632)-1&amp;"/"&amp;RIGHT(YEAR($A632),2)))</f>
        <v/>
      </c>
    </row>
    <row r="633" customFormat="false" ht="15" hidden="false" customHeight="false" outlineLevel="0" collapsed="false">
      <c r="A633" s="22"/>
      <c r="B633" s="23"/>
      <c r="C633" s="23"/>
      <c r="D633" s="23"/>
      <c r="E633" s="32"/>
      <c r="F633" s="25"/>
      <c r="G633" s="23"/>
      <c r="H633" s="23"/>
      <c r="I633" s="23"/>
      <c r="J633" s="23"/>
      <c r="K633" s="23"/>
      <c r="L633" s="27" t="str">
        <f aca="false">IF($B633="","",IFERROR(INDEX(Properties!$D$5:$D$104,MATCH($B633,Properties!$A$5:$A$104,0)),"-"))</f>
        <v/>
      </c>
      <c r="M633" s="28" t="str">
        <f aca="false">IF(OR($A633="",N($E633)=0),"",$F633/$E633)</f>
        <v/>
      </c>
      <c r="N633" s="28" t="str">
        <f aca="false">IF($A633="","",IF($H633="Y",$F633*(1+Settings!$B$3),0))</f>
        <v/>
      </c>
      <c r="O633" s="27" t="str">
        <f aca="false">IF($A633="","",IF(AND($H633="Y",$G633&lt;&gt;"Restock",N($M633)&gt;Settings!$B$4,$I633&lt;&gt;"Y"),"Get host OK",IF(AND($H633="Y",$F633&gt;Settings!$B$5,$I633&lt;&gt;"Y"),"Host should pay upfront",IF($J633&lt;&gt;"Y","Save receipt","OK"))))</f>
        <v/>
      </c>
      <c r="P633" s="29" t="str">
        <f aca="false">IF($A633="","",DATE(YEAR($A633),MONTH($A633),1))</f>
        <v/>
      </c>
      <c r="Q633" s="31" t="str">
        <f aca="false">IF($A633="","",IF(AND($L633='Invoice Builder'!$C$5,$P633='Invoice Builder'!$C$6,N($N633)&gt;0),COUNTIFS($L$5:$L633,'Invoice Builder'!$C$5,$P$5:$P633,'Invoice Builder'!$C$6,$N$5:$N633,"&gt;0"),""))</f>
        <v/>
      </c>
      <c r="R633" s="27" t="str">
        <f aca="false">IF($A633="","",IF($A633&gt;=DATE(YEAR($A633),4,6),YEAR($A633)&amp;"/"&amp;RIGHT(YEAR($A633)+1,2),YEAR($A633)-1&amp;"/"&amp;RIGHT(YEAR($A633),2)))</f>
        <v/>
      </c>
    </row>
    <row r="634" customFormat="false" ht="15" hidden="false" customHeight="false" outlineLevel="0" collapsed="false">
      <c r="A634" s="22"/>
      <c r="B634" s="23"/>
      <c r="C634" s="23"/>
      <c r="D634" s="23"/>
      <c r="E634" s="32"/>
      <c r="F634" s="25"/>
      <c r="G634" s="23"/>
      <c r="H634" s="23"/>
      <c r="I634" s="23"/>
      <c r="J634" s="23"/>
      <c r="K634" s="23"/>
      <c r="L634" s="27" t="str">
        <f aca="false">IF($B634="","",IFERROR(INDEX(Properties!$D$5:$D$104,MATCH($B634,Properties!$A$5:$A$104,0)),"-"))</f>
        <v/>
      </c>
      <c r="M634" s="28" t="str">
        <f aca="false">IF(OR($A634="",N($E634)=0),"",$F634/$E634)</f>
        <v/>
      </c>
      <c r="N634" s="28" t="str">
        <f aca="false">IF($A634="","",IF($H634="Y",$F634*(1+Settings!$B$3),0))</f>
        <v/>
      </c>
      <c r="O634" s="27" t="str">
        <f aca="false">IF($A634="","",IF(AND($H634="Y",$G634&lt;&gt;"Restock",N($M634)&gt;Settings!$B$4,$I634&lt;&gt;"Y"),"Get host OK",IF(AND($H634="Y",$F634&gt;Settings!$B$5,$I634&lt;&gt;"Y"),"Host should pay upfront",IF($J634&lt;&gt;"Y","Save receipt","OK"))))</f>
        <v/>
      </c>
      <c r="P634" s="29" t="str">
        <f aca="false">IF($A634="","",DATE(YEAR($A634),MONTH($A634),1))</f>
        <v/>
      </c>
      <c r="Q634" s="31" t="str">
        <f aca="false">IF($A634="","",IF(AND($L634='Invoice Builder'!$C$5,$P634='Invoice Builder'!$C$6,N($N634)&gt;0),COUNTIFS($L$5:$L634,'Invoice Builder'!$C$5,$P$5:$P634,'Invoice Builder'!$C$6,$N$5:$N634,"&gt;0"),""))</f>
        <v/>
      </c>
      <c r="R634" s="27" t="str">
        <f aca="false">IF($A634="","",IF($A634&gt;=DATE(YEAR($A634),4,6),YEAR($A634)&amp;"/"&amp;RIGHT(YEAR($A634)+1,2),YEAR($A634)-1&amp;"/"&amp;RIGHT(YEAR($A634),2)))</f>
        <v/>
      </c>
    </row>
    <row r="635" customFormat="false" ht="15" hidden="false" customHeight="false" outlineLevel="0" collapsed="false">
      <c r="A635" s="22"/>
      <c r="B635" s="23"/>
      <c r="C635" s="23"/>
      <c r="D635" s="23"/>
      <c r="E635" s="32"/>
      <c r="F635" s="25"/>
      <c r="G635" s="23"/>
      <c r="H635" s="23"/>
      <c r="I635" s="23"/>
      <c r="J635" s="23"/>
      <c r="K635" s="23"/>
      <c r="L635" s="27" t="str">
        <f aca="false">IF($B635="","",IFERROR(INDEX(Properties!$D$5:$D$104,MATCH($B635,Properties!$A$5:$A$104,0)),"-"))</f>
        <v/>
      </c>
      <c r="M635" s="28" t="str">
        <f aca="false">IF(OR($A635="",N($E635)=0),"",$F635/$E635)</f>
        <v/>
      </c>
      <c r="N635" s="28" t="str">
        <f aca="false">IF($A635="","",IF($H635="Y",$F635*(1+Settings!$B$3),0))</f>
        <v/>
      </c>
      <c r="O635" s="27" t="str">
        <f aca="false">IF($A635="","",IF(AND($H635="Y",$G635&lt;&gt;"Restock",N($M635)&gt;Settings!$B$4,$I635&lt;&gt;"Y"),"Get host OK",IF(AND($H635="Y",$F635&gt;Settings!$B$5,$I635&lt;&gt;"Y"),"Host should pay upfront",IF($J635&lt;&gt;"Y","Save receipt","OK"))))</f>
        <v/>
      </c>
      <c r="P635" s="29" t="str">
        <f aca="false">IF($A635="","",DATE(YEAR($A635),MONTH($A635),1))</f>
        <v/>
      </c>
      <c r="Q635" s="31" t="str">
        <f aca="false">IF($A635="","",IF(AND($L635='Invoice Builder'!$C$5,$P635='Invoice Builder'!$C$6,N($N635)&gt;0),COUNTIFS($L$5:$L635,'Invoice Builder'!$C$5,$P$5:$P635,'Invoice Builder'!$C$6,$N$5:$N635,"&gt;0"),""))</f>
        <v/>
      </c>
      <c r="R635" s="27" t="str">
        <f aca="false">IF($A635="","",IF($A635&gt;=DATE(YEAR($A635),4,6),YEAR($A635)&amp;"/"&amp;RIGHT(YEAR($A635)+1,2),YEAR($A635)-1&amp;"/"&amp;RIGHT(YEAR($A635),2)))</f>
        <v/>
      </c>
    </row>
    <row r="636" customFormat="false" ht="15" hidden="false" customHeight="false" outlineLevel="0" collapsed="false">
      <c r="A636" s="22"/>
      <c r="B636" s="23"/>
      <c r="C636" s="23"/>
      <c r="D636" s="23"/>
      <c r="E636" s="32"/>
      <c r="F636" s="25"/>
      <c r="G636" s="23"/>
      <c r="H636" s="23"/>
      <c r="I636" s="23"/>
      <c r="J636" s="23"/>
      <c r="K636" s="23"/>
      <c r="L636" s="27" t="str">
        <f aca="false">IF($B636="","",IFERROR(INDEX(Properties!$D$5:$D$104,MATCH($B636,Properties!$A$5:$A$104,0)),"-"))</f>
        <v/>
      </c>
      <c r="M636" s="28" t="str">
        <f aca="false">IF(OR($A636="",N($E636)=0),"",$F636/$E636)</f>
        <v/>
      </c>
      <c r="N636" s="28" t="str">
        <f aca="false">IF($A636="","",IF($H636="Y",$F636*(1+Settings!$B$3),0))</f>
        <v/>
      </c>
      <c r="O636" s="27" t="str">
        <f aca="false">IF($A636="","",IF(AND($H636="Y",$G636&lt;&gt;"Restock",N($M636)&gt;Settings!$B$4,$I636&lt;&gt;"Y"),"Get host OK",IF(AND($H636="Y",$F636&gt;Settings!$B$5,$I636&lt;&gt;"Y"),"Host should pay upfront",IF($J636&lt;&gt;"Y","Save receipt","OK"))))</f>
        <v/>
      </c>
      <c r="P636" s="29" t="str">
        <f aca="false">IF($A636="","",DATE(YEAR($A636),MONTH($A636),1))</f>
        <v/>
      </c>
      <c r="Q636" s="31" t="str">
        <f aca="false">IF($A636="","",IF(AND($L636='Invoice Builder'!$C$5,$P636='Invoice Builder'!$C$6,N($N636)&gt;0),COUNTIFS($L$5:$L636,'Invoice Builder'!$C$5,$P$5:$P636,'Invoice Builder'!$C$6,$N$5:$N636,"&gt;0"),""))</f>
        <v/>
      </c>
      <c r="R636" s="27" t="str">
        <f aca="false">IF($A636="","",IF($A636&gt;=DATE(YEAR($A636),4,6),YEAR($A636)&amp;"/"&amp;RIGHT(YEAR($A636)+1,2),YEAR($A636)-1&amp;"/"&amp;RIGHT(YEAR($A636),2)))</f>
        <v/>
      </c>
    </row>
    <row r="637" customFormat="false" ht="15" hidden="false" customHeight="false" outlineLevel="0" collapsed="false">
      <c r="A637" s="22"/>
      <c r="B637" s="23"/>
      <c r="C637" s="23"/>
      <c r="D637" s="23"/>
      <c r="E637" s="32"/>
      <c r="F637" s="25"/>
      <c r="G637" s="23"/>
      <c r="H637" s="23"/>
      <c r="I637" s="23"/>
      <c r="J637" s="23"/>
      <c r="K637" s="23"/>
      <c r="L637" s="27" t="str">
        <f aca="false">IF($B637="","",IFERROR(INDEX(Properties!$D$5:$D$104,MATCH($B637,Properties!$A$5:$A$104,0)),"-"))</f>
        <v/>
      </c>
      <c r="M637" s="28" t="str">
        <f aca="false">IF(OR($A637="",N($E637)=0),"",$F637/$E637)</f>
        <v/>
      </c>
      <c r="N637" s="28" t="str">
        <f aca="false">IF($A637="","",IF($H637="Y",$F637*(1+Settings!$B$3),0))</f>
        <v/>
      </c>
      <c r="O637" s="27" t="str">
        <f aca="false">IF($A637="","",IF(AND($H637="Y",$G637&lt;&gt;"Restock",N($M637)&gt;Settings!$B$4,$I637&lt;&gt;"Y"),"Get host OK",IF(AND($H637="Y",$F637&gt;Settings!$B$5,$I637&lt;&gt;"Y"),"Host should pay upfront",IF($J637&lt;&gt;"Y","Save receipt","OK"))))</f>
        <v/>
      </c>
      <c r="P637" s="29" t="str">
        <f aca="false">IF($A637="","",DATE(YEAR($A637),MONTH($A637),1))</f>
        <v/>
      </c>
      <c r="Q637" s="31" t="str">
        <f aca="false">IF($A637="","",IF(AND($L637='Invoice Builder'!$C$5,$P637='Invoice Builder'!$C$6,N($N637)&gt;0),COUNTIFS($L$5:$L637,'Invoice Builder'!$C$5,$P$5:$P637,'Invoice Builder'!$C$6,$N$5:$N637,"&gt;0"),""))</f>
        <v/>
      </c>
      <c r="R637" s="27" t="str">
        <f aca="false">IF($A637="","",IF($A637&gt;=DATE(YEAR($A637),4,6),YEAR($A637)&amp;"/"&amp;RIGHT(YEAR($A637)+1,2),YEAR($A637)-1&amp;"/"&amp;RIGHT(YEAR($A637),2)))</f>
        <v/>
      </c>
    </row>
    <row r="638" customFormat="false" ht="15" hidden="false" customHeight="false" outlineLevel="0" collapsed="false">
      <c r="A638" s="22"/>
      <c r="B638" s="23"/>
      <c r="C638" s="23"/>
      <c r="D638" s="23"/>
      <c r="E638" s="32"/>
      <c r="F638" s="25"/>
      <c r="G638" s="23"/>
      <c r="H638" s="23"/>
      <c r="I638" s="23"/>
      <c r="J638" s="23"/>
      <c r="K638" s="23"/>
      <c r="L638" s="27" t="str">
        <f aca="false">IF($B638="","",IFERROR(INDEX(Properties!$D$5:$D$104,MATCH($B638,Properties!$A$5:$A$104,0)),"-"))</f>
        <v/>
      </c>
      <c r="M638" s="28" t="str">
        <f aca="false">IF(OR($A638="",N($E638)=0),"",$F638/$E638)</f>
        <v/>
      </c>
      <c r="N638" s="28" t="str">
        <f aca="false">IF($A638="","",IF($H638="Y",$F638*(1+Settings!$B$3),0))</f>
        <v/>
      </c>
      <c r="O638" s="27" t="str">
        <f aca="false">IF($A638="","",IF(AND($H638="Y",$G638&lt;&gt;"Restock",N($M638)&gt;Settings!$B$4,$I638&lt;&gt;"Y"),"Get host OK",IF(AND($H638="Y",$F638&gt;Settings!$B$5,$I638&lt;&gt;"Y"),"Host should pay upfront",IF($J638&lt;&gt;"Y","Save receipt","OK"))))</f>
        <v/>
      </c>
      <c r="P638" s="29" t="str">
        <f aca="false">IF($A638="","",DATE(YEAR($A638),MONTH($A638),1))</f>
        <v/>
      </c>
      <c r="Q638" s="31" t="str">
        <f aca="false">IF($A638="","",IF(AND($L638='Invoice Builder'!$C$5,$P638='Invoice Builder'!$C$6,N($N638)&gt;0),COUNTIFS($L$5:$L638,'Invoice Builder'!$C$5,$P$5:$P638,'Invoice Builder'!$C$6,$N$5:$N638,"&gt;0"),""))</f>
        <v/>
      </c>
      <c r="R638" s="27" t="str">
        <f aca="false">IF($A638="","",IF($A638&gt;=DATE(YEAR($A638),4,6),YEAR($A638)&amp;"/"&amp;RIGHT(YEAR($A638)+1,2),YEAR($A638)-1&amp;"/"&amp;RIGHT(YEAR($A638),2)))</f>
        <v/>
      </c>
    </row>
    <row r="639" customFormat="false" ht="15" hidden="false" customHeight="false" outlineLevel="0" collapsed="false">
      <c r="A639" s="22"/>
      <c r="B639" s="23"/>
      <c r="C639" s="23"/>
      <c r="D639" s="23"/>
      <c r="E639" s="32"/>
      <c r="F639" s="25"/>
      <c r="G639" s="23"/>
      <c r="H639" s="23"/>
      <c r="I639" s="23"/>
      <c r="J639" s="23"/>
      <c r="K639" s="23"/>
      <c r="L639" s="27" t="str">
        <f aca="false">IF($B639="","",IFERROR(INDEX(Properties!$D$5:$D$104,MATCH($B639,Properties!$A$5:$A$104,0)),"-"))</f>
        <v/>
      </c>
      <c r="M639" s="28" t="str">
        <f aca="false">IF(OR($A639="",N($E639)=0),"",$F639/$E639)</f>
        <v/>
      </c>
      <c r="N639" s="28" t="str">
        <f aca="false">IF($A639="","",IF($H639="Y",$F639*(1+Settings!$B$3),0))</f>
        <v/>
      </c>
      <c r="O639" s="27" t="str">
        <f aca="false">IF($A639="","",IF(AND($H639="Y",$G639&lt;&gt;"Restock",N($M639)&gt;Settings!$B$4,$I639&lt;&gt;"Y"),"Get host OK",IF(AND($H639="Y",$F639&gt;Settings!$B$5,$I639&lt;&gt;"Y"),"Host should pay upfront",IF($J639&lt;&gt;"Y","Save receipt","OK"))))</f>
        <v/>
      </c>
      <c r="P639" s="29" t="str">
        <f aca="false">IF($A639="","",DATE(YEAR($A639),MONTH($A639),1))</f>
        <v/>
      </c>
      <c r="Q639" s="31" t="str">
        <f aca="false">IF($A639="","",IF(AND($L639='Invoice Builder'!$C$5,$P639='Invoice Builder'!$C$6,N($N639)&gt;0),COUNTIFS($L$5:$L639,'Invoice Builder'!$C$5,$P$5:$P639,'Invoice Builder'!$C$6,$N$5:$N639,"&gt;0"),""))</f>
        <v/>
      </c>
      <c r="R639" s="27" t="str">
        <f aca="false">IF($A639="","",IF($A639&gt;=DATE(YEAR($A639),4,6),YEAR($A639)&amp;"/"&amp;RIGHT(YEAR($A639)+1,2),YEAR($A639)-1&amp;"/"&amp;RIGHT(YEAR($A639),2)))</f>
        <v/>
      </c>
    </row>
    <row r="640" customFormat="false" ht="15" hidden="false" customHeight="false" outlineLevel="0" collapsed="false">
      <c r="A640" s="22"/>
      <c r="B640" s="23"/>
      <c r="C640" s="23"/>
      <c r="D640" s="23"/>
      <c r="E640" s="32"/>
      <c r="F640" s="25"/>
      <c r="G640" s="23"/>
      <c r="H640" s="23"/>
      <c r="I640" s="23"/>
      <c r="J640" s="23"/>
      <c r="K640" s="23"/>
      <c r="L640" s="27" t="str">
        <f aca="false">IF($B640="","",IFERROR(INDEX(Properties!$D$5:$D$104,MATCH($B640,Properties!$A$5:$A$104,0)),"-"))</f>
        <v/>
      </c>
      <c r="M640" s="28" t="str">
        <f aca="false">IF(OR($A640="",N($E640)=0),"",$F640/$E640)</f>
        <v/>
      </c>
      <c r="N640" s="28" t="str">
        <f aca="false">IF($A640="","",IF($H640="Y",$F640*(1+Settings!$B$3),0))</f>
        <v/>
      </c>
      <c r="O640" s="27" t="str">
        <f aca="false">IF($A640="","",IF(AND($H640="Y",$G640&lt;&gt;"Restock",N($M640)&gt;Settings!$B$4,$I640&lt;&gt;"Y"),"Get host OK",IF(AND($H640="Y",$F640&gt;Settings!$B$5,$I640&lt;&gt;"Y"),"Host should pay upfront",IF($J640&lt;&gt;"Y","Save receipt","OK"))))</f>
        <v/>
      </c>
      <c r="P640" s="29" t="str">
        <f aca="false">IF($A640="","",DATE(YEAR($A640),MONTH($A640),1))</f>
        <v/>
      </c>
      <c r="Q640" s="31" t="str">
        <f aca="false">IF($A640="","",IF(AND($L640='Invoice Builder'!$C$5,$P640='Invoice Builder'!$C$6,N($N640)&gt;0),COUNTIFS($L$5:$L640,'Invoice Builder'!$C$5,$P$5:$P640,'Invoice Builder'!$C$6,$N$5:$N640,"&gt;0"),""))</f>
        <v/>
      </c>
      <c r="R640" s="27" t="str">
        <f aca="false">IF($A640="","",IF($A640&gt;=DATE(YEAR($A640),4,6),YEAR($A640)&amp;"/"&amp;RIGHT(YEAR($A640)+1,2),YEAR($A640)-1&amp;"/"&amp;RIGHT(YEAR($A640),2)))</f>
        <v/>
      </c>
    </row>
    <row r="641" customFormat="false" ht="15" hidden="false" customHeight="false" outlineLevel="0" collapsed="false">
      <c r="A641" s="22"/>
      <c r="B641" s="23"/>
      <c r="C641" s="23"/>
      <c r="D641" s="23"/>
      <c r="E641" s="32"/>
      <c r="F641" s="25"/>
      <c r="G641" s="23"/>
      <c r="H641" s="23"/>
      <c r="I641" s="23"/>
      <c r="J641" s="23"/>
      <c r="K641" s="23"/>
      <c r="L641" s="27" t="str">
        <f aca="false">IF($B641="","",IFERROR(INDEX(Properties!$D$5:$D$104,MATCH($B641,Properties!$A$5:$A$104,0)),"-"))</f>
        <v/>
      </c>
      <c r="M641" s="28" t="str">
        <f aca="false">IF(OR($A641="",N($E641)=0),"",$F641/$E641)</f>
        <v/>
      </c>
      <c r="N641" s="28" t="str">
        <f aca="false">IF($A641="","",IF($H641="Y",$F641*(1+Settings!$B$3),0))</f>
        <v/>
      </c>
      <c r="O641" s="27" t="str">
        <f aca="false">IF($A641="","",IF(AND($H641="Y",$G641&lt;&gt;"Restock",N($M641)&gt;Settings!$B$4,$I641&lt;&gt;"Y"),"Get host OK",IF(AND($H641="Y",$F641&gt;Settings!$B$5,$I641&lt;&gt;"Y"),"Host should pay upfront",IF($J641&lt;&gt;"Y","Save receipt","OK"))))</f>
        <v/>
      </c>
      <c r="P641" s="29" t="str">
        <f aca="false">IF($A641="","",DATE(YEAR($A641),MONTH($A641),1))</f>
        <v/>
      </c>
      <c r="Q641" s="31" t="str">
        <f aca="false">IF($A641="","",IF(AND($L641='Invoice Builder'!$C$5,$P641='Invoice Builder'!$C$6,N($N641)&gt;0),COUNTIFS($L$5:$L641,'Invoice Builder'!$C$5,$P$5:$P641,'Invoice Builder'!$C$6,$N$5:$N641,"&gt;0"),""))</f>
        <v/>
      </c>
      <c r="R641" s="27" t="str">
        <f aca="false">IF($A641="","",IF($A641&gt;=DATE(YEAR($A641),4,6),YEAR($A641)&amp;"/"&amp;RIGHT(YEAR($A641)+1,2),YEAR($A641)-1&amp;"/"&amp;RIGHT(YEAR($A641),2)))</f>
        <v/>
      </c>
    </row>
    <row r="642" customFormat="false" ht="15" hidden="false" customHeight="false" outlineLevel="0" collapsed="false">
      <c r="A642" s="22"/>
      <c r="B642" s="23"/>
      <c r="C642" s="23"/>
      <c r="D642" s="23"/>
      <c r="E642" s="32"/>
      <c r="F642" s="25"/>
      <c r="G642" s="23"/>
      <c r="H642" s="23"/>
      <c r="I642" s="23"/>
      <c r="J642" s="23"/>
      <c r="K642" s="23"/>
      <c r="L642" s="27" t="str">
        <f aca="false">IF($B642="","",IFERROR(INDEX(Properties!$D$5:$D$104,MATCH($B642,Properties!$A$5:$A$104,0)),"-"))</f>
        <v/>
      </c>
      <c r="M642" s="28" t="str">
        <f aca="false">IF(OR($A642="",N($E642)=0),"",$F642/$E642)</f>
        <v/>
      </c>
      <c r="N642" s="28" t="str">
        <f aca="false">IF($A642="","",IF($H642="Y",$F642*(1+Settings!$B$3),0))</f>
        <v/>
      </c>
      <c r="O642" s="27" t="str">
        <f aca="false">IF($A642="","",IF(AND($H642="Y",$G642&lt;&gt;"Restock",N($M642)&gt;Settings!$B$4,$I642&lt;&gt;"Y"),"Get host OK",IF(AND($H642="Y",$F642&gt;Settings!$B$5,$I642&lt;&gt;"Y"),"Host should pay upfront",IF($J642&lt;&gt;"Y","Save receipt","OK"))))</f>
        <v/>
      </c>
      <c r="P642" s="29" t="str">
        <f aca="false">IF($A642="","",DATE(YEAR($A642),MONTH($A642),1))</f>
        <v/>
      </c>
      <c r="Q642" s="31" t="str">
        <f aca="false">IF($A642="","",IF(AND($L642='Invoice Builder'!$C$5,$P642='Invoice Builder'!$C$6,N($N642)&gt;0),COUNTIFS($L$5:$L642,'Invoice Builder'!$C$5,$P$5:$P642,'Invoice Builder'!$C$6,$N$5:$N642,"&gt;0"),""))</f>
        <v/>
      </c>
      <c r="R642" s="27" t="str">
        <f aca="false">IF($A642="","",IF($A642&gt;=DATE(YEAR($A642),4,6),YEAR($A642)&amp;"/"&amp;RIGHT(YEAR($A642)+1,2),YEAR($A642)-1&amp;"/"&amp;RIGHT(YEAR($A642),2)))</f>
        <v/>
      </c>
    </row>
    <row r="643" customFormat="false" ht="15" hidden="false" customHeight="false" outlineLevel="0" collapsed="false">
      <c r="A643" s="22"/>
      <c r="B643" s="23"/>
      <c r="C643" s="23"/>
      <c r="D643" s="23"/>
      <c r="E643" s="32"/>
      <c r="F643" s="25"/>
      <c r="G643" s="23"/>
      <c r="H643" s="23"/>
      <c r="I643" s="23"/>
      <c r="J643" s="23"/>
      <c r="K643" s="23"/>
      <c r="L643" s="27" t="str">
        <f aca="false">IF($B643="","",IFERROR(INDEX(Properties!$D$5:$D$104,MATCH($B643,Properties!$A$5:$A$104,0)),"-"))</f>
        <v/>
      </c>
      <c r="M643" s="28" t="str">
        <f aca="false">IF(OR($A643="",N($E643)=0),"",$F643/$E643)</f>
        <v/>
      </c>
      <c r="N643" s="28" t="str">
        <f aca="false">IF($A643="","",IF($H643="Y",$F643*(1+Settings!$B$3),0))</f>
        <v/>
      </c>
      <c r="O643" s="27" t="str">
        <f aca="false">IF($A643="","",IF(AND($H643="Y",$G643&lt;&gt;"Restock",N($M643)&gt;Settings!$B$4,$I643&lt;&gt;"Y"),"Get host OK",IF(AND($H643="Y",$F643&gt;Settings!$B$5,$I643&lt;&gt;"Y"),"Host should pay upfront",IF($J643&lt;&gt;"Y","Save receipt","OK"))))</f>
        <v/>
      </c>
      <c r="P643" s="29" t="str">
        <f aca="false">IF($A643="","",DATE(YEAR($A643),MONTH($A643),1))</f>
        <v/>
      </c>
      <c r="Q643" s="31" t="str">
        <f aca="false">IF($A643="","",IF(AND($L643='Invoice Builder'!$C$5,$P643='Invoice Builder'!$C$6,N($N643)&gt;0),COUNTIFS($L$5:$L643,'Invoice Builder'!$C$5,$P$5:$P643,'Invoice Builder'!$C$6,$N$5:$N643,"&gt;0"),""))</f>
        <v/>
      </c>
      <c r="R643" s="27" t="str">
        <f aca="false">IF($A643="","",IF($A643&gt;=DATE(YEAR($A643),4,6),YEAR($A643)&amp;"/"&amp;RIGHT(YEAR($A643)+1,2),YEAR($A643)-1&amp;"/"&amp;RIGHT(YEAR($A643),2)))</f>
        <v/>
      </c>
    </row>
    <row r="644" customFormat="false" ht="15" hidden="false" customHeight="false" outlineLevel="0" collapsed="false">
      <c r="A644" s="22"/>
      <c r="B644" s="23"/>
      <c r="C644" s="23"/>
      <c r="D644" s="23"/>
      <c r="E644" s="32"/>
      <c r="F644" s="25"/>
      <c r="G644" s="23"/>
      <c r="H644" s="23"/>
      <c r="I644" s="23"/>
      <c r="J644" s="23"/>
      <c r="K644" s="23"/>
      <c r="L644" s="27" t="str">
        <f aca="false">IF($B644="","",IFERROR(INDEX(Properties!$D$5:$D$104,MATCH($B644,Properties!$A$5:$A$104,0)),"-"))</f>
        <v/>
      </c>
      <c r="M644" s="28" t="str">
        <f aca="false">IF(OR($A644="",N($E644)=0),"",$F644/$E644)</f>
        <v/>
      </c>
      <c r="N644" s="28" t="str">
        <f aca="false">IF($A644="","",IF($H644="Y",$F644*(1+Settings!$B$3),0))</f>
        <v/>
      </c>
      <c r="O644" s="27" t="str">
        <f aca="false">IF($A644="","",IF(AND($H644="Y",$G644&lt;&gt;"Restock",N($M644)&gt;Settings!$B$4,$I644&lt;&gt;"Y"),"Get host OK",IF(AND($H644="Y",$F644&gt;Settings!$B$5,$I644&lt;&gt;"Y"),"Host should pay upfront",IF($J644&lt;&gt;"Y","Save receipt","OK"))))</f>
        <v/>
      </c>
      <c r="P644" s="29" t="str">
        <f aca="false">IF($A644="","",DATE(YEAR($A644),MONTH($A644),1))</f>
        <v/>
      </c>
      <c r="Q644" s="31" t="str">
        <f aca="false">IF($A644="","",IF(AND($L644='Invoice Builder'!$C$5,$P644='Invoice Builder'!$C$6,N($N644)&gt;0),COUNTIFS($L$5:$L644,'Invoice Builder'!$C$5,$P$5:$P644,'Invoice Builder'!$C$6,$N$5:$N644,"&gt;0"),""))</f>
        <v/>
      </c>
      <c r="R644" s="27" t="str">
        <f aca="false">IF($A644="","",IF($A644&gt;=DATE(YEAR($A644),4,6),YEAR($A644)&amp;"/"&amp;RIGHT(YEAR($A644)+1,2),YEAR($A644)-1&amp;"/"&amp;RIGHT(YEAR($A644),2)))</f>
        <v/>
      </c>
    </row>
    <row r="645" customFormat="false" ht="15" hidden="false" customHeight="false" outlineLevel="0" collapsed="false">
      <c r="A645" s="22"/>
      <c r="B645" s="23"/>
      <c r="C645" s="23"/>
      <c r="D645" s="23"/>
      <c r="E645" s="32"/>
      <c r="F645" s="25"/>
      <c r="G645" s="23"/>
      <c r="H645" s="23"/>
      <c r="I645" s="23"/>
      <c r="J645" s="23"/>
      <c r="K645" s="23"/>
      <c r="L645" s="27" t="str">
        <f aca="false">IF($B645="","",IFERROR(INDEX(Properties!$D$5:$D$104,MATCH($B645,Properties!$A$5:$A$104,0)),"-"))</f>
        <v/>
      </c>
      <c r="M645" s="28" t="str">
        <f aca="false">IF(OR($A645="",N($E645)=0),"",$F645/$E645)</f>
        <v/>
      </c>
      <c r="N645" s="28" t="str">
        <f aca="false">IF($A645="","",IF($H645="Y",$F645*(1+Settings!$B$3),0))</f>
        <v/>
      </c>
      <c r="O645" s="27" t="str">
        <f aca="false">IF($A645="","",IF(AND($H645="Y",$G645&lt;&gt;"Restock",N($M645)&gt;Settings!$B$4,$I645&lt;&gt;"Y"),"Get host OK",IF(AND($H645="Y",$F645&gt;Settings!$B$5,$I645&lt;&gt;"Y"),"Host should pay upfront",IF($J645&lt;&gt;"Y","Save receipt","OK"))))</f>
        <v/>
      </c>
      <c r="P645" s="29" t="str">
        <f aca="false">IF($A645="","",DATE(YEAR($A645),MONTH($A645),1))</f>
        <v/>
      </c>
      <c r="Q645" s="31" t="str">
        <f aca="false">IF($A645="","",IF(AND($L645='Invoice Builder'!$C$5,$P645='Invoice Builder'!$C$6,N($N645)&gt;0),COUNTIFS($L$5:$L645,'Invoice Builder'!$C$5,$P$5:$P645,'Invoice Builder'!$C$6,$N$5:$N645,"&gt;0"),""))</f>
        <v/>
      </c>
      <c r="R645" s="27" t="str">
        <f aca="false">IF($A645="","",IF($A645&gt;=DATE(YEAR($A645),4,6),YEAR($A645)&amp;"/"&amp;RIGHT(YEAR($A645)+1,2),YEAR($A645)-1&amp;"/"&amp;RIGHT(YEAR($A645),2)))</f>
        <v/>
      </c>
    </row>
    <row r="646" customFormat="false" ht="15" hidden="false" customHeight="false" outlineLevel="0" collapsed="false">
      <c r="A646" s="22"/>
      <c r="B646" s="23"/>
      <c r="C646" s="23"/>
      <c r="D646" s="23"/>
      <c r="E646" s="32"/>
      <c r="F646" s="25"/>
      <c r="G646" s="23"/>
      <c r="H646" s="23"/>
      <c r="I646" s="23"/>
      <c r="J646" s="23"/>
      <c r="K646" s="23"/>
      <c r="L646" s="27" t="str">
        <f aca="false">IF($B646="","",IFERROR(INDEX(Properties!$D$5:$D$104,MATCH($B646,Properties!$A$5:$A$104,0)),"-"))</f>
        <v/>
      </c>
      <c r="M646" s="28" t="str">
        <f aca="false">IF(OR($A646="",N($E646)=0),"",$F646/$E646)</f>
        <v/>
      </c>
      <c r="N646" s="28" t="str">
        <f aca="false">IF($A646="","",IF($H646="Y",$F646*(1+Settings!$B$3),0))</f>
        <v/>
      </c>
      <c r="O646" s="27" t="str">
        <f aca="false">IF($A646="","",IF(AND($H646="Y",$G646&lt;&gt;"Restock",N($M646)&gt;Settings!$B$4,$I646&lt;&gt;"Y"),"Get host OK",IF(AND($H646="Y",$F646&gt;Settings!$B$5,$I646&lt;&gt;"Y"),"Host should pay upfront",IF($J646&lt;&gt;"Y","Save receipt","OK"))))</f>
        <v/>
      </c>
      <c r="P646" s="29" t="str">
        <f aca="false">IF($A646="","",DATE(YEAR($A646),MONTH($A646),1))</f>
        <v/>
      </c>
      <c r="Q646" s="31" t="str">
        <f aca="false">IF($A646="","",IF(AND($L646='Invoice Builder'!$C$5,$P646='Invoice Builder'!$C$6,N($N646)&gt;0),COUNTIFS($L$5:$L646,'Invoice Builder'!$C$5,$P$5:$P646,'Invoice Builder'!$C$6,$N$5:$N646,"&gt;0"),""))</f>
        <v/>
      </c>
      <c r="R646" s="27" t="str">
        <f aca="false">IF($A646="","",IF($A646&gt;=DATE(YEAR($A646),4,6),YEAR($A646)&amp;"/"&amp;RIGHT(YEAR($A646)+1,2),YEAR($A646)-1&amp;"/"&amp;RIGHT(YEAR($A646),2)))</f>
        <v/>
      </c>
    </row>
    <row r="647" customFormat="false" ht="15" hidden="false" customHeight="false" outlineLevel="0" collapsed="false">
      <c r="A647" s="22"/>
      <c r="B647" s="23"/>
      <c r="C647" s="23"/>
      <c r="D647" s="23"/>
      <c r="E647" s="32"/>
      <c r="F647" s="25"/>
      <c r="G647" s="23"/>
      <c r="H647" s="23"/>
      <c r="I647" s="23"/>
      <c r="J647" s="23"/>
      <c r="K647" s="23"/>
      <c r="L647" s="27" t="str">
        <f aca="false">IF($B647="","",IFERROR(INDEX(Properties!$D$5:$D$104,MATCH($B647,Properties!$A$5:$A$104,0)),"-"))</f>
        <v/>
      </c>
      <c r="M647" s="28" t="str">
        <f aca="false">IF(OR($A647="",N($E647)=0),"",$F647/$E647)</f>
        <v/>
      </c>
      <c r="N647" s="28" t="str">
        <f aca="false">IF($A647="","",IF($H647="Y",$F647*(1+Settings!$B$3),0))</f>
        <v/>
      </c>
      <c r="O647" s="27" t="str">
        <f aca="false">IF($A647="","",IF(AND($H647="Y",$G647&lt;&gt;"Restock",N($M647)&gt;Settings!$B$4,$I647&lt;&gt;"Y"),"Get host OK",IF(AND($H647="Y",$F647&gt;Settings!$B$5,$I647&lt;&gt;"Y"),"Host should pay upfront",IF($J647&lt;&gt;"Y","Save receipt","OK"))))</f>
        <v/>
      </c>
      <c r="P647" s="29" t="str">
        <f aca="false">IF($A647="","",DATE(YEAR($A647),MONTH($A647),1))</f>
        <v/>
      </c>
      <c r="Q647" s="31" t="str">
        <f aca="false">IF($A647="","",IF(AND($L647='Invoice Builder'!$C$5,$P647='Invoice Builder'!$C$6,N($N647)&gt;0),COUNTIFS($L$5:$L647,'Invoice Builder'!$C$5,$P$5:$P647,'Invoice Builder'!$C$6,$N$5:$N647,"&gt;0"),""))</f>
        <v/>
      </c>
      <c r="R647" s="27" t="str">
        <f aca="false">IF($A647="","",IF($A647&gt;=DATE(YEAR($A647),4,6),YEAR($A647)&amp;"/"&amp;RIGHT(YEAR($A647)+1,2),YEAR($A647)-1&amp;"/"&amp;RIGHT(YEAR($A647),2)))</f>
        <v/>
      </c>
    </row>
    <row r="648" customFormat="false" ht="15" hidden="false" customHeight="false" outlineLevel="0" collapsed="false">
      <c r="A648" s="22"/>
      <c r="B648" s="23"/>
      <c r="C648" s="23"/>
      <c r="D648" s="23"/>
      <c r="E648" s="32"/>
      <c r="F648" s="25"/>
      <c r="G648" s="23"/>
      <c r="H648" s="23"/>
      <c r="I648" s="23"/>
      <c r="J648" s="23"/>
      <c r="K648" s="23"/>
      <c r="L648" s="27" t="str">
        <f aca="false">IF($B648="","",IFERROR(INDEX(Properties!$D$5:$D$104,MATCH($B648,Properties!$A$5:$A$104,0)),"-"))</f>
        <v/>
      </c>
      <c r="M648" s="28" t="str">
        <f aca="false">IF(OR($A648="",N($E648)=0),"",$F648/$E648)</f>
        <v/>
      </c>
      <c r="N648" s="28" t="str">
        <f aca="false">IF($A648="","",IF($H648="Y",$F648*(1+Settings!$B$3),0))</f>
        <v/>
      </c>
      <c r="O648" s="27" t="str">
        <f aca="false">IF($A648="","",IF(AND($H648="Y",$G648&lt;&gt;"Restock",N($M648)&gt;Settings!$B$4,$I648&lt;&gt;"Y"),"Get host OK",IF(AND($H648="Y",$F648&gt;Settings!$B$5,$I648&lt;&gt;"Y"),"Host should pay upfront",IF($J648&lt;&gt;"Y","Save receipt","OK"))))</f>
        <v/>
      </c>
      <c r="P648" s="29" t="str">
        <f aca="false">IF($A648="","",DATE(YEAR($A648),MONTH($A648),1))</f>
        <v/>
      </c>
      <c r="Q648" s="31" t="str">
        <f aca="false">IF($A648="","",IF(AND($L648='Invoice Builder'!$C$5,$P648='Invoice Builder'!$C$6,N($N648)&gt;0),COUNTIFS($L$5:$L648,'Invoice Builder'!$C$5,$P$5:$P648,'Invoice Builder'!$C$6,$N$5:$N648,"&gt;0"),""))</f>
        <v/>
      </c>
      <c r="R648" s="27" t="str">
        <f aca="false">IF($A648="","",IF($A648&gt;=DATE(YEAR($A648),4,6),YEAR($A648)&amp;"/"&amp;RIGHT(YEAR($A648)+1,2),YEAR($A648)-1&amp;"/"&amp;RIGHT(YEAR($A648),2)))</f>
        <v/>
      </c>
    </row>
    <row r="649" customFormat="false" ht="15" hidden="false" customHeight="false" outlineLevel="0" collapsed="false">
      <c r="A649" s="22"/>
      <c r="B649" s="23"/>
      <c r="C649" s="23"/>
      <c r="D649" s="23"/>
      <c r="E649" s="32"/>
      <c r="F649" s="25"/>
      <c r="G649" s="23"/>
      <c r="H649" s="23"/>
      <c r="I649" s="23"/>
      <c r="J649" s="23"/>
      <c r="K649" s="23"/>
      <c r="L649" s="27" t="str">
        <f aca="false">IF($B649="","",IFERROR(INDEX(Properties!$D$5:$D$104,MATCH($B649,Properties!$A$5:$A$104,0)),"-"))</f>
        <v/>
      </c>
      <c r="M649" s="28" t="str">
        <f aca="false">IF(OR($A649="",N($E649)=0),"",$F649/$E649)</f>
        <v/>
      </c>
      <c r="N649" s="28" t="str">
        <f aca="false">IF($A649="","",IF($H649="Y",$F649*(1+Settings!$B$3),0))</f>
        <v/>
      </c>
      <c r="O649" s="27" t="str">
        <f aca="false">IF($A649="","",IF(AND($H649="Y",$G649&lt;&gt;"Restock",N($M649)&gt;Settings!$B$4,$I649&lt;&gt;"Y"),"Get host OK",IF(AND($H649="Y",$F649&gt;Settings!$B$5,$I649&lt;&gt;"Y"),"Host should pay upfront",IF($J649&lt;&gt;"Y","Save receipt","OK"))))</f>
        <v/>
      </c>
      <c r="P649" s="29" t="str">
        <f aca="false">IF($A649="","",DATE(YEAR($A649),MONTH($A649),1))</f>
        <v/>
      </c>
      <c r="Q649" s="31" t="str">
        <f aca="false">IF($A649="","",IF(AND($L649='Invoice Builder'!$C$5,$P649='Invoice Builder'!$C$6,N($N649)&gt;0),COUNTIFS($L$5:$L649,'Invoice Builder'!$C$5,$P$5:$P649,'Invoice Builder'!$C$6,$N$5:$N649,"&gt;0"),""))</f>
        <v/>
      </c>
      <c r="R649" s="27" t="str">
        <f aca="false">IF($A649="","",IF($A649&gt;=DATE(YEAR($A649),4,6),YEAR($A649)&amp;"/"&amp;RIGHT(YEAR($A649)+1,2),YEAR($A649)-1&amp;"/"&amp;RIGHT(YEAR($A649),2)))</f>
        <v/>
      </c>
    </row>
    <row r="650" customFormat="false" ht="15" hidden="false" customHeight="false" outlineLevel="0" collapsed="false">
      <c r="A650" s="22"/>
      <c r="B650" s="23"/>
      <c r="C650" s="23"/>
      <c r="D650" s="23"/>
      <c r="E650" s="32"/>
      <c r="F650" s="25"/>
      <c r="G650" s="23"/>
      <c r="H650" s="23"/>
      <c r="I650" s="23"/>
      <c r="J650" s="23"/>
      <c r="K650" s="23"/>
      <c r="L650" s="27" t="str">
        <f aca="false">IF($B650="","",IFERROR(INDEX(Properties!$D$5:$D$104,MATCH($B650,Properties!$A$5:$A$104,0)),"-"))</f>
        <v/>
      </c>
      <c r="M650" s="28" t="str">
        <f aca="false">IF(OR($A650="",N($E650)=0),"",$F650/$E650)</f>
        <v/>
      </c>
      <c r="N650" s="28" t="str">
        <f aca="false">IF($A650="","",IF($H650="Y",$F650*(1+Settings!$B$3),0))</f>
        <v/>
      </c>
      <c r="O650" s="27" t="str">
        <f aca="false">IF($A650="","",IF(AND($H650="Y",$G650&lt;&gt;"Restock",N($M650)&gt;Settings!$B$4,$I650&lt;&gt;"Y"),"Get host OK",IF(AND($H650="Y",$F650&gt;Settings!$B$5,$I650&lt;&gt;"Y"),"Host should pay upfront",IF($J650&lt;&gt;"Y","Save receipt","OK"))))</f>
        <v/>
      </c>
      <c r="P650" s="29" t="str">
        <f aca="false">IF($A650="","",DATE(YEAR($A650),MONTH($A650),1))</f>
        <v/>
      </c>
      <c r="Q650" s="31" t="str">
        <f aca="false">IF($A650="","",IF(AND($L650='Invoice Builder'!$C$5,$P650='Invoice Builder'!$C$6,N($N650)&gt;0),COUNTIFS($L$5:$L650,'Invoice Builder'!$C$5,$P$5:$P650,'Invoice Builder'!$C$6,$N$5:$N650,"&gt;0"),""))</f>
        <v/>
      </c>
      <c r="R650" s="27" t="str">
        <f aca="false">IF($A650="","",IF($A650&gt;=DATE(YEAR($A650),4,6),YEAR($A650)&amp;"/"&amp;RIGHT(YEAR($A650)+1,2),YEAR($A650)-1&amp;"/"&amp;RIGHT(YEAR($A650),2)))</f>
        <v/>
      </c>
    </row>
    <row r="651" customFormat="false" ht="15" hidden="false" customHeight="false" outlineLevel="0" collapsed="false">
      <c r="A651" s="22"/>
      <c r="B651" s="23"/>
      <c r="C651" s="23"/>
      <c r="D651" s="23"/>
      <c r="E651" s="32"/>
      <c r="F651" s="25"/>
      <c r="G651" s="23"/>
      <c r="H651" s="23"/>
      <c r="I651" s="23"/>
      <c r="J651" s="23"/>
      <c r="K651" s="23"/>
      <c r="L651" s="27" t="str">
        <f aca="false">IF($B651="","",IFERROR(INDEX(Properties!$D$5:$D$104,MATCH($B651,Properties!$A$5:$A$104,0)),"-"))</f>
        <v/>
      </c>
      <c r="M651" s="28" t="str">
        <f aca="false">IF(OR($A651="",N($E651)=0),"",$F651/$E651)</f>
        <v/>
      </c>
      <c r="N651" s="28" t="str">
        <f aca="false">IF($A651="","",IF($H651="Y",$F651*(1+Settings!$B$3),0))</f>
        <v/>
      </c>
      <c r="O651" s="27" t="str">
        <f aca="false">IF($A651="","",IF(AND($H651="Y",$G651&lt;&gt;"Restock",N($M651)&gt;Settings!$B$4,$I651&lt;&gt;"Y"),"Get host OK",IF(AND($H651="Y",$F651&gt;Settings!$B$5,$I651&lt;&gt;"Y"),"Host should pay upfront",IF($J651&lt;&gt;"Y","Save receipt","OK"))))</f>
        <v/>
      </c>
      <c r="P651" s="29" t="str">
        <f aca="false">IF($A651="","",DATE(YEAR($A651),MONTH($A651),1))</f>
        <v/>
      </c>
      <c r="Q651" s="31" t="str">
        <f aca="false">IF($A651="","",IF(AND($L651='Invoice Builder'!$C$5,$P651='Invoice Builder'!$C$6,N($N651)&gt;0),COUNTIFS($L$5:$L651,'Invoice Builder'!$C$5,$P$5:$P651,'Invoice Builder'!$C$6,$N$5:$N651,"&gt;0"),""))</f>
        <v/>
      </c>
      <c r="R651" s="27" t="str">
        <f aca="false">IF($A651="","",IF($A651&gt;=DATE(YEAR($A651),4,6),YEAR($A651)&amp;"/"&amp;RIGHT(YEAR($A651)+1,2),YEAR($A651)-1&amp;"/"&amp;RIGHT(YEAR($A651),2)))</f>
        <v/>
      </c>
    </row>
    <row r="652" customFormat="false" ht="15" hidden="false" customHeight="false" outlineLevel="0" collapsed="false">
      <c r="A652" s="22"/>
      <c r="B652" s="23"/>
      <c r="C652" s="23"/>
      <c r="D652" s="23"/>
      <c r="E652" s="32"/>
      <c r="F652" s="25"/>
      <c r="G652" s="23"/>
      <c r="H652" s="23"/>
      <c r="I652" s="23"/>
      <c r="J652" s="23"/>
      <c r="K652" s="23"/>
      <c r="L652" s="27" t="str">
        <f aca="false">IF($B652="","",IFERROR(INDEX(Properties!$D$5:$D$104,MATCH($B652,Properties!$A$5:$A$104,0)),"-"))</f>
        <v/>
      </c>
      <c r="M652" s="28" t="str">
        <f aca="false">IF(OR($A652="",N($E652)=0),"",$F652/$E652)</f>
        <v/>
      </c>
      <c r="N652" s="28" t="str">
        <f aca="false">IF($A652="","",IF($H652="Y",$F652*(1+Settings!$B$3),0))</f>
        <v/>
      </c>
      <c r="O652" s="27" t="str">
        <f aca="false">IF($A652="","",IF(AND($H652="Y",$G652&lt;&gt;"Restock",N($M652)&gt;Settings!$B$4,$I652&lt;&gt;"Y"),"Get host OK",IF(AND($H652="Y",$F652&gt;Settings!$B$5,$I652&lt;&gt;"Y"),"Host should pay upfront",IF($J652&lt;&gt;"Y","Save receipt","OK"))))</f>
        <v/>
      </c>
      <c r="P652" s="29" t="str">
        <f aca="false">IF($A652="","",DATE(YEAR($A652),MONTH($A652),1))</f>
        <v/>
      </c>
      <c r="Q652" s="31" t="str">
        <f aca="false">IF($A652="","",IF(AND($L652='Invoice Builder'!$C$5,$P652='Invoice Builder'!$C$6,N($N652)&gt;0),COUNTIFS($L$5:$L652,'Invoice Builder'!$C$5,$P$5:$P652,'Invoice Builder'!$C$6,$N$5:$N652,"&gt;0"),""))</f>
        <v/>
      </c>
      <c r="R652" s="27" t="str">
        <f aca="false">IF($A652="","",IF($A652&gt;=DATE(YEAR($A652),4,6),YEAR($A652)&amp;"/"&amp;RIGHT(YEAR($A652)+1,2),YEAR($A652)-1&amp;"/"&amp;RIGHT(YEAR($A652),2)))</f>
        <v/>
      </c>
    </row>
    <row r="653" customFormat="false" ht="15" hidden="false" customHeight="false" outlineLevel="0" collapsed="false">
      <c r="A653" s="22"/>
      <c r="B653" s="23"/>
      <c r="C653" s="23"/>
      <c r="D653" s="23"/>
      <c r="E653" s="32"/>
      <c r="F653" s="25"/>
      <c r="G653" s="23"/>
      <c r="H653" s="23"/>
      <c r="I653" s="23"/>
      <c r="J653" s="23"/>
      <c r="K653" s="23"/>
      <c r="L653" s="27" t="str">
        <f aca="false">IF($B653="","",IFERROR(INDEX(Properties!$D$5:$D$104,MATCH($B653,Properties!$A$5:$A$104,0)),"-"))</f>
        <v/>
      </c>
      <c r="M653" s="28" t="str">
        <f aca="false">IF(OR($A653="",N($E653)=0),"",$F653/$E653)</f>
        <v/>
      </c>
      <c r="N653" s="28" t="str">
        <f aca="false">IF($A653="","",IF($H653="Y",$F653*(1+Settings!$B$3),0))</f>
        <v/>
      </c>
      <c r="O653" s="27" t="str">
        <f aca="false">IF($A653="","",IF(AND($H653="Y",$G653&lt;&gt;"Restock",N($M653)&gt;Settings!$B$4,$I653&lt;&gt;"Y"),"Get host OK",IF(AND($H653="Y",$F653&gt;Settings!$B$5,$I653&lt;&gt;"Y"),"Host should pay upfront",IF($J653&lt;&gt;"Y","Save receipt","OK"))))</f>
        <v/>
      </c>
      <c r="P653" s="29" t="str">
        <f aca="false">IF($A653="","",DATE(YEAR($A653),MONTH($A653),1))</f>
        <v/>
      </c>
      <c r="Q653" s="31" t="str">
        <f aca="false">IF($A653="","",IF(AND($L653='Invoice Builder'!$C$5,$P653='Invoice Builder'!$C$6,N($N653)&gt;0),COUNTIFS($L$5:$L653,'Invoice Builder'!$C$5,$P$5:$P653,'Invoice Builder'!$C$6,$N$5:$N653,"&gt;0"),""))</f>
        <v/>
      </c>
      <c r="R653" s="27" t="str">
        <f aca="false">IF($A653="","",IF($A653&gt;=DATE(YEAR($A653),4,6),YEAR($A653)&amp;"/"&amp;RIGHT(YEAR($A653)+1,2),YEAR($A653)-1&amp;"/"&amp;RIGHT(YEAR($A653),2)))</f>
        <v/>
      </c>
    </row>
    <row r="654" customFormat="false" ht="15" hidden="false" customHeight="false" outlineLevel="0" collapsed="false">
      <c r="A654" s="22"/>
      <c r="B654" s="23"/>
      <c r="C654" s="23"/>
      <c r="D654" s="23"/>
      <c r="E654" s="32"/>
      <c r="F654" s="25"/>
      <c r="G654" s="23"/>
      <c r="H654" s="23"/>
      <c r="I654" s="23"/>
      <c r="J654" s="23"/>
      <c r="K654" s="23"/>
      <c r="L654" s="27" t="str">
        <f aca="false">IF($B654="","",IFERROR(INDEX(Properties!$D$5:$D$104,MATCH($B654,Properties!$A$5:$A$104,0)),"-"))</f>
        <v/>
      </c>
      <c r="M654" s="28" t="str">
        <f aca="false">IF(OR($A654="",N($E654)=0),"",$F654/$E654)</f>
        <v/>
      </c>
      <c r="N654" s="28" t="str">
        <f aca="false">IF($A654="","",IF($H654="Y",$F654*(1+Settings!$B$3),0))</f>
        <v/>
      </c>
      <c r="O654" s="27" t="str">
        <f aca="false">IF($A654="","",IF(AND($H654="Y",$G654&lt;&gt;"Restock",N($M654)&gt;Settings!$B$4,$I654&lt;&gt;"Y"),"Get host OK",IF(AND($H654="Y",$F654&gt;Settings!$B$5,$I654&lt;&gt;"Y"),"Host should pay upfront",IF($J654&lt;&gt;"Y","Save receipt","OK"))))</f>
        <v/>
      </c>
      <c r="P654" s="29" t="str">
        <f aca="false">IF($A654="","",DATE(YEAR($A654),MONTH($A654),1))</f>
        <v/>
      </c>
      <c r="Q654" s="31" t="str">
        <f aca="false">IF($A654="","",IF(AND($L654='Invoice Builder'!$C$5,$P654='Invoice Builder'!$C$6,N($N654)&gt;0),COUNTIFS($L$5:$L654,'Invoice Builder'!$C$5,$P$5:$P654,'Invoice Builder'!$C$6,$N$5:$N654,"&gt;0"),""))</f>
        <v/>
      </c>
      <c r="R654" s="27" t="str">
        <f aca="false">IF($A654="","",IF($A654&gt;=DATE(YEAR($A654),4,6),YEAR($A654)&amp;"/"&amp;RIGHT(YEAR($A654)+1,2),YEAR($A654)-1&amp;"/"&amp;RIGHT(YEAR($A654),2)))</f>
        <v/>
      </c>
    </row>
    <row r="655" customFormat="false" ht="15" hidden="false" customHeight="false" outlineLevel="0" collapsed="false">
      <c r="A655" s="22"/>
      <c r="B655" s="23"/>
      <c r="C655" s="23"/>
      <c r="D655" s="23"/>
      <c r="E655" s="32"/>
      <c r="F655" s="25"/>
      <c r="G655" s="23"/>
      <c r="H655" s="23"/>
      <c r="I655" s="23"/>
      <c r="J655" s="23"/>
      <c r="K655" s="23"/>
      <c r="L655" s="27" t="str">
        <f aca="false">IF($B655="","",IFERROR(INDEX(Properties!$D$5:$D$104,MATCH($B655,Properties!$A$5:$A$104,0)),"-"))</f>
        <v/>
      </c>
      <c r="M655" s="28" t="str">
        <f aca="false">IF(OR($A655="",N($E655)=0),"",$F655/$E655)</f>
        <v/>
      </c>
      <c r="N655" s="28" t="str">
        <f aca="false">IF($A655="","",IF($H655="Y",$F655*(1+Settings!$B$3),0))</f>
        <v/>
      </c>
      <c r="O655" s="27" t="str">
        <f aca="false">IF($A655="","",IF(AND($H655="Y",$G655&lt;&gt;"Restock",N($M655)&gt;Settings!$B$4,$I655&lt;&gt;"Y"),"Get host OK",IF(AND($H655="Y",$F655&gt;Settings!$B$5,$I655&lt;&gt;"Y"),"Host should pay upfront",IF($J655&lt;&gt;"Y","Save receipt","OK"))))</f>
        <v/>
      </c>
      <c r="P655" s="29" t="str">
        <f aca="false">IF($A655="","",DATE(YEAR($A655),MONTH($A655),1))</f>
        <v/>
      </c>
      <c r="Q655" s="31" t="str">
        <f aca="false">IF($A655="","",IF(AND($L655='Invoice Builder'!$C$5,$P655='Invoice Builder'!$C$6,N($N655)&gt;0),COUNTIFS($L$5:$L655,'Invoice Builder'!$C$5,$P$5:$P655,'Invoice Builder'!$C$6,$N$5:$N655,"&gt;0"),""))</f>
        <v/>
      </c>
      <c r="R655" s="27" t="str">
        <f aca="false">IF($A655="","",IF($A655&gt;=DATE(YEAR($A655),4,6),YEAR($A655)&amp;"/"&amp;RIGHT(YEAR($A655)+1,2),YEAR($A655)-1&amp;"/"&amp;RIGHT(YEAR($A655),2)))</f>
        <v/>
      </c>
    </row>
    <row r="656" customFormat="false" ht="15" hidden="false" customHeight="false" outlineLevel="0" collapsed="false">
      <c r="A656" s="22"/>
      <c r="B656" s="23"/>
      <c r="C656" s="23"/>
      <c r="D656" s="23"/>
      <c r="E656" s="32"/>
      <c r="F656" s="25"/>
      <c r="G656" s="23"/>
      <c r="H656" s="23"/>
      <c r="I656" s="23"/>
      <c r="J656" s="23"/>
      <c r="K656" s="23"/>
      <c r="L656" s="27" t="str">
        <f aca="false">IF($B656="","",IFERROR(INDEX(Properties!$D$5:$D$104,MATCH($B656,Properties!$A$5:$A$104,0)),"-"))</f>
        <v/>
      </c>
      <c r="M656" s="28" t="str">
        <f aca="false">IF(OR($A656="",N($E656)=0),"",$F656/$E656)</f>
        <v/>
      </c>
      <c r="N656" s="28" t="str">
        <f aca="false">IF($A656="","",IF($H656="Y",$F656*(1+Settings!$B$3),0))</f>
        <v/>
      </c>
      <c r="O656" s="27" t="str">
        <f aca="false">IF($A656="","",IF(AND($H656="Y",$G656&lt;&gt;"Restock",N($M656)&gt;Settings!$B$4,$I656&lt;&gt;"Y"),"Get host OK",IF(AND($H656="Y",$F656&gt;Settings!$B$5,$I656&lt;&gt;"Y"),"Host should pay upfront",IF($J656&lt;&gt;"Y","Save receipt","OK"))))</f>
        <v/>
      </c>
      <c r="P656" s="29" t="str">
        <f aca="false">IF($A656="","",DATE(YEAR($A656),MONTH($A656),1))</f>
        <v/>
      </c>
      <c r="Q656" s="31" t="str">
        <f aca="false">IF($A656="","",IF(AND($L656='Invoice Builder'!$C$5,$P656='Invoice Builder'!$C$6,N($N656)&gt;0),COUNTIFS($L$5:$L656,'Invoice Builder'!$C$5,$P$5:$P656,'Invoice Builder'!$C$6,$N$5:$N656,"&gt;0"),""))</f>
        <v/>
      </c>
      <c r="R656" s="27" t="str">
        <f aca="false">IF($A656="","",IF($A656&gt;=DATE(YEAR($A656),4,6),YEAR($A656)&amp;"/"&amp;RIGHT(YEAR($A656)+1,2),YEAR($A656)-1&amp;"/"&amp;RIGHT(YEAR($A656),2)))</f>
        <v/>
      </c>
    </row>
    <row r="657" customFormat="false" ht="15" hidden="false" customHeight="false" outlineLevel="0" collapsed="false">
      <c r="A657" s="22"/>
      <c r="B657" s="23"/>
      <c r="C657" s="23"/>
      <c r="D657" s="23"/>
      <c r="E657" s="32"/>
      <c r="F657" s="25"/>
      <c r="G657" s="23"/>
      <c r="H657" s="23"/>
      <c r="I657" s="23"/>
      <c r="J657" s="23"/>
      <c r="K657" s="23"/>
      <c r="L657" s="27" t="str">
        <f aca="false">IF($B657="","",IFERROR(INDEX(Properties!$D$5:$D$104,MATCH($B657,Properties!$A$5:$A$104,0)),"-"))</f>
        <v/>
      </c>
      <c r="M657" s="28" t="str">
        <f aca="false">IF(OR($A657="",N($E657)=0),"",$F657/$E657)</f>
        <v/>
      </c>
      <c r="N657" s="28" t="str">
        <f aca="false">IF($A657="","",IF($H657="Y",$F657*(1+Settings!$B$3),0))</f>
        <v/>
      </c>
      <c r="O657" s="27" t="str">
        <f aca="false">IF($A657="","",IF(AND($H657="Y",$G657&lt;&gt;"Restock",N($M657)&gt;Settings!$B$4,$I657&lt;&gt;"Y"),"Get host OK",IF(AND($H657="Y",$F657&gt;Settings!$B$5,$I657&lt;&gt;"Y"),"Host should pay upfront",IF($J657&lt;&gt;"Y","Save receipt","OK"))))</f>
        <v/>
      </c>
      <c r="P657" s="29" t="str">
        <f aca="false">IF($A657="","",DATE(YEAR($A657),MONTH($A657),1))</f>
        <v/>
      </c>
      <c r="Q657" s="31" t="str">
        <f aca="false">IF($A657="","",IF(AND($L657='Invoice Builder'!$C$5,$P657='Invoice Builder'!$C$6,N($N657)&gt;0),COUNTIFS($L$5:$L657,'Invoice Builder'!$C$5,$P$5:$P657,'Invoice Builder'!$C$6,$N$5:$N657,"&gt;0"),""))</f>
        <v/>
      </c>
      <c r="R657" s="27" t="str">
        <f aca="false">IF($A657="","",IF($A657&gt;=DATE(YEAR($A657),4,6),YEAR($A657)&amp;"/"&amp;RIGHT(YEAR($A657)+1,2),YEAR($A657)-1&amp;"/"&amp;RIGHT(YEAR($A657),2)))</f>
        <v/>
      </c>
    </row>
    <row r="658" customFormat="false" ht="15" hidden="false" customHeight="false" outlineLevel="0" collapsed="false">
      <c r="A658" s="22"/>
      <c r="B658" s="23"/>
      <c r="C658" s="23"/>
      <c r="D658" s="23"/>
      <c r="E658" s="32"/>
      <c r="F658" s="25"/>
      <c r="G658" s="23"/>
      <c r="H658" s="23"/>
      <c r="I658" s="23"/>
      <c r="J658" s="23"/>
      <c r="K658" s="23"/>
      <c r="L658" s="27" t="str">
        <f aca="false">IF($B658="","",IFERROR(INDEX(Properties!$D$5:$D$104,MATCH($B658,Properties!$A$5:$A$104,0)),"-"))</f>
        <v/>
      </c>
      <c r="M658" s="28" t="str">
        <f aca="false">IF(OR($A658="",N($E658)=0),"",$F658/$E658)</f>
        <v/>
      </c>
      <c r="N658" s="28" t="str">
        <f aca="false">IF($A658="","",IF($H658="Y",$F658*(1+Settings!$B$3),0))</f>
        <v/>
      </c>
      <c r="O658" s="27" t="str">
        <f aca="false">IF($A658="","",IF(AND($H658="Y",$G658&lt;&gt;"Restock",N($M658)&gt;Settings!$B$4,$I658&lt;&gt;"Y"),"Get host OK",IF(AND($H658="Y",$F658&gt;Settings!$B$5,$I658&lt;&gt;"Y"),"Host should pay upfront",IF($J658&lt;&gt;"Y","Save receipt","OK"))))</f>
        <v/>
      </c>
      <c r="P658" s="29" t="str">
        <f aca="false">IF($A658="","",DATE(YEAR($A658),MONTH($A658),1))</f>
        <v/>
      </c>
      <c r="Q658" s="31" t="str">
        <f aca="false">IF($A658="","",IF(AND($L658='Invoice Builder'!$C$5,$P658='Invoice Builder'!$C$6,N($N658)&gt;0),COUNTIFS($L$5:$L658,'Invoice Builder'!$C$5,$P$5:$P658,'Invoice Builder'!$C$6,$N$5:$N658,"&gt;0"),""))</f>
        <v/>
      </c>
      <c r="R658" s="27" t="str">
        <f aca="false">IF($A658="","",IF($A658&gt;=DATE(YEAR($A658),4,6),YEAR($A658)&amp;"/"&amp;RIGHT(YEAR($A658)+1,2),YEAR($A658)-1&amp;"/"&amp;RIGHT(YEAR($A658),2)))</f>
        <v/>
      </c>
    </row>
    <row r="659" customFormat="false" ht="15" hidden="false" customHeight="false" outlineLevel="0" collapsed="false">
      <c r="A659" s="22"/>
      <c r="B659" s="23"/>
      <c r="C659" s="23"/>
      <c r="D659" s="23"/>
      <c r="E659" s="32"/>
      <c r="F659" s="25"/>
      <c r="G659" s="23"/>
      <c r="H659" s="23"/>
      <c r="I659" s="23"/>
      <c r="J659" s="23"/>
      <c r="K659" s="23"/>
      <c r="L659" s="27" t="str">
        <f aca="false">IF($B659="","",IFERROR(INDEX(Properties!$D$5:$D$104,MATCH($B659,Properties!$A$5:$A$104,0)),"-"))</f>
        <v/>
      </c>
      <c r="M659" s="28" t="str">
        <f aca="false">IF(OR($A659="",N($E659)=0),"",$F659/$E659)</f>
        <v/>
      </c>
      <c r="N659" s="28" t="str">
        <f aca="false">IF($A659="","",IF($H659="Y",$F659*(1+Settings!$B$3),0))</f>
        <v/>
      </c>
      <c r="O659" s="27" t="str">
        <f aca="false">IF($A659="","",IF(AND($H659="Y",$G659&lt;&gt;"Restock",N($M659)&gt;Settings!$B$4,$I659&lt;&gt;"Y"),"Get host OK",IF(AND($H659="Y",$F659&gt;Settings!$B$5,$I659&lt;&gt;"Y"),"Host should pay upfront",IF($J659&lt;&gt;"Y","Save receipt","OK"))))</f>
        <v/>
      </c>
      <c r="P659" s="29" t="str">
        <f aca="false">IF($A659="","",DATE(YEAR($A659),MONTH($A659),1))</f>
        <v/>
      </c>
      <c r="Q659" s="31" t="str">
        <f aca="false">IF($A659="","",IF(AND($L659='Invoice Builder'!$C$5,$P659='Invoice Builder'!$C$6,N($N659)&gt;0),COUNTIFS($L$5:$L659,'Invoice Builder'!$C$5,$P$5:$P659,'Invoice Builder'!$C$6,$N$5:$N659,"&gt;0"),""))</f>
        <v/>
      </c>
      <c r="R659" s="27" t="str">
        <f aca="false">IF($A659="","",IF($A659&gt;=DATE(YEAR($A659),4,6),YEAR($A659)&amp;"/"&amp;RIGHT(YEAR($A659)+1,2),YEAR($A659)-1&amp;"/"&amp;RIGHT(YEAR($A659),2)))</f>
        <v/>
      </c>
    </row>
    <row r="660" customFormat="false" ht="15" hidden="false" customHeight="false" outlineLevel="0" collapsed="false">
      <c r="A660" s="22"/>
      <c r="B660" s="23"/>
      <c r="C660" s="23"/>
      <c r="D660" s="23"/>
      <c r="E660" s="32"/>
      <c r="F660" s="25"/>
      <c r="G660" s="23"/>
      <c r="H660" s="23"/>
      <c r="I660" s="23"/>
      <c r="J660" s="23"/>
      <c r="K660" s="23"/>
      <c r="L660" s="27" t="str">
        <f aca="false">IF($B660="","",IFERROR(INDEX(Properties!$D$5:$D$104,MATCH($B660,Properties!$A$5:$A$104,0)),"-"))</f>
        <v/>
      </c>
      <c r="M660" s="28" t="str">
        <f aca="false">IF(OR($A660="",N($E660)=0),"",$F660/$E660)</f>
        <v/>
      </c>
      <c r="N660" s="28" t="str">
        <f aca="false">IF($A660="","",IF($H660="Y",$F660*(1+Settings!$B$3),0))</f>
        <v/>
      </c>
      <c r="O660" s="27" t="str">
        <f aca="false">IF($A660="","",IF(AND($H660="Y",$G660&lt;&gt;"Restock",N($M660)&gt;Settings!$B$4,$I660&lt;&gt;"Y"),"Get host OK",IF(AND($H660="Y",$F660&gt;Settings!$B$5,$I660&lt;&gt;"Y"),"Host should pay upfront",IF($J660&lt;&gt;"Y","Save receipt","OK"))))</f>
        <v/>
      </c>
      <c r="P660" s="29" t="str">
        <f aca="false">IF($A660="","",DATE(YEAR($A660),MONTH($A660),1))</f>
        <v/>
      </c>
      <c r="Q660" s="31" t="str">
        <f aca="false">IF($A660="","",IF(AND($L660='Invoice Builder'!$C$5,$P660='Invoice Builder'!$C$6,N($N660)&gt;0),COUNTIFS($L$5:$L660,'Invoice Builder'!$C$5,$P$5:$P660,'Invoice Builder'!$C$6,$N$5:$N660,"&gt;0"),""))</f>
        <v/>
      </c>
      <c r="R660" s="27" t="str">
        <f aca="false">IF($A660="","",IF($A660&gt;=DATE(YEAR($A660),4,6),YEAR($A660)&amp;"/"&amp;RIGHT(YEAR($A660)+1,2),YEAR($A660)-1&amp;"/"&amp;RIGHT(YEAR($A660),2)))</f>
        <v/>
      </c>
    </row>
    <row r="661" customFormat="false" ht="15" hidden="false" customHeight="false" outlineLevel="0" collapsed="false">
      <c r="A661" s="22"/>
      <c r="B661" s="23"/>
      <c r="C661" s="23"/>
      <c r="D661" s="23"/>
      <c r="E661" s="32"/>
      <c r="F661" s="25"/>
      <c r="G661" s="23"/>
      <c r="H661" s="23"/>
      <c r="I661" s="23"/>
      <c r="J661" s="23"/>
      <c r="K661" s="23"/>
      <c r="L661" s="27" t="str">
        <f aca="false">IF($B661="","",IFERROR(INDEX(Properties!$D$5:$D$104,MATCH($B661,Properties!$A$5:$A$104,0)),"-"))</f>
        <v/>
      </c>
      <c r="M661" s="28" t="str">
        <f aca="false">IF(OR($A661="",N($E661)=0),"",$F661/$E661)</f>
        <v/>
      </c>
      <c r="N661" s="28" t="str">
        <f aca="false">IF($A661="","",IF($H661="Y",$F661*(1+Settings!$B$3),0))</f>
        <v/>
      </c>
      <c r="O661" s="27" t="str">
        <f aca="false">IF($A661="","",IF(AND($H661="Y",$G661&lt;&gt;"Restock",N($M661)&gt;Settings!$B$4,$I661&lt;&gt;"Y"),"Get host OK",IF(AND($H661="Y",$F661&gt;Settings!$B$5,$I661&lt;&gt;"Y"),"Host should pay upfront",IF($J661&lt;&gt;"Y","Save receipt","OK"))))</f>
        <v/>
      </c>
      <c r="P661" s="29" t="str">
        <f aca="false">IF($A661="","",DATE(YEAR($A661),MONTH($A661),1))</f>
        <v/>
      </c>
      <c r="Q661" s="31" t="str">
        <f aca="false">IF($A661="","",IF(AND($L661='Invoice Builder'!$C$5,$P661='Invoice Builder'!$C$6,N($N661)&gt;0),COUNTIFS($L$5:$L661,'Invoice Builder'!$C$5,$P$5:$P661,'Invoice Builder'!$C$6,$N$5:$N661,"&gt;0"),""))</f>
        <v/>
      </c>
      <c r="R661" s="27" t="str">
        <f aca="false">IF($A661="","",IF($A661&gt;=DATE(YEAR($A661),4,6),YEAR($A661)&amp;"/"&amp;RIGHT(YEAR($A661)+1,2),YEAR($A661)-1&amp;"/"&amp;RIGHT(YEAR($A661),2)))</f>
        <v/>
      </c>
    </row>
    <row r="662" customFormat="false" ht="15" hidden="false" customHeight="false" outlineLevel="0" collapsed="false">
      <c r="A662" s="22"/>
      <c r="B662" s="23"/>
      <c r="C662" s="23"/>
      <c r="D662" s="23"/>
      <c r="E662" s="32"/>
      <c r="F662" s="25"/>
      <c r="G662" s="23"/>
      <c r="H662" s="23"/>
      <c r="I662" s="23"/>
      <c r="J662" s="23"/>
      <c r="K662" s="23"/>
      <c r="L662" s="27" t="str">
        <f aca="false">IF($B662="","",IFERROR(INDEX(Properties!$D$5:$D$104,MATCH($B662,Properties!$A$5:$A$104,0)),"-"))</f>
        <v/>
      </c>
      <c r="M662" s="28" t="str">
        <f aca="false">IF(OR($A662="",N($E662)=0),"",$F662/$E662)</f>
        <v/>
      </c>
      <c r="N662" s="28" t="str">
        <f aca="false">IF($A662="","",IF($H662="Y",$F662*(1+Settings!$B$3),0))</f>
        <v/>
      </c>
      <c r="O662" s="27" t="str">
        <f aca="false">IF($A662="","",IF(AND($H662="Y",$G662&lt;&gt;"Restock",N($M662)&gt;Settings!$B$4,$I662&lt;&gt;"Y"),"Get host OK",IF(AND($H662="Y",$F662&gt;Settings!$B$5,$I662&lt;&gt;"Y"),"Host should pay upfront",IF($J662&lt;&gt;"Y","Save receipt","OK"))))</f>
        <v/>
      </c>
      <c r="P662" s="29" t="str">
        <f aca="false">IF($A662="","",DATE(YEAR($A662),MONTH($A662),1))</f>
        <v/>
      </c>
      <c r="Q662" s="31" t="str">
        <f aca="false">IF($A662="","",IF(AND($L662='Invoice Builder'!$C$5,$P662='Invoice Builder'!$C$6,N($N662)&gt;0),COUNTIFS($L$5:$L662,'Invoice Builder'!$C$5,$P$5:$P662,'Invoice Builder'!$C$6,$N$5:$N662,"&gt;0"),""))</f>
        <v/>
      </c>
      <c r="R662" s="27" t="str">
        <f aca="false">IF($A662="","",IF($A662&gt;=DATE(YEAR($A662),4,6),YEAR($A662)&amp;"/"&amp;RIGHT(YEAR($A662)+1,2),YEAR($A662)-1&amp;"/"&amp;RIGHT(YEAR($A662),2)))</f>
        <v/>
      </c>
    </row>
    <row r="663" customFormat="false" ht="15" hidden="false" customHeight="false" outlineLevel="0" collapsed="false">
      <c r="A663" s="22"/>
      <c r="B663" s="23"/>
      <c r="C663" s="23"/>
      <c r="D663" s="23"/>
      <c r="E663" s="32"/>
      <c r="F663" s="25"/>
      <c r="G663" s="23"/>
      <c r="H663" s="23"/>
      <c r="I663" s="23"/>
      <c r="J663" s="23"/>
      <c r="K663" s="23"/>
      <c r="L663" s="27" t="str">
        <f aca="false">IF($B663="","",IFERROR(INDEX(Properties!$D$5:$D$104,MATCH($B663,Properties!$A$5:$A$104,0)),"-"))</f>
        <v/>
      </c>
      <c r="M663" s="28" t="str">
        <f aca="false">IF(OR($A663="",N($E663)=0),"",$F663/$E663)</f>
        <v/>
      </c>
      <c r="N663" s="28" t="str">
        <f aca="false">IF($A663="","",IF($H663="Y",$F663*(1+Settings!$B$3),0))</f>
        <v/>
      </c>
      <c r="O663" s="27" t="str">
        <f aca="false">IF($A663="","",IF(AND($H663="Y",$G663&lt;&gt;"Restock",N($M663)&gt;Settings!$B$4,$I663&lt;&gt;"Y"),"Get host OK",IF(AND($H663="Y",$F663&gt;Settings!$B$5,$I663&lt;&gt;"Y"),"Host should pay upfront",IF($J663&lt;&gt;"Y","Save receipt","OK"))))</f>
        <v/>
      </c>
      <c r="P663" s="29" t="str">
        <f aca="false">IF($A663="","",DATE(YEAR($A663),MONTH($A663),1))</f>
        <v/>
      </c>
      <c r="Q663" s="31" t="str">
        <f aca="false">IF($A663="","",IF(AND($L663='Invoice Builder'!$C$5,$P663='Invoice Builder'!$C$6,N($N663)&gt;0),COUNTIFS($L$5:$L663,'Invoice Builder'!$C$5,$P$5:$P663,'Invoice Builder'!$C$6,$N$5:$N663,"&gt;0"),""))</f>
        <v/>
      </c>
      <c r="R663" s="27" t="str">
        <f aca="false">IF($A663="","",IF($A663&gt;=DATE(YEAR($A663),4,6),YEAR($A663)&amp;"/"&amp;RIGHT(YEAR($A663)+1,2),YEAR($A663)-1&amp;"/"&amp;RIGHT(YEAR($A663),2)))</f>
        <v/>
      </c>
    </row>
    <row r="664" customFormat="false" ht="15" hidden="false" customHeight="false" outlineLevel="0" collapsed="false">
      <c r="A664" s="22"/>
      <c r="B664" s="23"/>
      <c r="C664" s="23"/>
      <c r="D664" s="23"/>
      <c r="E664" s="32"/>
      <c r="F664" s="25"/>
      <c r="G664" s="23"/>
      <c r="H664" s="23"/>
      <c r="I664" s="23"/>
      <c r="J664" s="23"/>
      <c r="K664" s="23"/>
      <c r="L664" s="27" t="str">
        <f aca="false">IF($B664="","",IFERROR(INDEX(Properties!$D$5:$D$104,MATCH($B664,Properties!$A$5:$A$104,0)),"-"))</f>
        <v/>
      </c>
      <c r="M664" s="28" t="str">
        <f aca="false">IF(OR($A664="",N($E664)=0),"",$F664/$E664)</f>
        <v/>
      </c>
      <c r="N664" s="28" t="str">
        <f aca="false">IF($A664="","",IF($H664="Y",$F664*(1+Settings!$B$3),0))</f>
        <v/>
      </c>
      <c r="O664" s="27" t="str">
        <f aca="false">IF($A664="","",IF(AND($H664="Y",$G664&lt;&gt;"Restock",N($M664)&gt;Settings!$B$4,$I664&lt;&gt;"Y"),"Get host OK",IF(AND($H664="Y",$F664&gt;Settings!$B$5,$I664&lt;&gt;"Y"),"Host should pay upfront",IF($J664&lt;&gt;"Y","Save receipt","OK"))))</f>
        <v/>
      </c>
      <c r="P664" s="29" t="str">
        <f aca="false">IF($A664="","",DATE(YEAR($A664),MONTH($A664),1))</f>
        <v/>
      </c>
      <c r="Q664" s="31" t="str">
        <f aca="false">IF($A664="","",IF(AND($L664='Invoice Builder'!$C$5,$P664='Invoice Builder'!$C$6,N($N664)&gt;0),COUNTIFS($L$5:$L664,'Invoice Builder'!$C$5,$P$5:$P664,'Invoice Builder'!$C$6,$N$5:$N664,"&gt;0"),""))</f>
        <v/>
      </c>
      <c r="R664" s="27" t="str">
        <f aca="false">IF($A664="","",IF($A664&gt;=DATE(YEAR($A664),4,6),YEAR($A664)&amp;"/"&amp;RIGHT(YEAR($A664)+1,2),YEAR($A664)-1&amp;"/"&amp;RIGHT(YEAR($A664),2)))</f>
        <v/>
      </c>
    </row>
    <row r="665" customFormat="false" ht="15" hidden="false" customHeight="false" outlineLevel="0" collapsed="false">
      <c r="A665" s="22"/>
      <c r="B665" s="23"/>
      <c r="C665" s="23"/>
      <c r="D665" s="23"/>
      <c r="E665" s="32"/>
      <c r="F665" s="25"/>
      <c r="G665" s="23"/>
      <c r="H665" s="23"/>
      <c r="I665" s="23"/>
      <c r="J665" s="23"/>
      <c r="K665" s="23"/>
      <c r="L665" s="27" t="str">
        <f aca="false">IF($B665="","",IFERROR(INDEX(Properties!$D$5:$D$104,MATCH($B665,Properties!$A$5:$A$104,0)),"-"))</f>
        <v/>
      </c>
      <c r="M665" s="28" t="str">
        <f aca="false">IF(OR($A665="",N($E665)=0),"",$F665/$E665)</f>
        <v/>
      </c>
      <c r="N665" s="28" t="str">
        <f aca="false">IF($A665="","",IF($H665="Y",$F665*(1+Settings!$B$3),0))</f>
        <v/>
      </c>
      <c r="O665" s="27" t="str">
        <f aca="false">IF($A665="","",IF(AND($H665="Y",$G665&lt;&gt;"Restock",N($M665)&gt;Settings!$B$4,$I665&lt;&gt;"Y"),"Get host OK",IF(AND($H665="Y",$F665&gt;Settings!$B$5,$I665&lt;&gt;"Y"),"Host should pay upfront",IF($J665&lt;&gt;"Y","Save receipt","OK"))))</f>
        <v/>
      </c>
      <c r="P665" s="29" t="str">
        <f aca="false">IF($A665="","",DATE(YEAR($A665),MONTH($A665),1))</f>
        <v/>
      </c>
      <c r="Q665" s="31" t="str">
        <f aca="false">IF($A665="","",IF(AND($L665='Invoice Builder'!$C$5,$P665='Invoice Builder'!$C$6,N($N665)&gt;0),COUNTIFS($L$5:$L665,'Invoice Builder'!$C$5,$P$5:$P665,'Invoice Builder'!$C$6,$N$5:$N665,"&gt;0"),""))</f>
        <v/>
      </c>
      <c r="R665" s="27" t="str">
        <f aca="false">IF($A665="","",IF($A665&gt;=DATE(YEAR($A665),4,6),YEAR($A665)&amp;"/"&amp;RIGHT(YEAR($A665)+1,2),YEAR($A665)-1&amp;"/"&amp;RIGHT(YEAR($A665),2)))</f>
        <v/>
      </c>
    </row>
    <row r="666" customFormat="false" ht="15" hidden="false" customHeight="false" outlineLevel="0" collapsed="false">
      <c r="A666" s="22"/>
      <c r="B666" s="23"/>
      <c r="C666" s="23"/>
      <c r="D666" s="23"/>
      <c r="E666" s="32"/>
      <c r="F666" s="25"/>
      <c r="G666" s="23"/>
      <c r="H666" s="23"/>
      <c r="I666" s="23"/>
      <c r="J666" s="23"/>
      <c r="K666" s="23"/>
      <c r="L666" s="27" t="str">
        <f aca="false">IF($B666="","",IFERROR(INDEX(Properties!$D$5:$D$104,MATCH($B666,Properties!$A$5:$A$104,0)),"-"))</f>
        <v/>
      </c>
      <c r="M666" s="28" t="str">
        <f aca="false">IF(OR($A666="",N($E666)=0),"",$F666/$E666)</f>
        <v/>
      </c>
      <c r="N666" s="28" t="str">
        <f aca="false">IF($A666="","",IF($H666="Y",$F666*(1+Settings!$B$3),0))</f>
        <v/>
      </c>
      <c r="O666" s="27" t="str">
        <f aca="false">IF($A666="","",IF(AND($H666="Y",$G666&lt;&gt;"Restock",N($M666)&gt;Settings!$B$4,$I666&lt;&gt;"Y"),"Get host OK",IF(AND($H666="Y",$F666&gt;Settings!$B$5,$I666&lt;&gt;"Y"),"Host should pay upfront",IF($J666&lt;&gt;"Y","Save receipt","OK"))))</f>
        <v/>
      </c>
      <c r="P666" s="29" t="str">
        <f aca="false">IF($A666="","",DATE(YEAR($A666),MONTH($A666),1))</f>
        <v/>
      </c>
      <c r="Q666" s="31" t="str">
        <f aca="false">IF($A666="","",IF(AND($L666='Invoice Builder'!$C$5,$P666='Invoice Builder'!$C$6,N($N666)&gt;0),COUNTIFS($L$5:$L666,'Invoice Builder'!$C$5,$P$5:$P666,'Invoice Builder'!$C$6,$N$5:$N666,"&gt;0"),""))</f>
        <v/>
      </c>
      <c r="R666" s="27" t="str">
        <f aca="false">IF($A666="","",IF($A666&gt;=DATE(YEAR($A666),4,6),YEAR($A666)&amp;"/"&amp;RIGHT(YEAR($A666)+1,2),YEAR($A666)-1&amp;"/"&amp;RIGHT(YEAR($A666),2)))</f>
        <v/>
      </c>
    </row>
    <row r="667" customFormat="false" ht="15" hidden="false" customHeight="false" outlineLevel="0" collapsed="false">
      <c r="A667" s="22"/>
      <c r="B667" s="23"/>
      <c r="C667" s="23"/>
      <c r="D667" s="23"/>
      <c r="E667" s="32"/>
      <c r="F667" s="25"/>
      <c r="G667" s="23"/>
      <c r="H667" s="23"/>
      <c r="I667" s="23"/>
      <c r="J667" s="23"/>
      <c r="K667" s="23"/>
      <c r="L667" s="27" t="str">
        <f aca="false">IF($B667="","",IFERROR(INDEX(Properties!$D$5:$D$104,MATCH($B667,Properties!$A$5:$A$104,0)),"-"))</f>
        <v/>
      </c>
      <c r="M667" s="28" t="str">
        <f aca="false">IF(OR($A667="",N($E667)=0),"",$F667/$E667)</f>
        <v/>
      </c>
      <c r="N667" s="28" t="str">
        <f aca="false">IF($A667="","",IF($H667="Y",$F667*(1+Settings!$B$3),0))</f>
        <v/>
      </c>
      <c r="O667" s="27" t="str">
        <f aca="false">IF($A667="","",IF(AND($H667="Y",$G667&lt;&gt;"Restock",N($M667)&gt;Settings!$B$4,$I667&lt;&gt;"Y"),"Get host OK",IF(AND($H667="Y",$F667&gt;Settings!$B$5,$I667&lt;&gt;"Y"),"Host should pay upfront",IF($J667&lt;&gt;"Y","Save receipt","OK"))))</f>
        <v/>
      </c>
      <c r="P667" s="29" t="str">
        <f aca="false">IF($A667="","",DATE(YEAR($A667),MONTH($A667),1))</f>
        <v/>
      </c>
      <c r="Q667" s="31" t="str">
        <f aca="false">IF($A667="","",IF(AND($L667='Invoice Builder'!$C$5,$P667='Invoice Builder'!$C$6,N($N667)&gt;0),COUNTIFS($L$5:$L667,'Invoice Builder'!$C$5,$P$5:$P667,'Invoice Builder'!$C$6,$N$5:$N667,"&gt;0"),""))</f>
        <v/>
      </c>
      <c r="R667" s="27" t="str">
        <f aca="false">IF($A667="","",IF($A667&gt;=DATE(YEAR($A667),4,6),YEAR($A667)&amp;"/"&amp;RIGHT(YEAR($A667)+1,2),YEAR($A667)-1&amp;"/"&amp;RIGHT(YEAR($A667),2)))</f>
        <v/>
      </c>
    </row>
    <row r="668" customFormat="false" ht="15" hidden="false" customHeight="false" outlineLevel="0" collapsed="false">
      <c r="A668" s="22"/>
      <c r="B668" s="23"/>
      <c r="C668" s="23"/>
      <c r="D668" s="23"/>
      <c r="E668" s="32"/>
      <c r="F668" s="25"/>
      <c r="G668" s="23"/>
      <c r="H668" s="23"/>
      <c r="I668" s="23"/>
      <c r="J668" s="23"/>
      <c r="K668" s="23"/>
      <c r="L668" s="27" t="str">
        <f aca="false">IF($B668="","",IFERROR(INDEX(Properties!$D$5:$D$104,MATCH($B668,Properties!$A$5:$A$104,0)),"-"))</f>
        <v/>
      </c>
      <c r="M668" s="28" t="str">
        <f aca="false">IF(OR($A668="",N($E668)=0),"",$F668/$E668)</f>
        <v/>
      </c>
      <c r="N668" s="28" t="str">
        <f aca="false">IF($A668="","",IF($H668="Y",$F668*(1+Settings!$B$3),0))</f>
        <v/>
      </c>
      <c r="O668" s="27" t="str">
        <f aca="false">IF($A668="","",IF(AND($H668="Y",$G668&lt;&gt;"Restock",N($M668)&gt;Settings!$B$4,$I668&lt;&gt;"Y"),"Get host OK",IF(AND($H668="Y",$F668&gt;Settings!$B$5,$I668&lt;&gt;"Y"),"Host should pay upfront",IF($J668&lt;&gt;"Y","Save receipt","OK"))))</f>
        <v/>
      </c>
      <c r="P668" s="29" t="str">
        <f aca="false">IF($A668="","",DATE(YEAR($A668),MONTH($A668),1))</f>
        <v/>
      </c>
      <c r="Q668" s="31" t="str">
        <f aca="false">IF($A668="","",IF(AND($L668='Invoice Builder'!$C$5,$P668='Invoice Builder'!$C$6,N($N668)&gt;0),COUNTIFS($L$5:$L668,'Invoice Builder'!$C$5,$P$5:$P668,'Invoice Builder'!$C$6,$N$5:$N668,"&gt;0"),""))</f>
        <v/>
      </c>
      <c r="R668" s="27" t="str">
        <f aca="false">IF($A668="","",IF($A668&gt;=DATE(YEAR($A668),4,6),YEAR($A668)&amp;"/"&amp;RIGHT(YEAR($A668)+1,2),YEAR($A668)-1&amp;"/"&amp;RIGHT(YEAR($A668),2)))</f>
        <v/>
      </c>
    </row>
    <row r="669" customFormat="false" ht="15" hidden="false" customHeight="false" outlineLevel="0" collapsed="false">
      <c r="A669" s="22"/>
      <c r="B669" s="23"/>
      <c r="C669" s="23"/>
      <c r="D669" s="23"/>
      <c r="E669" s="32"/>
      <c r="F669" s="25"/>
      <c r="G669" s="23"/>
      <c r="H669" s="23"/>
      <c r="I669" s="23"/>
      <c r="J669" s="23"/>
      <c r="K669" s="23"/>
      <c r="L669" s="27" t="str">
        <f aca="false">IF($B669="","",IFERROR(INDEX(Properties!$D$5:$D$104,MATCH($B669,Properties!$A$5:$A$104,0)),"-"))</f>
        <v/>
      </c>
      <c r="M669" s="28" t="str">
        <f aca="false">IF(OR($A669="",N($E669)=0),"",$F669/$E669)</f>
        <v/>
      </c>
      <c r="N669" s="28" t="str">
        <f aca="false">IF($A669="","",IF($H669="Y",$F669*(1+Settings!$B$3),0))</f>
        <v/>
      </c>
      <c r="O669" s="27" t="str">
        <f aca="false">IF($A669="","",IF(AND($H669="Y",$G669&lt;&gt;"Restock",N($M669)&gt;Settings!$B$4,$I669&lt;&gt;"Y"),"Get host OK",IF(AND($H669="Y",$F669&gt;Settings!$B$5,$I669&lt;&gt;"Y"),"Host should pay upfront",IF($J669&lt;&gt;"Y","Save receipt","OK"))))</f>
        <v/>
      </c>
      <c r="P669" s="29" t="str">
        <f aca="false">IF($A669="","",DATE(YEAR($A669),MONTH($A669),1))</f>
        <v/>
      </c>
      <c r="Q669" s="31" t="str">
        <f aca="false">IF($A669="","",IF(AND($L669='Invoice Builder'!$C$5,$P669='Invoice Builder'!$C$6,N($N669)&gt;0),COUNTIFS($L$5:$L669,'Invoice Builder'!$C$5,$P$5:$P669,'Invoice Builder'!$C$6,$N$5:$N669,"&gt;0"),""))</f>
        <v/>
      </c>
      <c r="R669" s="27" t="str">
        <f aca="false">IF($A669="","",IF($A669&gt;=DATE(YEAR($A669),4,6),YEAR($A669)&amp;"/"&amp;RIGHT(YEAR($A669)+1,2),YEAR($A669)-1&amp;"/"&amp;RIGHT(YEAR($A669),2)))</f>
        <v/>
      </c>
    </row>
    <row r="670" customFormat="false" ht="15" hidden="false" customHeight="false" outlineLevel="0" collapsed="false">
      <c r="A670" s="22"/>
      <c r="B670" s="23"/>
      <c r="C670" s="23"/>
      <c r="D670" s="23"/>
      <c r="E670" s="32"/>
      <c r="F670" s="25"/>
      <c r="G670" s="23"/>
      <c r="H670" s="23"/>
      <c r="I670" s="23"/>
      <c r="J670" s="23"/>
      <c r="K670" s="23"/>
      <c r="L670" s="27" t="str">
        <f aca="false">IF($B670="","",IFERROR(INDEX(Properties!$D$5:$D$104,MATCH($B670,Properties!$A$5:$A$104,0)),"-"))</f>
        <v/>
      </c>
      <c r="M670" s="28" t="str">
        <f aca="false">IF(OR($A670="",N($E670)=0),"",$F670/$E670)</f>
        <v/>
      </c>
      <c r="N670" s="28" t="str">
        <f aca="false">IF($A670="","",IF($H670="Y",$F670*(1+Settings!$B$3),0))</f>
        <v/>
      </c>
      <c r="O670" s="27" t="str">
        <f aca="false">IF($A670="","",IF(AND($H670="Y",$G670&lt;&gt;"Restock",N($M670)&gt;Settings!$B$4,$I670&lt;&gt;"Y"),"Get host OK",IF(AND($H670="Y",$F670&gt;Settings!$B$5,$I670&lt;&gt;"Y"),"Host should pay upfront",IF($J670&lt;&gt;"Y","Save receipt","OK"))))</f>
        <v/>
      </c>
      <c r="P670" s="29" t="str">
        <f aca="false">IF($A670="","",DATE(YEAR($A670),MONTH($A670),1))</f>
        <v/>
      </c>
      <c r="Q670" s="31" t="str">
        <f aca="false">IF($A670="","",IF(AND($L670='Invoice Builder'!$C$5,$P670='Invoice Builder'!$C$6,N($N670)&gt;0),COUNTIFS($L$5:$L670,'Invoice Builder'!$C$5,$P$5:$P670,'Invoice Builder'!$C$6,$N$5:$N670,"&gt;0"),""))</f>
        <v/>
      </c>
      <c r="R670" s="27" t="str">
        <f aca="false">IF($A670="","",IF($A670&gt;=DATE(YEAR($A670),4,6),YEAR($A670)&amp;"/"&amp;RIGHT(YEAR($A670)+1,2),YEAR($A670)-1&amp;"/"&amp;RIGHT(YEAR($A670),2)))</f>
        <v/>
      </c>
    </row>
    <row r="671" customFormat="false" ht="15" hidden="false" customHeight="false" outlineLevel="0" collapsed="false">
      <c r="A671" s="22"/>
      <c r="B671" s="23"/>
      <c r="C671" s="23"/>
      <c r="D671" s="23"/>
      <c r="E671" s="32"/>
      <c r="F671" s="25"/>
      <c r="G671" s="23"/>
      <c r="H671" s="23"/>
      <c r="I671" s="23"/>
      <c r="J671" s="23"/>
      <c r="K671" s="23"/>
      <c r="L671" s="27" t="str">
        <f aca="false">IF($B671="","",IFERROR(INDEX(Properties!$D$5:$D$104,MATCH($B671,Properties!$A$5:$A$104,0)),"-"))</f>
        <v/>
      </c>
      <c r="M671" s="28" t="str">
        <f aca="false">IF(OR($A671="",N($E671)=0),"",$F671/$E671)</f>
        <v/>
      </c>
      <c r="N671" s="28" t="str">
        <f aca="false">IF($A671="","",IF($H671="Y",$F671*(1+Settings!$B$3),0))</f>
        <v/>
      </c>
      <c r="O671" s="27" t="str">
        <f aca="false">IF($A671="","",IF(AND($H671="Y",$G671&lt;&gt;"Restock",N($M671)&gt;Settings!$B$4,$I671&lt;&gt;"Y"),"Get host OK",IF(AND($H671="Y",$F671&gt;Settings!$B$5,$I671&lt;&gt;"Y"),"Host should pay upfront",IF($J671&lt;&gt;"Y","Save receipt","OK"))))</f>
        <v/>
      </c>
      <c r="P671" s="29" t="str">
        <f aca="false">IF($A671="","",DATE(YEAR($A671),MONTH($A671),1))</f>
        <v/>
      </c>
      <c r="Q671" s="31" t="str">
        <f aca="false">IF($A671="","",IF(AND($L671='Invoice Builder'!$C$5,$P671='Invoice Builder'!$C$6,N($N671)&gt;0),COUNTIFS($L$5:$L671,'Invoice Builder'!$C$5,$P$5:$P671,'Invoice Builder'!$C$6,$N$5:$N671,"&gt;0"),""))</f>
        <v/>
      </c>
      <c r="R671" s="27" t="str">
        <f aca="false">IF($A671="","",IF($A671&gt;=DATE(YEAR($A671),4,6),YEAR($A671)&amp;"/"&amp;RIGHT(YEAR($A671)+1,2),YEAR($A671)-1&amp;"/"&amp;RIGHT(YEAR($A671),2)))</f>
        <v/>
      </c>
    </row>
    <row r="672" customFormat="false" ht="15" hidden="false" customHeight="false" outlineLevel="0" collapsed="false">
      <c r="A672" s="22"/>
      <c r="B672" s="23"/>
      <c r="C672" s="23"/>
      <c r="D672" s="23"/>
      <c r="E672" s="32"/>
      <c r="F672" s="25"/>
      <c r="G672" s="23"/>
      <c r="H672" s="23"/>
      <c r="I672" s="23"/>
      <c r="J672" s="23"/>
      <c r="K672" s="23"/>
      <c r="L672" s="27" t="str">
        <f aca="false">IF($B672="","",IFERROR(INDEX(Properties!$D$5:$D$104,MATCH($B672,Properties!$A$5:$A$104,0)),"-"))</f>
        <v/>
      </c>
      <c r="M672" s="28" t="str">
        <f aca="false">IF(OR($A672="",N($E672)=0),"",$F672/$E672)</f>
        <v/>
      </c>
      <c r="N672" s="28" t="str">
        <f aca="false">IF($A672="","",IF($H672="Y",$F672*(1+Settings!$B$3),0))</f>
        <v/>
      </c>
      <c r="O672" s="27" t="str">
        <f aca="false">IF($A672="","",IF(AND($H672="Y",$G672&lt;&gt;"Restock",N($M672)&gt;Settings!$B$4,$I672&lt;&gt;"Y"),"Get host OK",IF(AND($H672="Y",$F672&gt;Settings!$B$5,$I672&lt;&gt;"Y"),"Host should pay upfront",IF($J672&lt;&gt;"Y","Save receipt","OK"))))</f>
        <v/>
      </c>
      <c r="P672" s="29" t="str">
        <f aca="false">IF($A672="","",DATE(YEAR($A672),MONTH($A672),1))</f>
        <v/>
      </c>
      <c r="Q672" s="31" t="str">
        <f aca="false">IF($A672="","",IF(AND($L672='Invoice Builder'!$C$5,$P672='Invoice Builder'!$C$6,N($N672)&gt;0),COUNTIFS($L$5:$L672,'Invoice Builder'!$C$5,$P$5:$P672,'Invoice Builder'!$C$6,$N$5:$N672,"&gt;0"),""))</f>
        <v/>
      </c>
      <c r="R672" s="27" t="str">
        <f aca="false">IF($A672="","",IF($A672&gt;=DATE(YEAR($A672),4,6),YEAR($A672)&amp;"/"&amp;RIGHT(YEAR($A672)+1,2),YEAR($A672)-1&amp;"/"&amp;RIGHT(YEAR($A672),2)))</f>
        <v/>
      </c>
    </row>
    <row r="673" customFormat="false" ht="15" hidden="false" customHeight="false" outlineLevel="0" collapsed="false">
      <c r="A673" s="22"/>
      <c r="B673" s="23"/>
      <c r="C673" s="23"/>
      <c r="D673" s="23"/>
      <c r="E673" s="32"/>
      <c r="F673" s="25"/>
      <c r="G673" s="23"/>
      <c r="H673" s="23"/>
      <c r="I673" s="23"/>
      <c r="J673" s="23"/>
      <c r="K673" s="23"/>
      <c r="L673" s="27" t="str">
        <f aca="false">IF($B673="","",IFERROR(INDEX(Properties!$D$5:$D$104,MATCH($B673,Properties!$A$5:$A$104,0)),"-"))</f>
        <v/>
      </c>
      <c r="M673" s="28" t="str">
        <f aca="false">IF(OR($A673="",N($E673)=0),"",$F673/$E673)</f>
        <v/>
      </c>
      <c r="N673" s="28" t="str">
        <f aca="false">IF($A673="","",IF($H673="Y",$F673*(1+Settings!$B$3),0))</f>
        <v/>
      </c>
      <c r="O673" s="27" t="str">
        <f aca="false">IF($A673="","",IF(AND($H673="Y",$G673&lt;&gt;"Restock",N($M673)&gt;Settings!$B$4,$I673&lt;&gt;"Y"),"Get host OK",IF(AND($H673="Y",$F673&gt;Settings!$B$5,$I673&lt;&gt;"Y"),"Host should pay upfront",IF($J673&lt;&gt;"Y","Save receipt","OK"))))</f>
        <v/>
      </c>
      <c r="P673" s="29" t="str">
        <f aca="false">IF($A673="","",DATE(YEAR($A673),MONTH($A673),1))</f>
        <v/>
      </c>
      <c r="Q673" s="31" t="str">
        <f aca="false">IF($A673="","",IF(AND($L673='Invoice Builder'!$C$5,$P673='Invoice Builder'!$C$6,N($N673)&gt;0),COUNTIFS($L$5:$L673,'Invoice Builder'!$C$5,$P$5:$P673,'Invoice Builder'!$C$6,$N$5:$N673,"&gt;0"),""))</f>
        <v/>
      </c>
      <c r="R673" s="27" t="str">
        <f aca="false">IF($A673="","",IF($A673&gt;=DATE(YEAR($A673),4,6),YEAR($A673)&amp;"/"&amp;RIGHT(YEAR($A673)+1,2),YEAR($A673)-1&amp;"/"&amp;RIGHT(YEAR($A673),2)))</f>
        <v/>
      </c>
    </row>
    <row r="674" customFormat="false" ht="15" hidden="false" customHeight="false" outlineLevel="0" collapsed="false">
      <c r="A674" s="22"/>
      <c r="B674" s="23"/>
      <c r="C674" s="23"/>
      <c r="D674" s="23"/>
      <c r="E674" s="32"/>
      <c r="F674" s="25"/>
      <c r="G674" s="23"/>
      <c r="H674" s="23"/>
      <c r="I674" s="23"/>
      <c r="J674" s="23"/>
      <c r="K674" s="23"/>
      <c r="L674" s="27" t="str">
        <f aca="false">IF($B674="","",IFERROR(INDEX(Properties!$D$5:$D$104,MATCH($B674,Properties!$A$5:$A$104,0)),"-"))</f>
        <v/>
      </c>
      <c r="M674" s="28" t="str">
        <f aca="false">IF(OR($A674="",N($E674)=0),"",$F674/$E674)</f>
        <v/>
      </c>
      <c r="N674" s="28" t="str">
        <f aca="false">IF($A674="","",IF($H674="Y",$F674*(1+Settings!$B$3),0))</f>
        <v/>
      </c>
      <c r="O674" s="27" t="str">
        <f aca="false">IF($A674="","",IF(AND($H674="Y",$G674&lt;&gt;"Restock",N($M674)&gt;Settings!$B$4,$I674&lt;&gt;"Y"),"Get host OK",IF(AND($H674="Y",$F674&gt;Settings!$B$5,$I674&lt;&gt;"Y"),"Host should pay upfront",IF($J674&lt;&gt;"Y","Save receipt","OK"))))</f>
        <v/>
      </c>
      <c r="P674" s="29" t="str">
        <f aca="false">IF($A674="","",DATE(YEAR($A674),MONTH($A674),1))</f>
        <v/>
      </c>
      <c r="Q674" s="31" t="str">
        <f aca="false">IF($A674="","",IF(AND($L674='Invoice Builder'!$C$5,$P674='Invoice Builder'!$C$6,N($N674)&gt;0),COUNTIFS($L$5:$L674,'Invoice Builder'!$C$5,$P$5:$P674,'Invoice Builder'!$C$6,$N$5:$N674,"&gt;0"),""))</f>
        <v/>
      </c>
      <c r="R674" s="27" t="str">
        <f aca="false">IF($A674="","",IF($A674&gt;=DATE(YEAR($A674),4,6),YEAR($A674)&amp;"/"&amp;RIGHT(YEAR($A674)+1,2),YEAR($A674)-1&amp;"/"&amp;RIGHT(YEAR($A674),2)))</f>
        <v/>
      </c>
    </row>
    <row r="675" customFormat="false" ht="15" hidden="false" customHeight="false" outlineLevel="0" collapsed="false">
      <c r="A675" s="22"/>
      <c r="B675" s="23"/>
      <c r="C675" s="23"/>
      <c r="D675" s="23"/>
      <c r="E675" s="32"/>
      <c r="F675" s="25"/>
      <c r="G675" s="23"/>
      <c r="H675" s="23"/>
      <c r="I675" s="23"/>
      <c r="J675" s="23"/>
      <c r="K675" s="23"/>
      <c r="L675" s="27" t="str">
        <f aca="false">IF($B675="","",IFERROR(INDEX(Properties!$D$5:$D$104,MATCH($B675,Properties!$A$5:$A$104,0)),"-"))</f>
        <v/>
      </c>
      <c r="M675" s="28" t="str">
        <f aca="false">IF(OR($A675="",N($E675)=0),"",$F675/$E675)</f>
        <v/>
      </c>
      <c r="N675" s="28" t="str">
        <f aca="false">IF($A675="","",IF($H675="Y",$F675*(1+Settings!$B$3),0))</f>
        <v/>
      </c>
      <c r="O675" s="27" t="str">
        <f aca="false">IF($A675="","",IF(AND($H675="Y",$G675&lt;&gt;"Restock",N($M675)&gt;Settings!$B$4,$I675&lt;&gt;"Y"),"Get host OK",IF(AND($H675="Y",$F675&gt;Settings!$B$5,$I675&lt;&gt;"Y"),"Host should pay upfront",IF($J675&lt;&gt;"Y","Save receipt","OK"))))</f>
        <v/>
      </c>
      <c r="P675" s="29" t="str">
        <f aca="false">IF($A675="","",DATE(YEAR($A675),MONTH($A675),1))</f>
        <v/>
      </c>
      <c r="Q675" s="31" t="str">
        <f aca="false">IF($A675="","",IF(AND($L675='Invoice Builder'!$C$5,$P675='Invoice Builder'!$C$6,N($N675)&gt;0),COUNTIFS($L$5:$L675,'Invoice Builder'!$C$5,$P$5:$P675,'Invoice Builder'!$C$6,$N$5:$N675,"&gt;0"),""))</f>
        <v/>
      </c>
      <c r="R675" s="27" t="str">
        <f aca="false">IF($A675="","",IF($A675&gt;=DATE(YEAR($A675),4,6),YEAR($A675)&amp;"/"&amp;RIGHT(YEAR($A675)+1,2),YEAR($A675)-1&amp;"/"&amp;RIGHT(YEAR($A675),2)))</f>
        <v/>
      </c>
    </row>
    <row r="676" customFormat="false" ht="15" hidden="false" customHeight="false" outlineLevel="0" collapsed="false">
      <c r="A676" s="22"/>
      <c r="B676" s="23"/>
      <c r="C676" s="23"/>
      <c r="D676" s="23"/>
      <c r="E676" s="32"/>
      <c r="F676" s="25"/>
      <c r="G676" s="23"/>
      <c r="H676" s="23"/>
      <c r="I676" s="23"/>
      <c r="J676" s="23"/>
      <c r="K676" s="23"/>
      <c r="L676" s="27" t="str">
        <f aca="false">IF($B676="","",IFERROR(INDEX(Properties!$D$5:$D$104,MATCH($B676,Properties!$A$5:$A$104,0)),"-"))</f>
        <v/>
      </c>
      <c r="M676" s="28" t="str">
        <f aca="false">IF(OR($A676="",N($E676)=0),"",$F676/$E676)</f>
        <v/>
      </c>
      <c r="N676" s="28" t="str">
        <f aca="false">IF($A676="","",IF($H676="Y",$F676*(1+Settings!$B$3),0))</f>
        <v/>
      </c>
      <c r="O676" s="27" t="str">
        <f aca="false">IF($A676="","",IF(AND($H676="Y",$G676&lt;&gt;"Restock",N($M676)&gt;Settings!$B$4,$I676&lt;&gt;"Y"),"Get host OK",IF(AND($H676="Y",$F676&gt;Settings!$B$5,$I676&lt;&gt;"Y"),"Host should pay upfront",IF($J676&lt;&gt;"Y","Save receipt","OK"))))</f>
        <v/>
      </c>
      <c r="P676" s="29" t="str">
        <f aca="false">IF($A676="","",DATE(YEAR($A676),MONTH($A676),1))</f>
        <v/>
      </c>
      <c r="Q676" s="31" t="str">
        <f aca="false">IF($A676="","",IF(AND($L676='Invoice Builder'!$C$5,$P676='Invoice Builder'!$C$6,N($N676)&gt;0),COUNTIFS($L$5:$L676,'Invoice Builder'!$C$5,$P$5:$P676,'Invoice Builder'!$C$6,$N$5:$N676,"&gt;0"),""))</f>
        <v/>
      </c>
      <c r="R676" s="27" t="str">
        <f aca="false">IF($A676="","",IF($A676&gt;=DATE(YEAR($A676),4,6),YEAR($A676)&amp;"/"&amp;RIGHT(YEAR($A676)+1,2),YEAR($A676)-1&amp;"/"&amp;RIGHT(YEAR($A676),2)))</f>
        <v/>
      </c>
    </row>
    <row r="677" customFormat="false" ht="15" hidden="false" customHeight="false" outlineLevel="0" collapsed="false">
      <c r="A677" s="22"/>
      <c r="B677" s="23"/>
      <c r="C677" s="23"/>
      <c r="D677" s="23"/>
      <c r="E677" s="32"/>
      <c r="F677" s="25"/>
      <c r="G677" s="23"/>
      <c r="H677" s="23"/>
      <c r="I677" s="23"/>
      <c r="J677" s="23"/>
      <c r="K677" s="23"/>
      <c r="L677" s="27" t="str">
        <f aca="false">IF($B677="","",IFERROR(INDEX(Properties!$D$5:$D$104,MATCH($B677,Properties!$A$5:$A$104,0)),"-"))</f>
        <v/>
      </c>
      <c r="M677" s="28" t="str">
        <f aca="false">IF(OR($A677="",N($E677)=0),"",$F677/$E677)</f>
        <v/>
      </c>
      <c r="N677" s="28" t="str">
        <f aca="false">IF($A677="","",IF($H677="Y",$F677*(1+Settings!$B$3),0))</f>
        <v/>
      </c>
      <c r="O677" s="27" t="str">
        <f aca="false">IF($A677="","",IF(AND($H677="Y",$G677&lt;&gt;"Restock",N($M677)&gt;Settings!$B$4,$I677&lt;&gt;"Y"),"Get host OK",IF(AND($H677="Y",$F677&gt;Settings!$B$5,$I677&lt;&gt;"Y"),"Host should pay upfront",IF($J677&lt;&gt;"Y","Save receipt","OK"))))</f>
        <v/>
      </c>
      <c r="P677" s="29" t="str">
        <f aca="false">IF($A677="","",DATE(YEAR($A677),MONTH($A677),1))</f>
        <v/>
      </c>
      <c r="Q677" s="31" t="str">
        <f aca="false">IF($A677="","",IF(AND($L677='Invoice Builder'!$C$5,$P677='Invoice Builder'!$C$6,N($N677)&gt;0),COUNTIFS($L$5:$L677,'Invoice Builder'!$C$5,$P$5:$P677,'Invoice Builder'!$C$6,$N$5:$N677,"&gt;0"),""))</f>
        <v/>
      </c>
      <c r="R677" s="27" t="str">
        <f aca="false">IF($A677="","",IF($A677&gt;=DATE(YEAR($A677),4,6),YEAR($A677)&amp;"/"&amp;RIGHT(YEAR($A677)+1,2),YEAR($A677)-1&amp;"/"&amp;RIGHT(YEAR($A677),2)))</f>
        <v/>
      </c>
    </row>
    <row r="678" customFormat="false" ht="15" hidden="false" customHeight="false" outlineLevel="0" collapsed="false">
      <c r="A678" s="22"/>
      <c r="B678" s="23"/>
      <c r="C678" s="23"/>
      <c r="D678" s="23"/>
      <c r="E678" s="32"/>
      <c r="F678" s="25"/>
      <c r="G678" s="23"/>
      <c r="H678" s="23"/>
      <c r="I678" s="23"/>
      <c r="J678" s="23"/>
      <c r="K678" s="23"/>
      <c r="L678" s="27" t="str">
        <f aca="false">IF($B678="","",IFERROR(INDEX(Properties!$D$5:$D$104,MATCH($B678,Properties!$A$5:$A$104,0)),"-"))</f>
        <v/>
      </c>
      <c r="M678" s="28" t="str">
        <f aca="false">IF(OR($A678="",N($E678)=0),"",$F678/$E678)</f>
        <v/>
      </c>
      <c r="N678" s="28" t="str">
        <f aca="false">IF($A678="","",IF($H678="Y",$F678*(1+Settings!$B$3),0))</f>
        <v/>
      </c>
      <c r="O678" s="27" t="str">
        <f aca="false">IF($A678="","",IF(AND($H678="Y",$G678&lt;&gt;"Restock",N($M678)&gt;Settings!$B$4,$I678&lt;&gt;"Y"),"Get host OK",IF(AND($H678="Y",$F678&gt;Settings!$B$5,$I678&lt;&gt;"Y"),"Host should pay upfront",IF($J678&lt;&gt;"Y","Save receipt","OK"))))</f>
        <v/>
      </c>
      <c r="P678" s="29" t="str">
        <f aca="false">IF($A678="","",DATE(YEAR($A678),MONTH($A678),1))</f>
        <v/>
      </c>
      <c r="Q678" s="31" t="str">
        <f aca="false">IF($A678="","",IF(AND($L678='Invoice Builder'!$C$5,$P678='Invoice Builder'!$C$6,N($N678)&gt;0),COUNTIFS($L$5:$L678,'Invoice Builder'!$C$5,$P$5:$P678,'Invoice Builder'!$C$6,$N$5:$N678,"&gt;0"),""))</f>
        <v/>
      </c>
      <c r="R678" s="27" t="str">
        <f aca="false">IF($A678="","",IF($A678&gt;=DATE(YEAR($A678),4,6),YEAR($A678)&amp;"/"&amp;RIGHT(YEAR($A678)+1,2),YEAR($A678)-1&amp;"/"&amp;RIGHT(YEAR($A678),2)))</f>
        <v/>
      </c>
    </row>
    <row r="679" customFormat="false" ht="15" hidden="false" customHeight="false" outlineLevel="0" collapsed="false">
      <c r="A679" s="22"/>
      <c r="B679" s="23"/>
      <c r="C679" s="23"/>
      <c r="D679" s="23"/>
      <c r="E679" s="32"/>
      <c r="F679" s="25"/>
      <c r="G679" s="23"/>
      <c r="H679" s="23"/>
      <c r="I679" s="23"/>
      <c r="J679" s="23"/>
      <c r="K679" s="23"/>
      <c r="L679" s="27" t="str">
        <f aca="false">IF($B679="","",IFERROR(INDEX(Properties!$D$5:$D$104,MATCH($B679,Properties!$A$5:$A$104,0)),"-"))</f>
        <v/>
      </c>
      <c r="M679" s="28" t="str">
        <f aca="false">IF(OR($A679="",N($E679)=0),"",$F679/$E679)</f>
        <v/>
      </c>
      <c r="N679" s="28" t="str">
        <f aca="false">IF($A679="","",IF($H679="Y",$F679*(1+Settings!$B$3),0))</f>
        <v/>
      </c>
      <c r="O679" s="27" t="str">
        <f aca="false">IF($A679="","",IF(AND($H679="Y",$G679&lt;&gt;"Restock",N($M679)&gt;Settings!$B$4,$I679&lt;&gt;"Y"),"Get host OK",IF(AND($H679="Y",$F679&gt;Settings!$B$5,$I679&lt;&gt;"Y"),"Host should pay upfront",IF($J679&lt;&gt;"Y","Save receipt","OK"))))</f>
        <v/>
      </c>
      <c r="P679" s="29" t="str">
        <f aca="false">IF($A679="","",DATE(YEAR($A679),MONTH($A679),1))</f>
        <v/>
      </c>
      <c r="Q679" s="31" t="str">
        <f aca="false">IF($A679="","",IF(AND($L679='Invoice Builder'!$C$5,$P679='Invoice Builder'!$C$6,N($N679)&gt;0),COUNTIFS($L$5:$L679,'Invoice Builder'!$C$5,$P$5:$P679,'Invoice Builder'!$C$6,$N$5:$N679,"&gt;0"),""))</f>
        <v/>
      </c>
      <c r="R679" s="27" t="str">
        <f aca="false">IF($A679="","",IF($A679&gt;=DATE(YEAR($A679),4,6),YEAR($A679)&amp;"/"&amp;RIGHT(YEAR($A679)+1,2),YEAR($A679)-1&amp;"/"&amp;RIGHT(YEAR($A679),2)))</f>
        <v/>
      </c>
    </row>
    <row r="680" customFormat="false" ht="15" hidden="false" customHeight="false" outlineLevel="0" collapsed="false">
      <c r="A680" s="22"/>
      <c r="B680" s="23"/>
      <c r="C680" s="23"/>
      <c r="D680" s="23"/>
      <c r="E680" s="32"/>
      <c r="F680" s="25"/>
      <c r="G680" s="23"/>
      <c r="H680" s="23"/>
      <c r="I680" s="23"/>
      <c r="J680" s="23"/>
      <c r="K680" s="23"/>
      <c r="L680" s="27" t="str">
        <f aca="false">IF($B680="","",IFERROR(INDEX(Properties!$D$5:$D$104,MATCH($B680,Properties!$A$5:$A$104,0)),"-"))</f>
        <v/>
      </c>
      <c r="M680" s="28" t="str">
        <f aca="false">IF(OR($A680="",N($E680)=0),"",$F680/$E680)</f>
        <v/>
      </c>
      <c r="N680" s="28" t="str">
        <f aca="false">IF($A680="","",IF($H680="Y",$F680*(1+Settings!$B$3),0))</f>
        <v/>
      </c>
      <c r="O680" s="27" t="str">
        <f aca="false">IF($A680="","",IF(AND($H680="Y",$G680&lt;&gt;"Restock",N($M680)&gt;Settings!$B$4,$I680&lt;&gt;"Y"),"Get host OK",IF(AND($H680="Y",$F680&gt;Settings!$B$5,$I680&lt;&gt;"Y"),"Host should pay upfront",IF($J680&lt;&gt;"Y","Save receipt","OK"))))</f>
        <v/>
      </c>
      <c r="P680" s="29" t="str">
        <f aca="false">IF($A680="","",DATE(YEAR($A680),MONTH($A680),1))</f>
        <v/>
      </c>
      <c r="Q680" s="31" t="str">
        <f aca="false">IF($A680="","",IF(AND($L680='Invoice Builder'!$C$5,$P680='Invoice Builder'!$C$6,N($N680)&gt;0),COUNTIFS($L$5:$L680,'Invoice Builder'!$C$5,$P$5:$P680,'Invoice Builder'!$C$6,$N$5:$N680,"&gt;0"),""))</f>
        <v/>
      </c>
      <c r="R680" s="27" t="str">
        <f aca="false">IF($A680="","",IF($A680&gt;=DATE(YEAR($A680),4,6),YEAR($A680)&amp;"/"&amp;RIGHT(YEAR($A680)+1,2),YEAR($A680)-1&amp;"/"&amp;RIGHT(YEAR($A680),2)))</f>
        <v/>
      </c>
    </row>
    <row r="681" customFormat="false" ht="15" hidden="false" customHeight="false" outlineLevel="0" collapsed="false">
      <c r="A681" s="22"/>
      <c r="B681" s="23"/>
      <c r="C681" s="23"/>
      <c r="D681" s="23"/>
      <c r="E681" s="32"/>
      <c r="F681" s="25"/>
      <c r="G681" s="23"/>
      <c r="H681" s="23"/>
      <c r="I681" s="23"/>
      <c r="J681" s="23"/>
      <c r="K681" s="23"/>
      <c r="L681" s="27" t="str">
        <f aca="false">IF($B681="","",IFERROR(INDEX(Properties!$D$5:$D$104,MATCH($B681,Properties!$A$5:$A$104,0)),"-"))</f>
        <v/>
      </c>
      <c r="M681" s="28" t="str">
        <f aca="false">IF(OR($A681="",N($E681)=0),"",$F681/$E681)</f>
        <v/>
      </c>
      <c r="N681" s="28" t="str">
        <f aca="false">IF($A681="","",IF($H681="Y",$F681*(1+Settings!$B$3),0))</f>
        <v/>
      </c>
      <c r="O681" s="27" t="str">
        <f aca="false">IF($A681="","",IF(AND($H681="Y",$G681&lt;&gt;"Restock",N($M681)&gt;Settings!$B$4,$I681&lt;&gt;"Y"),"Get host OK",IF(AND($H681="Y",$F681&gt;Settings!$B$5,$I681&lt;&gt;"Y"),"Host should pay upfront",IF($J681&lt;&gt;"Y","Save receipt","OK"))))</f>
        <v/>
      </c>
      <c r="P681" s="29" t="str">
        <f aca="false">IF($A681="","",DATE(YEAR($A681),MONTH($A681),1))</f>
        <v/>
      </c>
      <c r="Q681" s="31" t="str">
        <f aca="false">IF($A681="","",IF(AND($L681='Invoice Builder'!$C$5,$P681='Invoice Builder'!$C$6,N($N681)&gt;0),COUNTIFS($L$5:$L681,'Invoice Builder'!$C$5,$P$5:$P681,'Invoice Builder'!$C$6,$N$5:$N681,"&gt;0"),""))</f>
        <v/>
      </c>
      <c r="R681" s="27" t="str">
        <f aca="false">IF($A681="","",IF($A681&gt;=DATE(YEAR($A681),4,6),YEAR($A681)&amp;"/"&amp;RIGHT(YEAR($A681)+1,2),YEAR($A681)-1&amp;"/"&amp;RIGHT(YEAR($A681),2)))</f>
        <v/>
      </c>
    </row>
    <row r="682" customFormat="false" ht="15" hidden="false" customHeight="false" outlineLevel="0" collapsed="false">
      <c r="A682" s="22"/>
      <c r="B682" s="23"/>
      <c r="C682" s="23"/>
      <c r="D682" s="23"/>
      <c r="E682" s="32"/>
      <c r="F682" s="25"/>
      <c r="G682" s="23"/>
      <c r="H682" s="23"/>
      <c r="I682" s="23"/>
      <c r="J682" s="23"/>
      <c r="K682" s="23"/>
      <c r="L682" s="27" t="str">
        <f aca="false">IF($B682="","",IFERROR(INDEX(Properties!$D$5:$D$104,MATCH($B682,Properties!$A$5:$A$104,0)),"-"))</f>
        <v/>
      </c>
      <c r="M682" s="28" t="str">
        <f aca="false">IF(OR($A682="",N($E682)=0),"",$F682/$E682)</f>
        <v/>
      </c>
      <c r="N682" s="28" t="str">
        <f aca="false">IF($A682="","",IF($H682="Y",$F682*(1+Settings!$B$3),0))</f>
        <v/>
      </c>
      <c r="O682" s="27" t="str">
        <f aca="false">IF($A682="","",IF(AND($H682="Y",$G682&lt;&gt;"Restock",N($M682)&gt;Settings!$B$4,$I682&lt;&gt;"Y"),"Get host OK",IF(AND($H682="Y",$F682&gt;Settings!$B$5,$I682&lt;&gt;"Y"),"Host should pay upfront",IF($J682&lt;&gt;"Y","Save receipt","OK"))))</f>
        <v/>
      </c>
      <c r="P682" s="29" t="str">
        <f aca="false">IF($A682="","",DATE(YEAR($A682),MONTH($A682),1))</f>
        <v/>
      </c>
      <c r="Q682" s="31" t="str">
        <f aca="false">IF($A682="","",IF(AND($L682='Invoice Builder'!$C$5,$P682='Invoice Builder'!$C$6,N($N682)&gt;0),COUNTIFS($L$5:$L682,'Invoice Builder'!$C$5,$P$5:$P682,'Invoice Builder'!$C$6,$N$5:$N682,"&gt;0"),""))</f>
        <v/>
      </c>
      <c r="R682" s="27" t="str">
        <f aca="false">IF($A682="","",IF($A682&gt;=DATE(YEAR($A682),4,6),YEAR($A682)&amp;"/"&amp;RIGHT(YEAR($A682)+1,2),YEAR($A682)-1&amp;"/"&amp;RIGHT(YEAR($A682),2)))</f>
        <v/>
      </c>
    </row>
    <row r="683" customFormat="false" ht="15" hidden="false" customHeight="false" outlineLevel="0" collapsed="false">
      <c r="A683" s="22"/>
      <c r="B683" s="23"/>
      <c r="C683" s="23"/>
      <c r="D683" s="23"/>
      <c r="E683" s="32"/>
      <c r="F683" s="25"/>
      <c r="G683" s="23"/>
      <c r="H683" s="23"/>
      <c r="I683" s="23"/>
      <c r="J683" s="23"/>
      <c r="K683" s="23"/>
      <c r="L683" s="27" t="str">
        <f aca="false">IF($B683="","",IFERROR(INDEX(Properties!$D$5:$D$104,MATCH($B683,Properties!$A$5:$A$104,0)),"-"))</f>
        <v/>
      </c>
      <c r="M683" s="28" t="str">
        <f aca="false">IF(OR($A683="",N($E683)=0),"",$F683/$E683)</f>
        <v/>
      </c>
      <c r="N683" s="28" t="str">
        <f aca="false">IF($A683="","",IF($H683="Y",$F683*(1+Settings!$B$3),0))</f>
        <v/>
      </c>
      <c r="O683" s="27" t="str">
        <f aca="false">IF($A683="","",IF(AND($H683="Y",$G683&lt;&gt;"Restock",N($M683)&gt;Settings!$B$4,$I683&lt;&gt;"Y"),"Get host OK",IF(AND($H683="Y",$F683&gt;Settings!$B$5,$I683&lt;&gt;"Y"),"Host should pay upfront",IF($J683&lt;&gt;"Y","Save receipt","OK"))))</f>
        <v/>
      </c>
      <c r="P683" s="29" t="str">
        <f aca="false">IF($A683="","",DATE(YEAR($A683),MONTH($A683),1))</f>
        <v/>
      </c>
      <c r="Q683" s="31" t="str">
        <f aca="false">IF($A683="","",IF(AND($L683='Invoice Builder'!$C$5,$P683='Invoice Builder'!$C$6,N($N683)&gt;0),COUNTIFS($L$5:$L683,'Invoice Builder'!$C$5,$P$5:$P683,'Invoice Builder'!$C$6,$N$5:$N683,"&gt;0"),""))</f>
        <v/>
      </c>
      <c r="R683" s="27" t="str">
        <f aca="false">IF($A683="","",IF($A683&gt;=DATE(YEAR($A683),4,6),YEAR($A683)&amp;"/"&amp;RIGHT(YEAR($A683)+1,2),YEAR($A683)-1&amp;"/"&amp;RIGHT(YEAR($A683),2)))</f>
        <v/>
      </c>
    </row>
    <row r="684" customFormat="false" ht="15" hidden="false" customHeight="false" outlineLevel="0" collapsed="false">
      <c r="A684" s="22"/>
      <c r="B684" s="23"/>
      <c r="C684" s="23"/>
      <c r="D684" s="23"/>
      <c r="E684" s="32"/>
      <c r="F684" s="25"/>
      <c r="G684" s="23"/>
      <c r="H684" s="23"/>
      <c r="I684" s="23"/>
      <c r="J684" s="23"/>
      <c r="K684" s="23"/>
      <c r="L684" s="27" t="str">
        <f aca="false">IF($B684="","",IFERROR(INDEX(Properties!$D$5:$D$104,MATCH($B684,Properties!$A$5:$A$104,0)),"-"))</f>
        <v/>
      </c>
      <c r="M684" s="28" t="str">
        <f aca="false">IF(OR($A684="",N($E684)=0),"",$F684/$E684)</f>
        <v/>
      </c>
      <c r="N684" s="28" t="str">
        <f aca="false">IF($A684="","",IF($H684="Y",$F684*(1+Settings!$B$3),0))</f>
        <v/>
      </c>
      <c r="O684" s="27" t="str">
        <f aca="false">IF($A684="","",IF(AND($H684="Y",$G684&lt;&gt;"Restock",N($M684)&gt;Settings!$B$4,$I684&lt;&gt;"Y"),"Get host OK",IF(AND($H684="Y",$F684&gt;Settings!$B$5,$I684&lt;&gt;"Y"),"Host should pay upfront",IF($J684&lt;&gt;"Y","Save receipt","OK"))))</f>
        <v/>
      </c>
      <c r="P684" s="29" t="str">
        <f aca="false">IF($A684="","",DATE(YEAR($A684),MONTH($A684),1))</f>
        <v/>
      </c>
      <c r="Q684" s="31" t="str">
        <f aca="false">IF($A684="","",IF(AND($L684='Invoice Builder'!$C$5,$P684='Invoice Builder'!$C$6,N($N684)&gt;0),COUNTIFS($L$5:$L684,'Invoice Builder'!$C$5,$P$5:$P684,'Invoice Builder'!$C$6,$N$5:$N684,"&gt;0"),""))</f>
        <v/>
      </c>
      <c r="R684" s="27" t="str">
        <f aca="false">IF($A684="","",IF($A684&gt;=DATE(YEAR($A684),4,6),YEAR($A684)&amp;"/"&amp;RIGHT(YEAR($A684)+1,2),YEAR($A684)-1&amp;"/"&amp;RIGHT(YEAR($A684),2)))</f>
        <v/>
      </c>
    </row>
    <row r="685" customFormat="false" ht="15" hidden="false" customHeight="false" outlineLevel="0" collapsed="false">
      <c r="A685" s="22"/>
      <c r="B685" s="23"/>
      <c r="C685" s="23"/>
      <c r="D685" s="23"/>
      <c r="E685" s="32"/>
      <c r="F685" s="25"/>
      <c r="G685" s="23"/>
      <c r="H685" s="23"/>
      <c r="I685" s="23"/>
      <c r="J685" s="23"/>
      <c r="K685" s="23"/>
      <c r="L685" s="27" t="str">
        <f aca="false">IF($B685="","",IFERROR(INDEX(Properties!$D$5:$D$104,MATCH($B685,Properties!$A$5:$A$104,0)),"-"))</f>
        <v/>
      </c>
      <c r="M685" s="28" t="str">
        <f aca="false">IF(OR($A685="",N($E685)=0),"",$F685/$E685)</f>
        <v/>
      </c>
      <c r="N685" s="28" t="str">
        <f aca="false">IF($A685="","",IF($H685="Y",$F685*(1+Settings!$B$3),0))</f>
        <v/>
      </c>
      <c r="O685" s="27" t="str">
        <f aca="false">IF($A685="","",IF(AND($H685="Y",$G685&lt;&gt;"Restock",N($M685)&gt;Settings!$B$4,$I685&lt;&gt;"Y"),"Get host OK",IF(AND($H685="Y",$F685&gt;Settings!$B$5,$I685&lt;&gt;"Y"),"Host should pay upfront",IF($J685&lt;&gt;"Y","Save receipt","OK"))))</f>
        <v/>
      </c>
      <c r="P685" s="29" t="str">
        <f aca="false">IF($A685="","",DATE(YEAR($A685),MONTH($A685),1))</f>
        <v/>
      </c>
      <c r="Q685" s="31" t="str">
        <f aca="false">IF($A685="","",IF(AND($L685='Invoice Builder'!$C$5,$P685='Invoice Builder'!$C$6,N($N685)&gt;0),COUNTIFS($L$5:$L685,'Invoice Builder'!$C$5,$P$5:$P685,'Invoice Builder'!$C$6,$N$5:$N685,"&gt;0"),""))</f>
        <v/>
      </c>
      <c r="R685" s="27" t="str">
        <f aca="false">IF($A685="","",IF($A685&gt;=DATE(YEAR($A685),4,6),YEAR($A685)&amp;"/"&amp;RIGHT(YEAR($A685)+1,2),YEAR($A685)-1&amp;"/"&amp;RIGHT(YEAR($A685),2)))</f>
        <v/>
      </c>
    </row>
    <row r="686" customFormat="false" ht="15" hidden="false" customHeight="false" outlineLevel="0" collapsed="false">
      <c r="A686" s="22"/>
      <c r="B686" s="23"/>
      <c r="C686" s="23"/>
      <c r="D686" s="23"/>
      <c r="E686" s="32"/>
      <c r="F686" s="25"/>
      <c r="G686" s="23"/>
      <c r="H686" s="23"/>
      <c r="I686" s="23"/>
      <c r="J686" s="23"/>
      <c r="K686" s="23"/>
      <c r="L686" s="27" t="str">
        <f aca="false">IF($B686="","",IFERROR(INDEX(Properties!$D$5:$D$104,MATCH($B686,Properties!$A$5:$A$104,0)),"-"))</f>
        <v/>
      </c>
      <c r="M686" s="28" t="str">
        <f aca="false">IF(OR($A686="",N($E686)=0),"",$F686/$E686)</f>
        <v/>
      </c>
      <c r="N686" s="28" t="str">
        <f aca="false">IF($A686="","",IF($H686="Y",$F686*(1+Settings!$B$3),0))</f>
        <v/>
      </c>
      <c r="O686" s="27" t="str">
        <f aca="false">IF($A686="","",IF(AND($H686="Y",$G686&lt;&gt;"Restock",N($M686)&gt;Settings!$B$4,$I686&lt;&gt;"Y"),"Get host OK",IF(AND($H686="Y",$F686&gt;Settings!$B$5,$I686&lt;&gt;"Y"),"Host should pay upfront",IF($J686&lt;&gt;"Y","Save receipt","OK"))))</f>
        <v/>
      </c>
      <c r="P686" s="29" t="str">
        <f aca="false">IF($A686="","",DATE(YEAR($A686),MONTH($A686),1))</f>
        <v/>
      </c>
      <c r="Q686" s="31" t="str">
        <f aca="false">IF($A686="","",IF(AND($L686='Invoice Builder'!$C$5,$P686='Invoice Builder'!$C$6,N($N686)&gt;0),COUNTIFS($L$5:$L686,'Invoice Builder'!$C$5,$P$5:$P686,'Invoice Builder'!$C$6,$N$5:$N686,"&gt;0"),""))</f>
        <v/>
      </c>
      <c r="R686" s="27" t="str">
        <f aca="false">IF($A686="","",IF($A686&gt;=DATE(YEAR($A686),4,6),YEAR($A686)&amp;"/"&amp;RIGHT(YEAR($A686)+1,2),YEAR($A686)-1&amp;"/"&amp;RIGHT(YEAR($A686),2)))</f>
        <v/>
      </c>
    </row>
    <row r="687" customFormat="false" ht="15" hidden="false" customHeight="false" outlineLevel="0" collapsed="false">
      <c r="A687" s="22"/>
      <c r="B687" s="23"/>
      <c r="C687" s="23"/>
      <c r="D687" s="23"/>
      <c r="E687" s="32"/>
      <c r="F687" s="25"/>
      <c r="G687" s="23"/>
      <c r="H687" s="23"/>
      <c r="I687" s="23"/>
      <c r="J687" s="23"/>
      <c r="K687" s="23"/>
      <c r="L687" s="27" t="str">
        <f aca="false">IF($B687="","",IFERROR(INDEX(Properties!$D$5:$D$104,MATCH($B687,Properties!$A$5:$A$104,0)),"-"))</f>
        <v/>
      </c>
      <c r="M687" s="28" t="str">
        <f aca="false">IF(OR($A687="",N($E687)=0),"",$F687/$E687)</f>
        <v/>
      </c>
      <c r="N687" s="28" t="str">
        <f aca="false">IF($A687="","",IF($H687="Y",$F687*(1+Settings!$B$3),0))</f>
        <v/>
      </c>
      <c r="O687" s="27" t="str">
        <f aca="false">IF($A687="","",IF(AND($H687="Y",$G687&lt;&gt;"Restock",N($M687)&gt;Settings!$B$4,$I687&lt;&gt;"Y"),"Get host OK",IF(AND($H687="Y",$F687&gt;Settings!$B$5,$I687&lt;&gt;"Y"),"Host should pay upfront",IF($J687&lt;&gt;"Y","Save receipt","OK"))))</f>
        <v/>
      </c>
      <c r="P687" s="29" t="str">
        <f aca="false">IF($A687="","",DATE(YEAR($A687),MONTH($A687),1))</f>
        <v/>
      </c>
      <c r="Q687" s="31" t="str">
        <f aca="false">IF($A687="","",IF(AND($L687='Invoice Builder'!$C$5,$P687='Invoice Builder'!$C$6,N($N687)&gt;0),COUNTIFS($L$5:$L687,'Invoice Builder'!$C$5,$P$5:$P687,'Invoice Builder'!$C$6,$N$5:$N687,"&gt;0"),""))</f>
        <v/>
      </c>
      <c r="R687" s="27" t="str">
        <f aca="false">IF($A687="","",IF($A687&gt;=DATE(YEAR($A687),4,6),YEAR($A687)&amp;"/"&amp;RIGHT(YEAR($A687)+1,2),YEAR($A687)-1&amp;"/"&amp;RIGHT(YEAR($A687),2)))</f>
        <v/>
      </c>
    </row>
    <row r="688" customFormat="false" ht="15" hidden="false" customHeight="false" outlineLevel="0" collapsed="false">
      <c r="A688" s="22"/>
      <c r="B688" s="23"/>
      <c r="C688" s="23"/>
      <c r="D688" s="23"/>
      <c r="E688" s="32"/>
      <c r="F688" s="25"/>
      <c r="G688" s="23"/>
      <c r="H688" s="23"/>
      <c r="I688" s="23"/>
      <c r="J688" s="23"/>
      <c r="K688" s="23"/>
      <c r="L688" s="27" t="str">
        <f aca="false">IF($B688="","",IFERROR(INDEX(Properties!$D$5:$D$104,MATCH($B688,Properties!$A$5:$A$104,0)),"-"))</f>
        <v/>
      </c>
      <c r="M688" s="28" t="str">
        <f aca="false">IF(OR($A688="",N($E688)=0),"",$F688/$E688)</f>
        <v/>
      </c>
      <c r="N688" s="28" t="str">
        <f aca="false">IF($A688="","",IF($H688="Y",$F688*(1+Settings!$B$3),0))</f>
        <v/>
      </c>
      <c r="O688" s="27" t="str">
        <f aca="false">IF($A688="","",IF(AND($H688="Y",$G688&lt;&gt;"Restock",N($M688)&gt;Settings!$B$4,$I688&lt;&gt;"Y"),"Get host OK",IF(AND($H688="Y",$F688&gt;Settings!$B$5,$I688&lt;&gt;"Y"),"Host should pay upfront",IF($J688&lt;&gt;"Y","Save receipt","OK"))))</f>
        <v/>
      </c>
      <c r="P688" s="29" t="str">
        <f aca="false">IF($A688="","",DATE(YEAR($A688),MONTH($A688),1))</f>
        <v/>
      </c>
      <c r="Q688" s="31" t="str">
        <f aca="false">IF($A688="","",IF(AND($L688='Invoice Builder'!$C$5,$P688='Invoice Builder'!$C$6,N($N688)&gt;0),COUNTIFS($L$5:$L688,'Invoice Builder'!$C$5,$P$5:$P688,'Invoice Builder'!$C$6,$N$5:$N688,"&gt;0"),""))</f>
        <v/>
      </c>
      <c r="R688" s="27" t="str">
        <f aca="false">IF($A688="","",IF($A688&gt;=DATE(YEAR($A688),4,6),YEAR($A688)&amp;"/"&amp;RIGHT(YEAR($A688)+1,2),YEAR($A688)-1&amp;"/"&amp;RIGHT(YEAR($A688),2)))</f>
        <v/>
      </c>
    </row>
    <row r="689" customFormat="false" ht="15" hidden="false" customHeight="false" outlineLevel="0" collapsed="false">
      <c r="A689" s="22"/>
      <c r="B689" s="23"/>
      <c r="C689" s="23"/>
      <c r="D689" s="23"/>
      <c r="E689" s="32"/>
      <c r="F689" s="25"/>
      <c r="G689" s="23"/>
      <c r="H689" s="23"/>
      <c r="I689" s="23"/>
      <c r="J689" s="23"/>
      <c r="K689" s="23"/>
      <c r="L689" s="27" t="str">
        <f aca="false">IF($B689="","",IFERROR(INDEX(Properties!$D$5:$D$104,MATCH($B689,Properties!$A$5:$A$104,0)),"-"))</f>
        <v/>
      </c>
      <c r="M689" s="28" t="str">
        <f aca="false">IF(OR($A689="",N($E689)=0),"",$F689/$E689)</f>
        <v/>
      </c>
      <c r="N689" s="28" t="str">
        <f aca="false">IF($A689="","",IF($H689="Y",$F689*(1+Settings!$B$3),0))</f>
        <v/>
      </c>
      <c r="O689" s="27" t="str">
        <f aca="false">IF($A689="","",IF(AND($H689="Y",$G689&lt;&gt;"Restock",N($M689)&gt;Settings!$B$4,$I689&lt;&gt;"Y"),"Get host OK",IF(AND($H689="Y",$F689&gt;Settings!$B$5,$I689&lt;&gt;"Y"),"Host should pay upfront",IF($J689&lt;&gt;"Y","Save receipt","OK"))))</f>
        <v/>
      </c>
      <c r="P689" s="29" t="str">
        <f aca="false">IF($A689="","",DATE(YEAR($A689),MONTH($A689),1))</f>
        <v/>
      </c>
      <c r="Q689" s="31" t="str">
        <f aca="false">IF($A689="","",IF(AND($L689='Invoice Builder'!$C$5,$P689='Invoice Builder'!$C$6,N($N689)&gt;0),COUNTIFS($L$5:$L689,'Invoice Builder'!$C$5,$P$5:$P689,'Invoice Builder'!$C$6,$N$5:$N689,"&gt;0"),""))</f>
        <v/>
      </c>
      <c r="R689" s="27" t="str">
        <f aca="false">IF($A689="","",IF($A689&gt;=DATE(YEAR($A689),4,6),YEAR($A689)&amp;"/"&amp;RIGHT(YEAR($A689)+1,2),YEAR($A689)-1&amp;"/"&amp;RIGHT(YEAR($A689),2)))</f>
        <v/>
      </c>
    </row>
    <row r="690" customFormat="false" ht="15" hidden="false" customHeight="false" outlineLevel="0" collapsed="false">
      <c r="A690" s="22"/>
      <c r="B690" s="23"/>
      <c r="C690" s="23"/>
      <c r="D690" s="23"/>
      <c r="E690" s="32"/>
      <c r="F690" s="25"/>
      <c r="G690" s="23"/>
      <c r="H690" s="23"/>
      <c r="I690" s="23"/>
      <c r="J690" s="23"/>
      <c r="K690" s="23"/>
      <c r="L690" s="27" t="str">
        <f aca="false">IF($B690="","",IFERROR(INDEX(Properties!$D$5:$D$104,MATCH($B690,Properties!$A$5:$A$104,0)),"-"))</f>
        <v/>
      </c>
      <c r="M690" s="28" t="str">
        <f aca="false">IF(OR($A690="",N($E690)=0),"",$F690/$E690)</f>
        <v/>
      </c>
      <c r="N690" s="28" t="str">
        <f aca="false">IF($A690="","",IF($H690="Y",$F690*(1+Settings!$B$3),0))</f>
        <v/>
      </c>
      <c r="O690" s="27" t="str">
        <f aca="false">IF($A690="","",IF(AND($H690="Y",$G690&lt;&gt;"Restock",N($M690)&gt;Settings!$B$4,$I690&lt;&gt;"Y"),"Get host OK",IF(AND($H690="Y",$F690&gt;Settings!$B$5,$I690&lt;&gt;"Y"),"Host should pay upfront",IF($J690&lt;&gt;"Y","Save receipt","OK"))))</f>
        <v/>
      </c>
      <c r="P690" s="29" t="str">
        <f aca="false">IF($A690="","",DATE(YEAR($A690),MONTH($A690),1))</f>
        <v/>
      </c>
      <c r="Q690" s="31" t="str">
        <f aca="false">IF($A690="","",IF(AND($L690='Invoice Builder'!$C$5,$P690='Invoice Builder'!$C$6,N($N690)&gt;0),COUNTIFS($L$5:$L690,'Invoice Builder'!$C$5,$P$5:$P690,'Invoice Builder'!$C$6,$N$5:$N690,"&gt;0"),""))</f>
        <v/>
      </c>
      <c r="R690" s="27" t="str">
        <f aca="false">IF($A690="","",IF($A690&gt;=DATE(YEAR($A690),4,6),YEAR($A690)&amp;"/"&amp;RIGHT(YEAR($A690)+1,2),YEAR($A690)-1&amp;"/"&amp;RIGHT(YEAR($A690),2)))</f>
        <v/>
      </c>
    </row>
    <row r="691" customFormat="false" ht="15" hidden="false" customHeight="false" outlineLevel="0" collapsed="false">
      <c r="A691" s="22"/>
      <c r="B691" s="23"/>
      <c r="C691" s="23"/>
      <c r="D691" s="23"/>
      <c r="E691" s="32"/>
      <c r="F691" s="25"/>
      <c r="G691" s="23"/>
      <c r="H691" s="23"/>
      <c r="I691" s="23"/>
      <c r="J691" s="23"/>
      <c r="K691" s="23"/>
      <c r="L691" s="27" t="str">
        <f aca="false">IF($B691="","",IFERROR(INDEX(Properties!$D$5:$D$104,MATCH($B691,Properties!$A$5:$A$104,0)),"-"))</f>
        <v/>
      </c>
      <c r="M691" s="28" t="str">
        <f aca="false">IF(OR($A691="",N($E691)=0),"",$F691/$E691)</f>
        <v/>
      </c>
      <c r="N691" s="28" t="str">
        <f aca="false">IF($A691="","",IF($H691="Y",$F691*(1+Settings!$B$3),0))</f>
        <v/>
      </c>
      <c r="O691" s="27" t="str">
        <f aca="false">IF($A691="","",IF(AND($H691="Y",$G691&lt;&gt;"Restock",N($M691)&gt;Settings!$B$4,$I691&lt;&gt;"Y"),"Get host OK",IF(AND($H691="Y",$F691&gt;Settings!$B$5,$I691&lt;&gt;"Y"),"Host should pay upfront",IF($J691&lt;&gt;"Y","Save receipt","OK"))))</f>
        <v/>
      </c>
      <c r="P691" s="29" t="str">
        <f aca="false">IF($A691="","",DATE(YEAR($A691),MONTH($A691),1))</f>
        <v/>
      </c>
      <c r="Q691" s="31" t="str">
        <f aca="false">IF($A691="","",IF(AND($L691='Invoice Builder'!$C$5,$P691='Invoice Builder'!$C$6,N($N691)&gt;0),COUNTIFS($L$5:$L691,'Invoice Builder'!$C$5,$P$5:$P691,'Invoice Builder'!$C$6,$N$5:$N691,"&gt;0"),""))</f>
        <v/>
      </c>
      <c r="R691" s="27" t="str">
        <f aca="false">IF($A691="","",IF($A691&gt;=DATE(YEAR($A691),4,6),YEAR($A691)&amp;"/"&amp;RIGHT(YEAR($A691)+1,2),YEAR($A691)-1&amp;"/"&amp;RIGHT(YEAR($A691),2)))</f>
        <v/>
      </c>
    </row>
    <row r="692" customFormat="false" ht="15" hidden="false" customHeight="false" outlineLevel="0" collapsed="false">
      <c r="A692" s="22"/>
      <c r="B692" s="23"/>
      <c r="C692" s="23"/>
      <c r="D692" s="23"/>
      <c r="E692" s="32"/>
      <c r="F692" s="25"/>
      <c r="G692" s="23"/>
      <c r="H692" s="23"/>
      <c r="I692" s="23"/>
      <c r="J692" s="23"/>
      <c r="K692" s="23"/>
      <c r="L692" s="27" t="str">
        <f aca="false">IF($B692="","",IFERROR(INDEX(Properties!$D$5:$D$104,MATCH($B692,Properties!$A$5:$A$104,0)),"-"))</f>
        <v/>
      </c>
      <c r="M692" s="28" t="str">
        <f aca="false">IF(OR($A692="",N($E692)=0),"",$F692/$E692)</f>
        <v/>
      </c>
      <c r="N692" s="28" t="str">
        <f aca="false">IF($A692="","",IF($H692="Y",$F692*(1+Settings!$B$3),0))</f>
        <v/>
      </c>
      <c r="O692" s="27" t="str">
        <f aca="false">IF($A692="","",IF(AND($H692="Y",$G692&lt;&gt;"Restock",N($M692)&gt;Settings!$B$4,$I692&lt;&gt;"Y"),"Get host OK",IF(AND($H692="Y",$F692&gt;Settings!$B$5,$I692&lt;&gt;"Y"),"Host should pay upfront",IF($J692&lt;&gt;"Y","Save receipt","OK"))))</f>
        <v/>
      </c>
      <c r="P692" s="29" t="str">
        <f aca="false">IF($A692="","",DATE(YEAR($A692),MONTH($A692),1))</f>
        <v/>
      </c>
      <c r="Q692" s="31" t="str">
        <f aca="false">IF($A692="","",IF(AND($L692='Invoice Builder'!$C$5,$P692='Invoice Builder'!$C$6,N($N692)&gt;0),COUNTIFS($L$5:$L692,'Invoice Builder'!$C$5,$P$5:$P692,'Invoice Builder'!$C$6,$N$5:$N692,"&gt;0"),""))</f>
        <v/>
      </c>
      <c r="R692" s="27" t="str">
        <f aca="false">IF($A692="","",IF($A692&gt;=DATE(YEAR($A692),4,6),YEAR($A692)&amp;"/"&amp;RIGHT(YEAR($A692)+1,2),YEAR($A692)-1&amp;"/"&amp;RIGHT(YEAR($A692),2)))</f>
        <v/>
      </c>
    </row>
    <row r="693" customFormat="false" ht="15" hidden="false" customHeight="false" outlineLevel="0" collapsed="false">
      <c r="A693" s="22"/>
      <c r="B693" s="23"/>
      <c r="C693" s="23"/>
      <c r="D693" s="23"/>
      <c r="E693" s="32"/>
      <c r="F693" s="25"/>
      <c r="G693" s="23"/>
      <c r="H693" s="23"/>
      <c r="I693" s="23"/>
      <c r="J693" s="23"/>
      <c r="K693" s="23"/>
      <c r="L693" s="27" t="str">
        <f aca="false">IF($B693="","",IFERROR(INDEX(Properties!$D$5:$D$104,MATCH($B693,Properties!$A$5:$A$104,0)),"-"))</f>
        <v/>
      </c>
      <c r="M693" s="28" t="str">
        <f aca="false">IF(OR($A693="",N($E693)=0),"",$F693/$E693)</f>
        <v/>
      </c>
      <c r="N693" s="28" t="str">
        <f aca="false">IF($A693="","",IF($H693="Y",$F693*(1+Settings!$B$3),0))</f>
        <v/>
      </c>
      <c r="O693" s="27" t="str">
        <f aca="false">IF($A693="","",IF(AND($H693="Y",$G693&lt;&gt;"Restock",N($M693)&gt;Settings!$B$4,$I693&lt;&gt;"Y"),"Get host OK",IF(AND($H693="Y",$F693&gt;Settings!$B$5,$I693&lt;&gt;"Y"),"Host should pay upfront",IF($J693&lt;&gt;"Y","Save receipt","OK"))))</f>
        <v/>
      </c>
      <c r="P693" s="29" t="str">
        <f aca="false">IF($A693="","",DATE(YEAR($A693),MONTH($A693),1))</f>
        <v/>
      </c>
      <c r="Q693" s="31" t="str">
        <f aca="false">IF($A693="","",IF(AND($L693='Invoice Builder'!$C$5,$P693='Invoice Builder'!$C$6,N($N693)&gt;0),COUNTIFS($L$5:$L693,'Invoice Builder'!$C$5,$P$5:$P693,'Invoice Builder'!$C$6,$N$5:$N693,"&gt;0"),""))</f>
        <v/>
      </c>
      <c r="R693" s="27" t="str">
        <f aca="false">IF($A693="","",IF($A693&gt;=DATE(YEAR($A693),4,6),YEAR($A693)&amp;"/"&amp;RIGHT(YEAR($A693)+1,2),YEAR($A693)-1&amp;"/"&amp;RIGHT(YEAR($A693),2)))</f>
        <v/>
      </c>
    </row>
    <row r="694" customFormat="false" ht="15" hidden="false" customHeight="false" outlineLevel="0" collapsed="false">
      <c r="A694" s="22"/>
      <c r="B694" s="23"/>
      <c r="C694" s="23"/>
      <c r="D694" s="23"/>
      <c r="E694" s="32"/>
      <c r="F694" s="25"/>
      <c r="G694" s="23"/>
      <c r="H694" s="23"/>
      <c r="I694" s="23"/>
      <c r="J694" s="23"/>
      <c r="K694" s="23"/>
      <c r="L694" s="27" t="str">
        <f aca="false">IF($B694="","",IFERROR(INDEX(Properties!$D$5:$D$104,MATCH($B694,Properties!$A$5:$A$104,0)),"-"))</f>
        <v/>
      </c>
      <c r="M694" s="28" t="str">
        <f aca="false">IF(OR($A694="",N($E694)=0),"",$F694/$E694)</f>
        <v/>
      </c>
      <c r="N694" s="28" t="str">
        <f aca="false">IF($A694="","",IF($H694="Y",$F694*(1+Settings!$B$3),0))</f>
        <v/>
      </c>
      <c r="O694" s="27" t="str">
        <f aca="false">IF($A694="","",IF(AND($H694="Y",$G694&lt;&gt;"Restock",N($M694)&gt;Settings!$B$4,$I694&lt;&gt;"Y"),"Get host OK",IF(AND($H694="Y",$F694&gt;Settings!$B$5,$I694&lt;&gt;"Y"),"Host should pay upfront",IF($J694&lt;&gt;"Y","Save receipt","OK"))))</f>
        <v/>
      </c>
      <c r="P694" s="29" t="str">
        <f aca="false">IF($A694="","",DATE(YEAR($A694),MONTH($A694),1))</f>
        <v/>
      </c>
      <c r="Q694" s="31" t="str">
        <f aca="false">IF($A694="","",IF(AND($L694='Invoice Builder'!$C$5,$P694='Invoice Builder'!$C$6,N($N694)&gt;0),COUNTIFS($L$5:$L694,'Invoice Builder'!$C$5,$P$5:$P694,'Invoice Builder'!$C$6,$N$5:$N694,"&gt;0"),""))</f>
        <v/>
      </c>
      <c r="R694" s="27" t="str">
        <f aca="false">IF($A694="","",IF($A694&gt;=DATE(YEAR($A694),4,6),YEAR($A694)&amp;"/"&amp;RIGHT(YEAR($A694)+1,2),YEAR($A694)-1&amp;"/"&amp;RIGHT(YEAR($A694),2)))</f>
        <v/>
      </c>
    </row>
    <row r="695" customFormat="false" ht="15" hidden="false" customHeight="false" outlineLevel="0" collapsed="false">
      <c r="A695" s="22"/>
      <c r="B695" s="23"/>
      <c r="C695" s="23"/>
      <c r="D695" s="23"/>
      <c r="E695" s="32"/>
      <c r="F695" s="25"/>
      <c r="G695" s="23"/>
      <c r="H695" s="23"/>
      <c r="I695" s="23"/>
      <c r="J695" s="23"/>
      <c r="K695" s="23"/>
      <c r="L695" s="27" t="str">
        <f aca="false">IF($B695="","",IFERROR(INDEX(Properties!$D$5:$D$104,MATCH($B695,Properties!$A$5:$A$104,0)),"-"))</f>
        <v/>
      </c>
      <c r="M695" s="28" t="str">
        <f aca="false">IF(OR($A695="",N($E695)=0),"",$F695/$E695)</f>
        <v/>
      </c>
      <c r="N695" s="28" t="str">
        <f aca="false">IF($A695="","",IF($H695="Y",$F695*(1+Settings!$B$3),0))</f>
        <v/>
      </c>
      <c r="O695" s="27" t="str">
        <f aca="false">IF($A695="","",IF(AND($H695="Y",$G695&lt;&gt;"Restock",N($M695)&gt;Settings!$B$4,$I695&lt;&gt;"Y"),"Get host OK",IF(AND($H695="Y",$F695&gt;Settings!$B$5,$I695&lt;&gt;"Y"),"Host should pay upfront",IF($J695&lt;&gt;"Y","Save receipt","OK"))))</f>
        <v/>
      </c>
      <c r="P695" s="29" t="str">
        <f aca="false">IF($A695="","",DATE(YEAR($A695),MONTH($A695),1))</f>
        <v/>
      </c>
      <c r="Q695" s="31" t="str">
        <f aca="false">IF($A695="","",IF(AND($L695='Invoice Builder'!$C$5,$P695='Invoice Builder'!$C$6,N($N695)&gt;0),COUNTIFS($L$5:$L695,'Invoice Builder'!$C$5,$P$5:$P695,'Invoice Builder'!$C$6,$N$5:$N695,"&gt;0"),""))</f>
        <v/>
      </c>
      <c r="R695" s="27" t="str">
        <f aca="false">IF($A695="","",IF($A695&gt;=DATE(YEAR($A695),4,6),YEAR($A695)&amp;"/"&amp;RIGHT(YEAR($A695)+1,2),YEAR($A695)-1&amp;"/"&amp;RIGHT(YEAR($A695),2)))</f>
        <v/>
      </c>
    </row>
    <row r="696" customFormat="false" ht="15" hidden="false" customHeight="false" outlineLevel="0" collapsed="false">
      <c r="A696" s="22"/>
      <c r="B696" s="23"/>
      <c r="C696" s="23"/>
      <c r="D696" s="23"/>
      <c r="E696" s="32"/>
      <c r="F696" s="25"/>
      <c r="G696" s="23"/>
      <c r="H696" s="23"/>
      <c r="I696" s="23"/>
      <c r="J696" s="23"/>
      <c r="K696" s="23"/>
      <c r="L696" s="27" t="str">
        <f aca="false">IF($B696="","",IFERROR(INDEX(Properties!$D$5:$D$104,MATCH($B696,Properties!$A$5:$A$104,0)),"-"))</f>
        <v/>
      </c>
      <c r="M696" s="28" t="str">
        <f aca="false">IF(OR($A696="",N($E696)=0),"",$F696/$E696)</f>
        <v/>
      </c>
      <c r="N696" s="28" t="str">
        <f aca="false">IF($A696="","",IF($H696="Y",$F696*(1+Settings!$B$3),0))</f>
        <v/>
      </c>
      <c r="O696" s="27" t="str">
        <f aca="false">IF($A696="","",IF(AND($H696="Y",$G696&lt;&gt;"Restock",N($M696)&gt;Settings!$B$4,$I696&lt;&gt;"Y"),"Get host OK",IF(AND($H696="Y",$F696&gt;Settings!$B$5,$I696&lt;&gt;"Y"),"Host should pay upfront",IF($J696&lt;&gt;"Y","Save receipt","OK"))))</f>
        <v/>
      </c>
      <c r="P696" s="29" t="str">
        <f aca="false">IF($A696="","",DATE(YEAR($A696),MONTH($A696),1))</f>
        <v/>
      </c>
      <c r="Q696" s="31" t="str">
        <f aca="false">IF($A696="","",IF(AND($L696='Invoice Builder'!$C$5,$P696='Invoice Builder'!$C$6,N($N696)&gt;0),COUNTIFS($L$5:$L696,'Invoice Builder'!$C$5,$P$5:$P696,'Invoice Builder'!$C$6,$N$5:$N696,"&gt;0"),""))</f>
        <v/>
      </c>
      <c r="R696" s="27" t="str">
        <f aca="false">IF($A696="","",IF($A696&gt;=DATE(YEAR($A696),4,6),YEAR($A696)&amp;"/"&amp;RIGHT(YEAR($A696)+1,2),YEAR($A696)-1&amp;"/"&amp;RIGHT(YEAR($A696),2)))</f>
        <v/>
      </c>
    </row>
    <row r="697" customFormat="false" ht="15" hidden="false" customHeight="false" outlineLevel="0" collapsed="false">
      <c r="A697" s="22"/>
      <c r="B697" s="23"/>
      <c r="C697" s="23"/>
      <c r="D697" s="23"/>
      <c r="E697" s="32"/>
      <c r="F697" s="25"/>
      <c r="G697" s="23"/>
      <c r="H697" s="23"/>
      <c r="I697" s="23"/>
      <c r="J697" s="23"/>
      <c r="K697" s="23"/>
      <c r="L697" s="27" t="str">
        <f aca="false">IF($B697="","",IFERROR(INDEX(Properties!$D$5:$D$104,MATCH($B697,Properties!$A$5:$A$104,0)),"-"))</f>
        <v/>
      </c>
      <c r="M697" s="28" t="str">
        <f aca="false">IF(OR($A697="",N($E697)=0),"",$F697/$E697)</f>
        <v/>
      </c>
      <c r="N697" s="28" t="str">
        <f aca="false">IF($A697="","",IF($H697="Y",$F697*(1+Settings!$B$3),0))</f>
        <v/>
      </c>
      <c r="O697" s="27" t="str">
        <f aca="false">IF($A697="","",IF(AND($H697="Y",$G697&lt;&gt;"Restock",N($M697)&gt;Settings!$B$4,$I697&lt;&gt;"Y"),"Get host OK",IF(AND($H697="Y",$F697&gt;Settings!$B$5,$I697&lt;&gt;"Y"),"Host should pay upfront",IF($J697&lt;&gt;"Y","Save receipt","OK"))))</f>
        <v/>
      </c>
      <c r="P697" s="29" t="str">
        <f aca="false">IF($A697="","",DATE(YEAR($A697),MONTH($A697),1))</f>
        <v/>
      </c>
      <c r="Q697" s="31" t="str">
        <f aca="false">IF($A697="","",IF(AND($L697='Invoice Builder'!$C$5,$P697='Invoice Builder'!$C$6,N($N697)&gt;0),COUNTIFS($L$5:$L697,'Invoice Builder'!$C$5,$P$5:$P697,'Invoice Builder'!$C$6,$N$5:$N697,"&gt;0"),""))</f>
        <v/>
      </c>
      <c r="R697" s="27" t="str">
        <f aca="false">IF($A697="","",IF($A697&gt;=DATE(YEAR($A697),4,6),YEAR($A697)&amp;"/"&amp;RIGHT(YEAR($A697)+1,2),YEAR($A697)-1&amp;"/"&amp;RIGHT(YEAR($A697),2)))</f>
        <v/>
      </c>
    </row>
    <row r="698" customFormat="false" ht="15" hidden="false" customHeight="false" outlineLevel="0" collapsed="false">
      <c r="A698" s="22"/>
      <c r="B698" s="23"/>
      <c r="C698" s="23"/>
      <c r="D698" s="23"/>
      <c r="E698" s="32"/>
      <c r="F698" s="25"/>
      <c r="G698" s="23"/>
      <c r="H698" s="23"/>
      <c r="I698" s="23"/>
      <c r="J698" s="23"/>
      <c r="K698" s="23"/>
      <c r="L698" s="27" t="str">
        <f aca="false">IF($B698="","",IFERROR(INDEX(Properties!$D$5:$D$104,MATCH($B698,Properties!$A$5:$A$104,0)),"-"))</f>
        <v/>
      </c>
      <c r="M698" s="28" t="str">
        <f aca="false">IF(OR($A698="",N($E698)=0),"",$F698/$E698)</f>
        <v/>
      </c>
      <c r="N698" s="28" t="str">
        <f aca="false">IF($A698="","",IF($H698="Y",$F698*(1+Settings!$B$3),0))</f>
        <v/>
      </c>
      <c r="O698" s="27" t="str">
        <f aca="false">IF($A698="","",IF(AND($H698="Y",$G698&lt;&gt;"Restock",N($M698)&gt;Settings!$B$4,$I698&lt;&gt;"Y"),"Get host OK",IF(AND($H698="Y",$F698&gt;Settings!$B$5,$I698&lt;&gt;"Y"),"Host should pay upfront",IF($J698&lt;&gt;"Y","Save receipt","OK"))))</f>
        <v/>
      </c>
      <c r="P698" s="29" t="str">
        <f aca="false">IF($A698="","",DATE(YEAR($A698),MONTH($A698),1))</f>
        <v/>
      </c>
      <c r="Q698" s="31" t="str">
        <f aca="false">IF($A698="","",IF(AND($L698='Invoice Builder'!$C$5,$P698='Invoice Builder'!$C$6,N($N698)&gt;0),COUNTIFS($L$5:$L698,'Invoice Builder'!$C$5,$P$5:$P698,'Invoice Builder'!$C$6,$N$5:$N698,"&gt;0"),""))</f>
        <v/>
      </c>
      <c r="R698" s="27" t="str">
        <f aca="false">IF($A698="","",IF($A698&gt;=DATE(YEAR($A698),4,6),YEAR($A698)&amp;"/"&amp;RIGHT(YEAR($A698)+1,2),YEAR($A698)-1&amp;"/"&amp;RIGHT(YEAR($A698),2)))</f>
        <v/>
      </c>
    </row>
    <row r="699" customFormat="false" ht="15" hidden="false" customHeight="false" outlineLevel="0" collapsed="false">
      <c r="A699" s="22"/>
      <c r="B699" s="23"/>
      <c r="C699" s="23"/>
      <c r="D699" s="23"/>
      <c r="E699" s="32"/>
      <c r="F699" s="25"/>
      <c r="G699" s="23"/>
      <c r="H699" s="23"/>
      <c r="I699" s="23"/>
      <c r="J699" s="23"/>
      <c r="K699" s="23"/>
      <c r="L699" s="27" t="str">
        <f aca="false">IF($B699="","",IFERROR(INDEX(Properties!$D$5:$D$104,MATCH($B699,Properties!$A$5:$A$104,0)),"-"))</f>
        <v/>
      </c>
      <c r="M699" s="28" t="str">
        <f aca="false">IF(OR($A699="",N($E699)=0),"",$F699/$E699)</f>
        <v/>
      </c>
      <c r="N699" s="28" t="str">
        <f aca="false">IF($A699="","",IF($H699="Y",$F699*(1+Settings!$B$3),0))</f>
        <v/>
      </c>
      <c r="O699" s="27" t="str">
        <f aca="false">IF($A699="","",IF(AND($H699="Y",$G699&lt;&gt;"Restock",N($M699)&gt;Settings!$B$4,$I699&lt;&gt;"Y"),"Get host OK",IF(AND($H699="Y",$F699&gt;Settings!$B$5,$I699&lt;&gt;"Y"),"Host should pay upfront",IF($J699&lt;&gt;"Y","Save receipt","OK"))))</f>
        <v/>
      </c>
      <c r="P699" s="29" t="str">
        <f aca="false">IF($A699="","",DATE(YEAR($A699),MONTH($A699),1))</f>
        <v/>
      </c>
      <c r="Q699" s="31" t="str">
        <f aca="false">IF($A699="","",IF(AND($L699='Invoice Builder'!$C$5,$P699='Invoice Builder'!$C$6,N($N699)&gt;0),COUNTIFS($L$5:$L699,'Invoice Builder'!$C$5,$P$5:$P699,'Invoice Builder'!$C$6,$N$5:$N699,"&gt;0"),""))</f>
        <v/>
      </c>
      <c r="R699" s="27" t="str">
        <f aca="false">IF($A699="","",IF($A699&gt;=DATE(YEAR($A699),4,6),YEAR($A699)&amp;"/"&amp;RIGHT(YEAR($A699)+1,2),YEAR($A699)-1&amp;"/"&amp;RIGHT(YEAR($A699),2)))</f>
        <v/>
      </c>
    </row>
    <row r="700" customFormat="false" ht="15" hidden="false" customHeight="false" outlineLevel="0" collapsed="false">
      <c r="A700" s="22"/>
      <c r="B700" s="23"/>
      <c r="C700" s="23"/>
      <c r="D700" s="23"/>
      <c r="E700" s="32"/>
      <c r="F700" s="25"/>
      <c r="G700" s="23"/>
      <c r="H700" s="23"/>
      <c r="I700" s="23"/>
      <c r="J700" s="23"/>
      <c r="K700" s="23"/>
      <c r="L700" s="27" t="str">
        <f aca="false">IF($B700="","",IFERROR(INDEX(Properties!$D$5:$D$104,MATCH($B700,Properties!$A$5:$A$104,0)),"-"))</f>
        <v/>
      </c>
      <c r="M700" s="28" t="str">
        <f aca="false">IF(OR($A700="",N($E700)=0),"",$F700/$E700)</f>
        <v/>
      </c>
      <c r="N700" s="28" t="str">
        <f aca="false">IF($A700="","",IF($H700="Y",$F700*(1+Settings!$B$3),0))</f>
        <v/>
      </c>
      <c r="O700" s="27" t="str">
        <f aca="false">IF($A700="","",IF(AND($H700="Y",$G700&lt;&gt;"Restock",N($M700)&gt;Settings!$B$4,$I700&lt;&gt;"Y"),"Get host OK",IF(AND($H700="Y",$F700&gt;Settings!$B$5,$I700&lt;&gt;"Y"),"Host should pay upfront",IF($J700&lt;&gt;"Y","Save receipt","OK"))))</f>
        <v/>
      </c>
      <c r="P700" s="29" t="str">
        <f aca="false">IF($A700="","",DATE(YEAR($A700),MONTH($A700),1))</f>
        <v/>
      </c>
      <c r="Q700" s="31" t="str">
        <f aca="false">IF($A700="","",IF(AND($L700='Invoice Builder'!$C$5,$P700='Invoice Builder'!$C$6,N($N700)&gt;0),COUNTIFS($L$5:$L700,'Invoice Builder'!$C$5,$P$5:$P700,'Invoice Builder'!$C$6,$N$5:$N700,"&gt;0"),""))</f>
        <v/>
      </c>
      <c r="R700" s="27" t="str">
        <f aca="false">IF($A700="","",IF($A700&gt;=DATE(YEAR($A700),4,6),YEAR($A700)&amp;"/"&amp;RIGHT(YEAR($A700)+1,2),YEAR($A700)-1&amp;"/"&amp;RIGHT(YEAR($A700),2)))</f>
        <v/>
      </c>
    </row>
    <row r="701" customFormat="false" ht="15" hidden="false" customHeight="false" outlineLevel="0" collapsed="false">
      <c r="A701" s="22"/>
      <c r="B701" s="23"/>
      <c r="C701" s="23"/>
      <c r="D701" s="23"/>
      <c r="E701" s="32"/>
      <c r="F701" s="25"/>
      <c r="G701" s="23"/>
      <c r="H701" s="23"/>
      <c r="I701" s="23"/>
      <c r="J701" s="23"/>
      <c r="K701" s="23"/>
      <c r="L701" s="27" t="str">
        <f aca="false">IF($B701="","",IFERROR(INDEX(Properties!$D$5:$D$104,MATCH($B701,Properties!$A$5:$A$104,0)),"-"))</f>
        <v/>
      </c>
      <c r="M701" s="28" t="str">
        <f aca="false">IF(OR($A701="",N($E701)=0),"",$F701/$E701)</f>
        <v/>
      </c>
      <c r="N701" s="28" t="str">
        <f aca="false">IF($A701="","",IF($H701="Y",$F701*(1+Settings!$B$3),0))</f>
        <v/>
      </c>
      <c r="O701" s="27" t="str">
        <f aca="false">IF($A701="","",IF(AND($H701="Y",$G701&lt;&gt;"Restock",N($M701)&gt;Settings!$B$4,$I701&lt;&gt;"Y"),"Get host OK",IF(AND($H701="Y",$F701&gt;Settings!$B$5,$I701&lt;&gt;"Y"),"Host should pay upfront",IF($J701&lt;&gt;"Y","Save receipt","OK"))))</f>
        <v/>
      </c>
      <c r="P701" s="29" t="str">
        <f aca="false">IF($A701="","",DATE(YEAR($A701),MONTH($A701),1))</f>
        <v/>
      </c>
      <c r="Q701" s="31" t="str">
        <f aca="false">IF($A701="","",IF(AND($L701='Invoice Builder'!$C$5,$P701='Invoice Builder'!$C$6,N($N701)&gt;0),COUNTIFS($L$5:$L701,'Invoice Builder'!$C$5,$P$5:$P701,'Invoice Builder'!$C$6,$N$5:$N701,"&gt;0"),""))</f>
        <v/>
      </c>
      <c r="R701" s="27" t="str">
        <f aca="false">IF($A701="","",IF($A701&gt;=DATE(YEAR($A701),4,6),YEAR($A701)&amp;"/"&amp;RIGHT(YEAR($A701)+1,2),YEAR($A701)-1&amp;"/"&amp;RIGHT(YEAR($A701),2)))</f>
        <v/>
      </c>
    </row>
    <row r="702" customFormat="false" ht="15" hidden="false" customHeight="false" outlineLevel="0" collapsed="false">
      <c r="A702" s="22"/>
      <c r="B702" s="23"/>
      <c r="C702" s="23"/>
      <c r="D702" s="23"/>
      <c r="E702" s="32"/>
      <c r="F702" s="25"/>
      <c r="G702" s="23"/>
      <c r="H702" s="23"/>
      <c r="I702" s="23"/>
      <c r="J702" s="23"/>
      <c r="K702" s="23"/>
      <c r="L702" s="27" t="str">
        <f aca="false">IF($B702="","",IFERROR(INDEX(Properties!$D$5:$D$104,MATCH($B702,Properties!$A$5:$A$104,0)),"-"))</f>
        <v/>
      </c>
      <c r="M702" s="28" t="str">
        <f aca="false">IF(OR($A702="",N($E702)=0),"",$F702/$E702)</f>
        <v/>
      </c>
      <c r="N702" s="28" t="str">
        <f aca="false">IF($A702="","",IF($H702="Y",$F702*(1+Settings!$B$3),0))</f>
        <v/>
      </c>
      <c r="O702" s="27" t="str">
        <f aca="false">IF($A702="","",IF(AND($H702="Y",$G702&lt;&gt;"Restock",N($M702)&gt;Settings!$B$4,$I702&lt;&gt;"Y"),"Get host OK",IF(AND($H702="Y",$F702&gt;Settings!$B$5,$I702&lt;&gt;"Y"),"Host should pay upfront",IF($J702&lt;&gt;"Y","Save receipt","OK"))))</f>
        <v/>
      </c>
      <c r="P702" s="29" t="str">
        <f aca="false">IF($A702="","",DATE(YEAR($A702),MONTH($A702),1))</f>
        <v/>
      </c>
      <c r="Q702" s="31" t="str">
        <f aca="false">IF($A702="","",IF(AND($L702='Invoice Builder'!$C$5,$P702='Invoice Builder'!$C$6,N($N702)&gt;0),COUNTIFS($L$5:$L702,'Invoice Builder'!$C$5,$P$5:$P702,'Invoice Builder'!$C$6,$N$5:$N702,"&gt;0"),""))</f>
        <v/>
      </c>
      <c r="R702" s="27" t="str">
        <f aca="false">IF($A702="","",IF($A702&gt;=DATE(YEAR($A702),4,6),YEAR($A702)&amp;"/"&amp;RIGHT(YEAR($A702)+1,2),YEAR($A702)-1&amp;"/"&amp;RIGHT(YEAR($A702),2)))</f>
        <v/>
      </c>
    </row>
    <row r="703" customFormat="false" ht="15" hidden="false" customHeight="false" outlineLevel="0" collapsed="false">
      <c r="A703" s="22"/>
      <c r="B703" s="23"/>
      <c r="C703" s="23"/>
      <c r="D703" s="23"/>
      <c r="E703" s="32"/>
      <c r="F703" s="25"/>
      <c r="G703" s="23"/>
      <c r="H703" s="23"/>
      <c r="I703" s="23"/>
      <c r="J703" s="23"/>
      <c r="K703" s="23"/>
      <c r="L703" s="27" t="str">
        <f aca="false">IF($B703="","",IFERROR(INDEX(Properties!$D$5:$D$104,MATCH($B703,Properties!$A$5:$A$104,0)),"-"))</f>
        <v/>
      </c>
      <c r="M703" s="28" t="str">
        <f aca="false">IF(OR($A703="",N($E703)=0),"",$F703/$E703)</f>
        <v/>
      </c>
      <c r="N703" s="28" t="str">
        <f aca="false">IF($A703="","",IF($H703="Y",$F703*(1+Settings!$B$3),0))</f>
        <v/>
      </c>
      <c r="O703" s="27" t="str">
        <f aca="false">IF($A703="","",IF(AND($H703="Y",$G703&lt;&gt;"Restock",N($M703)&gt;Settings!$B$4,$I703&lt;&gt;"Y"),"Get host OK",IF(AND($H703="Y",$F703&gt;Settings!$B$5,$I703&lt;&gt;"Y"),"Host should pay upfront",IF($J703&lt;&gt;"Y","Save receipt","OK"))))</f>
        <v/>
      </c>
      <c r="P703" s="29" t="str">
        <f aca="false">IF($A703="","",DATE(YEAR($A703),MONTH($A703),1))</f>
        <v/>
      </c>
      <c r="Q703" s="31" t="str">
        <f aca="false">IF($A703="","",IF(AND($L703='Invoice Builder'!$C$5,$P703='Invoice Builder'!$C$6,N($N703)&gt;0),COUNTIFS($L$5:$L703,'Invoice Builder'!$C$5,$P$5:$P703,'Invoice Builder'!$C$6,$N$5:$N703,"&gt;0"),""))</f>
        <v/>
      </c>
      <c r="R703" s="27" t="str">
        <f aca="false">IF($A703="","",IF($A703&gt;=DATE(YEAR($A703),4,6),YEAR($A703)&amp;"/"&amp;RIGHT(YEAR($A703)+1,2),YEAR($A703)-1&amp;"/"&amp;RIGHT(YEAR($A703),2)))</f>
        <v/>
      </c>
    </row>
    <row r="704" customFormat="false" ht="15" hidden="false" customHeight="false" outlineLevel="0" collapsed="false">
      <c r="A704" s="22"/>
      <c r="B704" s="23"/>
      <c r="C704" s="23"/>
      <c r="D704" s="23"/>
      <c r="E704" s="32"/>
      <c r="F704" s="25"/>
      <c r="G704" s="23"/>
      <c r="H704" s="23"/>
      <c r="I704" s="23"/>
      <c r="J704" s="23"/>
      <c r="K704" s="23"/>
      <c r="L704" s="27" t="str">
        <f aca="false">IF($B704="","",IFERROR(INDEX(Properties!$D$5:$D$104,MATCH($B704,Properties!$A$5:$A$104,0)),"-"))</f>
        <v/>
      </c>
      <c r="M704" s="28" t="str">
        <f aca="false">IF(OR($A704="",N($E704)=0),"",$F704/$E704)</f>
        <v/>
      </c>
      <c r="N704" s="28" t="str">
        <f aca="false">IF($A704="","",IF($H704="Y",$F704*(1+Settings!$B$3),0))</f>
        <v/>
      </c>
      <c r="O704" s="27" t="str">
        <f aca="false">IF($A704="","",IF(AND($H704="Y",$G704&lt;&gt;"Restock",N($M704)&gt;Settings!$B$4,$I704&lt;&gt;"Y"),"Get host OK",IF(AND($H704="Y",$F704&gt;Settings!$B$5,$I704&lt;&gt;"Y"),"Host should pay upfront",IF($J704&lt;&gt;"Y","Save receipt","OK"))))</f>
        <v/>
      </c>
      <c r="P704" s="29" t="str">
        <f aca="false">IF($A704="","",DATE(YEAR($A704),MONTH($A704),1))</f>
        <v/>
      </c>
      <c r="Q704" s="31" t="str">
        <f aca="false">IF($A704="","",IF(AND($L704='Invoice Builder'!$C$5,$P704='Invoice Builder'!$C$6,N($N704)&gt;0),COUNTIFS($L$5:$L704,'Invoice Builder'!$C$5,$P$5:$P704,'Invoice Builder'!$C$6,$N$5:$N704,"&gt;0"),""))</f>
        <v/>
      </c>
      <c r="R704" s="27" t="str">
        <f aca="false">IF($A704="","",IF($A704&gt;=DATE(YEAR($A704),4,6),YEAR($A704)&amp;"/"&amp;RIGHT(YEAR($A704)+1,2),YEAR($A704)-1&amp;"/"&amp;RIGHT(YEAR($A704),2)))</f>
        <v/>
      </c>
    </row>
    <row r="705" customFormat="false" ht="15" hidden="false" customHeight="false" outlineLevel="0" collapsed="false">
      <c r="A705" s="22"/>
      <c r="B705" s="23"/>
      <c r="C705" s="23"/>
      <c r="D705" s="23"/>
      <c r="E705" s="32"/>
      <c r="F705" s="25"/>
      <c r="G705" s="23"/>
      <c r="H705" s="23"/>
      <c r="I705" s="23"/>
      <c r="J705" s="23"/>
      <c r="K705" s="23"/>
      <c r="L705" s="27" t="str">
        <f aca="false">IF($B705="","",IFERROR(INDEX(Properties!$D$5:$D$104,MATCH($B705,Properties!$A$5:$A$104,0)),"-"))</f>
        <v/>
      </c>
      <c r="M705" s="28" t="str">
        <f aca="false">IF(OR($A705="",N($E705)=0),"",$F705/$E705)</f>
        <v/>
      </c>
      <c r="N705" s="28" t="str">
        <f aca="false">IF($A705="","",IF($H705="Y",$F705*(1+Settings!$B$3),0))</f>
        <v/>
      </c>
      <c r="O705" s="27" t="str">
        <f aca="false">IF($A705="","",IF(AND($H705="Y",$G705&lt;&gt;"Restock",N($M705)&gt;Settings!$B$4,$I705&lt;&gt;"Y"),"Get host OK",IF(AND($H705="Y",$F705&gt;Settings!$B$5,$I705&lt;&gt;"Y"),"Host should pay upfront",IF($J705&lt;&gt;"Y","Save receipt","OK"))))</f>
        <v/>
      </c>
      <c r="P705" s="29" t="str">
        <f aca="false">IF($A705="","",DATE(YEAR($A705),MONTH($A705),1))</f>
        <v/>
      </c>
      <c r="Q705" s="31" t="str">
        <f aca="false">IF($A705="","",IF(AND($L705='Invoice Builder'!$C$5,$P705='Invoice Builder'!$C$6,N($N705)&gt;0),COUNTIFS($L$5:$L705,'Invoice Builder'!$C$5,$P$5:$P705,'Invoice Builder'!$C$6,$N$5:$N705,"&gt;0"),""))</f>
        <v/>
      </c>
      <c r="R705" s="27" t="str">
        <f aca="false">IF($A705="","",IF($A705&gt;=DATE(YEAR($A705),4,6),YEAR($A705)&amp;"/"&amp;RIGHT(YEAR($A705)+1,2),YEAR($A705)-1&amp;"/"&amp;RIGHT(YEAR($A705),2)))</f>
        <v/>
      </c>
    </row>
    <row r="706" customFormat="false" ht="15" hidden="false" customHeight="false" outlineLevel="0" collapsed="false">
      <c r="A706" s="22"/>
      <c r="B706" s="23"/>
      <c r="C706" s="23"/>
      <c r="D706" s="23"/>
      <c r="E706" s="32"/>
      <c r="F706" s="25"/>
      <c r="G706" s="23"/>
      <c r="H706" s="23"/>
      <c r="I706" s="23"/>
      <c r="J706" s="23"/>
      <c r="K706" s="23"/>
      <c r="L706" s="27" t="str">
        <f aca="false">IF($B706="","",IFERROR(INDEX(Properties!$D$5:$D$104,MATCH($B706,Properties!$A$5:$A$104,0)),"-"))</f>
        <v/>
      </c>
      <c r="M706" s="28" t="str">
        <f aca="false">IF(OR($A706="",N($E706)=0),"",$F706/$E706)</f>
        <v/>
      </c>
      <c r="N706" s="28" t="str">
        <f aca="false">IF($A706="","",IF($H706="Y",$F706*(1+Settings!$B$3),0))</f>
        <v/>
      </c>
      <c r="O706" s="27" t="str">
        <f aca="false">IF($A706="","",IF(AND($H706="Y",$G706&lt;&gt;"Restock",N($M706)&gt;Settings!$B$4,$I706&lt;&gt;"Y"),"Get host OK",IF(AND($H706="Y",$F706&gt;Settings!$B$5,$I706&lt;&gt;"Y"),"Host should pay upfront",IF($J706&lt;&gt;"Y","Save receipt","OK"))))</f>
        <v/>
      </c>
      <c r="P706" s="29" t="str">
        <f aca="false">IF($A706="","",DATE(YEAR($A706),MONTH($A706),1))</f>
        <v/>
      </c>
      <c r="Q706" s="31" t="str">
        <f aca="false">IF($A706="","",IF(AND($L706='Invoice Builder'!$C$5,$P706='Invoice Builder'!$C$6,N($N706)&gt;0),COUNTIFS($L$5:$L706,'Invoice Builder'!$C$5,$P$5:$P706,'Invoice Builder'!$C$6,$N$5:$N706,"&gt;0"),""))</f>
        <v/>
      </c>
      <c r="R706" s="27" t="str">
        <f aca="false">IF($A706="","",IF($A706&gt;=DATE(YEAR($A706),4,6),YEAR($A706)&amp;"/"&amp;RIGHT(YEAR($A706)+1,2),YEAR($A706)-1&amp;"/"&amp;RIGHT(YEAR($A706),2)))</f>
        <v/>
      </c>
    </row>
    <row r="707" customFormat="false" ht="15" hidden="false" customHeight="false" outlineLevel="0" collapsed="false">
      <c r="A707" s="22"/>
      <c r="B707" s="23"/>
      <c r="C707" s="23"/>
      <c r="D707" s="23"/>
      <c r="E707" s="32"/>
      <c r="F707" s="25"/>
      <c r="G707" s="23"/>
      <c r="H707" s="23"/>
      <c r="I707" s="23"/>
      <c r="J707" s="23"/>
      <c r="K707" s="23"/>
      <c r="L707" s="27" t="str">
        <f aca="false">IF($B707="","",IFERROR(INDEX(Properties!$D$5:$D$104,MATCH($B707,Properties!$A$5:$A$104,0)),"-"))</f>
        <v/>
      </c>
      <c r="M707" s="28" t="str">
        <f aca="false">IF(OR($A707="",N($E707)=0),"",$F707/$E707)</f>
        <v/>
      </c>
      <c r="N707" s="28" t="str">
        <f aca="false">IF($A707="","",IF($H707="Y",$F707*(1+Settings!$B$3),0))</f>
        <v/>
      </c>
      <c r="O707" s="27" t="str">
        <f aca="false">IF($A707="","",IF(AND($H707="Y",$G707&lt;&gt;"Restock",N($M707)&gt;Settings!$B$4,$I707&lt;&gt;"Y"),"Get host OK",IF(AND($H707="Y",$F707&gt;Settings!$B$5,$I707&lt;&gt;"Y"),"Host should pay upfront",IF($J707&lt;&gt;"Y","Save receipt","OK"))))</f>
        <v/>
      </c>
      <c r="P707" s="29" t="str">
        <f aca="false">IF($A707="","",DATE(YEAR($A707),MONTH($A707),1))</f>
        <v/>
      </c>
      <c r="Q707" s="31" t="str">
        <f aca="false">IF($A707="","",IF(AND($L707='Invoice Builder'!$C$5,$P707='Invoice Builder'!$C$6,N($N707)&gt;0),COUNTIFS($L$5:$L707,'Invoice Builder'!$C$5,$P$5:$P707,'Invoice Builder'!$C$6,$N$5:$N707,"&gt;0"),""))</f>
        <v/>
      </c>
      <c r="R707" s="27" t="str">
        <f aca="false">IF($A707="","",IF($A707&gt;=DATE(YEAR($A707),4,6),YEAR($A707)&amp;"/"&amp;RIGHT(YEAR($A707)+1,2),YEAR($A707)-1&amp;"/"&amp;RIGHT(YEAR($A707),2)))</f>
        <v/>
      </c>
    </row>
    <row r="708" customFormat="false" ht="15" hidden="false" customHeight="false" outlineLevel="0" collapsed="false">
      <c r="A708" s="22"/>
      <c r="B708" s="23"/>
      <c r="C708" s="23"/>
      <c r="D708" s="23"/>
      <c r="E708" s="32"/>
      <c r="F708" s="25"/>
      <c r="G708" s="23"/>
      <c r="H708" s="23"/>
      <c r="I708" s="23"/>
      <c r="J708" s="23"/>
      <c r="K708" s="23"/>
      <c r="L708" s="27" t="str">
        <f aca="false">IF($B708="","",IFERROR(INDEX(Properties!$D$5:$D$104,MATCH($B708,Properties!$A$5:$A$104,0)),"-"))</f>
        <v/>
      </c>
      <c r="M708" s="28" t="str">
        <f aca="false">IF(OR($A708="",N($E708)=0),"",$F708/$E708)</f>
        <v/>
      </c>
      <c r="N708" s="28" t="str">
        <f aca="false">IF($A708="","",IF($H708="Y",$F708*(1+Settings!$B$3),0))</f>
        <v/>
      </c>
      <c r="O708" s="27" t="str">
        <f aca="false">IF($A708="","",IF(AND($H708="Y",$G708&lt;&gt;"Restock",N($M708)&gt;Settings!$B$4,$I708&lt;&gt;"Y"),"Get host OK",IF(AND($H708="Y",$F708&gt;Settings!$B$5,$I708&lt;&gt;"Y"),"Host should pay upfront",IF($J708&lt;&gt;"Y","Save receipt","OK"))))</f>
        <v/>
      </c>
      <c r="P708" s="29" t="str">
        <f aca="false">IF($A708="","",DATE(YEAR($A708),MONTH($A708),1))</f>
        <v/>
      </c>
      <c r="Q708" s="31" t="str">
        <f aca="false">IF($A708="","",IF(AND($L708='Invoice Builder'!$C$5,$P708='Invoice Builder'!$C$6,N($N708)&gt;0),COUNTIFS($L$5:$L708,'Invoice Builder'!$C$5,$P$5:$P708,'Invoice Builder'!$C$6,$N$5:$N708,"&gt;0"),""))</f>
        <v/>
      </c>
      <c r="R708" s="27" t="str">
        <f aca="false">IF($A708="","",IF($A708&gt;=DATE(YEAR($A708),4,6),YEAR($A708)&amp;"/"&amp;RIGHT(YEAR($A708)+1,2),YEAR($A708)-1&amp;"/"&amp;RIGHT(YEAR($A708),2)))</f>
        <v/>
      </c>
    </row>
    <row r="709" customFormat="false" ht="15" hidden="false" customHeight="false" outlineLevel="0" collapsed="false">
      <c r="A709" s="22"/>
      <c r="B709" s="23"/>
      <c r="C709" s="23"/>
      <c r="D709" s="23"/>
      <c r="E709" s="32"/>
      <c r="F709" s="25"/>
      <c r="G709" s="23"/>
      <c r="H709" s="23"/>
      <c r="I709" s="23"/>
      <c r="J709" s="23"/>
      <c r="K709" s="23"/>
      <c r="L709" s="27" t="str">
        <f aca="false">IF($B709="","",IFERROR(INDEX(Properties!$D$5:$D$104,MATCH($B709,Properties!$A$5:$A$104,0)),"-"))</f>
        <v/>
      </c>
      <c r="M709" s="28" t="str">
        <f aca="false">IF(OR($A709="",N($E709)=0),"",$F709/$E709)</f>
        <v/>
      </c>
      <c r="N709" s="28" t="str">
        <f aca="false">IF($A709="","",IF($H709="Y",$F709*(1+Settings!$B$3),0))</f>
        <v/>
      </c>
      <c r="O709" s="27" t="str">
        <f aca="false">IF($A709="","",IF(AND($H709="Y",$G709&lt;&gt;"Restock",N($M709)&gt;Settings!$B$4,$I709&lt;&gt;"Y"),"Get host OK",IF(AND($H709="Y",$F709&gt;Settings!$B$5,$I709&lt;&gt;"Y"),"Host should pay upfront",IF($J709&lt;&gt;"Y","Save receipt","OK"))))</f>
        <v/>
      </c>
      <c r="P709" s="29" t="str">
        <f aca="false">IF($A709="","",DATE(YEAR($A709),MONTH($A709),1))</f>
        <v/>
      </c>
      <c r="Q709" s="31" t="str">
        <f aca="false">IF($A709="","",IF(AND($L709='Invoice Builder'!$C$5,$P709='Invoice Builder'!$C$6,N($N709)&gt;0),COUNTIFS($L$5:$L709,'Invoice Builder'!$C$5,$P$5:$P709,'Invoice Builder'!$C$6,$N$5:$N709,"&gt;0"),""))</f>
        <v/>
      </c>
      <c r="R709" s="27" t="str">
        <f aca="false">IF($A709="","",IF($A709&gt;=DATE(YEAR($A709),4,6),YEAR($A709)&amp;"/"&amp;RIGHT(YEAR($A709)+1,2),YEAR($A709)-1&amp;"/"&amp;RIGHT(YEAR($A709),2)))</f>
        <v/>
      </c>
    </row>
    <row r="710" customFormat="false" ht="15" hidden="false" customHeight="false" outlineLevel="0" collapsed="false">
      <c r="A710" s="22"/>
      <c r="B710" s="23"/>
      <c r="C710" s="23"/>
      <c r="D710" s="23"/>
      <c r="E710" s="32"/>
      <c r="F710" s="25"/>
      <c r="G710" s="23"/>
      <c r="H710" s="23"/>
      <c r="I710" s="23"/>
      <c r="J710" s="23"/>
      <c r="K710" s="23"/>
      <c r="L710" s="27" t="str">
        <f aca="false">IF($B710="","",IFERROR(INDEX(Properties!$D$5:$D$104,MATCH($B710,Properties!$A$5:$A$104,0)),"-"))</f>
        <v/>
      </c>
      <c r="M710" s="28" t="str">
        <f aca="false">IF(OR($A710="",N($E710)=0),"",$F710/$E710)</f>
        <v/>
      </c>
      <c r="N710" s="28" t="str">
        <f aca="false">IF($A710="","",IF($H710="Y",$F710*(1+Settings!$B$3),0))</f>
        <v/>
      </c>
      <c r="O710" s="27" t="str">
        <f aca="false">IF($A710="","",IF(AND($H710="Y",$G710&lt;&gt;"Restock",N($M710)&gt;Settings!$B$4,$I710&lt;&gt;"Y"),"Get host OK",IF(AND($H710="Y",$F710&gt;Settings!$B$5,$I710&lt;&gt;"Y"),"Host should pay upfront",IF($J710&lt;&gt;"Y","Save receipt","OK"))))</f>
        <v/>
      </c>
      <c r="P710" s="29" t="str">
        <f aca="false">IF($A710="","",DATE(YEAR($A710),MONTH($A710),1))</f>
        <v/>
      </c>
      <c r="Q710" s="31" t="str">
        <f aca="false">IF($A710="","",IF(AND($L710='Invoice Builder'!$C$5,$P710='Invoice Builder'!$C$6,N($N710)&gt;0),COUNTIFS($L$5:$L710,'Invoice Builder'!$C$5,$P$5:$P710,'Invoice Builder'!$C$6,$N$5:$N710,"&gt;0"),""))</f>
        <v/>
      </c>
      <c r="R710" s="27" t="str">
        <f aca="false">IF($A710="","",IF($A710&gt;=DATE(YEAR($A710),4,6),YEAR($A710)&amp;"/"&amp;RIGHT(YEAR($A710)+1,2),YEAR($A710)-1&amp;"/"&amp;RIGHT(YEAR($A710),2)))</f>
        <v/>
      </c>
    </row>
    <row r="711" customFormat="false" ht="15" hidden="false" customHeight="false" outlineLevel="0" collapsed="false">
      <c r="A711" s="22"/>
      <c r="B711" s="23"/>
      <c r="C711" s="23"/>
      <c r="D711" s="23"/>
      <c r="E711" s="32"/>
      <c r="F711" s="25"/>
      <c r="G711" s="23"/>
      <c r="H711" s="23"/>
      <c r="I711" s="23"/>
      <c r="J711" s="23"/>
      <c r="K711" s="23"/>
      <c r="L711" s="27" t="str">
        <f aca="false">IF($B711="","",IFERROR(INDEX(Properties!$D$5:$D$104,MATCH($B711,Properties!$A$5:$A$104,0)),"-"))</f>
        <v/>
      </c>
      <c r="M711" s="28" t="str">
        <f aca="false">IF(OR($A711="",N($E711)=0),"",$F711/$E711)</f>
        <v/>
      </c>
      <c r="N711" s="28" t="str">
        <f aca="false">IF($A711="","",IF($H711="Y",$F711*(1+Settings!$B$3),0))</f>
        <v/>
      </c>
      <c r="O711" s="27" t="str">
        <f aca="false">IF($A711="","",IF(AND($H711="Y",$G711&lt;&gt;"Restock",N($M711)&gt;Settings!$B$4,$I711&lt;&gt;"Y"),"Get host OK",IF(AND($H711="Y",$F711&gt;Settings!$B$5,$I711&lt;&gt;"Y"),"Host should pay upfront",IF($J711&lt;&gt;"Y","Save receipt","OK"))))</f>
        <v/>
      </c>
      <c r="P711" s="29" t="str">
        <f aca="false">IF($A711="","",DATE(YEAR($A711),MONTH($A711),1))</f>
        <v/>
      </c>
      <c r="Q711" s="31" t="str">
        <f aca="false">IF($A711="","",IF(AND($L711='Invoice Builder'!$C$5,$P711='Invoice Builder'!$C$6,N($N711)&gt;0),COUNTIFS($L$5:$L711,'Invoice Builder'!$C$5,$P$5:$P711,'Invoice Builder'!$C$6,$N$5:$N711,"&gt;0"),""))</f>
        <v/>
      </c>
      <c r="R711" s="27" t="str">
        <f aca="false">IF($A711="","",IF($A711&gt;=DATE(YEAR($A711),4,6),YEAR($A711)&amp;"/"&amp;RIGHT(YEAR($A711)+1,2),YEAR($A711)-1&amp;"/"&amp;RIGHT(YEAR($A711),2)))</f>
        <v/>
      </c>
    </row>
    <row r="712" customFormat="false" ht="15" hidden="false" customHeight="false" outlineLevel="0" collapsed="false">
      <c r="A712" s="22"/>
      <c r="B712" s="23"/>
      <c r="C712" s="23"/>
      <c r="D712" s="23"/>
      <c r="E712" s="32"/>
      <c r="F712" s="25"/>
      <c r="G712" s="23"/>
      <c r="H712" s="23"/>
      <c r="I712" s="23"/>
      <c r="J712" s="23"/>
      <c r="K712" s="23"/>
      <c r="L712" s="27" t="str">
        <f aca="false">IF($B712="","",IFERROR(INDEX(Properties!$D$5:$D$104,MATCH($B712,Properties!$A$5:$A$104,0)),"-"))</f>
        <v/>
      </c>
      <c r="M712" s="28" t="str">
        <f aca="false">IF(OR($A712="",N($E712)=0),"",$F712/$E712)</f>
        <v/>
      </c>
      <c r="N712" s="28" t="str">
        <f aca="false">IF($A712="","",IF($H712="Y",$F712*(1+Settings!$B$3),0))</f>
        <v/>
      </c>
      <c r="O712" s="27" t="str">
        <f aca="false">IF($A712="","",IF(AND($H712="Y",$G712&lt;&gt;"Restock",N($M712)&gt;Settings!$B$4,$I712&lt;&gt;"Y"),"Get host OK",IF(AND($H712="Y",$F712&gt;Settings!$B$5,$I712&lt;&gt;"Y"),"Host should pay upfront",IF($J712&lt;&gt;"Y","Save receipt","OK"))))</f>
        <v/>
      </c>
      <c r="P712" s="29" t="str">
        <f aca="false">IF($A712="","",DATE(YEAR($A712),MONTH($A712),1))</f>
        <v/>
      </c>
      <c r="Q712" s="31" t="str">
        <f aca="false">IF($A712="","",IF(AND($L712='Invoice Builder'!$C$5,$P712='Invoice Builder'!$C$6,N($N712)&gt;0),COUNTIFS($L$5:$L712,'Invoice Builder'!$C$5,$P$5:$P712,'Invoice Builder'!$C$6,$N$5:$N712,"&gt;0"),""))</f>
        <v/>
      </c>
      <c r="R712" s="27" t="str">
        <f aca="false">IF($A712="","",IF($A712&gt;=DATE(YEAR($A712),4,6),YEAR($A712)&amp;"/"&amp;RIGHT(YEAR($A712)+1,2),YEAR($A712)-1&amp;"/"&amp;RIGHT(YEAR($A712),2)))</f>
        <v/>
      </c>
    </row>
    <row r="713" customFormat="false" ht="15" hidden="false" customHeight="false" outlineLevel="0" collapsed="false">
      <c r="A713" s="22"/>
      <c r="B713" s="23"/>
      <c r="C713" s="23"/>
      <c r="D713" s="23"/>
      <c r="E713" s="32"/>
      <c r="F713" s="25"/>
      <c r="G713" s="23"/>
      <c r="H713" s="23"/>
      <c r="I713" s="23"/>
      <c r="J713" s="23"/>
      <c r="K713" s="23"/>
      <c r="L713" s="27" t="str">
        <f aca="false">IF($B713="","",IFERROR(INDEX(Properties!$D$5:$D$104,MATCH($B713,Properties!$A$5:$A$104,0)),"-"))</f>
        <v/>
      </c>
      <c r="M713" s="28" t="str">
        <f aca="false">IF(OR($A713="",N($E713)=0),"",$F713/$E713)</f>
        <v/>
      </c>
      <c r="N713" s="28" t="str">
        <f aca="false">IF($A713="","",IF($H713="Y",$F713*(1+Settings!$B$3),0))</f>
        <v/>
      </c>
      <c r="O713" s="27" t="str">
        <f aca="false">IF($A713="","",IF(AND($H713="Y",$G713&lt;&gt;"Restock",N($M713)&gt;Settings!$B$4,$I713&lt;&gt;"Y"),"Get host OK",IF(AND($H713="Y",$F713&gt;Settings!$B$5,$I713&lt;&gt;"Y"),"Host should pay upfront",IF($J713&lt;&gt;"Y","Save receipt","OK"))))</f>
        <v/>
      </c>
      <c r="P713" s="29" t="str">
        <f aca="false">IF($A713="","",DATE(YEAR($A713),MONTH($A713),1))</f>
        <v/>
      </c>
      <c r="Q713" s="31" t="str">
        <f aca="false">IF($A713="","",IF(AND($L713='Invoice Builder'!$C$5,$P713='Invoice Builder'!$C$6,N($N713)&gt;0),COUNTIFS($L$5:$L713,'Invoice Builder'!$C$5,$P$5:$P713,'Invoice Builder'!$C$6,$N$5:$N713,"&gt;0"),""))</f>
        <v/>
      </c>
      <c r="R713" s="27" t="str">
        <f aca="false">IF($A713="","",IF($A713&gt;=DATE(YEAR($A713),4,6),YEAR($A713)&amp;"/"&amp;RIGHT(YEAR($A713)+1,2),YEAR($A713)-1&amp;"/"&amp;RIGHT(YEAR($A713),2)))</f>
        <v/>
      </c>
    </row>
    <row r="714" customFormat="false" ht="15" hidden="false" customHeight="false" outlineLevel="0" collapsed="false">
      <c r="A714" s="22"/>
      <c r="B714" s="23"/>
      <c r="C714" s="23"/>
      <c r="D714" s="23"/>
      <c r="E714" s="32"/>
      <c r="F714" s="25"/>
      <c r="G714" s="23"/>
      <c r="H714" s="23"/>
      <c r="I714" s="23"/>
      <c r="J714" s="23"/>
      <c r="K714" s="23"/>
      <c r="L714" s="27" t="str">
        <f aca="false">IF($B714="","",IFERROR(INDEX(Properties!$D$5:$D$104,MATCH($B714,Properties!$A$5:$A$104,0)),"-"))</f>
        <v/>
      </c>
      <c r="M714" s="28" t="str">
        <f aca="false">IF(OR($A714="",N($E714)=0),"",$F714/$E714)</f>
        <v/>
      </c>
      <c r="N714" s="28" t="str">
        <f aca="false">IF($A714="","",IF($H714="Y",$F714*(1+Settings!$B$3),0))</f>
        <v/>
      </c>
      <c r="O714" s="27" t="str">
        <f aca="false">IF($A714="","",IF(AND($H714="Y",$G714&lt;&gt;"Restock",N($M714)&gt;Settings!$B$4,$I714&lt;&gt;"Y"),"Get host OK",IF(AND($H714="Y",$F714&gt;Settings!$B$5,$I714&lt;&gt;"Y"),"Host should pay upfront",IF($J714&lt;&gt;"Y","Save receipt","OK"))))</f>
        <v/>
      </c>
      <c r="P714" s="29" t="str">
        <f aca="false">IF($A714="","",DATE(YEAR($A714),MONTH($A714),1))</f>
        <v/>
      </c>
      <c r="Q714" s="31" t="str">
        <f aca="false">IF($A714="","",IF(AND($L714='Invoice Builder'!$C$5,$P714='Invoice Builder'!$C$6,N($N714)&gt;0),COUNTIFS($L$5:$L714,'Invoice Builder'!$C$5,$P$5:$P714,'Invoice Builder'!$C$6,$N$5:$N714,"&gt;0"),""))</f>
        <v/>
      </c>
      <c r="R714" s="27" t="str">
        <f aca="false">IF($A714="","",IF($A714&gt;=DATE(YEAR($A714),4,6),YEAR($A714)&amp;"/"&amp;RIGHT(YEAR($A714)+1,2),YEAR($A714)-1&amp;"/"&amp;RIGHT(YEAR($A714),2)))</f>
        <v/>
      </c>
    </row>
    <row r="715" customFormat="false" ht="15" hidden="false" customHeight="false" outlineLevel="0" collapsed="false">
      <c r="A715" s="22"/>
      <c r="B715" s="23"/>
      <c r="C715" s="23"/>
      <c r="D715" s="23"/>
      <c r="E715" s="32"/>
      <c r="F715" s="25"/>
      <c r="G715" s="23"/>
      <c r="H715" s="23"/>
      <c r="I715" s="23"/>
      <c r="J715" s="23"/>
      <c r="K715" s="23"/>
      <c r="L715" s="27" t="str">
        <f aca="false">IF($B715="","",IFERROR(INDEX(Properties!$D$5:$D$104,MATCH($B715,Properties!$A$5:$A$104,0)),"-"))</f>
        <v/>
      </c>
      <c r="M715" s="28" t="str">
        <f aca="false">IF(OR($A715="",N($E715)=0),"",$F715/$E715)</f>
        <v/>
      </c>
      <c r="N715" s="28" t="str">
        <f aca="false">IF($A715="","",IF($H715="Y",$F715*(1+Settings!$B$3),0))</f>
        <v/>
      </c>
      <c r="O715" s="27" t="str">
        <f aca="false">IF($A715="","",IF(AND($H715="Y",$G715&lt;&gt;"Restock",N($M715)&gt;Settings!$B$4,$I715&lt;&gt;"Y"),"Get host OK",IF(AND($H715="Y",$F715&gt;Settings!$B$5,$I715&lt;&gt;"Y"),"Host should pay upfront",IF($J715&lt;&gt;"Y","Save receipt","OK"))))</f>
        <v/>
      </c>
      <c r="P715" s="29" t="str">
        <f aca="false">IF($A715="","",DATE(YEAR($A715),MONTH($A715),1))</f>
        <v/>
      </c>
      <c r="Q715" s="31" t="str">
        <f aca="false">IF($A715="","",IF(AND($L715='Invoice Builder'!$C$5,$P715='Invoice Builder'!$C$6,N($N715)&gt;0),COUNTIFS($L$5:$L715,'Invoice Builder'!$C$5,$P$5:$P715,'Invoice Builder'!$C$6,$N$5:$N715,"&gt;0"),""))</f>
        <v/>
      </c>
      <c r="R715" s="27" t="str">
        <f aca="false">IF($A715="","",IF($A715&gt;=DATE(YEAR($A715),4,6),YEAR($A715)&amp;"/"&amp;RIGHT(YEAR($A715)+1,2),YEAR($A715)-1&amp;"/"&amp;RIGHT(YEAR($A715),2)))</f>
        <v/>
      </c>
    </row>
    <row r="716" customFormat="false" ht="15" hidden="false" customHeight="false" outlineLevel="0" collapsed="false">
      <c r="A716" s="22"/>
      <c r="B716" s="23"/>
      <c r="C716" s="23"/>
      <c r="D716" s="23"/>
      <c r="E716" s="32"/>
      <c r="F716" s="25"/>
      <c r="G716" s="23"/>
      <c r="H716" s="23"/>
      <c r="I716" s="23"/>
      <c r="J716" s="23"/>
      <c r="K716" s="23"/>
      <c r="L716" s="27" t="str">
        <f aca="false">IF($B716="","",IFERROR(INDEX(Properties!$D$5:$D$104,MATCH($B716,Properties!$A$5:$A$104,0)),"-"))</f>
        <v/>
      </c>
      <c r="M716" s="28" t="str">
        <f aca="false">IF(OR($A716="",N($E716)=0),"",$F716/$E716)</f>
        <v/>
      </c>
      <c r="N716" s="28" t="str">
        <f aca="false">IF($A716="","",IF($H716="Y",$F716*(1+Settings!$B$3),0))</f>
        <v/>
      </c>
      <c r="O716" s="27" t="str">
        <f aca="false">IF($A716="","",IF(AND($H716="Y",$G716&lt;&gt;"Restock",N($M716)&gt;Settings!$B$4,$I716&lt;&gt;"Y"),"Get host OK",IF(AND($H716="Y",$F716&gt;Settings!$B$5,$I716&lt;&gt;"Y"),"Host should pay upfront",IF($J716&lt;&gt;"Y","Save receipt","OK"))))</f>
        <v/>
      </c>
      <c r="P716" s="29" t="str">
        <f aca="false">IF($A716="","",DATE(YEAR($A716),MONTH($A716),1))</f>
        <v/>
      </c>
      <c r="Q716" s="31" t="str">
        <f aca="false">IF($A716="","",IF(AND($L716='Invoice Builder'!$C$5,$P716='Invoice Builder'!$C$6,N($N716)&gt;0),COUNTIFS($L$5:$L716,'Invoice Builder'!$C$5,$P$5:$P716,'Invoice Builder'!$C$6,$N$5:$N716,"&gt;0"),""))</f>
        <v/>
      </c>
      <c r="R716" s="27" t="str">
        <f aca="false">IF($A716="","",IF($A716&gt;=DATE(YEAR($A716),4,6),YEAR($A716)&amp;"/"&amp;RIGHT(YEAR($A716)+1,2),YEAR($A716)-1&amp;"/"&amp;RIGHT(YEAR($A716),2)))</f>
        <v/>
      </c>
    </row>
    <row r="717" customFormat="false" ht="15" hidden="false" customHeight="false" outlineLevel="0" collapsed="false">
      <c r="A717" s="22"/>
      <c r="B717" s="23"/>
      <c r="C717" s="23"/>
      <c r="D717" s="23"/>
      <c r="E717" s="32"/>
      <c r="F717" s="25"/>
      <c r="G717" s="23"/>
      <c r="H717" s="23"/>
      <c r="I717" s="23"/>
      <c r="J717" s="23"/>
      <c r="K717" s="23"/>
      <c r="L717" s="27" t="str">
        <f aca="false">IF($B717="","",IFERROR(INDEX(Properties!$D$5:$D$104,MATCH($B717,Properties!$A$5:$A$104,0)),"-"))</f>
        <v/>
      </c>
      <c r="M717" s="28" t="str">
        <f aca="false">IF(OR($A717="",N($E717)=0),"",$F717/$E717)</f>
        <v/>
      </c>
      <c r="N717" s="28" t="str">
        <f aca="false">IF($A717="","",IF($H717="Y",$F717*(1+Settings!$B$3),0))</f>
        <v/>
      </c>
      <c r="O717" s="27" t="str">
        <f aca="false">IF($A717="","",IF(AND($H717="Y",$G717&lt;&gt;"Restock",N($M717)&gt;Settings!$B$4,$I717&lt;&gt;"Y"),"Get host OK",IF(AND($H717="Y",$F717&gt;Settings!$B$5,$I717&lt;&gt;"Y"),"Host should pay upfront",IF($J717&lt;&gt;"Y","Save receipt","OK"))))</f>
        <v/>
      </c>
      <c r="P717" s="29" t="str">
        <f aca="false">IF($A717="","",DATE(YEAR($A717),MONTH($A717),1))</f>
        <v/>
      </c>
      <c r="Q717" s="31" t="str">
        <f aca="false">IF($A717="","",IF(AND($L717='Invoice Builder'!$C$5,$P717='Invoice Builder'!$C$6,N($N717)&gt;0),COUNTIFS($L$5:$L717,'Invoice Builder'!$C$5,$P$5:$P717,'Invoice Builder'!$C$6,$N$5:$N717,"&gt;0"),""))</f>
        <v/>
      </c>
      <c r="R717" s="27" t="str">
        <f aca="false">IF($A717="","",IF($A717&gt;=DATE(YEAR($A717),4,6),YEAR($A717)&amp;"/"&amp;RIGHT(YEAR($A717)+1,2),YEAR($A717)-1&amp;"/"&amp;RIGHT(YEAR($A717),2)))</f>
        <v/>
      </c>
    </row>
    <row r="718" customFormat="false" ht="15" hidden="false" customHeight="false" outlineLevel="0" collapsed="false">
      <c r="A718" s="22"/>
      <c r="B718" s="23"/>
      <c r="C718" s="23"/>
      <c r="D718" s="23"/>
      <c r="E718" s="32"/>
      <c r="F718" s="25"/>
      <c r="G718" s="23"/>
      <c r="H718" s="23"/>
      <c r="I718" s="23"/>
      <c r="J718" s="23"/>
      <c r="K718" s="23"/>
      <c r="L718" s="27" t="str">
        <f aca="false">IF($B718="","",IFERROR(INDEX(Properties!$D$5:$D$104,MATCH($B718,Properties!$A$5:$A$104,0)),"-"))</f>
        <v/>
      </c>
      <c r="M718" s="28" t="str">
        <f aca="false">IF(OR($A718="",N($E718)=0),"",$F718/$E718)</f>
        <v/>
      </c>
      <c r="N718" s="28" t="str">
        <f aca="false">IF($A718="","",IF($H718="Y",$F718*(1+Settings!$B$3),0))</f>
        <v/>
      </c>
      <c r="O718" s="27" t="str">
        <f aca="false">IF($A718="","",IF(AND($H718="Y",$G718&lt;&gt;"Restock",N($M718)&gt;Settings!$B$4,$I718&lt;&gt;"Y"),"Get host OK",IF(AND($H718="Y",$F718&gt;Settings!$B$5,$I718&lt;&gt;"Y"),"Host should pay upfront",IF($J718&lt;&gt;"Y","Save receipt","OK"))))</f>
        <v/>
      </c>
      <c r="P718" s="29" t="str">
        <f aca="false">IF($A718="","",DATE(YEAR($A718),MONTH($A718),1))</f>
        <v/>
      </c>
      <c r="Q718" s="31" t="str">
        <f aca="false">IF($A718="","",IF(AND($L718='Invoice Builder'!$C$5,$P718='Invoice Builder'!$C$6,N($N718)&gt;0),COUNTIFS($L$5:$L718,'Invoice Builder'!$C$5,$P$5:$P718,'Invoice Builder'!$C$6,$N$5:$N718,"&gt;0"),""))</f>
        <v/>
      </c>
      <c r="R718" s="27" t="str">
        <f aca="false">IF($A718="","",IF($A718&gt;=DATE(YEAR($A718),4,6),YEAR($A718)&amp;"/"&amp;RIGHT(YEAR($A718)+1,2),YEAR($A718)-1&amp;"/"&amp;RIGHT(YEAR($A718),2)))</f>
        <v/>
      </c>
    </row>
    <row r="719" customFormat="false" ht="15" hidden="false" customHeight="false" outlineLevel="0" collapsed="false">
      <c r="A719" s="22"/>
      <c r="B719" s="23"/>
      <c r="C719" s="23"/>
      <c r="D719" s="23"/>
      <c r="E719" s="32"/>
      <c r="F719" s="25"/>
      <c r="G719" s="23"/>
      <c r="H719" s="23"/>
      <c r="I719" s="23"/>
      <c r="J719" s="23"/>
      <c r="K719" s="23"/>
      <c r="L719" s="27" t="str">
        <f aca="false">IF($B719="","",IFERROR(INDEX(Properties!$D$5:$D$104,MATCH($B719,Properties!$A$5:$A$104,0)),"-"))</f>
        <v/>
      </c>
      <c r="M719" s="28" t="str">
        <f aca="false">IF(OR($A719="",N($E719)=0),"",$F719/$E719)</f>
        <v/>
      </c>
      <c r="N719" s="28" t="str">
        <f aca="false">IF($A719="","",IF($H719="Y",$F719*(1+Settings!$B$3),0))</f>
        <v/>
      </c>
      <c r="O719" s="27" t="str">
        <f aca="false">IF($A719="","",IF(AND($H719="Y",$G719&lt;&gt;"Restock",N($M719)&gt;Settings!$B$4,$I719&lt;&gt;"Y"),"Get host OK",IF(AND($H719="Y",$F719&gt;Settings!$B$5,$I719&lt;&gt;"Y"),"Host should pay upfront",IF($J719&lt;&gt;"Y","Save receipt","OK"))))</f>
        <v/>
      </c>
      <c r="P719" s="29" t="str">
        <f aca="false">IF($A719="","",DATE(YEAR($A719),MONTH($A719),1))</f>
        <v/>
      </c>
      <c r="Q719" s="31" t="str">
        <f aca="false">IF($A719="","",IF(AND($L719='Invoice Builder'!$C$5,$P719='Invoice Builder'!$C$6,N($N719)&gt;0),COUNTIFS($L$5:$L719,'Invoice Builder'!$C$5,$P$5:$P719,'Invoice Builder'!$C$6,$N$5:$N719,"&gt;0"),""))</f>
        <v/>
      </c>
      <c r="R719" s="27" t="str">
        <f aca="false">IF($A719="","",IF($A719&gt;=DATE(YEAR($A719),4,6),YEAR($A719)&amp;"/"&amp;RIGHT(YEAR($A719)+1,2),YEAR($A719)-1&amp;"/"&amp;RIGHT(YEAR($A719),2)))</f>
        <v/>
      </c>
    </row>
    <row r="720" customFormat="false" ht="15" hidden="false" customHeight="false" outlineLevel="0" collapsed="false">
      <c r="A720" s="22"/>
      <c r="B720" s="23"/>
      <c r="C720" s="23"/>
      <c r="D720" s="23"/>
      <c r="E720" s="32"/>
      <c r="F720" s="25"/>
      <c r="G720" s="23"/>
      <c r="H720" s="23"/>
      <c r="I720" s="23"/>
      <c r="J720" s="23"/>
      <c r="K720" s="23"/>
      <c r="L720" s="27" t="str">
        <f aca="false">IF($B720="","",IFERROR(INDEX(Properties!$D$5:$D$104,MATCH($B720,Properties!$A$5:$A$104,0)),"-"))</f>
        <v/>
      </c>
      <c r="M720" s="28" t="str">
        <f aca="false">IF(OR($A720="",N($E720)=0),"",$F720/$E720)</f>
        <v/>
      </c>
      <c r="N720" s="28" t="str">
        <f aca="false">IF($A720="","",IF($H720="Y",$F720*(1+Settings!$B$3),0))</f>
        <v/>
      </c>
      <c r="O720" s="27" t="str">
        <f aca="false">IF($A720="","",IF(AND($H720="Y",$G720&lt;&gt;"Restock",N($M720)&gt;Settings!$B$4,$I720&lt;&gt;"Y"),"Get host OK",IF(AND($H720="Y",$F720&gt;Settings!$B$5,$I720&lt;&gt;"Y"),"Host should pay upfront",IF($J720&lt;&gt;"Y","Save receipt","OK"))))</f>
        <v/>
      </c>
      <c r="P720" s="29" t="str">
        <f aca="false">IF($A720="","",DATE(YEAR($A720),MONTH($A720),1))</f>
        <v/>
      </c>
      <c r="Q720" s="31" t="str">
        <f aca="false">IF($A720="","",IF(AND($L720='Invoice Builder'!$C$5,$P720='Invoice Builder'!$C$6,N($N720)&gt;0),COUNTIFS($L$5:$L720,'Invoice Builder'!$C$5,$P$5:$P720,'Invoice Builder'!$C$6,$N$5:$N720,"&gt;0"),""))</f>
        <v/>
      </c>
      <c r="R720" s="27" t="str">
        <f aca="false">IF($A720="","",IF($A720&gt;=DATE(YEAR($A720),4,6),YEAR($A720)&amp;"/"&amp;RIGHT(YEAR($A720)+1,2),YEAR($A720)-1&amp;"/"&amp;RIGHT(YEAR($A720),2)))</f>
        <v/>
      </c>
    </row>
    <row r="721" customFormat="false" ht="15" hidden="false" customHeight="false" outlineLevel="0" collapsed="false">
      <c r="A721" s="22"/>
      <c r="B721" s="23"/>
      <c r="C721" s="23"/>
      <c r="D721" s="23"/>
      <c r="E721" s="32"/>
      <c r="F721" s="25"/>
      <c r="G721" s="23"/>
      <c r="H721" s="23"/>
      <c r="I721" s="23"/>
      <c r="J721" s="23"/>
      <c r="K721" s="23"/>
      <c r="L721" s="27" t="str">
        <f aca="false">IF($B721="","",IFERROR(INDEX(Properties!$D$5:$D$104,MATCH($B721,Properties!$A$5:$A$104,0)),"-"))</f>
        <v/>
      </c>
      <c r="M721" s="28" t="str">
        <f aca="false">IF(OR($A721="",N($E721)=0),"",$F721/$E721)</f>
        <v/>
      </c>
      <c r="N721" s="28" t="str">
        <f aca="false">IF($A721="","",IF($H721="Y",$F721*(1+Settings!$B$3),0))</f>
        <v/>
      </c>
      <c r="O721" s="27" t="str">
        <f aca="false">IF($A721="","",IF(AND($H721="Y",$G721&lt;&gt;"Restock",N($M721)&gt;Settings!$B$4,$I721&lt;&gt;"Y"),"Get host OK",IF(AND($H721="Y",$F721&gt;Settings!$B$5,$I721&lt;&gt;"Y"),"Host should pay upfront",IF($J721&lt;&gt;"Y","Save receipt","OK"))))</f>
        <v/>
      </c>
      <c r="P721" s="29" t="str">
        <f aca="false">IF($A721="","",DATE(YEAR($A721),MONTH($A721),1))</f>
        <v/>
      </c>
      <c r="Q721" s="31" t="str">
        <f aca="false">IF($A721="","",IF(AND($L721='Invoice Builder'!$C$5,$P721='Invoice Builder'!$C$6,N($N721)&gt;0),COUNTIFS($L$5:$L721,'Invoice Builder'!$C$5,$P$5:$P721,'Invoice Builder'!$C$6,$N$5:$N721,"&gt;0"),""))</f>
        <v/>
      </c>
      <c r="R721" s="27" t="str">
        <f aca="false">IF($A721="","",IF($A721&gt;=DATE(YEAR($A721),4,6),YEAR($A721)&amp;"/"&amp;RIGHT(YEAR($A721)+1,2),YEAR($A721)-1&amp;"/"&amp;RIGHT(YEAR($A721),2)))</f>
        <v/>
      </c>
    </row>
    <row r="722" customFormat="false" ht="15" hidden="false" customHeight="false" outlineLevel="0" collapsed="false">
      <c r="A722" s="22"/>
      <c r="B722" s="23"/>
      <c r="C722" s="23"/>
      <c r="D722" s="23"/>
      <c r="E722" s="32"/>
      <c r="F722" s="25"/>
      <c r="G722" s="23"/>
      <c r="H722" s="23"/>
      <c r="I722" s="23"/>
      <c r="J722" s="23"/>
      <c r="K722" s="23"/>
      <c r="L722" s="27" t="str">
        <f aca="false">IF($B722="","",IFERROR(INDEX(Properties!$D$5:$D$104,MATCH($B722,Properties!$A$5:$A$104,0)),"-"))</f>
        <v/>
      </c>
      <c r="M722" s="28" t="str">
        <f aca="false">IF(OR($A722="",N($E722)=0),"",$F722/$E722)</f>
        <v/>
      </c>
      <c r="N722" s="28" t="str">
        <f aca="false">IF($A722="","",IF($H722="Y",$F722*(1+Settings!$B$3),0))</f>
        <v/>
      </c>
      <c r="O722" s="27" t="str">
        <f aca="false">IF($A722="","",IF(AND($H722="Y",$G722&lt;&gt;"Restock",N($M722)&gt;Settings!$B$4,$I722&lt;&gt;"Y"),"Get host OK",IF(AND($H722="Y",$F722&gt;Settings!$B$5,$I722&lt;&gt;"Y"),"Host should pay upfront",IF($J722&lt;&gt;"Y","Save receipt","OK"))))</f>
        <v/>
      </c>
      <c r="P722" s="29" t="str">
        <f aca="false">IF($A722="","",DATE(YEAR($A722),MONTH($A722),1))</f>
        <v/>
      </c>
      <c r="Q722" s="31" t="str">
        <f aca="false">IF($A722="","",IF(AND($L722='Invoice Builder'!$C$5,$P722='Invoice Builder'!$C$6,N($N722)&gt;0),COUNTIFS($L$5:$L722,'Invoice Builder'!$C$5,$P$5:$P722,'Invoice Builder'!$C$6,$N$5:$N722,"&gt;0"),""))</f>
        <v/>
      </c>
      <c r="R722" s="27" t="str">
        <f aca="false">IF($A722="","",IF($A722&gt;=DATE(YEAR($A722),4,6),YEAR($A722)&amp;"/"&amp;RIGHT(YEAR($A722)+1,2),YEAR($A722)-1&amp;"/"&amp;RIGHT(YEAR($A722),2)))</f>
        <v/>
      </c>
    </row>
    <row r="723" customFormat="false" ht="15" hidden="false" customHeight="false" outlineLevel="0" collapsed="false">
      <c r="A723" s="22"/>
      <c r="B723" s="23"/>
      <c r="C723" s="23"/>
      <c r="D723" s="23"/>
      <c r="E723" s="32"/>
      <c r="F723" s="25"/>
      <c r="G723" s="23"/>
      <c r="H723" s="23"/>
      <c r="I723" s="23"/>
      <c r="J723" s="23"/>
      <c r="K723" s="23"/>
      <c r="L723" s="27" t="str">
        <f aca="false">IF($B723="","",IFERROR(INDEX(Properties!$D$5:$D$104,MATCH($B723,Properties!$A$5:$A$104,0)),"-"))</f>
        <v/>
      </c>
      <c r="M723" s="28" t="str">
        <f aca="false">IF(OR($A723="",N($E723)=0),"",$F723/$E723)</f>
        <v/>
      </c>
      <c r="N723" s="28" t="str">
        <f aca="false">IF($A723="","",IF($H723="Y",$F723*(1+Settings!$B$3),0))</f>
        <v/>
      </c>
      <c r="O723" s="27" t="str">
        <f aca="false">IF($A723="","",IF(AND($H723="Y",$G723&lt;&gt;"Restock",N($M723)&gt;Settings!$B$4,$I723&lt;&gt;"Y"),"Get host OK",IF(AND($H723="Y",$F723&gt;Settings!$B$5,$I723&lt;&gt;"Y"),"Host should pay upfront",IF($J723&lt;&gt;"Y","Save receipt","OK"))))</f>
        <v/>
      </c>
      <c r="P723" s="29" t="str">
        <f aca="false">IF($A723="","",DATE(YEAR($A723),MONTH($A723),1))</f>
        <v/>
      </c>
      <c r="Q723" s="31" t="str">
        <f aca="false">IF($A723="","",IF(AND($L723='Invoice Builder'!$C$5,$P723='Invoice Builder'!$C$6,N($N723)&gt;0),COUNTIFS($L$5:$L723,'Invoice Builder'!$C$5,$P$5:$P723,'Invoice Builder'!$C$6,$N$5:$N723,"&gt;0"),""))</f>
        <v/>
      </c>
      <c r="R723" s="27" t="str">
        <f aca="false">IF($A723="","",IF($A723&gt;=DATE(YEAR($A723),4,6),YEAR($A723)&amp;"/"&amp;RIGHT(YEAR($A723)+1,2),YEAR($A723)-1&amp;"/"&amp;RIGHT(YEAR($A723),2)))</f>
        <v/>
      </c>
    </row>
    <row r="724" customFormat="false" ht="15" hidden="false" customHeight="false" outlineLevel="0" collapsed="false">
      <c r="A724" s="22"/>
      <c r="B724" s="23"/>
      <c r="C724" s="23"/>
      <c r="D724" s="23"/>
      <c r="E724" s="32"/>
      <c r="F724" s="25"/>
      <c r="G724" s="23"/>
      <c r="H724" s="23"/>
      <c r="I724" s="23"/>
      <c r="J724" s="23"/>
      <c r="K724" s="23"/>
      <c r="L724" s="27" t="str">
        <f aca="false">IF($B724="","",IFERROR(INDEX(Properties!$D$5:$D$104,MATCH($B724,Properties!$A$5:$A$104,0)),"-"))</f>
        <v/>
      </c>
      <c r="M724" s="28" t="str">
        <f aca="false">IF(OR($A724="",N($E724)=0),"",$F724/$E724)</f>
        <v/>
      </c>
      <c r="N724" s="28" t="str">
        <f aca="false">IF($A724="","",IF($H724="Y",$F724*(1+Settings!$B$3),0))</f>
        <v/>
      </c>
      <c r="O724" s="27" t="str">
        <f aca="false">IF($A724="","",IF(AND($H724="Y",$G724&lt;&gt;"Restock",N($M724)&gt;Settings!$B$4,$I724&lt;&gt;"Y"),"Get host OK",IF(AND($H724="Y",$F724&gt;Settings!$B$5,$I724&lt;&gt;"Y"),"Host should pay upfront",IF($J724&lt;&gt;"Y","Save receipt","OK"))))</f>
        <v/>
      </c>
      <c r="P724" s="29" t="str">
        <f aca="false">IF($A724="","",DATE(YEAR($A724),MONTH($A724),1))</f>
        <v/>
      </c>
      <c r="Q724" s="31" t="str">
        <f aca="false">IF($A724="","",IF(AND($L724='Invoice Builder'!$C$5,$P724='Invoice Builder'!$C$6,N($N724)&gt;0),COUNTIFS($L$5:$L724,'Invoice Builder'!$C$5,$P$5:$P724,'Invoice Builder'!$C$6,$N$5:$N724,"&gt;0"),""))</f>
        <v/>
      </c>
      <c r="R724" s="27" t="str">
        <f aca="false">IF($A724="","",IF($A724&gt;=DATE(YEAR($A724),4,6),YEAR($A724)&amp;"/"&amp;RIGHT(YEAR($A724)+1,2),YEAR($A724)-1&amp;"/"&amp;RIGHT(YEAR($A724),2)))</f>
        <v/>
      </c>
    </row>
    <row r="725" customFormat="false" ht="15" hidden="false" customHeight="false" outlineLevel="0" collapsed="false">
      <c r="A725" s="22"/>
      <c r="B725" s="23"/>
      <c r="C725" s="23"/>
      <c r="D725" s="23"/>
      <c r="E725" s="32"/>
      <c r="F725" s="25"/>
      <c r="G725" s="23"/>
      <c r="H725" s="23"/>
      <c r="I725" s="23"/>
      <c r="J725" s="23"/>
      <c r="K725" s="23"/>
      <c r="L725" s="27" t="str">
        <f aca="false">IF($B725="","",IFERROR(INDEX(Properties!$D$5:$D$104,MATCH($B725,Properties!$A$5:$A$104,0)),"-"))</f>
        <v/>
      </c>
      <c r="M725" s="28" t="str">
        <f aca="false">IF(OR($A725="",N($E725)=0),"",$F725/$E725)</f>
        <v/>
      </c>
      <c r="N725" s="28" t="str">
        <f aca="false">IF($A725="","",IF($H725="Y",$F725*(1+Settings!$B$3),0))</f>
        <v/>
      </c>
      <c r="O725" s="27" t="str">
        <f aca="false">IF($A725="","",IF(AND($H725="Y",$G725&lt;&gt;"Restock",N($M725)&gt;Settings!$B$4,$I725&lt;&gt;"Y"),"Get host OK",IF(AND($H725="Y",$F725&gt;Settings!$B$5,$I725&lt;&gt;"Y"),"Host should pay upfront",IF($J725&lt;&gt;"Y","Save receipt","OK"))))</f>
        <v/>
      </c>
      <c r="P725" s="29" t="str">
        <f aca="false">IF($A725="","",DATE(YEAR($A725),MONTH($A725),1))</f>
        <v/>
      </c>
      <c r="Q725" s="31" t="str">
        <f aca="false">IF($A725="","",IF(AND($L725='Invoice Builder'!$C$5,$P725='Invoice Builder'!$C$6,N($N725)&gt;0),COUNTIFS($L$5:$L725,'Invoice Builder'!$C$5,$P$5:$P725,'Invoice Builder'!$C$6,$N$5:$N725,"&gt;0"),""))</f>
        <v/>
      </c>
      <c r="R725" s="27" t="str">
        <f aca="false">IF($A725="","",IF($A725&gt;=DATE(YEAR($A725),4,6),YEAR($A725)&amp;"/"&amp;RIGHT(YEAR($A725)+1,2),YEAR($A725)-1&amp;"/"&amp;RIGHT(YEAR($A725),2)))</f>
        <v/>
      </c>
    </row>
    <row r="726" customFormat="false" ht="15" hidden="false" customHeight="false" outlineLevel="0" collapsed="false">
      <c r="A726" s="22"/>
      <c r="B726" s="23"/>
      <c r="C726" s="23"/>
      <c r="D726" s="23"/>
      <c r="E726" s="32"/>
      <c r="F726" s="25"/>
      <c r="G726" s="23"/>
      <c r="H726" s="23"/>
      <c r="I726" s="23"/>
      <c r="J726" s="23"/>
      <c r="K726" s="23"/>
      <c r="L726" s="27" t="str">
        <f aca="false">IF($B726="","",IFERROR(INDEX(Properties!$D$5:$D$104,MATCH($B726,Properties!$A$5:$A$104,0)),"-"))</f>
        <v/>
      </c>
      <c r="M726" s="28" t="str">
        <f aca="false">IF(OR($A726="",N($E726)=0),"",$F726/$E726)</f>
        <v/>
      </c>
      <c r="N726" s="28" t="str">
        <f aca="false">IF($A726="","",IF($H726="Y",$F726*(1+Settings!$B$3),0))</f>
        <v/>
      </c>
      <c r="O726" s="27" t="str">
        <f aca="false">IF($A726="","",IF(AND($H726="Y",$G726&lt;&gt;"Restock",N($M726)&gt;Settings!$B$4,$I726&lt;&gt;"Y"),"Get host OK",IF(AND($H726="Y",$F726&gt;Settings!$B$5,$I726&lt;&gt;"Y"),"Host should pay upfront",IF($J726&lt;&gt;"Y","Save receipt","OK"))))</f>
        <v/>
      </c>
      <c r="P726" s="29" t="str">
        <f aca="false">IF($A726="","",DATE(YEAR($A726),MONTH($A726),1))</f>
        <v/>
      </c>
      <c r="Q726" s="31" t="str">
        <f aca="false">IF($A726="","",IF(AND($L726='Invoice Builder'!$C$5,$P726='Invoice Builder'!$C$6,N($N726)&gt;0),COUNTIFS($L$5:$L726,'Invoice Builder'!$C$5,$P$5:$P726,'Invoice Builder'!$C$6,$N$5:$N726,"&gt;0"),""))</f>
        <v/>
      </c>
      <c r="R726" s="27" t="str">
        <f aca="false">IF($A726="","",IF($A726&gt;=DATE(YEAR($A726),4,6),YEAR($A726)&amp;"/"&amp;RIGHT(YEAR($A726)+1,2),YEAR($A726)-1&amp;"/"&amp;RIGHT(YEAR($A726),2)))</f>
        <v/>
      </c>
    </row>
    <row r="727" customFormat="false" ht="15" hidden="false" customHeight="false" outlineLevel="0" collapsed="false">
      <c r="A727" s="22"/>
      <c r="B727" s="23"/>
      <c r="C727" s="23"/>
      <c r="D727" s="23"/>
      <c r="E727" s="32"/>
      <c r="F727" s="25"/>
      <c r="G727" s="23"/>
      <c r="H727" s="23"/>
      <c r="I727" s="23"/>
      <c r="J727" s="23"/>
      <c r="K727" s="23"/>
      <c r="L727" s="27" t="str">
        <f aca="false">IF($B727="","",IFERROR(INDEX(Properties!$D$5:$D$104,MATCH($B727,Properties!$A$5:$A$104,0)),"-"))</f>
        <v/>
      </c>
      <c r="M727" s="28" t="str">
        <f aca="false">IF(OR($A727="",N($E727)=0),"",$F727/$E727)</f>
        <v/>
      </c>
      <c r="N727" s="28" t="str">
        <f aca="false">IF($A727="","",IF($H727="Y",$F727*(1+Settings!$B$3),0))</f>
        <v/>
      </c>
      <c r="O727" s="27" t="str">
        <f aca="false">IF($A727="","",IF(AND($H727="Y",$G727&lt;&gt;"Restock",N($M727)&gt;Settings!$B$4,$I727&lt;&gt;"Y"),"Get host OK",IF(AND($H727="Y",$F727&gt;Settings!$B$5,$I727&lt;&gt;"Y"),"Host should pay upfront",IF($J727&lt;&gt;"Y","Save receipt","OK"))))</f>
        <v/>
      </c>
      <c r="P727" s="29" t="str">
        <f aca="false">IF($A727="","",DATE(YEAR($A727),MONTH($A727),1))</f>
        <v/>
      </c>
      <c r="Q727" s="31" t="str">
        <f aca="false">IF($A727="","",IF(AND($L727='Invoice Builder'!$C$5,$P727='Invoice Builder'!$C$6,N($N727)&gt;0),COUNTIFS($L$5:$L727,'Invoice Builder'!$C$5,$P$5:$P727,'Invoice Builder'!$C$6,$N$5:$N727,"&gt;0"),""))</f>
        <v/>
      </c>
      <c r="R727" s="27" t="str">
        <f aca="false">IF($A727="","",IF($A727&gt;=DATE(YEAR($A727),4,6),YEAR($A727)&amp;"/"&amp;RIGHT(YEAR($A727)+1,2),YEAR($A727)-1&amp;"/"&amp;RIGHT(YEAR($A727),2)))</f>
        <v/>
      </c>
    </row>
    <row r="728" customFormat="false" ht="15" hidden="false" customHeight="false" outlineLevel="0" collapsed="false">
      <c r="A728" s="22"/>
      <c r="B728" s="23"/>
      <c r="C728" s="23"/>
      <c r="D728" s="23"/>
      <c r="E728" s="32"/>
      <c r="F728" s="25"/>
      <c r="G728" s="23"/>
      <c r="H728" s="23"/>
      <c r="I728" s="23"/>
      <c r="J728" s="23"/>
      <c r="K728" s="23"/>
      <c r="L728" s="27" t="str">
        <f aca="false">IF($B728="","",IFERROR(INDEX(Properties!$D$5:$D$104,MATCH($B728,Properties!$A$5:$A$104,0)),"-"))</f>
        <v/>
      </c>
      <c r="M728" s="28" t="str">
        <f aca="false">IF(OR($A728="",N($E728)=0),"",$F728/$E728)</f>
        <v/>
      </c>
      <c r="N728" s="28" t="str">
        <f aca="false">IF($A728="","",IF($H728="Y",$F728*(1+Settings!$B$3),0))</f>
        <v/>
      </c>
      <c r="O728" s="27" t="str">
        <f aca="false">IF($A728="","",IF(AND($H728="Y",$G728&lt;&gt;"Restock",N($M728)&gt;Settings!$B$4,$I728&lt;&gt;"Y"),"Get host OK",IF(AND($H728="Y",$F728&gt;Settings!$B$5,$I728&lt;&gt;"Y"),"Host should pay upfront",IF($J728&lt;&gt;"Y","Save receipt","OK"))))</f>
        <v/>
      </c>
      <c r="P728" s="29" t="str">
        <f aca="false">IF($A728="","",DATE(YEAR($A728),MONTH($A728),1))</f>
        <v/>
      </c>
      <c r="Q728" s="31" t="str">
        <f aca="false">IF($A728="","",IF(AND($L728='Invoice Builder'!$C$5,$P728='Invoice Builder'!$C$6,N($N728)&gt;0),COUNTIFS($L$5:$L728,'Invoice Builder'!$C$5,$P$5:$P728,'Invoice Builder'!$C$6,$N$5:$N728,"&gt;0"),""))</f>
        <v/>
      </c>
      <c r="R728" s="27" t="str">
        <f aca="false">IF($A728="","",IF($A728&gt;=DATE(YEAR($A728),4,6),YEAR($A728)&amp;"/"&amp;RIGHT(YEAR($A728)+1,2),YEAR($A728)-1&amp;"/"&amp;RIGHT(YEAR($A728),2)))</f>
        <v/>
      </c>
    </row>
    <row r="729" customFormat="false" ht="15" hidden="false" customHeight="false" outlineLevel="0" collapsed="false">
      <c r="A729" s="22"/>
      <c r="B729" s="23"/>
      <c r="C729" s="23"/>
      <c r="D729" s="23"/>
      <c r="E729" s="32"/>
      <c r="F729" s="25"/>
      <c r="G729" s="23"/>
      <c r="H729" s="23"/>
      <c r="I729" s="23"/>
      <c r="J729" s="23"/>
      <c r="K729" s="23"/>
      <c r="L729" s="27" t="str">
        <f aca="false">IF($B729="","",IFERROR(INDEX(Properties!$D$5:$D$104,MATCH($B729,Properties!$A$5:$A$104,0)),"-"))</f>
        <v/>
      </c>
      <c r="M729" s="28" t="str">
        <f aca="false">IF(OR($A729="",N($E729)=0),"",$F729/$E729)</f>
        <v/>
      </c>
      <c r="N729" s="28" t="str">
        <f aca="false">IF($A729="","",IF($H729="Y",$F729*(1+Settings!$B$3),0))</f>
        <v/>
      </c>
      <c r="O729" s="27" t="str">
        <f aca="false">IF($A729="","",IF(AND($H729="Y",$G729&lt;&gt;"Restock",N($M729)&gt;Settings!$B$4,$I729&lt;&gt;"Y"),"Get host OK",IF(AND($H729="Y",$F729&gt;Settings!$B$5,$I729&lt;&gt;"Y"),"Host should pay upfront",IF($J729&lt;&gt;"Y","Save receipt","OK"))))</f>
        <v/>
      </c>
      <c r="P729" s="29" t="str">
        <f aca="false">IF($A729="","",DATE(YEAR($A729),MONTH($A729),1))</f>
        <v/>
      </c>
      <c r="Q729" s="31" t="str">
        <f aca="false">IF($A729="","",IF(AND($L729='Invoice Builder'!$C$5,$P729='Invoice Builder'!$C$6,N($N729)&gt;0),COUNTIFS($L$5:$L729,'Invoice Builder'!$C$5,$P$5:$P729,'Invoice Builder'!$C$6,$N$5:$N729,"&gt;0"),""))</f>
        <v/>
      </c>
      <c r="R729" s="27" t="str">
        <f aca="false">IF($A729="","",IF($A729&gt;=DATE(YEAR($A729),4,6),YEAR($A729)&amp;"/"&amp;RIGHT(YEAR($A729)+1,2),YEAR($A729)-1&amp;"/"&amp;RIGHT(YEAR($A729),2)))</f>
        <v/>
      </c>
    </row>
    <row r="730" customFormat="false" ht="15" hidden="false" customHeight="false" outlineLevel="0" collapsed="false">
      <c r="A730" s="22"/>
      <c r="B730" s="23"/>
      <c r="C730" s="23"/>
      <c r="D730" s="23"/>
      <c r="E730" s="32"/>
      <c r="F730" s="25"/>
      <c r="G730" s="23"/>
      <c r="H730" s="23"/>
      <c r="I730" s="23"/>
      <c r="J730" s="23"/>
      <c r="K730" s="23"/>
      <c r="L730" s="27" t="str">
        <f aca="false">IF($B730="","",IFERROR(INDEX(Properties!$D$5:$D$104,MATCH($B730,Properties!$A$5:$A$104,0)),"-"))</f>
        <v/>
      </c>
      <c r="M730" s="28" t="str">
        <f aca="false">IF(OR($A730="",N($E730)=0),"",$F730/$E730)</f>
        <v/>
      </c>
      <c r="N730" s="28" t="str">
        <f aca="false">IF($A730="","",IF($H730="Y",$F730*(1+Settings!$B$3),0))</f>
        <v/>
      </c>
      <c r="O730" s="27" t="str">
        <f aca="false">IF($A730="","",IF(AND($H730="Y",$G730&lt;&gt;"Restock",N($M730)&gt;Settings!$B$4,$I730&lt;&gt;"Y"),"Get host OK",IF(AND($H730="Y",$F730&gt;Settings!$B$5,$I730&lt;&gt;"Y"),"Host should pay upfront",IF($J730&lt;&gt;"Y","Save receipt","OK"))))</f>
        <v/>
      </c>
      <c r="P730" s="29" t="str">
        <f aca="false">IF($A730="","",DATE(YEAR($A730),MONTH($A730),1))</f>
        <v/>
      </c>
      <c r="Q730" s="31" t="str">
        <f aca="false">IF($A730="","",IF(AND($L730='Invoice Builder'!$C$5,$P730='Invoice Builder'!$C$6,N($N730)&gt;0),COUNTIFS($L$5:$L730,'Invoice Builder'!$C$5,$P$5:$P730,'Invoice Builder'!$C$6,$N$5:$N730,"&gt;0"),""))</f>
        <v/>
      </c>
      <c r="R730" s="27" t="str">
        <f aca="false">IF($A730="","",IF($A730&gt;=DATE(YEAR($A730),4,6),YEAR($A730)&amp;"/"&amp;RIGHT(YEAR($A730)+1,2),YEAR($A730)-1&amp;"/"&amp;RIGHT(YEAR($A730),2)))</f>
        <v/>
      </c>
    </row>
    <row r="731" customFormat="false" ht="15" hidden="false" customHeight="false" outlineLevel="0" collapsed="false">
      <c r="A731" s="22"/>
      <c r="B731" s="23"/>
      <c r="C731" s="23"/>
      <c r="D731" s="23"/>
      <c r="E731" s="32"/>
      <c r="F731" s="25"/>
      <c r="G731" s="23"/>
      <c r="H731" s="23"/>
      <c r="I731" s="23"/>
      <c r="J731" s="23"/>
      <c r="K731" s="23"/>
      <c r="L731" s="27" t="str">
        <f aca="false">IF($B731="","",IFERROR(INDEX(Properties!$D$5:$D$104,MATCH($B731,Properties!$A$5:$A$104,0)),"-"))</f>
        <v/>
      </c>
      <c r="M731" s="28" t="str">
        <f aca="false">IF(OR($A731="",N($E731)=0),"",$F731/$E731)</f>
        <v/>
      </c>
      <c r="N731" s="28" t="str">
        <f aca="false">IF($A731="","",IF($H731="Y",$F731*(1+Settings!$B$3),0))</f>
        <v/>
      </c>
      <c r="O731" s="27" t="str">
        <f aca="false">IF($A731="","",IF(AND($H731="Y",$G731&lt;&gt;"Restock",N($M731)&gt;Settings!$B$4,$I731&lt;&gt;"Y"),"Get host OK",IF(AND($H731="Y",$F731&gt;Settings!$B$5,$I731&lt;&gt;"Y"),"Host should pay upfront",IF($J731&lt;&gt;"Y","Save receipt","OK"))))</f>
        <v/>
      </c>
      <c r="P731" s="29" t="str">
        <f aca="false">IF($A731="","",DATE(YEAR($A731),MONTH($A731),1))</f>
        <v/>
      </c>
      <c r="Q731" s="31" t="str">
        <f aca="false">IF($A731="","",IF(AND($L731='Invoice Builder'!$C$5,$P731='Invoice Builder'!$C$6,N($N731)&gt;0),COUNTIFS($L$5:$L731,'Invoice Builder'!$C$5,$P$5:$P731,'Invoice Builder'!$C$6,$N$5:$N731,"&gt;0"),""))</f>
        <v/>
      </c>
      <c r="R731" s="27" t="str">
        <f aca="false">IF($A731="","",IF($A731&gt;=DATE(YEAR($A731),4,6),YEAR($A731)&amp;"/"&amp;RIGHT(YEAR($A731)+1,2),YEAR($A731)-1&amp;"/"&amp;RIGHT(YEAR($A731),2)))</f>
        <v/>
      </c>
    </row>
    <row r="732" customFormat="false" ht="15" hidden="false" customHeight="false" outlineLevel="0" collapsed="false">
      <c r="A732" s="22"/>
      <c r="B732" s="23"/>
      <c r="C732" s="23"/>
      <c r="D732" s="23"/>
      <c r="E732" s="32"/>
      <c r="F732" s="25"/>
      <c r="G732" s="23"/>
      <c r="H732" s="23"/>
      <c r="I732" s="23"/>
      <c r="J732" s="23"/>
      <c r="K732" s="23"/>
      <c r="L732" s="27" t="str">
        <f aca="false">IF($B732="","",IFERROR(INDEX(Properties!$D$5:$D$104,MATCH($B732,Properties!$A$5:$A$104,0)),"-"))</f>
        <v/>
      </c>
      <c r="M732" s="28" t="str">
        <f aca="false">IF(OR($A732="",N($E732)=0),"",$F732/$E732)</f>
        <v/>
      </c>
      <c r="N732" s="28" t="str">
        <f aca="false">IF($A732="","",IF($H732="Y",$F732*(1+Settings!$B$3),0))</f>
        <v/>
      </c>
      <c r="O732" s="27" t="str">
        <f aca="false">IF($A732="","",IF(AND($H732="Y",$G732&lt;&gt;"Restock",N($M732)&gt;Settings!$B$4,$I732&lt;&gt;"Y"),"Get host OK",IF(AND($H732="Y",$F732&gt;Settings!$B$5,$I732&lt;&gt;"Y"),"Host should pay upfront",IF($J732&lt;&gt;"Y","Save receipt","OK"))))</f>
        <v/>
      </c>
      <c r="P732" s="29" t="str">
        <f aca="false">IF($A732="","",DATE(YEAR($A732),MONTH($A732),1))</f>
        <v/>
      </c>
      <c r="Q732" s="31" t="str">
        <f aca="false">IF($A732="","",IF(AND($L732='Invoice Builder'!$C$5,$P732='Invoice Builder'!$C$6,N($N732)&gt;0),COUNTIFS($L$5:$L732,'Invoice Builder'!$C$5,$P$5:$P732,'Invoice Builder'!$C$6,$N$5:$N732,"&gt;0"),""))</f>
        <v/>
      </c>
      <c r="R732" s="27" t="str">
        <f aca="false">IF($A732="","",IF($A732&gt;=DATE(YEAR($A732),4,6),YEAR($A732)&amp;"/"&amp;RIGHT(YEAR($A732)+1,2),YEAR($A732)-1&amp;"/"&amp;RIGHT(YEAR($A732),2)))</f>
        <v/>
      </c>
    </row>
    <row r="733" customFormat="false" ht="15" hidden="false" customHeight="false" outlineLevel="0" collapsed="false">
      <c r="A733" s="22"/>
      <c r="B733" s="23"/>
      <c r="C733" s="23"/>
      <c r="D733" s="23"/>
      <c r="E733" s="32"/>
      <c r="F733" s="25"/>
      <c r="G733" s="23"/>
      <c r="H733" s="23"/>
      <c r="I733" s="23"/>
      <c r="J733" s="23"/>
      <c r="K733" s="23"/>
      <c r="L733" s="27" t="str">
        <f aca="false">IF($B733="","",IFERROR(INDEX(Properties!$D$5:$D$104,MATCH($B733,Properties!$A$5:$A$104,0)),"-"))</f>
        <v/>
      </c>
      <c r="M733" s="28" t="str">
        <f aca="false">IF(OR($A733="",N($E733)=0),"",$F733/$E733)</f>
        <v/>
      </c>
      <c r="N733" s="28" t="str">
        <f aca="false">IF($A733="","",IF($H733="Y",$F733*(1+Settings!$B$3),0))</f>
        <v/>
      </c>
      <c r="O733" s="27" t="str">
        <f aca="false">IF($A733="","",IF(AND($H733="Y",$G733&lt;&gt;"Restock",N($M733)&gt;Settings!$B$4,$I733&lt;&gt;"Y"),"Get host OK",IF(AND($H733="Y",$F733&gt;Settings!$B$5,$I733&lt;&gt;"Y"),"Host should pay upfront",IF($J733&lt;&gt;"Y","Save receipt","OK"))))</f>
        <v/>
      </c>
      <c r="P733" s="29" t="str">
        <f aca="false">IF($A733="","",DATE(YEAR($A733),MONTH($A733),1))</f>
        <v/>
      </c>
      <c r="Q733" s="31" t="str">
        <f aca="false">IF($A733="","",IF(AND($L733='Invoice Builder'!$C$5,$P733='Invoice Builder'!$C$6,N($N733)&gt;0),COUNTIFS($L$5:$L733,'Invoice Builder'!$C$5,$P$5:$P733,'Invoice Builder'!$C$6,$N$5:$N733,"&gt;0"),""))</f>
        <v/>
      </c>
      <c r="R733" s="27" t="str">
        <f aca="false">IF($A733="","",IF($A733&gt;=DATE(YEAR($A733),4,6),YEAR($A733)&amp;"/"&amp;RIGHT(YEAR($A733)+1,2),YEAR($A733)-1&amp;"/"&amp;RIGHT(YEAR($A733),2)))</f>
        <v/>
      </c>
    </row>
    <row r="734" customFormat="false" ht="15" hidden="false" customHeight="false" outlineLevel="0" collapsed="false">
      <c r="A734" s="22"/>
      <c r="B734" s="23"/>
      <c r="C734" s="23"/>
      <c r="D734" s="23"/>
      <c r="E734" s="32"/>
      <c r="F734" s="25"/>
      <c r="G734" s="23"/>
      <c r="H734" s="23"/>
      <c r="I734" s="23"/>
      <c r="J734" s="23"/>
      <c r="K734" s="23"/>
      <c r="L734" s="27" t="str">
        <f aca="false">IF($B734="","",IFERROR(INDEX(Properties!$D$5:$D$104,MATCH($B734,Properties!$A$5:$A$104,0)),"-"))</f>
        <v/>
      </c>
      <c r="M734" s="28" t="str">
        <f aca="false">IF(OR($A734="",N($E734)=0),"",$F734/$E734)</f>
        <v/>
      </c>
      <c r="N734" s="28" t="str">
        <f aca="false">IF($A734="","",IF($H734="Y",$F734*(1+Settings!$B$3),0))</f>
        <v/>
      </c>
      <c r="O734" s="27" t="str">
        <f aca="false">IF($A734="","",IF(AND($H734="Y",$G734&lt;&gt;"Restock",N($M734)&gt;Settings!$B$4,$I734&lt;&gt;"Y"),"Get host OK",IF(AND($H734="Y",$F734&gt;Settings!$B$5,$I734&lt;&gt;"Y"),"Host should pay upfront",IF($J734&lt;&gt;"Y","Save receipt","OK"))))</f>
        <v/>
      </c>
      <c r="P734" s="29" t="str">
        <f aca="false">IF($A734="","",DATE(YEAR($A734),MONTH($A734),1))</f>
        <v/>
      </c>
      <c r="Q734" s="31" t="str">
        <f aca="false">IF($A734="","",IF(AND($L734='Invoice Builder'!$C$5,$P734='Invoice Builder'!$C$6,N($N734)&gt;0),COUNTIFS($L$5:$L734,'Invoice Builder'!$C$5,$P$5:$P734,'Invoice Builder'!$C$6,$N$5:$N734,"&gt;0"),""))</f>
        <v/>
      </c>
      <c r="R734" s="27" t="str">
        <f aca="false">IF($A734="","",IF($A734&gt;=DATE(YEAR($A734),4,6),YEAR($A734)&amp;"/"&amp;RIGHT(YEAR($A734)+1,2),YEAR($A734)-1&amp;"/"&amp;RIGHT(YEAR($A734),2)))</f>
        <v/>
      </c>
    </row>
    <row r="735" customFormat="false" ht="15" hidden="false" customHeight="false" outlineLevel="0" collapsed="false">
      <c r="A735" s="22"/>
      <c r="B735" s="23"/>
      <c r="C735" s="23"/>
      <c r="D735" s="23"/>
      <c r="E735" s="32"/>
      <c r="F735" s="25"/>
      <c r="G735" s="23"/>
      <c r="H735" s="23"/>
      <c r="I735" s="23"/>
      <c r="J735" s="23"/>
      <c r="K735" s="23"/>
      <c r="L735" s="27" t="str">
        <f aca="false">IF($B735="","",IFERROR(INDEX(Properties!$D$5:$D$104,MATCH($B735,Properties!$A$5:$A$104,0)),"-"))</f>
        <v/>
      </c>
      <c r="M735" s="28" t="str">
        <f aca="false">IF(OR($A735="",N($E735)=0),"",$F735/$E735)</f>
        <v/>
      </c>
      <c r="N735" s="28" t="str">
        <f aca="false">IF($A735="","",IF($H735="Y",$F735*(1+Settings!$B$3),0))</f>
        <v/>
      </c>
      <c r="O735" s="27" t="str">
        <f aca="false">IF($A735="","",IF(AND($H735="Y",$G735&lt;&gt;"Restock",N($M735)&gt;Settings!$B$4,$I735&lt;&gt;"Y"),"Get host OK",IF(AND($H735="Y",$F735&gt;Settings!$B$5,$I735&lt;&gt;"Y"),"Host should pay upfront",IF($J735&lt;&gt;"Y","Save receipt","OK"))))</f>
        <v/>
      </c>
      <c r="P735" s="29" t="str">
        <f aca="false">IF($A735="","",DATE(YEAR($A735),MONTH($A735),1))</f>
        <v/>
      </c>
      <c r="Q735" s="31" t="str">
        <f aca="false">IF($A735="","",IF(AND($L735='Invoice Builder'!$C$5,$P735='Invoice Builder'!$C$6,N($N735)&gt;0),COUNTIFS($L$5:$L735,'Invoice Builder'!$C$5,$P$5:$P735,'Invoice Builder'!$C$6,$N$5:$N735,"&gt;0"),""))</f>
        <v/>
      </c>
      <c r="R735" s="27" t="str">
        <f aca="false">IF($A735="","",IF($A735&gt;=DATE(YEAR($A735),4,6),YEAR($A735)&amp;"/"&amp;RIGHT(YEAR($A735)+1,2),YEAR($A735)-1&amp;"/"&amp;RIGHT(YEAR($A735),2)))</f>
        <v/>
      </c>
    </row>
    <row r="736" customFormat="false" ht="15" hidden="false" customHeight="false" outlineLevel="0" collapsed="false">
      <c r="A736" s="22"/>
      <c r="B736" s="23"/>
      <c r="C736" s="23"/>
      <c r="D736" s="23"/>
      <c r="E736" s="32"/>
      <c r="F736" s="25"/>
      <c r="G736" s="23"/>
      <c r="H736" s="23"/>
      <c r="I736" s="23"/>
      <c r="J736" s="23"/>
      <c r="K736" s="23"/>
      <c r="L736" s="27" t="str">
        <f aca="false">IF($B736="","",IFERROR(INDEX(Properties!$D$5:$D$104,MATCH($B736,Properties!$A$5:$A$104,0)),"-"))</f>
        <v/>
      </c>
      <c r="M736" s="28" t="str">
        <f aca="false">IF(OR($A736="",N($E736)=0),"",$F736/$E736)</f>
        <v/>
      </c>
      <c r="N736" s="28" t="str">
        <f aca="false">IF($A736="","",IF($H736="Y",$F736*(1+Settings!$B$3),0))</f>
        <v/>
      </c>
      <c r="O736" s="27" t="str">
        <f aca="false">IF($A736="","",IF(AND($H736="Y",$G736&lt;&gt;"Restock",N($M736)&gt;Settings!$B$4,$I736&lt;&gt;"Y"),"Get host OK",IF(AND($H736="Y",$F736&gt;Settings!$B$5,$I736&lt;&gt;"Y"),"Host should pay upfront",IF($J736&lt;&gt;"Y","Save receipt","OK"))))</f>
        <v/>
      </c>
      <c r="P736" s="29" t="str">
        <f aca="false">IF($A736="","",DATE(YEAR($A736),MONTH($A736),1))</f>
        <v/>
      </c>
      <c r="Q736" s="31" t="str">
        <f aca="false">IF($A736="","",IF(AND($L736='Invoice Builder'!$C$5,$P736='Invoice Builder'!$C$6,N($N736)&gt;0),COUNTIFS($L$5:$L736,'Invoice Builder'!$C$5,$P$5:$P736,'Invoice Builder'!$C$6,$N$5:$N736,"&gt;0"),""))</f>
        <v/>
      </c>
      <c r="R736" s="27" t="str">
        <f aca="false">IF($A736="","",IF($A736&gt;=DATE(YEAR($A736),4,6),YEAR($A736)&amp;"/"&amp;RIGHT(YEAR($A736)+1,2),YEAR($A736)-1&amp;"/"&amp;RIGHT(YEAR($A736),2)))</f>
        <v/>
      </c>
    </row>
    <row r="737" customFormat="false" ht="15" hidden="false" customHeight="false" outlineLevel="0" collapsed="false">
      <c r="A737" s="22"/>
      <c r="B737" s="23"/>
      <c r="C737" s="23"/>
      <c r="D737" s="23"/>
      <c r="E737" s="32"/>
      <c r="F737" s="25"/>
      <c r="G737" s="23"/>
      <c r="H737" s="23"/>
      <c r="I737" s="23"/>
      <c r="J737" s="23"/>
      <c r="K737" s="23"/>
      <c r="L737" s="27" t="str">
        <f aca="false">IF($B737="","",IFERROR(INDEX(Properties!$D$5:$D$104,MATCH($B737,Properties!$A$5:$A$104,0)),"-"))</f>
        <v/>
      </c>
      <c r="M737" s="28" t="str">
        <f aca="false">IF(OR($A737="",N($E737)=0),"",$F737/$E737)</f>
        <v/>
      </c>
      <c r="N737" s="28" t="str">
        <f aca="false">IF($A737="","",IF($H737="Y",$F737*(1+Settings!$B$3),0))</f>
        <v/>
      </c>
      <c r="O737" s="27" t="str">
        <f aca="false">IF($A737="","",IF(AND($H737="Y",$G737&lt;&gt;"Restock",N($M737)&gt;Settings!$B$4,$I737&lt;&gt;"Y"),"Get host OK",IF(AND($H737="Y",$F737&gt;Settings!$B$5,$I737&lt;&gt;"Y"),"Host should pay upfront",IF($J737&lt;&gt;"Y","Save receipt","OK"))))</f>
        <v/>
      </c>
      <c r="P737" s="29" t="str">
        <f aca="false">IF($A737="","",DATE(YEAR($A737),MONTH($A737),1))</f>
        <v/>
      </c>
      <c r="Q737" s="31" t="str">
        <f aca="false">IF($A737="","",IF(AND($L737='Invoice Builder'!$C$5,$P737='Invoice Builder'!$C$6,N($N737)&gt;0),COUNTIFS($L$5:$L737,'Invoice Builder'!$C$5,$P$5:$P737,'Invoice Builder'!$C$6,$N$5:$N737,"&gt;0"),""))</f>
        <v/>
      </c>
      <c r="R737" s="27" t="str">
        <f aca="false">IF($A737="","",IF($A737&gt;=DATE(YEAR($A737),4,6),YEAR($A737)&amp;"/"&amp;RIGHT(YEAR($A737)+1,2),YEAR($A737)-1&amp;"/"&amp;RIGHT(YEAR($A737),2)))</f>
        <v/>
      </c>
    </row>
    <row r="738" customFormat="false" ht="15" hidden="false" customHeight="false" outlineLevel="0" collapsed="false">
      <c r="A738" s="22"/>
      <c r="B738" s="23"/>
      <c r="C738" s="23"/>
      <c r="D738" s="23"/>
      <c r="E738" s="32"/>
      <c r="F738" s="25"/>
      <c r="G738" s="23"/>
      <c r="H738" s="23"/>
      <c r="I738" s="23"/>
      <c r="J738" s="23"/>
      <c r="K738" s="23"/>
      <c r="L738" s="27" t="str">
        <f aca="false">IF($B738="","",IFERROR(INDEX(Properties!$D$5:$D$104,MATCH($B738,Properties!$A$5:$A$104,0)),"-"))</f>
        <v/>
      </c>
      <c r="M738" s="28" t="str">
        <f aca="false">IF(OR($A738="",N($E738)=0),"",$F738/$E738)</f>
        <v/>
      </c>
      <c r="N738" s="28" t="str">
        <f aca="false">IF($A738="","",IF($H738="Y",$F738*(1+Settings!$B$3),0))</f>
        <v/>
      </c>
      <c r="O738" s="27" t="str">
        <f aca="false">IF($A738="","",IF(AND($H738="Y",$G738&lt;&gt;"Restock",N($M738)&gt;Settings!$B$4,$I738&lt;&gt;"Y"),"Get host OK",IF(AND($H738="Y",$F738&gt;Settings!$B$5,$I738&lt;&gt;"Y"),"Host should pay upfront",IF($J738&lt;&gt;"Y","Save receipt","OK"))))</f>
        <v/>
      </c>
      <c r="P738" s="29" t="str">
        <f aca="false">IF($A738="","",DATE(YEAR($A738),MONTH($A738),1))</f>
        <v/>
      </c>
      <c r="Q738" s="31" t="str">
        <f aca="false">IF($A738="","",IF(AND($L738='Invoice Builder'!$C$5,$P738='Invoice Builder'!$C$6,N($N738)&gt;0),COUNTIFS($L$5:$L738,'Invoice Builder'!$C$5,$P$5:$P738,'Invoice Builder'!$C$6,$N$5:$N738,"&gt;0"),""))</f>
        <v/>
      </c>
      <c r="R738" s="27" t="str">
        <f aca="false">IF($A738="","",IF($A738&gt;=DATE(YEAR($A738),4,6),YEAR($A738)&amp;"/"&amp;RIGHT(YEAR($A738)+1,2),YEAR($A738)-1&amp;"/"&amp;RIGHT(YEAR($A738),2)))</f>
        <v/>
      </c>
    </row>
    <row r="739" customFormat="false" ht="15" hidden="false" customHeight="false" outlineLevel="0" collapsed="false">
      <c r="A739" s="22"/>
      <c r="B739" s="23"/>
      <c r="C739" s="23"/>
      <c r="D739" s="23"/>
      <c r="E739" s="32"/>
      <c r="F739" s="25"/>
      <c r="G739" s="23"/>
      <c r="H739" s="23"/>
      <c r="I739" s="23"/>
      <c r="J739" s="23"/>
      <c r="K739" s="23"/>
      <c r="L739" s="27" t="str">
        <f aca="false">IF($B739="","",IFERROR(INDEX(Properties!$D$5:$D$104,MATCH($B739,Properties!$A$5:$A$104,0)),"-"))</f>
        <v/>
      </c>
      <c r="M739" s="28" t="str">
        <f aca="false">IF(OR($A739="",N($E739)=0),"",$F739/$E739)</f>
        <v/>
      </c>
      <c r="N739" s="28" t="str">
        <f aca="false">IF($A739="","",IF($H739="Y",$F739*(1+Settings!$B$3),0))</f>
        <v/>
      </c>
      <c r="O739" s="27" t="str">
        <f aca="false">IF($A739="","",IF(AND($H739="Y",$G739&lt;&gt;"Restock",N($M739)&gt;Settings!$B$4,$I739&lt;&gt;"Y"),"Get host OK",IF(AND($H739="Y",$F739&gt;Settings!$B$5,$I739&lt;&gt;"Y"),"Host should pay upfront",IF($J739&lt;&gt;"Y","Save receipt","OK"))))</f>
        <v/>
      </c>
      <c r="P739" s="29" t="str">
        <f aca="false">IF($A739="","",DATE(YEAR($A739),MONTH($A739),1))</f>
        <v/>
      </c>
      <c r="Q739" s="31" t="str">
        <f aca="false">IF($A739="","",IF(AND($L739='Invoice Builder'!$C$5,$P739='Invoice Builder'!$C$6,N($N739)&gt;0),COUNTIFS($L$5:$L739,'Invoice Builder'!$C$5,$P$5:$P739,'Invoice Builder'!$C$6,$N$5:$N739,"&gt;0"),""))</f>
        <v/>
      </c>
      <c r="R739" s="27" t="str">
        <f aca="false">IF($A739="","",IF($A739&gt;=DATE(YEAR($A739),4,6),YEAR($A739)&amp;"/"&amp;RIGHT(YEAR($A739)+1,2),YEAR($A739)-1&amp;"/"&amp;RIGHT(YEAR($A739),2)))</f>
        <v/>
      </c>
    </row>
    <row r="740" customFormat="false" ht="15" hidden="false" customHeight="false" outlineLevel="0" collapsed="false">
      <c r="A740" s="22"/>
      <c r="B740" s="23"/>
      <c r="C740" s="23"/>
      <c r="D740" s="23"/>
      <c r="E740" s="32"/>
      <c r="F740" s="25"/>
      <c r="G740" s="23"/>
      <c r="H740" s="23"/>
      <c r="I740" s="23"/>
      <c r="J740" s="23"/>
      <c r="K740" s="23"/>
      <c r="L740" s="27" t="str">
        <f aca="false">IF($B740="","",IFERROR(INDEX(Properties!$D$5:$D$104,MATCH($B740,Properties!$A$5:$A$104,0)),"-"))</f>
        <v/>
      </c>
      <c r="M740" s="28" t="str">
        <f aca="false">IF(OR($A740="",N($E740)=0),"",$F740/$E740)</f>
        <v/>
      </c>
      <c r="N740" s="28" t="str">
        <f aca="false">IF($A740="","",IF($H740="Y",$F740*(1+Settings!$B$3),0))</f>
        <v/>
      </c>
      <c r="O740" s="27" t="str">
        <f aca="false">IF($A740="","",IF(AND($H740="Y",$G740&lt;&gt;"Restock",N($M740)&gt;Settings!$B$4,$I740&lt;&gt;"Y"),"Get host OK",IF(AND($H740="Y",$F740&gt;Settings!$B$5,$I740&lt;&gt;"Y"),"Host should pay upfront",IF($J740&lt;&gt;"Y","Save receipt","OK"))))</f>
        <v/>
      </c>
      <c r="P740" s="29" t="str">
        <f aca="false">IF($A740="","",DATE(YEAR($A740),MONTH($A740),1))</f>
        <v/>
      </c>
      <c r="Q740" s="31" t="str">
        <f aca="false">IF($A740="","",IF(AND($L740='Invoice Builder'!$C$5,$P740='Invoice Builder'!$C$6,N($N740)&gt;0),COUNTIFS($L$5:$L740,'Invoice Builder'!$C$5,$P$5:$P740,'Invoice Builder'!$C$6,$N$5:$N740,"&gt;0"),""))</f>
        <v/>
      </c>
      <c r="R740" s="27" t="str">
        <f aca="false">IF($A740="","",IF($A740&gt;=DATE(YEAR($A740),4,6),YEAR($A740)&amp;"/"&amp;RIGHT(YEAR($A740)+1,2),YEAR($A740)-1&amp;"/"&amp;RIGHT(YEAR($A740),2)))</f>
        <v/>
      </c>
    </row>
    <row r="741" customFormat="false" ht="15" hidden="false" customHeight="false" outlineLevel="0" collapsed="false">
      <c r="A741" s="22"/>
      <c r="B741" s="23"/>
      <c r="C741" s="23"/>
      <c r="D741" s="23"/>
      <c r="E741" s="32"/>
      <c r="F741" s="25"/>
      <c r="G741" s="23"/>
      <c r="H741" s="23"/>
      <c r="I741" s="23"/>
      <c r="J741" s="23"/>
      <c r="K741" s="23"/>
      <c r="L741" s="27" t="str">
        <f aca="false">IF($B741="","",IFERROR(INDEX(Properties!$D$5:$D$104,MATCH($B741,Properties!$A$5:$A$104,0)),"-"))</f>
        <v/>
      </c>
      <c r="M741" s="28" t="str">
        <f aca="false">IF(OR($A741="",N($E741)=0),"",$F741/$E741)</f>
        <v/>
      </c>
      <c r="N741" s="28" t="str">
        <f aca="false">IF($A741="","",IF($H741="Y",$F741*(1+Settings!$B$3),0))</f>
        <v/>
      </c>
      <c r="O741" s="27" t="str">
        <f aca="false">IF($A741="","",IF(AND($H741="Y",$G741&lt;&gt;"Restock",N($M741)&gt;Settings!$B$4,$I741&lt;&gt;"Y"),"Get host OK",IF(AND($H741="Y",$F741&gt;Settings!$B$5,$I741&lt;&gt;"Y"),"Host should pay upfront",IF($J741&lt;&gt;"Y","Save receipt","OK"))))</f>
        <v/>
      </c>
      <c r="P741" s="29" t="str">
        <f aca="false">IF($A741="","",DATE(YEAR($A741),MONTH($A741),1))</f>
        <v/>
      </c>
      <c r="Q741" s="31" t="str">
        <f aca="false">IF($A741="","",IF(AND($L741='Invoice Builder'!$C$5,$P741='Invoice Builder'!$C$6,N($N741)&gt;0),COUNTIFS($L$5:$L741,'Invoice Builder'!$C$5,$P$5:$P741,'Invoice Builder'!$C$6,$N$5:$N741,"&gt;0"),""))</f>
        <v/>
      </c>
      <c r="R741" s="27" t="str">
        <f aca="false">IF($A741="","",IF($A741&gt;=DATE(YEAR($A741),4,6),YEAR($A741)&amp;"/"&amp;RIGHT(YEAR($A741)+1,2),YEAR($A741)-1&amp;"/"&amp;RIGHT(YEAR($A741),2)))</f>
        <v/>
      </c>
    </row>
    <row r="742" customFormat="false" ht="15" hidden="false" customHeight="false" outlineLevel="0" collapsed="false">
      <c r="A742" s="22"/>
      <c r="B742" s="23"/>
      <c r="C742" s="23"/>
      <c r="D742" s="23"/>
      <c r="E742" s="32"/>
      <c r="F742" s="25"/>
      <c r="G742" s="23"/>
      <c r="H742" s="23"/>
      <c r="I742" s="23"/>
      <c r="J742" s="23"/>
      <c r="K742" s="23"/>
      <c r="L742" s="27" t="str">
        <f aca="false">IF($B742="","",IFERROR(INDEX(Properties!$D$5:$D$104,MATCH($B742,Properties!$A$5:$A$104,0)),"-"))</f>
        <v/>
      </c>
      <c r="M742" s="28" t="str">
        <f aca="false">IF(OR($A742="",N($E742)=0),"",$F742/$E742)</f>
        <v/>
      </c>
      <c r="N742" s="28" t="str">
        <f aca="false">IF($A742="","",IF($H742="Y",$F742*(1+Settings!$B$3),0))</f>
        <v/>
      </c>
      <c r="O742" s="27" t="str">
        <f aca="false">IF($A742="","",IF(AND($H742="Y",$G742&lt;&gt;"Restock",N($M742)&gt;Settings!$B$4,$I742&lt;&gt;"Y"),"Get host OK",IF(AND($H742="Y",$F742&gt;Settings!$B$5,$I742&lt;&gt;"Y"),"Host should pay upfront",IF($J742&lt;&gt;"Y","Save receipt","OK"))))</f>
        <v/>
      </c>
      <c r="P742" s="29" t="str">
        <f aca="false">IF($A742="","",DATE(YEAR($A742),MONTH($A742),1))</f>
        <v/>
      </c>
      <c r="Q742" s="31" t="str">
        <f aca="false">IF($A742="","",IF(AND($L742='Invoice Builder'!$C$5,$P742='Invoice Builder'!$C$6,N($N742)&gt;0),COUNTIFS($L$5:$L742,'Invoice Builder'!$C$5,$P$5:$P742,'Invoice Builder'!$C$6,$N$5:$N742,"&gt;0"),""))</f>
        <v/>
      </c>
      <c r="R742" s="27" t="str">
        <f aca="false">IF($A742="","",IF($A742&gt;=DATE(YEAR($A742),4,6),YEAR($A742)&amp;"/"&amp;RIGHT(YEAR($A742)+1,2),YEAR($A742)-1&amp;"/"&amp;RIGHT(YEAR($A742),2)))</f>
        <v/>
      </c>
    </row>
    <row r="743" customFormat="false" ht="15" hidden="false" customHeight="false" outlineLevel="0" collapsed="false">
      <c r="A743" s="22"/>
      <c r="B743" s="23"/>
      <c r="C743" s="23"/>
      <c r="D743" s="23"/>
      <c r="E743" s="32"/>
      <c r="F743" s="25"/>
      <c r="G743" s="23"/>
      <c r="H743" s="23"/>
      <c r="I743" s="23"/>
      <c r="J743" s="23"/>
      <c r="K743" s="23"/>
      <c r="L743" s="27" t="str">
        <f aca="false">IF($B743="","",IFERROR(INDEX(Properties!$D$5:$D$104,MATCH($B743,Properties!$A$5:$A$104,0)),"-"))</f>
        <v/>
      </c>
      <c r="M743" s="28" t="str">
        <f aca="false">IF(OR($A743="",N($E743)=0),"",$F743/$E743)</f>
        <v/>
      </c>
      <c r="N743" s="28" t="str">
        <f aca="false">IF($A743="","",IF($H743="Y",$F743*(1+Settings!$B$3),0))</f>
        <v/>
      </c>
      <c r="O743" s="27" t="str">
        <f aca="false">IF($A743="","",IF(AND($H743="Y",$G743&lt;&gt;"Restock",N($M743)&gt;Settings!$B$4,$I743&lt;&gt;"Y"),"Get host OK",IF(AND($H743="Y",$F743&gt;Settings!$B$5,$I743&lt;&gt;"Y"),"Host should pay upfront",IF($J743&lt;&gt;"Y","Save receipt","OK"))))</f>
        <v/>
      </c>
      <c r="P743" s="29" t="str">
        <f aca="false">IF($A743="","",DATE(YEAR($A743),MONTH($A743),1))</f>
        <v/>
      </c>
      <c r="Q743" s="31" t="str">
        <f aca="false">IF($A743="","",IF(AND($L743='Invoice Builder'!$C$5,$P743='Invoice Builder'!$C$6,N($N743)&gt;0),COUNTIFS($L$5:$L743,'Invoice Builder'!$C$5,$P$5:$P743,'Invoice Builder'!$C$6,$N$5:$N743,"&gt;0"),""))</f>
        <v/>
      </c>
      <c r="R743" s="27" t="str">
        <f aca="false">IF($A743="","",IF($A743&gt;=DATE(YEAR($A743),4,6),YEAR($A743)&amp;"/"&amp;RIGHT(YEAR($A743)+1,2),YEAR($A743)-1&amp;"/"&amp;RIGHT(YEAR($A743),2)))</f>
        <v/>
      </c>
    </row>
    <row r="744" customFormat="false" ht="15" hidden="false" customHeight="false" outlineLevel="0" collapsed="false">
      <c r="A744" s="22"/>
      <c r="B744" s="23"/>
      <c r="C744" s="23"/>
      <c r="D744" s="23"/>
      <c r="E744" s="32"/>
      <c r="F744" s="25"/>
      <c r="G744" s="23"/>
      <c r="H744" s="23"/>
      <c r="I744" s="23"/>
      <c r="J744" s="23"/>
      <c r="K744" s="23"/>
      <c r="L744" s="27" t="str">
        <f aca="false">IF($B744="","",IFERROR(INDEX(Properties!$D$5:$D$104,MATCH($B744,Properties!$A$5:$A$104,0)),"-"))</f>
        <v/>
      </c>
      <c r="M744" s="28" t="str">
        <f aca="false">IF(OR($A744="",N($E744)=0),"",$F744/$E744)</f>
        <v/>
      </c>
      <c r="N744" s="28" t="str">
        <f aca="false">IF($A744="","",IF($H744="Y",$F744*(1+Settings!$B$3),0))</f>
        <v/>
      </c>
      <c r="O744" s="27" t="str">
        <f aca="false">IF($A744="","",IF(AND($H744="Y",$G744&lt;&gt;"Restock",N($M744)&gt;Settings!$B$4,$I744&lt;&gt;"Y"),"Get host OK",IF(AND($H744="Y",$F744&gt;Settings!$B$5,$I744&lt;&gt;"Y"),"Host should pay upfront",IF($J744&lt;&gt;"Y","Save receipt","OK"))))</f>
        <v/>
      </c>
      <c r="P744" s="29" t="str">
        <f aca="false">IF($A744="","",DATE(YEAR($A744),MONTH($A744),1))</f>
        <v/>
      </c>
      <c r="Q744" s="31" t="str">
        <f aca="false">IF($A744="","",IF(AND($L744='Invoice Builder'!$C$5,$P744='Invoice Builder'!$C$6,N($N744)&gt;0),COUNTIFS($L$5:$L744,'Invoice Builder'!$C$5,$P$5:$P744,'Invoice Builder'!$C$6,$N$5:$N744,"&gt;0"),""))</f>
        <v/>
      </c>
      <c r="R744" s="27" t="str">
        <f aca="false">IF($A744="","",IF($A744&gt;=DATE(YEAR($A744),4,6),YEAR($A744)&amp;"/"&amp;RIGHT(YEAR($A744)+1,2),YEAR($A744)-1&amp;"/"&amp;RIGHT(YEAR($A744),2)))</f>
        <v/>
      </c>
    </row>
    <row r="745" customFormat="false" ht="15" hidden="false" customHeight="false" outlineLevel="0" collapsed="false">
      <c r="A745" s="22"/>
      <c r="B745" s="23"/>
      <c r="C745" s="23"/>
      <c r="D745" s="23"/>
      <c r="E745" s="32"/>
      <c r="F745" s="25"/>
      <c r="G745" s="23"/>
      <c r="H745" s="23"/>
      <c r="I745" s="23"/>
      <c r="J745" s="23"/>
      <c r="K745" s="23"/>
      <c r="L745" s="27" t="str">
        <f aca="false">IF($B745="","",IFERROR(INDEX(Properties!$D$5:$D$104,MATCH($B745,Properties!$A$5:$A$104,0)),"-"))</f>
        <v/>
      </c>
      <c r="M745" s="28" t="str">
        <f aca="false">IF(OR($A745="",N($E745)=0),"",$F745/$E745)</f>
        <v/>
      </c>
      <c r="N745" s="28" t="str">
        <f aca="false">IF($A745="","",IF($H745="Y",$F745*(1+Settings!$B$3),0))</f>
        <v/>
      </c>
      <c r="O745" s="27" t="str">
        <f aca="false">IF($A745="","",IF(AND($H745="Y",$G745&lt;&gt;"Restock",N($M745)&gt;Settings!$B$4,$I745&lt;&gt;"Y"),"Get host OK",IF(AND($H745="Y",$F745&gt;Settings!$B$5,$I745&lt;&gt;"Y"),"Host should pay upfront",IF($J745&lt;&gt;"Y","Save receipt","OK"))))</f>
        <v/>
      </c>
      <c r="P745" s="29" t="str">
        <f aca="false">IF($A745="","",DATE(YEAR($A745),MONTH($A745),1))</f>
        <v/>
      </c>
      <c r="Q745" s="31" t="str">
        <f aca="false">IF($A745="","",IF(AND($L745='Invoice Builder'!$C$5,$P745='Invoice Builder'!$C$6,N($N745)&gt;0),COUNTIFS($L$5:$L745,'Invoice Builder'!$C$5,$P$5:$P745,'Invoice Builder'!$C$6,$N$5:$N745,"&gt;0"),""))</f>
        <v/>
      </c>
      <c r="R745" s="27" t="str">
        <f aca="false">IF($A745="","",IF($A745&gt;=DATE(YEAR($A745),4,6),YEAR($A745)&amp;"/"&amp;RIGHT(YEAR($A745)+1,2),YEAR($A745)-1&amp;"/"&amp;RIGHT(YEAR($A745),2)))</f>
        <v/>
      </c>
    </row>
    <row r="746" customFormat="false" ht="15" hidden="false" customHeight="false" outlineLevel="0" collapsed="false">
      <c r="A746" s="22"/>
      <c r="B746" s="23"/>
      <c r="C746" s="23"/>
      <c r="D746" s="23"/>
      <c r="E746" s="32"/>
      <c r="F746" s="25"/>
      <c r="G746" s="23"/>
      <c r="H746" s="23"/>
      <c r="I746" s="23"/>
      <c r="J746" s="23"/>
      <c r="K746" s="23"/>
      <c r="L746" s="27" t="str">
        <f aca="false">IF($B746="","",IFERROR(INDEX(Properties!$D$5:$D$104,MATCH($B746,Properties!$A$5:$A$104,0)),"-"))</f>
        <v/>
      </c>
      <c r="M746" s="28" t="str">
        <f aca="false">IF(OR($A746="",N($E746)=0),"",$F746/$E746)</f>
        <v/>
      </c>
      <c r="N746" s="28" t="str">
        <f aca="false">IF($A746="","",IF($H746="Y",$F746*(1+Settings!$B$3),0))</f>
        <v/>
      </c>
      <c r="O746" s="27" t="str">
        <f aca="false">IF($A746="","",IF(AND($H746="Y",$G746&lt;&gt;"Restock",N($M746)&gt;Settings!$B$4,$I746&lt;&gt;"Y"),"Get host OK",IF(AND($H746="Y",$F746&gt;Settings!$B$5,$I746&lt;&gt;"Y"),"Host should pay upfront",IF($J746&lt;&gt;"Y","Save receipt","OK"))))</f>
        <v/>
      </c>
      <c r="P746" s="29" t="str">
        <f aca="false">IF($A746="","",DATE(YEAR($A746),MONTH($A746),1))</f>
        <v/>
      </c>
      <c r="Q746" s="31" t="str">
        <f aca="false">IF($A746="","",IF(AND($L746='Invoice Builder'!$C$5,$P746='Invoice Builder'!$C$6,N($N746)&gt;0),COUNTIFS($L$5:$L746,'Invoice Builder'!$C$5,$P$5:$P746,'Invoice Builder'!$C$6,$N$5:$N746,"&gt;0"),""))</f>
        <v/>
      </c>
      <c r="R746" s="27" t="str">
        <f aca="false">IF($A746="","",IF($A746&gt;=DATE(YEAR($A746),4,6),YEAR($A746)&amp;"/"&amp;RIGHT(YEAR($A746)+1,2),YEAR($A746)-1&amp;"/"&amp;RIGHT(YEAR($A746),2)))</f>
        <v/>
      </c>
    </row>
    <row r="747" customFormat="false" ht="15" hidden="false" customHeight="false" outlineLevel="0" collapsed="false">
      <c r="A747" s="22"/>
      <c r="B747" s="23"/>
      <c r="C747" s="23"/>
      <c r="D747" s="23"/>
      <c r="E747" s="32"/>
      <c r="F747" s="25"/>
      <c r="G747" s="23"/>
      <c r="H747" s="23"/>
      <c r="I747" s="23"/>
      <c r="J747" s="23"/>
      <c r="K747" s="23"/>
      <c r="L747" s="27" t="str">
        <f aca="false">IF($B747="","",IFERROR(INDEX(Properties!$D$5:$D$104,MATCH($B747,Properties!$A$5:$A$104,0)),"-"))</f>
        <v/>
      </c>
      <c r="M747" s="28" t="str">
        <f aca="false">IF(OR($A747="",N($E747)=0),"",$F747/$E747)</f>
        <v/>
      </c>
      <c r="N747" s="28" t="str">
        <f aca="false">IF($A747="","",IF($H747="Y",$F747*(1+Settings!$B$3),0))</f>
        <v/>
      </c>
      <c r="O747" s="27" t="str">
        <f aca="false">IF($A747="","",IF(AND($H747="Y",$G747&lt;&gt;"Restock",N($M747)&gt;Settings!$B$4,$I747&lt;&gt;"Y"),"Get host OK",IF(AND($H747="Y",$F747&gt;Settings!$B$5,$I747&lt;&gt;"Y"),"Host should pay upfront",IF($J747&lt;&gt;"Y","Save receipt","OK"))))</f>
        <v/>
      </c>
      <c r="P747" s="29" t="str">
        <f aca="false">IF($A747="","",DATE(YEAR($A747),MONTH($A747),1))</f>
        <v/>
      </c>
      <c r="Q747" s="31" t="str">
        <f aca="false">IF($A747="","",IF(AND($L747='Invoice Builder'!$C$5,$P747='Invoice Builder'!$C$6,N($N747)&gt;0),COUNTIFS($L$5:$L747,'Invoice Builder'!$C$5,$P$5:$P747,'Invoice Builder'!$C$6,$N$5:$N747,"&gt;0"),""))</f>
        <v/>
      </c>
      <c r="R747" s="27" t="str">
        <f aca="false">IF($A747="","",IF($A747&gt;=DATE(YEAR($A747),4,6),YEAR($A747)&amp;"/"&amp;RIGHT(YEAR($A747)+1,2),YEAR($A747)-1&amp;"/"&amp;RIGHT(YEAR($A747),2)))</f>
        <v/>
      </c>
    </row>
    <row r="748" customFormat="false" ht="15" hidden="false" customHeight="false" outlineLevel="0" collapsed="false">
      <c r="A748" s="22"/>
      <c r="B748" s="23"/>
      <c r="C748" s="23"/>
      <c r="D748" s="23"/>
      <c r="E748" s="32"/>
      <c r="F748" s="25"/>
      <c r="G748" s="23"/>
      <c r="H748" s="23"/>
      <c r="I748" s="23"/>
      <c r="J748" s="23"/>
      <c r="K748" s="23"/>
      <c r="L748" s="27" t="str">
        <f aca="false">IF($B748="","",IFERROR(INDEX(Properties!$D$5:$D$104,MATCH($B748,Properties!$A$5:$A$104,0)),"-"))</f>
        <v/>
      </c>
      <c r="M748" s="28" t="str">
        <f aca="false">IF(OR($A748="",N($E748)=0),"",$F748/$E748)</f>
        <v/>
      </c>
      <c r="N748" s="28" t="str">
        <f aca="false">IF($A748="","",IF($H748="Y",$F748*(1+Settings!$B$3),0))</f>
        <v/>
      </c>
      <c r="O748" s="27" t="str">
        <f aca="false">IF($A748="","",IF(AND($H748="Y",$G748&lt;&gt;"Restock",N($M748)&gt;Settings!$B$4,$I748&lt;&gt;"Y"),"Get host OK",IF(AND($H748="Y",$F748&gt;Settings!$B$5,$I748&lt;&gt;"Y"),"Host should pay upfront",IF($J748&lt;&gt;"Y","Save receipt","OK"))))</f>
        <v/>
      </c>
      <c r="P748" s="29" t="str">
        <f aca="false">IF($A748="","",DATE(YEAR($A748),MONTH($A748),1))</f>
        <v/>
      </c>
      <c r="Q748" s="31" t="str">
        <f aca="false">IF($A748="","",IF(AND($L748='Invoice Builder'!$C$5,$P748='Invoice Builder'!$C$6,N($N748)&gt;0),COUNTIFS($L$5:$L748,'Invoice Builder'!$C$5,$P$5:$P748,'Invoice Builder'!$C$6,$N$5:$N748,"&gt;0"),""))</f>
        <v/>
      </c>
      <c r="R748" s="27" t="str">
        <f aca="false">IF($A748="","",IF($A748&gt;=DATE(YEAR($A748),4,6),YEAR($A748)&amp;"/"&amp;RIGHT(YEAR($A748)+1,2),YEAR($A748)-1&amp;"/"&amp;RIGHT(YEAR($A748),2)))</f>
        <v/>
      </c>
    </row>
    <row r="749" customFormat="false" ht="15" hidden="false" customHeight="false" outlineLevel="0" collapsed="false">
      <c r="A749" s="22"/>
      <c r="B749" s="23"/>
      <c r="C749" s="23"/>
      <c r="D749" s="23"/>
      <c r="E749" s="32"/>
      <c r="F749" s="25"/>
      <c r="G749" s="23"/>
      <c r="H749" s="23"/>
      <c r="I749" s="23"/>
      <c r="J749" s="23"/>
      <c r="K749" s="23"/>
      <c r="L749" s="27" t="str">
        <f aca="false">IF($B749="","",IFERROR(INDEX(Properties!$D$5:$D$104,MATCH($B749,Properties!$A$5:$A$104,0)),"-"))</f>
        <v/>
      </c>
      <c r="M749" s="28" t="str">
        <f aca="false">IF(OR($A749="",N($E749)=0),"",$F749/$E749)</f>
        <v/>
      </c>
      <c r="N749" s="28" t="str">
        <f aca="false">IF($A749="","",IF($H749="Y",$F749*(1+Settings!$B$3),0))</f>
        <v/>
      </c>
      <c r="O749" s="27" t="str">
        <f aca="false">IF($A749="","",IF(AND($H749="Y",$G749&lt;&gt;"Restock",N($M749)&gt;Settings!$B$4,$I749&lt;&gt;"Y"),"Get host OK",IF(AND($H749="Y",$F749&gt;Settings!$B$5,$I749&lt;&gt;"Y"),"Host should pay upfront",IF($J749&lt;&gt;"Y","Save receipt","OK"))))</f>
        <v/>
      </c>
      <c r="P749" s="29" t="str">
        <f aca="false">IF($A749="","",DATE(YEAR($A749),MONTH($A749),1))</f>
        <v/>
      </c>
      <c r="Q749" s="31" t="str">
        <f aca="false">IF($A749="","",IF(AND($L749='Invoice Builder'!$C$5,$P749='Invoice Builder'!$C$6,N($N749)&gt;0),COUNTIFS($L$5:$L749,'Invoice Builder'!$C$5,$P$5:$P749,'Invoice Builder'!$C$6,$N$5:$N749,"&gt;0"),""))</f>
        <v/>
      </c>
      <c r="R749" s="27" t="str">
        <f aca="false">IF($A749="","",IF($A749&gt;=DATE(YEAR($A749),4,6),YEAR($A749)&amp;"/"&amp;RIGHT(YEAR($A749)+1,2),YEAR($A749)-1&amp;"/"&amp;RIGHT(YEAR($A749),2)))</f>
        <v/>
      </c>
    </row>
    <row r="750" customFormat="false" ht="15" hidden="false" customHeight="false" outlineLevel="0" collapsed="false">
      <c r="A750" s="22"/>
      <c r="B750" s="23"/>
      <c r="C750" s="23"/>
      <c r="D750" s="23"/>
      <c r="E750" s="32"/>
      <c r="F750" s="25"/>
      <c r="G750" s="23"/>
      <c r="H750" s="23"/>
      <c r="I750" s="23"/>
      <c r="J750" s="23"/>
      <c r="K750" s="23"/>
      <c r="L750" s="27" t="str">
        <f aca="false">IF($B750="","",IFERROR(INDEX(Properties!$D$5:$D$104,MATCH($B750,Properties!$A$5:$A$104,0)),"-"))</f>
        <v/>
      </c>
      <c r="M750" s="28" t="str">
        <f aca="false">IF(OR($A750="",N($E750)=0),"",$F750/$E750)</f>
        <v/>
      </c>
      <c r="N750" s="28" t="str">
        <f aca="false">IF($A750="","",IF($H750="Y",$F750*(1+Settings!$B$3),0))</f>
        <v/>
      </c>
      <c r="O750" s="27" t="str">
        <f aca="false">IF($A750="","",IF(AND($H750="Y",$G750&lt;&gt;"Restock",N($M750)&gt;Settings!$B$4,$I750&lt;&gt;"Y"),"Get host OK",IF(AND($H750="Y",$F750&gt;Settings!$B$5,$I750&lt;&gt;"Y"),"Host should pay upfront",IF($J750&lt;&gt;"Y","Save receipt","OK"))))</f>
        <v/>
      </c>
      <c r="P750" s="29" t="str">
        <f aca="false">IF($A750="","",DATE(YEAR($A750),MONTH($A750),1))</f>
        <v/>
      </c>
      <c r="Q750" s="31" t="str">
        <f aca="false">IF($A750="","",IF(AND($L750='Invoice Builder'!$C$5,$P750='Invoice Builder'!$C$6,N($N750)&gt;0),COUNTIFS($L$5:$L750,'Invoice Builder'!$C$5,$P$5:$P750,'Invoice Builder'!$C$6,$N$5:$N750,"&gt;0"),""))</f>
        <v/>
      </c>
      <c r="R750" s="27" t="str">
        <f aca="false">IF($A750="","",IF($A750&gt;=DATE(YEAR($A750),4,6),YEAR($A750)&amp;"/"&amp;RIGHT(YEAR($A750)+1,2),YEAR($A750)-1&amp;"/"&amp;RIGHT(YEAR($A750),2)))</f>
        <v/>
      </c>
    </row>
    <row r="751" customFormat="false" ht="15" hidden="false" customHeight="false" outlineLevel="0" collapsed="false">
      <c r="A751" s="22"/>
      <c r="B751" s="23"/>
      <c r="C751" s="23"/>
      <c r="D751" s="23"/>
      <c r="E751" s="32"/>
      <c r="F751" s="25"/>
      <c r="G751" s="23"/>
      <c r="H751" s="23"/>
      <c r="I751" s="23"/>
      <c r="J751" s="23"/>
      <c r="K751" s="23"/>
      <c r="L751" s="27" t="str">
        <f aca="false">IF($B751="","",IFERROR(INDEX(Properties!$D$5:$D$104,MATCH($B751,Properties!$A$5:$A$104,0)),"-"))</f>
        <v/>
      </c>
      <c r="M751" s="28" t="str">
        <f aca="false">IF(OR($A751="",N($E751)=0),"",$F751/$E751)</f>
        <v/>
      </c>
      <c r="N751" s="28" t="str">
        <f aca="false">IF($A751="","",IF($H751="Y",$F751*(1+Settings!$B$3),0))</f>
        <v/>
      </c>
      <c r="O751" s="27" t="str">
        <f aca="false">IF($A751="","",IF(AND($H751="Y",$G751&lt;&gt;"Restock",N($M751)&gt;Settings!$B$4,$I751&lt;&gt;"Y"),"Get host OK",IF(AND($H751="Y",$F751&gt;Settings!$B$5,$I751&lt;&gt;"Y"),"Host should pay upfront",IF($J751&lt;&gt;"Y","Save receipt","OK"))))</f>
        <v/>
      </c>
      <c r="P751" s="29" t="str">
        <f aca="false">IF($A751="","",DATE(YEAR($A751),MONTH($A751),1))</f>
        <v/>
      </c>
      <c r="Q751" s="31" t="str">
        <f aca="false">IF($A751="","",IF(AND($L751='Invoice Builder'!$C$5,$P751='Invoice Builder'!$C$6,N($N751)&gt;0),COUNTIFS($L$5:$L751,'Invoice Builder'!$C$5,$P$5:$P751,'Invoice Builder'!$C$6,$N$5:$N751,"&gt;0"),""))</f>
        <v/>
      </c>
      <c r="R751" s="27" t="str">
        <f aca="false">IF($A751="","",IF($A751&gt;=DATE(YEAR($A751),4,6),YEAR($A751)&amp;"/"&amp;RIGHT(YEAR($A751)+1,2),YEAR($A751)-1&amp;"/"&amp;RIGHT(YEAR($A751),2)))</f>
        <v/>
      </c>
    </row>
    <row r="752" customFormat="false" ht="15" hidden="false" customHeight="false" outlineLevel="0" collapsed="false">
      <c r="A752" s="22"/>
      <c r="B752" s="23"/>
      <c r="C752" s="23"/>
      <c r="D752" s="23"/>
      <c r="E752" s="32"/>
      <c r="F752" s="25"/>
      <c r="G752" s="23"/>
      <c r="H752" s="23"/>
      <c r="I752" s="23"/>
      <c r="J752" s="23"/>
      <c r="K752" s="23"/>
      <c r="L752" s="27" t="str">
        <f aca="false">IF($B752="","",IFERROR(INDEX(Properties!$D$5:$D$104,MATCH($B752,Properties!$A$5:$A$104,0)),"-"))</f>
        <v/>
      </c>
      <c r="M752" s="28" t="str">
        <f aca="false">IF(OR($A752="",N($E752)=0),"",$F752/$E752)</f>
        <v/>
      </c>
      <c r="N752" s="28" t="str">
        <f aca="false">IF($A752="","",IF($H752="Y",$F752*(1+Settings!$B$3),0))</f>
        <v/>
      </c>
      <c r="O752" s="27" t="str">
        <f aca="false">IF($A752="","",IF(AND($H752="Y",$G752&lt;&gt;"Restock",N($M752)&gt;Settings!$B$4,$I752&lt;&gt;"Y"),"Get host OK",IF(AND($H752="Y",$F752&gt;Settings!$B$5,$I752&lt;&gt;"Y"),"Host should pay upfront",IF($J752&lt;&gt;"Y","Save receipt","OK"))))</f>
        <v/>
      </c>
      <c r="P752" s="29" t="str">
        <f aca="false">IF($A752="","",DATE(YEAR($A752),MONTH($A752),1))</f>
        <v/>
      </c>
      <c r="Q752" s="31" t="str">
        <f aca="false">IF($A752="","",IF(AND($L752='Invoice Builder'!$C$5,$P752='Invoice Builder'!$C$6,N($N752)&gt;0),COUNTIFS($L$5:$L752,'Invoice Builder'!$C$5,$P$5:$P752,'Invoice Builder'!$C$6,$N$5:$N752,"&gt;0"),""))</f>
        <v/>
      </c>
      <c r="R752" s="27" t="str">
        <f aca="false">IF($A752="","",IF($A752&gt;=DATE(YEAR($A752),4,6),YEAR($A752)&amp;"/"&amp;RIGHT(YEAR($A752)+1,2),YEAR($A752)-1&amp;"/"&amp;RIGHT(YEAR($A752),2)))</f>
        <v/>
      </c>
    </row>
    <row r="753" customFormat="false" ht="15" hidden="false" customHeight="false" outlineLevel="0" collapsed="false">
      <c r="A753" s="22"/>
      <c r="B753" s="23"/>
      <c r="C753" s="23"/>
      <c r="D753" s="23"/>
      <c r="E753" s="32"/>
      <c r="F753" s="25"/>
      <c r="G753" s="23"/>
      <c r="H753" s="23"/>
      <c r="I753" s="23"/>
      <c r="J753" s="23"/>
      <c r="K753" s="23"/>
      <c r="L753" s="27" t="str">
        <f aca="false">IF($B753="","",IFERROR(INDEX(Properties!$D$5:$D$104,MATCH($B753,Properties!$A$5:$A$104,0)),"-"))</f>
        <v/>
      </c>
      <c r="M753" s="28" t="str">
        <f aca="false">IF(OR($A753="",N($E753)=0),"",$F753/$E753)</f>
        <v/>
      </c>
      <c r="N753" s="28" t="str">
        <f aca="false">IF($A753="","",IF($H753="Y",$F753*(1+Settings!$B$3),0))</f>
        <v/>
      </c>
      <c r="O753" s="27" t="str">
        <f aca="false">IF($A753="","",IF(AND($H753="Y",$G753&lt;&gt;"Restock",N($M753)&gt;Settings!$B$4,$I753&lt;&gt;"Y"),"Get host OK",IF(AND($H753="Y",$F753&gt;Settings!$B$5,$I753&lt;&gt;"Y"),"Host should pay upfront",IF($J753&lt;&gt;"Y","Save receipt","OK"))))</f>
        <v/>
      </c>
      <c r="P753" s="29" t="str">
        <f aca="false">IF($A753="","",DATE(YEAR($A753),MONTH($A753),1))</f>
        <v/>
      </c>
      <c r="Q753" s="31" t="str">
        <f aca="false">IF($A753="","",IF(AND($L753='Invoice Builder'!$C$5,$P753='Invoice Builder'!$C$6,N($N753)&gt;0),COUNTIFS($L$5:$L753,'Invoice Builder'!$C$5,$P$5:$P753,'Invoice Builder'!$C$6,$N$5:$N753,"&gt;0"),""))</f>
        <v/>
      </c>
      <c r="R753" s="27" t="str">
        <f aca="false">IF($A753="","",IF($A753&gt;=DATE(YEAR($A753),4,6),YEAR($A753)&amp;"/"&amp;RIGHT(YEAR($A753)+1,2),YEAR($A753)-1&amp;"/"&amp;RIGHT(YEAR($A753),2)))</f>
        <v/>
      </c>
    </row>
    <row r="754" customFormat="false" ht="15" hidden="false" customHeight="false" outlineLevel="0" collapsed="false">
      <c r="A754" s="22"/>
      <c r="B754" s="23"/>
      <c r="C754" s="23"/>
      <c r="D754" s="23"/>
      <c r="E754" s="32"/>
      <c r="F754" s="25"/>
      <c r="G754" s="23"/>
      <c r="H754" s="23"/>
      <c r="I754" s="23"/>
      <c r="J754" s="23"/>
      <c r="K754" s="23"/>
      <c r="L754" s="27" t="str">
        <f aca="false">IF($B754="","",IFERROR(INDEX(Properties!$D$5:$D$104,MATCH($B754,Properties!$A$5:$A$104,0)),"-"))</f>
        <v/>
      </c>
      <c r="M754" s="28" t="str">
        <f aca="false">IF(OR($A754="",N($E754)=0),"",$F754/$E754)</f>
        <v/>
      </c>
      <c r="N754" s="28" t="str">
        <f aca="false">IF($A754="","",IF($H754="Y",$F754*(1+Settings!$B$3),0))</f>
        <v/>
      </c>
      <c r="O754" s="27" t="str">
        <f aca="false">IF($A754="","",IF(AND($H754="Y",$G754&lt;&gt;"Restock",N($M754)&gt;Settings!$B$4,$I754&lt;&gt;"Y"),"Get host OK",IF(AND($H754="Y",$F754&gt;Settings!$B$5,$I754&lt;&gt;"Y"),"Host should pay upfront",IF($J754&lt;&gt;"Y","Save receipt","OK"))))</f>
        <v/>
      </c>
      <c r="P754" s="29" t="str">
        <f aca="false">IF($A754="","",DATE(YEAR($A754),MONTH($A754),1))</f>
        <v/>
      </c>
      <c r="Q754" s="31" t="str">
        <f aca="false">IF($A754="","",IF(AND($L754='Invoice Builder'!$C$5,$P754='Invoice Builder'!$C$6,N($N754)&gt;0),COUNTIFS($L$5:$L754,'Invoice Builder'!$C$5,$P$5:$P754,'Invoice Builder'!$C$6,$N$5:$N754,"&gt;0"),""))</f>
        <v/>
      </c>
      <c r="R754" s="27" t="str">
        <f aca="false">IF($A754="","",IF($A754&gt;=DATE(YEAR($A754),4,6),YEAR($A754)&amp;"/"&amp;RIGHT(YEAR($A754)+1,2),YEAR($A754)-1&amp;"/"&amp;RIGHT(YEAR($A754),2)))</f>
        <v/>
      </c>
    </row>
    <row r="755" customFormat="false" ht="15" hidden="false" customHeight="false" outlineLevel="0" collapsed="false">
      <c r="A755" s="22"/>
      <c r="B755" s="23"/>
      <c r="C755" s="23"/>
      <c r="D755" s="23"/>
      <c r="E755" s="32"/>
      <c r="F755" s="25"/>
      <c r="G755" s="23"/>
      <c r="H755" s="23"/>
      <c r="I755" s="23"/>
      <c r="J755" s="23"/>
      <c r="K755" s="23"/>
      <c r="L755" s="27" t="str">
        <f aca="false">IF($B755="","",IFERROR(INDEX(Properties!$D$5:$D$104,MATCH($B755,Properties!$A$5:$A$104,0)),"-"))</f>
        <v/>
      </c>
      <c r="M755" s="28" t="str">
        <f aca="false">IF(OR($A755="",N($E755)=0),"",$F755/$E755)</f>
        <v/>
      </c>
      <c r="N755" s="28" t="str">
        <f aca="false">IF($A755="","",IF($H755="Y",$F755*(1+Settings!$B$3),0))</f>
        <v/>
      </c>
      <c r="O755" s="27" t="str">
        <f aca="false">IF($A755="","",IF(AND($H755="Y",$G755&lt;&gt;"Restock",N($M755)&gt;Settings!$B$4,$I755&lt;&gt;"Y"),"Get host OK",IF(AND($H755="Y",$F755&gt;Settings!$B$5,$I755&lt;&gt;"Y"),"Host should pay upfront",IF($J755&lt;&gt;"Y","Save receipt","OK"))))</f>
        <v/>
      </c>
      <c r="P755" s="29" t="str">
        <f aca="false">IF($A755="","",DATE(YEAR($A755),MONTH($A755),1))</f>
        <v/>
      </c>
      <c r="Q755" s="31" t="str">
        <f aca="false">IF($A755="","",IF(AND($L755='Invoice Builder'!$C$5,$P755='Invoice Builder'!$C$6,N($N755)&gt;0),COUNTIFS($L$5:$L755,'Invoice Builder'!$C$5,$P$5:$P755,'Invoice Builder'!$C$6,$N$5:$N755,"&gt;0"),""))</f>
        <v/>
      </c>
      <c r="R755" s="27" t="str">
        <f aca="false">IF($A755="","",IF($A755&gt;=DATE(YEAR($A755),4,6),YEAR($A755)&amp;"/"&amp;RIGHT(YEAR($A755)+1,2),YEAR($A755)-1&amp;"/"&amp;RIGHT(YEAR($A755),2)))</f>
        <v/>
      </c>
    </row>
    <row r="756" customFormat="false" ht="15" hidden="false" customHeight="false" outlineLevel="0" collapsed="false">
      <c r="A756" s="22"/>
      <c r="B756" s="23"/>
      <c r="C756" s="23"/>
      <c r="D756" s="23"/>
      <c r="E756" s="32"/>
      <c r="F756" s="25"/>
      <c r="G756" s="23"/>
      <c r="H756" s="23"/>
      <c r="I756" s="23"/>
      <c r="J756" s="23"/>
      <c r="K756" s="23"/>
      <c r="L756" s="27" t="str">
        <f aca="false">IF($B756="","",IFERROR(INDEX(Properties!$D$5:$D$104,MATCH($B756,Properties!$A$5:$A$104,0)),"-"))</f>
        <v/>
      </c>
      <c r="M756" s="28" t="str">
        <f aca="false">IF(OR($A756="",N($E756)=0),"",$F756/$E756)</f>
        <v/>
      </c>
      <c r="N756" s="28" t="str">
        <f aca="false">IF($A756="","",IF($H756="Y",$F756*(1+Settings!$B$3),0))</f>
        <v/>
      </c>
      <c r="O756" s="27" t="str">
        <f aca="false">IF($A756="","",IF(AND($H756="Y",$G756&lt;&gt;"Restock",N($M756)&gt;Settings!$B$4,$I756&lt;&gt;"Y"),"Get host OK",IF(AND($H756="Y",$F756&gt;Settings!$B$5,$I756&lt;&gt;"Y"),"Host should pay upfront",IF($J756&lt;&gt;"Y","Save receipt","OK"))))</f>
        <v/>
      </c>
      <c r="P756" s="29" t="str">
        <f aca="false">IF($A756="","",DATE(YEAR($A756),MONTH($A756),1))</f>
        <v/>
      </c>
      <c r="Q756" s="31" t="str">
        <f aca="false">IF($A756="","",IF(AND($L756='Invoice Builder'!$C$5,$P756='Invoice Builder'!$C$6,N($N756)&gt;0),COUNTIFS($L$5:$L756,'Invoice Builder'!$C$5,$P$5:$P756,'Invoice Builder'!$C$6,$N$5:$N756,"&gt;0"),""))</f>
        <v/>
      </c>
      <c r="R756" s="27" t="str">
        <f aca="false">IF($A756="","",IF($A756&gt;=DATE(YEAR($A756),4,6),YEAR($A756)&amp;"/"&amp;RIGHT(YEAR($A756)+1,2),YEAR($A756)-1&amp;"/"&amp;RIGHT(YEAR($A756),2)))</f>
        <v/>
      </c>
    </row>
    <row r="757" customFormat="false" ht="15" hidden="false" customHeight="false" outlineLevel="0" collapsed="false">
      <c r="A757" s="22"/>
      <c r="B757" s="23"/>
      <c r="C757" s="23"/>
      <c r="D757" s="23"/>
      <c r="E757" s="32"/>
      <c r="F757" s="25"/>
      <c r="G757" s="23"/>
      <c r="H757" s="23"/>
      <c r="I757" s="23"/>
      <c r="J757" s="23"/>
      <c r="K757" s="23"/>
      <c r="L757" s="27" t="str">
        <f aca="false">IF($B757="","",IFERROR(INDEX(Properties!$D$5:$D$104,MATCH($B757,Properties!$A$5:$A$104,0)),"-"))</f>
        <v/>
      </c>
      <c r="M757" s="28" t="str">
        <f aca="false">IF(OR($A757="",N($E757)=0),"",$F757/$E757)</f>
        <v/>
      </c>
      <c r="N757" s="28" t="str">
        <f aca="false">IF($A757="","",IF($H757="Y",$F757*(1+Settings!$B$3),0))</f>
        <v/>
      </c>
      <c r="O757" s="27" t="str">
        <f aca="false">IF($A757="","",IF(AND($H757="Y",$G757&lt;&gt;"Restock",N($M757)&gt;Settings!$B$4,$I757&lt;&gt;"Y"),"Get host OK",IF(AND($H757="Y",$F757&gt;Settings!$B$5,$I757&lt;&gt;"Y"),"Host should pay upfront",IF($J757&lt;&gt;"Y","Save receipt","OK"))))</f>
        <v/>
      </c>
      <c r="P757" s="29" t="str">
        <f aca="false">IF($A757="","",DATE(YEAR($A757),MONTH($A757),1))</f>
        <v/>
      </c>
      <c r="Q757" s="31" t="str">
        <f aca="false">IF($A757="","",IF(AND($L757='Invoice Builder'!$C$5,$P757='Invoice Builder'!$C$6,N($N757)&gt;0),COUNTIFS($L$5:$L757,'Invoice Builder'!$C$5,$P$5:$P757,'Invoice Builder'!$C$6,$N$5:$N757,"&gt;0"),""))</f>
        <v/>
      </c>
      <c r="R757" s="27" t="str">
        <f aca="false">IF($A757="","",IF($A757&gt;=DATE(YEAR($A757),4,6),YEAR($A757)&amp;"/"&amp;RIGHT(YEAR($A757)+1,2),YEAR($A757)-1&amp;"/"&amp;RIGHT(YEAR($A757),2)))</f>
        <v/>
      </c>
    </row>
    <row r="758" customFormat="false" ht="15" hidden="false" customHeight="false" outlineLevel="0" collapsed="false">
      <c r="A758" s="22"/>
      <c r="B758" s="23"/>
      <c r="C758" s="23"/>
      <c r="D758" s="23"/>
      <c r="E758" s="32"/>
      <c r="F758" s="25"/>
      <c r="G758" s="23"/>
      <c r="H758" s="23"/>
      <c r="I758" s="23"/>
      <c r="J758" s="23"/>
      <c r="K758" s="23"/>
      <c r="L758" s="27" t="str">
        <f aca="false">IF($B758="","",IFERROR(INDEX(Properties!$D$5:$D$104,MATCH($B758,Properties!$A$5:$A$104,0)),"-"))</f>
        <v/>
      </c>
      <c r="M758" s="28" t="str">
        <f aca="false">IF(OR($A758="",N($E758)=0),"",$F758/$E758)</f>
        <v/>
      </c>
      <c r="N758" s="28" t="str">
        <f aca="false">IF($A758="","",IF($H758="Y",$F758*(1+Settings!$B$3),0))</f>
        <v/>
      </c>
      <c r="O758" s="27" t="str">
        <f aca="false">IF($A758="","",IF(AND($H758="Y",$G758&lt;&gt;"Restock",N($M758)&gt;Settings!$B$4,$I758&lt;&gt;"Y"),"Get host OK",IF(AND($H758="Y",$F758&gt;Settings!$B$5,$I758&lt;&gt;"Y"),"Host should pay upfront",IF($J758&lt;&gt;"Y","Save receipt","OK"))))</f>
        <v/>
      </c>
      <c r="P758" s="29" t="str">
        <f aca="false">IF($A758="","",DATE(YEAR($A758),MONTH($A758),1))</f>
        <v/>
      </c>
      <c r="Q758" s="31" t="str">
        <f aca="false">IF($A758="","",IF(AND($L758='Invoice Builder'!$C$5,$P758='Invoice Builder'!$C$6,N($N758)&gt;0),COUNTIFS($L$5:$L758,'Invoice Builder'!$C$5,$P$5:$P758,'Invoice Builder'!$C$6,$N$5:$N758,"&gt;0"),""))</f>
        <v/>
      </c>
      <c r="R758" s="27" t="str">
        <f aca="false">IF($A758="","",IF($A758&gt;=DATE(YEAR($A758),4,6),YEAR($A758)&amp;"/"&amp;RIGHT(YEAR($A758)+1,2),YEAR($A758)-1&amp;"/"&amp;RIGHT(YEAR($A758),2)))</f>
        <v/>
      </c>
    </row>
    <row r="759" customFormat="false" ht="15" hidden="false" customHeight="false" outlineLevel="0" collapsed="false">
      <c r="A759" s="22"/>
      <c r="B759" s="23"/>
      <c r="C759" s="23"/>
      <c r="D759" s="23"/>
      <c r="E759" s="32"/>
      <c r="F759" s="25"/>
      <c r="G759" s="23"/>
      <c r="H759" s="23"/>
      <c r="I759" s="23"/>
      <c r="J759" s="23"/>
      <c r="K759" s="23"/>
      <c r="L759" s="27" t="str">
        <f aca="false">IF($B759="","",IFERROR(INDEX(Properties!$D$5:$D$104,MATCH($B759,Properties!$A$5:$A$104,0)),"-"))</f>
        <v/>
      </c>
      <c r="M759" s="28" t="str">
        <f aca="false">IF(OR($A759="",N($E759)=0),"",$F759/$E759)</f>
        <v/>
      </c>
      <c r="N759" s="28" t="str">
        <f aca="false">IF($A759="","",IF($H759="Y",$F759*(1+Settings!$B$3),0))</f>
        <v/>
      </c>
      <c r="O759" s="27" t="str">
        <f aca="false">IF($A759="","",IF(AND($H759="Y",$G759&lt;&gt;"Restock",N($M759)&gt;Settings!$B$4,$I759&lt;&gt;"Y"),"Get host OK",IF(AND($H759="Y",$F759&gt;Settings!$B$5,$I759&lt;&gt;"Y"),"Host should pay upfront",IF($J759&lt;&gt;"Y","Save receipt","OK"))))</f>
        <v/>
      </c>
      <c r="P759" s="29" t="str">
        <f aca="false">IF($A759="","",DATE(YEAR($A759),MONTH($A759),1))</f>
        <v/>
      </c>
      <c r="Q759" s="31" t="str">
        <f aca="false">IF($A759="","",IF(AND($L759='Invoice Builder'!$C$5,$P759='Invoice Builder'!$C$6,N($N759)&gt;0),COUNTIFS($L$5:$L759,'Invoice Builder'!$C$5,$P$5:$P759,'Invoice Builder'!$C$6,$N$5:$N759,"&gt;0"),""))</f>
        <v/>
      </c>
      <c r="R759" s="27" t="str">
        <f aca="false">IF($A759="","",IF($A759&gt;=DATE(YEAR($A759),4,6),YEAR($A759)&amp;"/"&amp;RIGHT(YEAR($A759)+1,2),YEAR($A759)-1&amp;"/"&amp;RIGHT(YEAR($A759),2)))</f>
        <v/>
      </c>
    </row>
    <row r="760" customFormat="false" ht="15" hidden="false" customHeight="false" outlineLevel="0" collapsed="false">
      <c r="A760" s="22"/>
      <c r="B760" s="23"/>
      <c r="C760" s="23"/>
      <c r="D760" s="23"/>
      <c r="E760" s="32"/>
      <c r="F760" s="25"/>
      <c r="G760" s="23"/>
      <c r="H760" s="23"/>
      <c r="I760" s="23"/>
      <c r="J760" s="23"/>
      <c r="K760" s="23"/>
      <c r="L760" s="27" t="str">
        <f aca="false">IF($B760="","",IFERROR(INDEX(Properties!$D$5:$D$104,MATCH($B760,Properties!$A$5:$A$104,0)),"-"))</f>
        <v/>
      </c>
      <c r="M760" s="28" t="str">
        <f aca="false">IF(OR($A760="",N($E760)=0),"",$F760/$E760)</f>
        <v/>
      </c>
      <c r="N760" s="28" t="str">
        <f aca="false">IF($A760="","",IF($H760="Y",$F760*(1+Settings!$B$3),0))</f>
        <v/>
      </c>
      <c r="O760" s="27" t="str">
        <f aca="false">IF($A760="","",IF(AND($H760="Y",$G760&lt;&gt;"Restock",N($M760)&gt;Settings!$B$4,$I760&lt;&gt;"Y"),"Get host OK",IF(AND($H760="Y",$F760&gt;Settings!$B$5,$I760&lt;&gt;"Y"),"Host should pay upfront",IF($J760&lt;&gt;"Y","Save receipt","OK"))))</f>
        <v/>
      </c>
      <c r="P760" s="29" t="str">
        <f aca="false">IF($A760="","",DATE(YEAR($A760),MONTH($A760),1))</f>
        <v/>
      </c>
      <c r="Q760" s="31" t="str">
        <f aca="false">IF($A760="","",IF(AND($L760='Invoice Builder'!$C$5,$P760='Invoice Builder'!$C$6,N($N760)&gt;0),COUNTIFS($L$5:$L760,'Invoice Builder'!$C$5,$P$5:$P760,'Invoice Builder'!$C$6,$N$5:$N760,"&gt;0"),""))</f>
        <v/>
      </c>
      <c r="R760" s="27" t="str">
        <f aca="false">IF($A760="","",IF($A760&gt;=DATE(YEAR($A760),4,6),YEAR($A760)&amp;"/"&amp;RIGHT(YEAR($A760)+1,2),YEAR($A760)-1&amp;"/"&amp;RIGHT(YEAR($A760),2)))</f>
        <v/>
      </c>
    </row>
    <row r="761" customFormat="false" ht="15" hidden="false" customHeight="false" outlineLevel="0" collapsed="false">
      <c r="A761" s="22"/>
      <c r="B761" s="23"/>
      <c r="C761" s="23"/>
      <c r="D761" s="23"/>
      <c r="E761" s="32"/>
      <c r="F761" s="25"/>
      <c r="G761" s="23"/>
      <c r="H761" s="23"/>
      <c r="I761" s="23"/>
      <c r="J761" s="23"/>
      <c r="K761" s="23"/>
      <c r="L761" s="27" t="str">
        <f aca="false">IF($B761="","",IFERROR(INDEX(Properties!$D$5:$D$104,MATCH($B761,Properties!$A$5:$A$104,0)),"-"))</f>
        <v/>
      </c>
      <c r="M761" s="28" t="str">
        <f aca="false">IF(OR($A761="",N($E761)=0),"",$F761/$E761)</f>
        <v/>
      </c>
      <c r="N761" s="28" t="str">
        <f aca="false">IF($A761="","",IF($H761="Y",$F761*(1+Settings!$B$3),0))</f>
        <v/>
      </c>
      <c r="O761" s="27" t="str">
        <f aca="false">IF($A761="","",IF(AND($H761="Y",$G761&lt;&gt;"Restock",N($M761)&gt;Settings!$B$4,$I761&lt;&gt;"Y"),"Get host OK",IF(AND($H761="Y",$F761&gt;Settings!$B$5,$I761&lt;&gt;"Y"),"Host should pay upfront",IF($J761&lt;&gt;"Y","Save receipt","OK"))))</f>
        <v/>
      </c>
      <c r="P761" s="29" t="str">
        <f aca="false">IF($A761="","",DATE(YEAR($A761),MONTH($A761),1))</f>
        <v/>
      </c>
      <c r="Q761" s="31" t="str">
        <f aca="false">IF($A761="","",IF(AND($L761='Invoice Builder'!$C$5,$P761='Invoice Builder'!$C$6,N($N761)&gt;0),COUNTIFS($L$5:$L761,'Invoice Builder'!$C$5,$P$5:$P761,'Invoice Builder'!$C$6,$N$5:$N761,"&gt;0"),""))</f>
        <v/>
      </c>
      <c r="R761" s="27" t="str">
        <f aca="false">IF($A761="","",IF($A761&gt;=DATE(YEAR($A761),4,6),YEAR($A761)&amp;"/"&amp;RIGHT(YEAR($A761)+1,2),YEAR($A761)-1&amp;"/"&amp;RIGHT(YEAR($A761),2)))</f>
        <v/>
      </c>
    </row>
    <row r="762" customFormat="false" ht="15" hidden="false" customHeight="false" outlineLevel="0" collapsed="false">
      <c r="A762" s="22"/>
      <c r="B762" s="23"/>
      <c r="C762" s="23"/>
      <c r="D762" s="23"/>
      <c r="E762" s="32"/>
      <c r="F762" s="25"/>
      <c r="G762" s="23"/>
      <c r="H762" s="23"/>
      <c r="I762" s="23"/>
      <c r="J762" s="23"/>
      <c r="K762" s="23"/>
      <c r="L762" s="27" t="str">
        <f aca="false">IF($B762="","",IFERROR(INDEX(Properties!$D$5:$D$104,MATCH($B762,Properties!$A$5:$A$104,0)),"-"))</f>
        <v/>
      </c>
      <c r="M762" s="28" t="str">
        <f aca="false">IF(OR($A762="",N($E762)=0),"",$F762/$E762)</f>
        <v/>
      </c>
      <c r="N762" s="28" t="str">
        <f aca="false">IF($A762="","",IF($H762="Y",$F762*(1+Settings!$B$3),0))</f>
        <v/>
      </c>
      <c r="O762" s="27" t="str">
        <f aca="false">IF($A762="","",IF(AND($H762="Y",$G762&lt;&gt;"Restock",N($M762)&gt;Settings!$B$4,$I762&lt;&gt;"Y"),"Get host OK",IF(AND($H762="Y",$F762&gt;Settings!$B$5,$I762&lt;&gt;"Y"),"Host should pay upfront",IF($J762&lt;&gt;"Y","Save receipt","OK"))))</f>
        <v/>
      </c>
      <c r="P762" s="29" t="str">
        <f aca="false">IF($A762="","",DATE(YEAR($A762),MONTH($A762),1))</f>
        <v/>
      </c>
      <c r="Q762" s="31" t="str">
        <f aca="false">IF($A762="","",IF(AND($L762='Invoice Builder'!$C$5,$P762='Invoice Builder'!$C$6,N($N762)&gt;0),COUNTIFS($L$5:$L762,'Invoice Builder'!$C$5,$P$5:$P762,'Invoice Builder'!$C$6,$N$5:$N762,"&gt;0"),""))</f>
        <v/>
      </c>
      <c r="R762" s="27" t="str">
        <f aca="false">IF($A762="","",IF($A762&gt;=DATE(YEAR($A762),4,6),YEAR($A762)&amp;"/"&amp;RIGHT(YEAR($A762)+1,2),YEAR($A762)-1&amp;"/"&amp;RIGHT(YEAR($A762),2)))</f>
        <v/>
      </c>
    </row>
    <row r="763" customFormat="false" ht="15" hidden="false" customHeight="false" outlineLevel="0" collapsed="false">
      <c r="A763" s="22"/>
      <c r="B763" s="23"/>
      <c r="C763" s="23"/>
      <c r="D763" s="23"/>
      <c r="E763" s="32"/>
      <c r="F763" s="25"/>
      <c r="G763" s="23"/>
      <c r="H763" s="23"/>
      <c r="I763" s="23"/>
      <c r="J763" s="23"/>
      <c r="K763" s="23"/>
      <c r="L763" s="27" t="str">
        <f aca="false">IF($B763="","",IFERROR(INDEX(Properties!$D$5:$D$104,MATCH($B763,Properties!$A$5:$A$104,0)),"-"))</f>
        <v/>
      </c>
      <c r="M763" s="28" t="str">
        <f aca="false">IF(OR($A763="",N($E763)=0),"",$F763/$E763)</f>
        <v/>
      </c>
      <c r="N763" s="28" t="str">
        <f aca="false">IF($A763="","",IF($H763="Y",$F763*(1+Settings!$B$3),0))</f>
        <v/>
      </c>
      <c r="O763" s="27" t="str">
        <f aca="false">IF($A763="","",IF(AND($H763="Y",$G763&lt;&gt;"Restock",N($M763)&gt;Settings!$B$4,$I763&lt;&gt;"Y"),"Get host OK",IF(AND($H763="Y",$F763&gt;Settings!$B$5,$I763&lt;&gt;"Y"),"Host should pay upfront",IF($J763&lt;&gt;"Y","Save receipt","OK"))))</f>
        <v/>
      </c>
      <c r="P763" s="29" t="str">
        <f aca="false">IF($A763="","",DATE(YEAR($A763),MONTH($A763),1))</f>
        <v/>
      </c>
      <c r="Q763" s="31" t="str">
        <f aca="false">IF($A763="","",IF(AND($L763='Invoice Builder'!$C$5,$P763='Invoice Builder'!$C$6,N($N763)&gt;0),COUNTIFS($L$5:$L763,'Invoice Builder'!$C$5,$P$5:$P763,'Invoice Builder'!$C$6,$N$5:$N763,"&gt;0"),""))</f>
        <v/>
      </c>
      <c r="R763" s="27" t="str">
        <f aca="false">IF($A763="","",IF($A763&gt;=DATE(YEAR($A763),4,6),YEAR($A763)&amp;"/"&amp;RIGHT(YEAR($A763)+1,2),YEAR($A763)-1&amp;"/"&amp;RIGHT(YEAR($A763),2)))</f>
        <v/>
      </c>
    </row>
    <row r="764" customFormat="false" ht="15" hidden="false" customHeight="false" outlineLevel="0" collapsed="false">
      <c r="A764" s="22"/>
      <c r="B764" s="23"/>
      <c r="C764" s="23"/>
      <c r="D764" s="23"/>
      <c r="E764" s="32"/>
      <c r="F764" s="25"/>
      <c r="G764" s="23"/>
      <c r="H764" s="23"/>
      <c r="I764" s="23"/>
      <c r="J764" s="23"/>
      <c r="K764" s="23"/>
      <c r="L764" s="27" t="str">
        <f aca="false">IF($B764="","",IFERROR(INDEX(Properties!$D$5:$D$104,MATCH($B764,Properties!$A$5:$A$104,0)),"-"))</f>
        <v/>
      </c>
      <c r="M764" s="28" t="str">
        <f aca="false">IF(OR($A764="",N($E764)=0),"",$F764/$E764)</f>
        <v/>
      </c>
      <c r="N764" s="28" t="str">
        <f aca="false">IF($A764="","",IF($H764="Y",$F764*(1+Settings!$B$3),0))</f>
        <v/>
      </c>
      <c r="O764" s="27" t="str">
        <f aca="false">IF($A764="","",IF(AND($H764="Y",$G764&lt;&gt;"Restock",N($M764)&gt;Settings!$B$4,$I764&lt;&gt;"Y"),"Get host OK",IF(AND($H764="Y",$F764&gt;Settings!$B$5,$I764&lt;&gt;"Y"),"Host should pay upfront",IF($J764&lt;&gt;"Y","Save receipt","OK"))))</f>
        <v/>
      </c>
      <c r="P764" s="29" t="str">
        <f aca="false">IF($A764="","",DATE(YEAR($A764),MONTH($A764),1))</f>
        <v/>
      </c>
      <c r="Q764" s="31" t="str">
        <f aca="false">IF($A764="","",IF(AND($L764='Invoice Builder'!$C$5,$P764='Invoice Builder'!$C$6,N($N764)&gt;0),COUNTIFS($L$5:$L764,'Invoice Builder'!$C$5,$P$5:$P764,'Invoice Builder'!$C$6,$N$5:$N764,"&gt;0"),""))</f>
        <v/>
      </c>
      <c r="R764" s="27" t="str">
        <f aca="false">IF($A764="","",IF($A764&gt;=DATE(YEAR($A764),4,6),YEAR($A764)&amp;"/"&amp;RIGHT(YEAR($A764)+1,2),YEAR($A764)-1&amp;"/"&amp;RIGHT(YEAR($A764),2)))</f>
        <v/>
      </c>
    </row>
    <row r="765" customFormat="false" ht="15" hidden="false" customHeight="false" outlineLevel="0" collapsed="false">
      <c r="A765" s="22"/>
      <c r="B765" s="23"/>
      <c r="C765" s="23"/>
      <c r="D765" s="23"/>
      <c r="E765" s="32"/>
      <c r="F765" s="25"/>
      <c r="G765" s="23"/>
      <c r="H765" s="23"/>
      <c r="I765" s="23"/>
      <c r="J765" s="23"/>
      <c r="K765" s="23"/>
      <c r="L765" s="27" t="str">
        <f aca="false">IF($B765="","",IFERROR(INDEX(Properties!$D$5:$D$104,MATCH($B765,Properties!$A$5:$A$104,0)),"-"))</f>
        <v/>
      </c>
      <c r="M765" s="28" t="str">
        <f aca="false">IF(OR($A765="",N($E765)=0),"",$F765/$E765)</f>
        <v/>
      </c>
      <c r="N765" s="28" t="str">
        <f aca="false">IF($A765="","",IF($H765="Y",$F765*(1+Settings!$B$3),0))</f>
        <v/>
      </c>
      <c r="O765" s="27" t="str">
        <f aca="false">IF($A765="","",IF(AND($H765="Y",$G765&lt;&gt;"Restock",N($M765)&gt;Settings!$B$4,$I765&lt;&gt;"Y"),"Get host OK",IF(AND($H765="Y",$F765&gt;Settings!$B$5,$I765&lt;&gt;"Y"),"Host should pay upfront",IF($J765&lt;&gt;"Y","Save receipt","OK"))))</f>
        <v/>
      </c>
      <c r="P765" s="29" t="str">
        <f aca="false">IF($A765="","",DATE(YEAR($A765),MONTH($A765),1))</f>
        <v/>
      </c>
      <c r="Q765" s="31" t="str">
        <f aca="false">IF($A765="","",IF(AND($L765='Invoice Builder'!$C$5,$P765='Invoice Builder'!$C$6,N($N765)&gt;0),COUNTIFS($L$5:$L765,'Invoice Builder'!$C$5,$P$5:$P765,'Invoice Builder'!$C$6,$N$5:$N765,"&gt;0"),""))</f>
        <v/>
      </c>
      <c r="R765" s="27" t="str">
        <f aca="false">IF($A765="","",IF($A765&gt;=DATE(YEAR($A765),4,6),YEAR($A765)&amp;"/"&amp;RIGHT(YEAR($A765)+1,2),YEAR($A765)-1&amp;"/"&amp;RIGHT(YEAR($A765),2)))</f>
        <v/>
      </c>
    </row>
    <row r="766" customFormat="false" ht="15" hidden="false" customHeight="false" outlineLevel="0" collapsed="false">
      <c r="A766" s="22"/>
      <c r="B766" s="23"/>
      <c r="C766" s="23"/>
      <c r="D766" s="23"/>
      <c r="E766" s="32"/>
      <c r="F766" s="25"/>
      <c r="G766" s="23"/>
      <c r="H766" s="23"/>
      <c r="I766" s="23"/>
      <c r="J766" s="23"/>
      <c r="K766" s="23"/>
      <c r="L766" s="27" t="str">
        <f aca="false">IF($B766="","",IFERROR(INDEX(Properties!$D$5:$D$104,MATCH($B766,Properties!$A$5:$A$104,0)),"-"))</f>
        <v/>
      </c>
      <c r="M766" s="28" t="str">
        <f aca="false">IF(OR($A766="",N($E766)=0),"",$F766/$E766)</f>
        <v/>
      </c>
      <c r="N766" s="28" t="str">
        <f aca="false">IF($A766="","",IF($H766="Y",$F766*(1+Settings!$B$3),0))</f>
        <v/>
      </c>
      <c r="O766" s="27" t="str">
        <f aca="false">IF($A766="","",IF(AND($H766="Y",$G766&lt;&gt;"Restock",N($M766)&gt;Settings!$B$4,$I766&lt;&gt;"Y"),"Get host OK",IF(AND($H766="Y",$F766&gt;Settings!$B$5,$I766&lt;&gt;"Y"),"Host should pay upfront",IF($J766&lt;&gt;"Y","Save receipt","OK"))))</f>
        <v/>
      </c>
      <c r="P766" s="29" t="str">
        <f aca="false">IF($A766="","",DATE(YEAR($A766),MONTH($A766),1))</f>
        <v/>
      </c>
      <c r="Q766" s="31" t="str">
        <f aca="false">IF($A766="","",IF(AND($L766='Invoice Builder'!$C$5,$P766='Invoice Builder'!$C$6,N($N766)&gt;0),COUNTIFS($L$5:$L766,'Invoice Builder'!$C$5,$P$5:$P766,'Invoice Builder'!$C$6,$N$5:$N766,"&gt;0"),""))</f>
        <v/>
      </c>
      <c r="R766" s="27" t="str">
        <f aca="false">IF($A766="","",IF($A766&gt;=DATE(YEAR($A766),4,6),YEAR($A766)&amp;"/"&amp;RIGHT(YEAR($A766)+1,2),YEAR($A766)-1&amp;"/"&amp;RIGHT(YEAR($A766),2)))</f>
        <v/>
      </c>
    </row>
    <row r="767" customFormat="false" ht="15" hidden="false" customHeight="false" outlineLevel="0" collapsed="false">
      <c r="A767" s="22"/>
      <c r="B767" s="23"/>
      <c r="C767" s="23"/>
      <c r="D767" s="23"/>
      <c r="E767" s="32"/>
      <c r="F767" s="25"/>
      <c r="G767" s="23"/>
      <c r="H767" s="23"/>
      <c r="I767" s="23"/>
      <c r="J767" s="23"/>
      <c r="K767" s="23"/>
      <c r="L767" s="27" t="str">
        <f aca="false">IF($B767="","",IFERROR(INDEX(Properties!$D$5:$D$104,MATCH($B767,Properties!$A$5:$A$104,0)),"-"))</f>
        <v/>
      </c>
      <c r="M767" s="28" t="str">
        <f aca="false">IF(OR($A767="",N($E767)=0),"",$F767/$E767)</f>
        <v/>
      </c>
      <c r="N767" s="28" t="str">
        <f aca="false">IF($A767="","",IF($H767="Y",$F767*(1+Settings!$B$3),0))</f>
        <v/>
      </c>
      <c r="O767" s="27" t="str">
        <f aca="false">IF($A767="","",IF(AND($H767="Y",$G767&lt;&gt;"Restock",N($M767)&gt;Settings!$B$4,$I767&lt;&gt;"Y"),"Get host OK",IF(AND($H767="Y",$F767&gt;Settings!$B$5,$I767&lt;&gt;"Y"),"Host should pay upfront",IF($J767&lt;&gt;"Y","Save receipt","OK"))))</f>
        <v/>
      </c>
      <c r="P767" s="29" t="str">
        <f aca="false">IF($A767="","",DATE(YEAR($A767),MONTH($A767),1))</f>
        <v/>
      </c>
      <c r="Q767" s="31" t="str">
        <f aca="false">IF($A767="","",IF(AND($L767='Invoice Builder'!$C$5,$P767='Invoice Builder'!$C$6,N($N767)&gt;0),COUNTIFS($L$5:$L767,'Invoice Builder'!$C$5,$P$5:$P767,'Invoice Builder'!$C$6,$N$5:$N767,"&gt;0"),""))</f>
        <v/>
      </c>
      <c r="R767" s="27" t="str">
        <f aca="false">IF($A767="","",IF($A767&gt;=DATE(YEAR($A767),4,6),YEAR($A767)&amp;"/"&amp;RIGHT(YEAR($A767)+1,2),YEAR($A767)-1&amp;"/"&amp;RIGHT(YEAR($A767),2)))</f>
        <v/>
      </c>
    </row>
    <row r="768" customFormat="false" ht="15" hidden="false" customHeight="false" outlineLevel="0" collapsed="false">
      <c r="A768" s="22"/>
      <c r="B768" s="23"/>
      <c r="C768" s="23"/>
      <c r="D768" s="23"/>
      <c r="E768" s="32"/>
      <c r="F768" s="25"/>
      <c r="G768" s="23"/>
      <c r="H768" s="23"/>
      <c r="I768" s="23"/>
      <c r="J768" s="23"/>
      <c r="K768" s="23"/>
      <c r="L768" s="27" t="str">
        <f aca="false">IF($B768="","",IFERROR(INDEX(Properties!$D$5:$D$104,MATCH($B768,Properties!$A$5:$A$104,0)),"-"))</f>
        <v/>
      </c>
      <c r="M768" s="28" t="str">
        <f aca="false">IF(OR($A768="",N($E768)=0),"",$F768/$E768)</f>
        <v/>
      </c>
      <c r="N768" s="28" t="str">
        <f aca="false">IF($A768="","",IF($H768="Y",$F768*(1+Settings!$B$3),0))</f>
        <v/>
      </c>
      <c r="O768" s="27" t="str">
        <f aca="false">IF($A768="","",IF(AND($H768="Y",$G768&lt;&gt;"Restock",N($M768)&gt;Settings!$B$4,$I768&lt;&gt;"Y"),"Get host OK",IF(AND($H768="Y",$F768&gt;Settings!$B$5,$I768&lt;&gt;"Y"),"Host should pay upfront",IF($J768&lt;&gt;"Y","Save receipt","OK"))))</f>
        <v/>
      </c>
      <c r="P768" s="29" t="str">
        <f aca="false">IF($A768="","",DATE(YEAR($A768),MONTH($A768),1))</f>
        <v/>
      </c>
      <c r="Q768" s="31" t="str">
        <f aca="false">IF($A768="","",IF(AND($L768='Invoice Builder'!$C$5,$P768='Invoice Builder'!$C$6,N($N768)&gt;0),COUNTIFS($L$5:$L768,'Invoice Builder'!$C$5,$P$5:$P768,'Invoice Builder'!$C$6,$N$5:$N768,"&gt;0"),""))</f>
        <v/>
      </c>
      <c r="R768" s="27" t="str">
        <f aca="false">IF($A768="","",IF($A768&gt;=DATE(YEAR($A768),4,6),YEAR($A768)&amp;"/"&amp;RIGHT(YEAR($A768)+1,2),YEAR($A768)-1&amp;"/"&amp;RIGHT(YEAR($A768),2)))</f>
        <v/>
      </c>
    </row>
    <row r="769" customFormat="false" ht="15" hidden="false" customHeight="false" outlineLevel="0" collapsed="false">
      <c r="A769" s="22"/>
      <c r="B769" s="23"/>
      <c r="C769" s="23"/>
      <c r="D769" s="23"/>
      <c r="E769" s="32"/>
      <c r="F769" s="25"/>
      <c r="G769" s="23"/>
      <c r="H769" s="23"/>
      <c r="I769" s="23"/>
      <c r="J769" s="23"/>
      <c r="K769" s="23"/>
      <c r="L769" s="27" t="str">
        <f aca="false">IF($B769="","",IFERROR(INDEX(Properties!$D$5:$D$104,MATCH($B769,Properties!$A$5:$A$104,0)),"-"))</f>
        <v/>
      </c>
      <c r="M769" s="28" t="str">
        <f aca="false">IF(OR($A769="",N($E769)=0),"",$F769/$E769)</f>
        <v/>
      </c>
      <c r="N769" s="28" t="str">
        <f aca="false">IF($A769="","",IF($H769="Y",$F769*(1+Settings!$B$3),0))</f>
        <v/>
      </c>
      <c r="O769" s="27" t="str">
        <f aca="false">IF($A769="","",IF(AND($H769="Y",$G769&lt;&gt;"Restock",N($M769)&gt;Settings!$B$4,$I769&lt;&gt;"Y"),"Get host OK",IF(AND($H769="Y",$F769&gt;Settings!$B$5,$I769&lt;&gt;"Y"),"Host should pay upfront",IF($J769&lt;&gt;"Y","Save receipt","OK"))))</f>
        <v/>
      </c>
      <c r="P769" s="29" t="str">
        <f aca="false">IF($A769="","",DATE(YEAR($A769),MONTH($A769),1))</f>
        <v/>
      </c>
      <c r="Q769" s="31" t="str">
        <f aca="false">IF($A769="","",IF(AND($L769='Invoice Builder'!$C$5,$P769='Invoice Builder'!$C$6,N($N769)&gt;0),COUNTIFS($L$5:$L769,'Invoice Builder'!$C$5,$P$5:$P769,'Invoice Builder'!$C$6,$N$5:$N769,"&gt;0"),""))</f>
        <v/>
      </c>
      <c r="R769" s="27" t="str">
        <f aca="false">IF($A769="","",IF($A769&gt;=DATE(YEAR($A769),4,6),YEAR($A769)&amp;"/"&amp;RIGHT(YEAR($A769)+1,2),YEAR($A769)-1&amp;"/"&amp;RIGHT(YEAR($A769),2)))</f>
        <v/>
      </c>
    </row>
    <row r="770" customFormat="false" ht="15" hidden="false" customHeight="false" outlineLevel="0" collapsed="false">
      <c r="A770" s="22"/>
      <c r="B770" s="23"/>
      <c r="C770" s="23"/>
      <c r="D770" s="23"/>
      <c r="E770" s="32"/>
      <c r="F770" s="25"/>
      <c r="G770" s="23"/>
      <c r="H770" s="23"/>
      <c r="I770" s="23"/>
      <c r="J770" s="23"/>
      <c r="K770" s="23"/>
      <c r="L770" s="27" t="str">
        <f aca="false">IF($B770="","",IFERROR(INDEX(Properties!$D$5:$D$104,MATCH($B770,Properties!$A$5:$A$104,0)),"-"))</f>
        <v/>
      </c>
      <c r="M770" s="28" t="str">
        <f aca="false">IF(OR($A770="",N($E770)=0),"",$F770/$E770)</f>
        <v/>
      </c>
      <c r="N770" s="28" t="str">
        <f aca="false">IF($A770="","",IF($H770="Y",$F770*(1+Settings!$B$3),0))</f>
        <v/>
      </c>
      <c r="O770" s="27" t="str">
        <f aca="false">IF($A770="","",IF(AND($H770="Y",$G770&lt;&gt;"Restock",N($M770)&gt;Settings!$B$4,$I770&lt;&gt;"Y"),"Get host OK",IF(AND($H770="Y",$F770&gt;Settings!$B$5,$I770&lt;&gt;"Y"),"Host should pay upfront",IF($J770&lt;&gt;"Y","Save receipt","OK"))))</f>
        <v/>
      </c>
      <c r="P770" s="29" t="str">
        <f aca="false">IF($A770="","",DATE(YEAR($A770),MONTH($A770),1))</f>
        <v/>
      </c>
      <c r="Q770" s="31" t="str">
        <f aca="false">IF($A770="","",IF(AND($L770='Invoice Builder'!$C$5,$P770='Invoice Builder'!$C$6,N($N770)&gt;0),COUNTIFS($L$5:$L770,'Invoice Builder'!$C$5,$P$5:$P770,'Invoice Builder'!$C$6,$N$5:$N770,"&gt;0"),""))</f>
        <v/>
      </c>
      <c r="R770" s="27" t="str">
        <f aca="false">IF($A770="","",IF($A770&gt;=DATE(YEAR($A770),4,6),YEAR($A770)&amp;"/"&amp;RIGHT(YEAR($A770)+1,2),YEAR($A770)-1&amp;"/"&amp;RIGHT(YEAR($A770),2)))</f>
        <v/>
      </c>
    </row>
    <row r="771" customFormat="false" ht="15" hidden="false" customHeight="false" outlineLevel="0" collapsed="false">
      <c r="A771" s="22"/>
      <c r="B771" s="23"/>
      <c r="C771" s="23"/>
      <c r="D771" s="23"/>
      <c r="E771" s="32"/>
      <c r="F771" s="25"/>
      <c r="G771" s="23"/>
      <c r="H771" s="23"/>
      <c r="I771" s="23"/>
      <c r="J771" s="23"/>
      <c r="K771" s="23"/>
      <c r="L771" s="27" t="str">
        <f aca="false">IF($B771="","",IFERROR(INDEX(Properties!$D$5:$D$104,MATCH($B771,Properties!$A$5:$A$104,0)),"-"))</f>
        <v/>
      </c>
      <c r="M771" s="28" t="str">
        <f aca="false">IF(OR($A771="",N($E771)=0),"",$F771/$E771)</f>
        <v/>
      </c>
      <c r="N771" s="28" t="str">
        <f aca="false">IF($A771="","",IF($H771="Y",$F771*(1+Settings!$B$3),0))</f>
        <v/>
      </c>
      <c r="O771" s="27" t="str">
        <f aca="false">IF($A771="","",IF(AND($H771="Y",$G771&lt;&gt;"Restock",N($M771)&gt;Settings!$B$4,$I771&lt;&gt;"Y"),"Get host OK",IF(AND($H771="Y",$F771&gt;Settings!$B$5,$I771&lt;&gt;"Y"),"Host should pay upfront",IF($J771&lt;&gt;"Y","Save receipt","OK"))))</f>
        <v/>
      </c>
      <c r="P771" s="29" t="str">
        <f aca="false">IF($A771="","",DATE(YEAR($A771),MONTH($A771),1))</f>
        <v/>
      </c>
      <c r="Q771" s="31" t="str">
        <f aca="false">IF($A771="","",IF(AND($L771='Invoice Builder'!$C$5,$P771='Invoice Builder'!$C$6,N($N771)&gt;0),COUNTIFS($L$5:$L771,'Invoice Builder'!$C$5,$P$5:$P771,'Invoice Builder'!$C$6,$N$5:$N771,"&gt;0"),""))</f>
        <v/>
      </c>
      <c r="R771" s="27" t="str">
        <f aca="false">IF($A771="","",IF($A771&gt;=DATE(YEAR($A771),4,6),YEAR($A771)&amp;"/"&amp;RIGHT(YEAR($A771)+1,2),YEAR($A771)-1&amp;"/"&amp;RIGHT(YEAR($A771),2)))</f>
        <v/>
      </c>
    </row>
    <row r="772" customFormat="false" ht="15" hidden="false" customHeight="false" outlineLevel="0" collapsed="false">
      <c r="A772" s="22"/>
      <c r="B772" s="23"/>
      <c r="C772" s="23"/>
      <c r="D772" s="23"/>
      <c r="E772" s="32"/>
      <c r="F772" s="25"/>
      <c r="G772" s="23"/>
      <c r="H772" s="23"/>
      <c r="I772" s="23"/>
      <c r="J772" s="23"/>
      <c r="K772" s="23"/>
      <c r="L772" s="27" t="str">
        <f aca="false">IF($B772="","",IFERROR(INDEX(Properties!$D$5:$D$104,MATCH($B772,Properties!$A$5:$A$104,0)),"-"))</f>
        <v/>
      </c>
      <c r="M772" s="28" t="str">
        <f aca="false">IF(OR($A772="",N($E772)=0),"",$F772/$E772)</f>
        <v/>
      </c>
      <c r="N772" s="28" t="str">
        <f aca="false">IF($A772="","",IF($H772="Y",$F772*(1+Settings!$B$3),0))</f>
        <v/>
      </c>
      <c r="O772" s="27" t="str">
        <f aca="false">IF($A772="","",IF(AND($H772="Y",$G772&lt;&gt;"Restock",N($M772)&gt;Settings!$B$4,$I772&lt;&gt;"Y"),"Get host OK",IF(AND($H772="Y",$F772&gt;Settings!$B$5,$I772&lt;&gt;"Y"),"Host should pay upfront",IF($J772&lt;&gt;"Y","Save receipt","OK"))))</f>
        <v/>
      </c>
      <c r="P772" s="29" t="str">
        <f aca="false">IF($A772="","",DATE(YEAR($A772),MONTH($A772),1))</f>
        <v/>
      </c>
      <c r="Q772" s="31" t="str">
        <f aca="false">IF($A772="","",IF(AND($L772='Invoice Builder'!$C$5,$P772='Invoice Builder'!$C$6,N($N772)&gt;0),COUNTIFS($L$5:$L772,'Invoice Builder'!$C$5,$P$5:$P772,'Invoice Builder'!$C$6,$N$5:$N772,"&gt;0"),""))</f>
        <v/>
      </c>
      <c r="R772" s="27" t="str">
        <f aca="false">IF($A772="","",IF($A772&gt;=DATE(YEAR($A772),4,6),YEAR($A772)&amp;"/"&amp;RIGHT(YEAR($A772)+1,2),YEAR($A772)-1&amp;"/"&amp;RIGHT(YEAR($A772),2)))</f>
        <v/>
      </c>
    </row>
    <row r="773" customFormat="false" ht="15" hidden="false" customHeight="false" outlineLevel="0" collapsed="false">
      <c r="A773" s="22"/>
      <c r="B773" s="23"/>
      <c r="C773" s="23"/>
      <c r="D773" s="23"/>
      <c r="E773" s="32"/>
      <c r="F773" s="25"/>
      <c r="G773" s="23"/>
      <c r="H773" s="23"/>
      <c r="I773" s="23"/>
      <c r="J773" s="23"/>
      <c r="K773" s="23"/>
      <c r="L773" s="27" t="str">
        <f aca="false">IF($B773="","",IFERROR(INDEX(Properties!$D$5:$D$104,MATCH($B773,Properties!$A$5:$A$104,0)),"-"))</f>
        <v/>
      </c>
      <c r="M773" s="28" t="str">
        <f aca="false">IF(OR($A773="",N($E773)=0),"",$F773/$E773)</f>
        <v/>
      </c>
      <c r="N773" s="28" t="str">
        <f aca="false">IF($A773="","",IF($H773="Y",$F773*(1+Settings!$B$3),0))</f>
        <v/>
      </c>
      <c r="O773" s="27" t="str">
        <f aca="false">IF($A773="","",IF(AND($H773="Y",$G773&lt;&gt;"Restock",N($M773)&gt;Settings!$B$4,$I773&lt;&gt;"Y"),"Get host OK",IF(AND($H773="Y",$F773&gt;Settings!$B$5,$I773&lt;&gt;"Y"),"Host should pay upfront",IF($J773&lt;&gt;"Y","Save receipt","OK"))))</f>
        <v/>
      </c>
      <c r="P773" s="29" t="str">
        <f aca="false">IF($A773="","",DATE(YEAR($A773),MONTH($A773),1))</f>
        <v/>
      </c>
      <c r="Q773" s="31" t="str">
        <f aca="false">IF($A773="","",IF(AND($L773='Invoice Builder'!$C$5,$P773='Invoice Builder'!$C$6,N($N773)&gt;0),COUNTIFS($L$5:$L773,'Invoice Builder'!$C$5,$P$5:$P773,'Invoice Builder'!$C$6,$N$5:$N773,"&gt;0"),""))</f>
        <v/>
      </c>
      <c r="R773" s="27" t="str">
        <f aca="false">IF($A773="","",IF($A773&gt;=DATE(YEAR($A773),4,6),YEAR($A773)&amp;"/"&amp;RIGHT(YEAR($A773)+1,2),YEAR($A773)-1&amp;"/"&amp;RIGHT(YEAR($A773),2)))</f>
        <v/>
      </c>
    </row>
    <row r="774" customFormat="false" ht="15" hidden="false" customHeight="false" outlineLevel="0" collapsed="false">
      <c r="A774" s="22"/>
      <c r="B774" s="23"/>
      <c r="C774" s="23"/>
      <c r="D774" s="23"/>
      <c r="E774" s="32"/>
      <c r="F774" s="25"/>
      <c r="G774" s="23"/>
      <c r="H774" s="23"/>
      <c r="I774" s="23"/>
      <c r="J774" s="23"/>
      <c r="K774" s="23"/>
      <c r="L774" s="27" t="str">
        <f aca="false">IF($B774="","",IFERROR(INDEX(Properties!$D$5:$D$104,MATCH($B774,Properties!$A$5:$A$104,0)),"-"))</f>
        <v/>
      </c>
      <c r="M774" s="28" t="str">
        <f aca="false">IF(OR($A774="",N($E774)=0),"",$F774/$E774)</f>
        <v/>
      </c>
      <c r="N774" s="28" t="str">
        <f aca="false">IF($A774="","",IF($H774="Y",$F774*(1+Settings!$B$3),0))</f>
        <v/>
      </c>
      <c r="O774" s="27" t="str">
        <f aca="false">IF($A774="","",IF(AND($H774="Y",$G774&lt;&gt;"Restock",N($M774)&gt;Settings!$B$4,$I774&lt;&gt;"Y"),"Get host OK",IF(AND($H774="Y",$F774&gt;Settings!$B$5,$I774&lt;&gt;"Y"),"Host should pay upfront",IF($J774&lt;&gt;"Y","Save receipt","OK"))))</f>
        <v/>
      </c>
      <c r="P774" s="29" t="str">
        <f aca="false">IF($A774="","",DATE(YEAR($A774),MONTH($A774),1))</f>
        <v/>
      </c>
      <c r="Q774" s="31" t="str">
        <f aca="false">IF($A774="","",IF(AND($L774='Invoice Builder'!$C$5,$P774='Invoice Builder'!$C$6,N($N774)&gt;0),COUNTIFS($L$5:$L774,'Invoice Builder'!$C$5,$P$5:$P774,'Invoice Builder'!$C$6,$N$5:$N774,"&gt;0"),""))</f>
        <v/>
      </c>
      <c r="R774" s="27" t="str">
        <f aca="false">IF($A774="","",IF($A774&gt;=DATE(YEAR($A774),4,6),YEAR($A774)&amp;"/"&amp;RIGHT(YEAR($A774)+1,2),YEAR($A774)-1&amp;"/"&amp;RIGHT(YEAR($A774),2)))</f>
        <v/>
      </c>
    </row>
    <row r="775" customFormat="false" ht="15" hidden="false" customHeight="false" outlineLevel="0" collapsed="false">
      <c r="A775" s="22"/>
      <c r="B775" s="23"/>
      <c r="C775" s="23"/>
      <c r="D775" s="23"/>
      <c r="E775" s="32"/>
      <c r="F775" s="25"/>
      <c r="G775" s="23"/>
      <c r="H775" s="23"/>
      <c r="I775" s="23"/>
      <c r="J775" s="23"/>
      <c r="K775" s="23"/>
      <c r="L775" s="27" t="str">
        <f aca="false">IF($B775="","",IFERROR(INDEX(Properties!$D$5:$D$104,MATCH($B775,Properties!$A$5:$A$104,0)),"-"))</f>
        <v/>
      </c>
      <c r="M775" s="28" t="str">
        <f aca="false">IF(OR($A775="",N($E775)=0),"",$F775/$E775)</f>
        <v/>
      </c>
      <c r="N775" s="28" t="str">
        <f aca="false">IF($A775="","",IF($H775="Y",$F775*(1+Settings!$B$3),0))</f>
        <v/>
      </c>
      <c r="O775" s="27" t="str">
        <f aca="false">IF($A775="","",IF(AND($H775="Y",$G775&lt;&gt;"Restock",N($M775)&gt;Settings!$B$4,$I775&lt;&gt;"Y"),"Get host OK",IF(AND($H775="Y",$F775&gt;Settings!$B$5,$I775&lt;&gt;"Y"),"Host should pay upfront",IF($J775&lt;&gt;"Y","Save receipt","OK"))))</f>
        <v/>
      </c>
      <c r="P775" s="29" t="str">
        <f aca="false">IF($A775="","",DATE(YEAR($A775),MONTH($A775),1))</f>
        <v/>
      </c>
      <c r="Q775" s="31" t="str">
        <f aca="false">IF($A775="","",IF(AND($L775='Invoice Builder'!$C$5,$P775='Invoice Builder'!$C$6,N($N775)&gt;0),COUNTIFS($L$5:$L775,'Invoice Builder'!$C$5,$P$5:$P775,'Invoice Builder'!$C$6,$N$5:$N775,"&gt;0"),""))</f>
        <v/>
      </c>
      <c r="R775" s="27" t="str">
        <f aca="false">IF($A775="","",IF($A775&gt;=DATE(YEAR($A775),4,6),YEAR($A775)&amp;"/"&amp;RIGHT(YEAR($A775)+1,2),YEAR($A775)-1&amp;"/"&amp;RIGHT(YEAR($A775),2)))</f>
        <v/>
      </c>
    </row>
    <row r="776" customFormat="false" ht="15" hidden="false" customHeight="false" outlineLevel="0" collapsed="false">
      <c r="A776" s="22"/>
      <c r="B776" s="23"/>
      <c r="C776" s="23"/>
      <c r="D776" s="23"/>
      <c r="E776" s="32"/>
      <c r="F776" s="25"/>
      <c r="G776" s="23"/>
      <c r="H776" s="23"/>
      <c r="I776" s="23"/>
      <c r="J776" s="23"/>
      <c r="K776" s="23"/>
      <c r="L776" s="27" t="str">
        <f aca="false">IF($B776="","",IFERROR(INDEX(Properties!$D$5:$D$104,MATCH($B776,Properties!$A$5:$A$104,0)),"-"))</f>
        <v/>
      </c>
      <c r="M776" s="28" t="str">
        <f aca="false">IF(OR($A776="",N($E776)=0),"",$F776/$E776)</f>
        <v/>
      </c>
      <c r="N776" s="28" t="str">
        <f aca="false">IF($A776="","",IF($H776="Y",$F776*(1+Settings!$B$3),0))</f>
        <v/>
      </c>
      <c r="O776" s="27" t="str">
        <f aca="false">IF($A776="","",IF(AND($H776="Y",$G776&lt;&gt;"Restock",N($M776)&gt;Settings!$B$4,$I776&lt;&gt;"Y"),"Get host OK",IF(AND($H776="Y",$F776&gt;Settings!$B$5,$I776&lt;&gt;"Y"),"Host should pay upfront",IF($J776&lt;&gt;"Y","Save receipt","OK"))))</f>
        <v/>
      </c>
      <c r="P776" s="29" t="str">
        <f aca="false">IF($A776="","",DATE(YEAR($A776),MONTH($A776),1))</f>
        <v/>
      </c>
      <c r="Q776" s="31" t="str">
        <f aca="false">IF($A776="","",IF(AND($L776='Invoice Builder'!$C$5,$P776='Invoice Builder'!$C$6,N($N776)&gt;0),COUNTIFS($L$5:$L776,'Invoice Builder'!$C$5,$P$5:$P776,'Invoice Builder'!$C$6,$N$5:$N776,"&gt;0"),""))</f>
        <v/>
      </c>
      <c r="R776" s="27" t="str">
        <f aca="false">IF($A776="","",IF($A776&gt;=DATE(YEAR($A776),4,6),YEAR($A776)&amp;"/"&amp;RIGHT(YEAR($A776)+1,2),YEAR($A776)-1&amp;"/"&amp;RIGHT(YEAR($A776),2)))</f>
        <v/>
      </c>
    </row>
    <row r="777" customFormat="false" ht="15" hidden="false" customHeight="false" outlineLevel="0" collapsed="false">
      <c r="A777" s="22"/>
      <c r="B777" s="23"/>
      <c r="C777" s="23"/>
      <c r="D777" s="23"/>
      <c r="E777" s="32"/>
      <c r="F777" s="25"/>
      <c r="G777" s="23"/>
      <c r="H777" s="23"/>
      <c r="I777" s="23"/>
      <c r="J777" s="23"/>
      <c r="K777" s="23"/>
      <c r="L777" s="27" t="str">
        <f aca="false">IF($B777="","",IFERROR(INDEX(Properties!$D$5:$D$104,MATCH($B777,Properties!$A$5:$A$104,0)),"-"))</f>
        <v/>
      </c>
      <c r="M777" s="28" t="str">
        <f aca="false">IF(OR($A777="",N($E777)=0),"",$F777/$E777)</f>
        <v/>
      </c>
      <c r="N777" s="28" t="str">
        <f aca="false">IF($A777="","",IF($H777="Y",$F777*(1+Settings!$B$3),0))</f>
        <v/>
      </c>
      <c r="O777" s="27" t="str">
        <f aca="false">IF($A777="","",IF(AND($H777="Y",$G777&lt;&gt;"Restock",N($M777)&gt;Settings!$B$4,$I777&lt;&gt;"Y"),"Get host OK",IF(AND($H777="Y",$F777&gt;Settings!$B$5,$I777&lt;&gt;"Y"),"Host should pay upfront",IF($J777&lt;&gt;"Y","Save receipt","OK"))))</f>
        <v/>
      </c>
      <c r="P777" s="29" t="str">
        <f aca="false">IF($A777="","",DATE(YEAR($A777),MONTH($A777),1))</f>
        <v/>
      </c>
      <c r="Q777" s="31" t="str">
        <f aca="false">IF($A777="","",IF(AND($L777='Invoice Builder'!$C$5,$P777='Invoice Builder'!$C$6,N($N777)&gt;0),COUNTIFS($L$5:$L777,'Invoice Builder'!$C$5,$P$5:$P777,'Invoice Builder'!$C$6,$N$5:$N777,"&gt;0"),""))</f>
        <v/>
      </c>
      <c r="R777" s="27" t="str">
        <f aca="false">IF($A777="","",IF($A777&gt;=DATE(YEAR($A777),4,6),YEAR($A777)&amp;"/"&amp;RIGHT(YEAR($A777)+1,2),YEAR($A777)-1&amp;"/"&amp;RIGHT(YEAR($A777),2)))</f>
        <v/>
      </c>
    </row>
    <row r="778" customFormat="false" ht="15" hidden="false" customHeight="false" outlineLevel="0" collapsed="false">
      <c r="A778" s="22"/>
      <c r="B778" s="23"/>
      <c r="C778" s="23"/>
      <c r="D778" s="23"/>
      <c r="E778" s="32"/>
      <c r="F778" s="25"/>
      <c r="G778" s="23"/>
      <c r="H778" s="23"/>
      <c r="I778" s="23"/>
      <c r="J778" s="23"/>
      <c r="K778" s="23"/>
      <c r="L778" s="27" t="str">
        <f aca="false">IF($B778="","",IFERROR(INDEX(Properties!$D$5:$D$104,MATCH($B778,Properties!$A$5:$A$104,0)),"-"))</f>
        <v/>
      </c>
      <c r="M778" s="28" t="str">
        <f aca="false">IF(OR($A778="",N($E778)=0),"",$F778/$E778)</f>
        <v/>
      </c>
      <c r="N778" s="28" t="str">
        <f aca="false">IF($A778="","",IF($H778="Y",$F778*(1+Settings!$B$3),0))</f>
        <v/>
      </c>
      <c r="O778" s="27" t="str">
        <f aca="false">IF($A778="","",IF(AND($H778="Y",$G778&lt;&gt;"Restock",N($M778)&gt;Settings!$B$4,$I778&lt;&gt;"Y"),"Get host OK",IF(AND($H778="Y",$F778&gt;Settings!$B$5,$I778&lt;&gt;"Y"),"Host should pay upfront",IF($J778&lt;&gt;"Y","Save receipt","OK"))))</f>
        <v/>
      </c>
      <c r="P778" s="29" t="str">
        <f aca="false">IF($A778="","",DATE(YEAR($A778),MONTH($A778),1))</f>
        <v/>
      </c>
      <c r="Q778" s="31" t="str">
        <f aca="false">IF($A778="","",IF(AND($L778='Invoice Builder'!$C$5,$P778='Invoice Builder'!$C$6,N($N778)&gt;0),COUNTIFS($L$5:$L778,'Invoice Builder'!$C$5,$P$5:$P778,'Invoice Builder'!$C$6,$N$5:$N778,"&gt;0"),""))</f>
        <v/>
      </c>
      <c r="R778" s="27" t="str">
        <f aca="false">IF($A778="","",IF($A778&gt;=DATE(YEAR($A778),4,6),YEAR($A778)&amp;"/"&amp;RIGHT(YEAR($A778)+1,2),YEAR($A778)-1&amp;"/"&amp;RIGHT(YEAR($A778),2)))</f>
        <v/>
      </c>
    </row>
    <row r="779" customFormat="false" ht="15" hidden="false" customHeight="false" outlineLevel="0" collapsed="false">
      <c r="A779" s="22"/>
      <c r="B779" s="23"/>
      <c r="C779" s="23"/>
      <c r="D779" s="23"/>
      <c r="E779" s="32"/>
      <c r="F779" s="25"/>
      <c r="G779" s="23"/>
      <c r="H779" s="23"/>
      <c r="I779" s="23"/>
      <c r="J779" s="23"/>
      <c r="K779" s="23"/>
      <c r="L779" s="27" t="str">
        <f aca="false">IF($B779="","",IFERROR(INDEX(Properties!$D$5:$D$104,MATCH($B779,Properties!$A$5:$A$104,0)),"-"))</f>
        <v/>
      </c>
      <c r="M779" s="28" t="str">
        <f aca="false">IF(OR($A779="",N($E779)=0),"",$F779/$E779)</f>
        <v/>
      </c>
      <c r="N779" s="28" t="str">
        <f aca="false">IF($A779="","",IF($H779="Y",$F779*(1+Settings!$B$3),0))</f>
        <v/>
      </c>
      <c r="O779" s="27" t="str">
        <f aca="false">IF($A779="","",IF(AND($H779="Y",$G779&lt;&gt;"Restock",N($M779)&gt;Settings!$B$4,$I779&lt;&gt;"Y"),"Get host OK",IF(AND($H779="Y",$F779&gt;Settings!$B$5,$I779&lt;&gt;"Y"),"Host should pay upfront",IF($J779&lt;&gt;"Y","Save receipt","OK"))))</f>
        <v/>
      </c>
      <c r="P779" s="29" t="str">
        <f aca="false">IF($A779="","",DATE(YEAR($A779),MONTH($A779),1))</f>
        <v/>
      </c>
      <c r="Q779" s="31" t="str">
        <f aca="false">IF($A779="","",IF(AND($L779='Invoice Builder'!$C$5,$P779='Invoice Builder'!$C$6,N($N779)&gt;0),COUNTIFS($L$5:$L779,'Invoice Builder'!$C$5,$P$5:$P779,'Invoice Builder'!$C$6,$N$5:$N779,"&gt;0"),""))</f>
        <v/>
      </c>
      <c r="R779" s="27" t="str">
        <f aca="false">IF($A779="","",IF($A779&gt;=DATE(YEAR($A779),4,6),YEAR($A779)&amp;"/"&amp;RIGHT(YEAR($A779)+1,2),YEAR($A779)-1&amp;"/"&amp;RIGHT(YEAR($A779),2)))</f>
        <v/>
      </c>
    </row>
    <row r="780" customFormat="false" ht="15" hidden="false" customHeight="false" outlineLevel="0" collapsed="false">
      <c r="A780" s="22"/>
      <c r="B780" s="23"/>
      <c r="C780" s="23"/>
      <c r="D780" s="23"/>
      <c r="E780" s="32"/>
      <c r="F780" s="25"/>
      <c r="G780" s="23"/>
      <c r="H780" s="23"/>
      <c r="I780" s="23"/>
      <c r="J780" s="23"/>
      <c r="K780" s="23"/>
      <c r="L780" s="27" t="str">
        <f aca="false">IF($B780="","",IFERROR(INDEX(Properties!$D$5:$D$104,MATCH($B780,Properties!$A$5:$A$104,0)),"-"))</f>
        <v/>
      </c>
      <c r="M780" s="28" t="str">
        <f aca="false">IF(OR($A780="",N($E780)=0),"",$F780/$E780)</f>
        <v/>
      </c>
      <c r="N780" s="28" t="str">
        <f aca="false">IF($A780="","",IF($H780="Y",$F780*(1+Settings!$B$3),0))</f>
        <v/>
      </c>
      <c r="O780" s="27" t="str">
        <f aca="false">IF($A780="","",IF(AND($H780="Y",$G780&lt;&gt;"Restock",N($M780)&gt;Settings!$B$4,$I780&lt;&gt;"Y"),"Get host OK",IF(AND($H780="Y",$F780&gt;Settings!$B$5,$I780&lt;&gt;"Y"),"Host should pay upfront",IF($J780&lt;&gt;"Y","Save receipt","OK"))))</f>
        <v/>
      </c>
      <c r="P780" s="29" t="str">
        <f aca="false">IF($A780="","",DATE(YEAR($A780),MONTH($A780),1))</f>
        <v/>
      </c>
      <c r="Q780" s="31" t="str">
        <f aca="false">IF($A780="","",IF(AND($L780='Invoice Builder'!$C$5,$P780='Invoice Builder'!$C$6,N($N780)&gt;0),COUNTIFS($L$5:$L780,'Invoice Builder'!$C$5,$P$5:$P780,'Invoice Builder'!$C$6,$N$5:$N780,"&gt;0"),""))</f>
        <v/>
      </c>
      <c r="R780" s="27" t="str">
        <f aca="false">IF($A780="","",IF($A780&gt;=DATE(YEAR($A780),4,6),YEAR($A780)&amp;"/"&amp;RIGHT(YEAR($A780)+1,2),YEAR($A780)-1&amp;"/"&amp;RIGHT(YEAR($A780),2)))</f>
        <v/>
      </c>
    </row>
    <row r="781" customFormat="false" ht="15" hidden="false" customHeight="false" outlineLevel="0" collapsed="false">
      <c r="A781" s="22"/>
      <c r="B781" s="23"/>
      <c r="C781" s="23"/>
      <c r="D781" s="23"/>
      <c r="E781" s="32"/>
      <c r="F781" s="25"/>
      <c r="G781" s="23"/>
      <c r="H781" s="23"/>
      <c r="I781" s="23"/>
      <c r="J781" s="23"/>
      <c r="K781" s="23"/>
      <c r="L781" s="27" t="str">
        <f aca="false">IF($B781="","",IFERROR(INDEX(Properties!$D$5:$D$104,MATCH($B781,Properties!$A$5:$A$104,0)),"-"))</f>
        <v/>
      </c>
      <c r="M781" s="28" t="str">
        <f aca="false">IF(OR($A781="",N($E781)=0),"",$F781/$E781)</f>
        <v/>
      </c>
      <c r="N781" s="28" t="str">
        <f aca="false">IF($A781="","",IF($H781="Y",$F781*(1+Settings!$B$3),0))</f>
        <v/>
      </c>
      <c r="O781" s="27" t="str">
        <f aca="false">IF($A781="","",IF(AND($H781="Y",$G781&lt;&gt;"Restock",N($M781)&gt;Settings!$B$4,$I781&lt;&gt;"Y"),"Get host OK",IF(AND($H781="Y",$F781&gt;Settings!$B$5,$I781&lt;&gt;"Y"),"Host should pay upfront",IF($J781&lt;&gt;"Y","Save receipt","OK"))))</f>
        <v/>
      </c>
      <c r="P781" s="29" t="str">
        <f aca="false">IF($A781="","",DATE(YEAR($A781),MONTH($A781),1))</f>
        <v/>
      </c>
      <c r="Q781" s="31" t="str">
        <f aca="false">IF($A781="","",IF(AND($L781='Invoice Builder'!$C$5,$P781='Invoice Builder'!$C$6,N($N781)&gt;0),COUNTIFS($L$5:$L781,'Invoice Builder'!$C$5,$P$5:$P781,'Invoice Builder'!$C$6,$N$5:$N781,"&gt;0"),""))</f>
        <v/>
      </c>
      <c r="R781" s="27" t="str">
        <f aca="false">IF($A781="","",IF($A781&gt;=DATE(YEAR($A781),4,6),YEAR($A781)&amp;"/"&amp;RIGHT(YEAR($A781)+1,2),YEAR($A781)-1&amp;"/"&amp;RIGHT(YEAR($A781),2)))</f>
        <v/>
      </c>
    </row>
    <row r="782" customFormat="false" ht="15" hidden="false" customHeight="false" outlineLevel="0" collapsed="false">
      <c r="A782" s="22"/>
      <c r="B782" s="23"/>
      <c r="C782" s="23"/>
      <c r="D782" s="23"/>
      <c r="E782" s="32"/>
      <c r="F782" s="25"/>
      <c r="G782" s="23"/>
      <c r="H782" s="23"/>
      <c r="I782" s="23"/>
      <c r="J782" s="23"/>
      <c r="K782" s="23"/>
      <c r="L782" s="27" t="str">
        <f aca="false">IF($B782="","",IFERROR(INDEX(Properties!$D$5:$D$104,MATCH($B782,Properties!$A$5:$A$104,0)),"-"))</f>
        <v/>
      </c>
      <c r="M782" s="28" t="str">
        <f aca="false">IF(OR($A782="",N($E782)=0),"",$F782/$E782)</f>
        <v/>
      </c>
      <c r="N782" s="28" t="str">
        <f aca="false">IF($A782="","",IF($H782="Y",$F782*(1+Settings!$B$3),0))</f>
        <v/>
      </c>
      <c r="O782" s="27" t="str">
        <f aca="false">IF($A782="","",IF(AND($H782="Y",$G782&lt;&gt;"Restock",N($M782)&gt;Settings!$B$4,$I782&lt;&gt;"Y"),"Get host OK",IF(AND($H782="Y",$F782&gt;Settings!$B$5,$I782&lt;&gt;"Y"),"Host should pay upfront",IF($J782&lt;&gt;"Y","Save receipt","OK"))))</f>
        <v/>
      </c>
      <c r="P782" s="29" t="str">
        <f aca="false">IF($A782="","",DATE(YEAR($A782),MONTH($A782),1))</f>
        <v/>
      </c>
      <c r="Q782" s="31" t="str">
        <f aca="false">IF($A782="","",IF(AND($L782='Invoice Builder'!$C$5,$P782='Invoice Builder'!$C$6,N($N782)&gt;0),COUNTIFS($L$5:$L782,'Invoice Builder'!$C$5,$P$5:$P782,'Invoice Builder'!$C$6,$N$5:$N782,"&gt;0"),""))</f>
        <v/>
      </c>
      <c r="R782" s="27" t="str">
        <f aca="false">IF($A782="","",IF($A782&gt;=DATE(YEAR($A782),4,6),YEAR($A782)&amp;"/"&amp;RIGHT(YEAR($A782)+1,2),YEAR($A782)-1&amp;"/"&amp;RIGHT(YEAR($A782),2)))</f>
        <v/>
      </c>
    </row>
    <row r="783" customFormat="false" ht="15" hidden="false" customHeight="false" outlineLevel="0" collapsed="false">
      <c r="A783" s="22"/>
      <c r="B783" s="23"/>
      <c r="C783" s="23"/>
      <c r="D783" s="23"/>
      <c r="E783" s="32"/>
      <c r="F783" s="25"/>
      <c r="G783" s="23"/>
      <c r="H783" s="23"/>
      <c r="I783" s="23"/>
      <c r="J783" s="23"/>
      <c r="K783" s="23"/>
      <c r="L783" s="27" t="str">
        <f aca="false">IF($B783="","",IFERROR(INDEX(Properties!$D$5:$D$104,MATCH($B783,Properties!$A$5:$A$104,0)),"-"))</f>
        <v/>
      </c>
      <c r="M783" s="28" t="str">
        <f aca="false">IF(OR($A783="",N($E783)=0),"",$F783/$E783)</f>
        <v/>
      </c>
      <c r="N783" s="28" t="str">
        <f aca="false">IF($A783="","",IF($H783="Y",$F783*(1+Settings!$B$3),0))</f>
        <v/>
      </c>
      <c r="O783" s="27" t="str">
        <f aca="false">IF($A783="","",IF(AND($H783="Y",$G783&lt;&gt;"Restock",N($M783)&gt;Settings!$B$4,$I783&lt;&gt;"Y"),"Get host OK",IF(AND($H783="Y",$F783&gt;Settings!$B$5,$I783&lt;&gt;"Y"),"Host should pay upfront",IF($J783&lt;&gt;"Y","Save receipt","OK"))))</f>
        <v/>
      </c>
      <c r="P783" s="29" t="str">
        <f aca="false">IF($A783="","",DATE(YEAR($A783),MONTH($A783),1))</f>
        <v/>
      </c>
      <c r="Q783" s="31" t="str">
        <f aca="false">IF($A783="","",IF(AND($L783='Invoice Builder'!$C$5,$P783='Invoice Builder'!$C$6,N($N783)&gt;0),COUNTIFS($L$5:$L783,'Invoice Builder'!$C$5,$P$5:$P783,'Invoice Builder'!$C$6,$N$5:$N783,"&gt;0"),""))</f>
        <v/>
      </c>
      <c r="R783" s="27" t="str">
        <f aca="false">IF($A783="","",IF($A783&gt;=DATE(YEAR($A783),4,6),YEAR($A783)&amp;"/"&amp;RIGHT(YEAR($A783)+1,2),YEAR($A783)-1&amp;"/"&amp;RIGHT(YEAR($A783),2)))</f>
        <v/>
      </c>
    </row>
    <row r="784" customFormat="false" ht="15" hidden="false" customHeight="false" outlineLevel="0" collapsed="false">
      <c r="A784" s="22"/>
      <c r="B784" s="23"/>
      <c r="C784" s="23"/>
      <c r="D784" s="23"/>
      <c r="E784" s="32"/>
      <c r="F784" s="25"/>
      <c r="G784" s="23"/>
      <c r="H784" s="23"/>
      <c r="I784" s="23"/>
      <c r="J784" s="23"/>
      <c r="K784" s="23"/>
      <c r="L784" s="27" t="str">
        <f aca="false">IF($B784="","",IFERROR(INDEX(Properties!$D$5:$D$104,MATCH($B784,Properties!$A$5:$A$104,0)),"-"))</f>
        <v/>
      </c>
      <c r="M784" s="28" t="str">
        <f aca="false">IF(OR($A784="",N($E784)=0),"",$F784/$E784)</f>
        <v/>
      </c>
      <c r="N784" s="28" t="str">
        <f aca="false">IF($A784="","",IF($H784="Y",$F784*(1+Settings!$B$3),0))</f>
        <v/>
      </c>
      <c r="O784" s="27" t="str">
        <f aca="false">IF($A784="","",IF(AND($H784="Y",$G784&lt;&gt;"Restock",N($M784)&gt;Settings!$B$4,$I784&lt;&gt;"Y"),"Get host OK",IF(AND($H784="Y",$F784&gt;Settings!$B$5,$I784&lt;&gt;"Y"),"Host should pay upfront",IF($J784&lt;&gt;"Y","Save receipt","OK"))))</f>
        <v/>
      </c>
      <c r="P784" s="29" t="str">
        <f aca="false">IF($A784="","",DATE(YEAR($A784),MONTH($A784),1))</f>
        <v/>
      </c>
      <c r="Q784" s="31" t="str">
        <f aca="false">IF($A784="","",IF(AND($L784='Invoice Builder'!$C$5,$P784='Invoice Builder'!$C$6,N($N784)&gt;0),COUNTIFS($L$5:$L784,'Invoice Builder'!$C$5,$P$5:$P784,'Invoice Builder'!$C$6,$N$5:$N784,"&gt;0"),""))</f>
        <v/>
      </c>
      <c r="R784" s="27" t="str">
        <f aca="false">IF($A784="","",IF($A784&gt;=DATE(YEAR($A784),4,6),YEAR($A784)&amp;"/"&amp;RIGHT(YEAR($A784)+1,2),YEAR($A784)-1&amp;"/"&amp;RIGHT(YEAR($A784),2)))</f>
        <v/>
      </c>
    </row>
    <row r="785" customFormat="false" ht="15" hidden="false" customHeight="false" outlineLevel="0" collapsed="false">
      <c r="A785" s="22"/>
      <c r="B785" s="23"/>
      <c r="C785" s="23"/>
      <c r="D785" s="23"/>
      <c r="E785" s="32"/>
      <c r="F785" s="25"/>
      <c r="G785" s="23"/>
      <c r="H785" s="23"/>
      <c r="I785" s="23"/>
      <c r="J785" s="23"/>
      <c r="K785" s="23"/>
      <c r="L785" s="27" t="str">
        <f aca="false">IF($B785="","",IFERROR(INDEX(Properties!$D$5:$D$104,MATCH($B785,Properties!$A$5:$A$104,0)),"-"))</f>
        <v/>
      </c>
      <c r="M785" s="28" t="str">
        <f aca="false">IF(OR($A785="",N($E785)=0),"",$F785/$E785)</f>
        <v/>
      </c>
      <c r="N785" s="28" t="str">
        <f aca="false">IF($A785="","",IF($H785="Y",$F785*(1+Settings!$B$3),0))</f>
        <v/>
      </c>
      <c r="O785" s="27" t="str">
        <f aca="false">IF($A785="","",IF(AND($H785="Y",$G785&lt;&gt;"Restock",N($M785)&gt;Settings!$B$4,$I785&lt;&gt;"Y"),"Get host OK",IF(AND($H785="Y",$F785&gt;Settings!$B$5,$I785&lt;&gt;"Y"),"Host should pay upfront",IF($J785&lt;&gt;"Y","Save receipt","OK"))))</f>
        <v/>
      </c>
      <c r="P785" s="29" t="str">
        <f aca="false">IF($A785="","",DATE(YEAR($A785),MONTH($A785),1))</f>
        <v/>
      </c>
      <c r="Q785" s="31" t="str">
        <f aca="false">IF($A785="","",IF(AND($L785='Invoice Builder'!$C$5,$P785='Invoice Builder'!$C$6,N($N785)&gt;0),COUNTIFS($L$5:$L785,'Invoice Builder'!$C$5,$P$5:$P785,'Invoice Builder'!$C$6,$N$5:$N785,"&gt;0"),""))</f>
        <v/>
      </c>
      <c r="R785" s="27" t="str">
        <f aca="false">IF($A785="","",IF($A785&gt;=DATE(YEAR($A785),4,6),YEAR($A785)&amp;"/"&amp;RIGHT(YEAR($A785)+1,2),YEAR($A785)-1&amp;"/"&amp;RIGHT(YEAR($A785),2)))</f>
        <v/>
      </c>
    </row>
    <row r="786" customFormat="false" ht="15" hidden="false" customHeight="false" outlineLevel="0" collapsed="false">
      <c r="A786" s="22"/>
      <c r="B786" s="23"/>
      <c r="C786" s="23"/>
      <c r="D786" s="23"/>
      <c r="E786" s="32"/>
      <c r="F786" s="25"/>
      <c r="G786" s="23"/>
      <c r="H786" s="23"/>
      <c r="I786" s="23"/>
      <c r="J786" s="23"/>
      <c r="K786" s="23"/>
      <c r="L786" s="27" t="str">
        <f aca="false">IF($B786="","",IFERROR(INDEX(Properties!$D$5:$D$104,MATCH($B786,Properties!$A$5:$A$104,0)),"-"))</f>
        <v/>
      </c>
      <c r="M786" s="28" t="str">
        <f aca="false">IF(OR($A786="",N($E786)=0),"",$F786/$E786)</f>
        <v/>
      </c>
      <c r="N786" s="28" t="str">
        <f aca="false">IF($A786="","",IF($H786="Y",$F786*(1+Settings!$B$3),0))</f>
        <v/>
      </c>
      <c r="O786" s="27" t="str">
        <f aca="false">IF($A786="","",IF(AND($H786="Y",$G786&lt;&gt;"Restock",N($M786)&gt;Settings!$B$4,$I786&lt;&gt;"Y"),"Get host OK",IF(AND($H786="Y",$F786&gt;Settings!$B$5,$I786&lt;&gt;"Y"),"Host should pay upfront",IF($J786&lt;&gt;"Y","Save receipt","OK"))))</f>
        <v/>
      </c>
      <c r="P786" s="29" t="str">
        <f aca="false">IF($A786="","",DATE(YEAR($A786),MONTH($A786),1))</f>
        <v/>
      </c>
      <c r="Q786" s="31" t="str">
        <f aca="false">IF($A786="","",IF(AND($L786='Invoice Builder'!$C$5,$P786='Invoice Builder'!$C$6,N($N786)&gt;0),COUNTIFS($L$5:$L786,'Invoice Builder'!$C$5,$P$5:$P786,'Invoice Builder'!$C$6,$N$5:$N786,"&gt;0"),""))</f>
        <v/>
      </c>
      <c r="R786" s="27" t="str">
        <f aca="false">IF($A786="","",IF($A786&gt;=DATE(YEAR($A786),4,6),YEAR($A786)&amp;"/"&amp;RIGHT(YEAR($A786)+1,2),YEAR($A786)-1&amp;"/"&amp;RIGHT(YEAR($A786),2)))</f>
        <v/>
      </c>
    </row>
    <row r="787" customFormat="false" ht="15" hidden="false" customHeight="false" outlineLevel="0" collapsed="false">
      <c r="A787" s="22"/>
      <c r="B787" s="23"/>
      <c r="C787" s="23"/>
      <c r="D787" s="23"/>
      <c r="E787" s="32"/>
      <c r="F787" s="25"/>
      <c r="G787" s="23"/>
      <c r="H787" s="23"/>
      <c r="I787" s="23"/>
      <c r="J787" s="23"/>
      <c r="K787" s="23"/>
      <c r="L787" s="27" t="str">
        <f aca="false">IF($B787="","",IFERROR(INDEX(Properties!$D$5:$D$104,MATCH($B787,Properties!$A$5:$A$104,0)),"-"))</f>
        <v/>
      </c>
      <c r="M787" s="28" t="str">
        <f aca="false">IF(OR($A787="",N($E787)=0),"",$F787/$E787)</f>
        <v/>
      </c>
      <c r="N787" s="28" t="str">
        <f aca="false">IF($A787="","",IF($H787="Y",$F787*(1+Settings!$B$3),0))</f>
        <v/>
      </c>
      <c r="O787" s="27" t="str">
        <f aca="false">IF($A787="","",IF(AND($H787="Y",$G787&lt;&gt;"Restock",N($M787)&gt;Settings!$B$4,$I787&lt;&gt;"Y"),"Get host OK",IF(AND($H787="Y",$F787&gt;Settings!$B$5,$I787&lt;&gt;"Y"),"Host should pay upfront",IF($J787&lt;&gt;"Y","Save receipt","OK"))))</f>
        <v/>
      </c>
      <c r="P787" s="29" t="str">
        <f aca="false">IF($A787="","",DATE(YEAR($A787),MONTH($A787),1))</f>
        <v/>
      </c>
      <c r="Q787" s="31" t="str">
        <f aca="false">IF($A787="","",IF(AND($L787='Invoice Builder'!$C$5,$P787='Invoice Builder'!$C$6,N($N787)&gt;0),COUNTIFS($L$5:$L787,'Invoice Builder'!$C$5,$P$5:$P787,'Invoice Builder'!$C$6,$N$5:$N787,"&gt;0"),""))</f>
        <v/>
      </c>
      <c r="R787" s="27" t="str">
        <f aca="false">IF($A787="","",IF($A787&gt;=DATE(YEAR($A787),4,6),YEAR($A787)&amp;"/"&amp;RIGHT(YEAR($A787)+1,2),YEAR($A787)-1&amp;"/"&amp;RIGHT(YEAR($A787),2)))</f>
        <v/>
      </c>
    </row>
    <row r="788" customFormat="false" ht="15" hidden="false" customHeight="false" outlineLevel="0" collapsed="false">
      <c r="A788" s="22"/>
      <c r="B788" s="23"/>
      <c r="C788" s="23"/>
      <c r="D788" s="23"/>
      <c r="E788" s="32"/>
      <c r="F788" s="25"/>
      <c r="G788" s="23"/>
      <c r="H788" s="23"/>
      <c r="I788" s="23"/>
      <c r="J788" s="23"/>
      <c r="K788" s="23"/>
      <c r="L788" s="27" t="str">
        <f aca="false">IF($B788="","",IFERROR(INDEX(Properties!$D$5:$D$104,MATCH($B788,Properties!$A$5:$A$104,0)),"-"))</f>
        <v/>
      </c>
      <c r="M788" s="28" t="str">
        <f aca="false">IF(OR($A788="",N($E788)=0),"",$F788/$E788)</f>
        <v/>
      </c>
      <c r="N788" s="28" t="str">
        <f aca="false">IF($A788="","",IF($H788="Y",$F788*(1+Settings!$B$3),0))</f>
        <v/>
      </c>
      <c r="O788" s="27" t="str">
        <f aca="false">IF($A788="","",IF(AND($H788="Y",$G788&lt;&gt;"Restock",N($M788)&gt;Settings!$B$4,$I788&lt;&gt;"Y"),"Get host OK",IF(AND($H788="Y",$F788&gt;Settings!$B$5,$I788&lt;&gt;"Y"),"Host should pay upfront",IF($J788&lt;&gt;"Y","Save receipt","OK"))))</f>
        <v/>
      </c>
      <c r="P788" s="29" t="str">
        <f aca="false">IF($A788="","",DATE(YEAR($A788),MONTH($A788),1))</f>
        <v/>
      </c>
      <c r="Q788" s="31" t="str">
        <f aca="false">IF($A788="","",IF(AND($L788='Invoice Builder'!$C$5,$P788='Invoice Builder'!$C$6,N($N788)&gt;0),COUNTIFS($L$5:$L788,'Invoice Builder'!$C$5,$P$5:$P788,'Invoice Builder'!$C$6,$N$5:$N788,"&gt;0"),""))</f>
        <v/>
      </c>
      <c r="R788" s="27" t="str">
        <f aca="false">IF($A788="","",IF($A788&gt;=DATE(YEAR($A788),4,6),YEAR($A788)&amp;"/"&amp;RIGHT(YEAR($A788)+1,2),YEAR($A788)-1&amp;"/"&amp;RIGHT(YEAR($A788),2)))</f>
        <v/>
      </c>
    </row>
    <row r="789" customFormat="false" ht="15" hidden="false" customHeight="false" outlineLevel="0" collapsed="false">
      <c r="A789" s="22"/>
      <c r="B789" s="23"/>
      <c r="C789" s="23"/>
      <c r="D789" s="23"/>
      <c r="E789" s="32"/>
      <c r="F789" s="25"/>
      <c r="G789" s="23"/>
      <c r="H789" s="23"/>
      <c r="I789" s="23"/>
      <c r="J789" s="23"/>
      <c r="K789" s="23"/>
      <c r="L789" s="27" t="str">
        <f aca="false">IF($B789="","",IFERROR(INDEX(Properties!$D$5:$D$104,MATCH($B789,Properties!$A$5:$A$104,0)),"-"))</f>
        <v/>
      </c>
      <c r="M789" s="28" t="str">
        <f aca="false">IF(OR($A789="",N($E789)=0),"",$F789/$E789)</f>
        <v/>
      </c>
      <c r="N789" s="28" t="str">
        <f aca="false">IF($A789="","",IF($H789="Y",$F789*(1+Settings!$B$3),0))</f>
        <v/>
      </c>
      <c r="O789" s="27" t="str">
        <f aca="false">IF($A789="","",IF(AND($H789="Y",$G789&lt;&gt;"Restock",N($M789)&gt;Settings!$B$4,$I789&lt;&gt;"Y"),"Get host OK",IF(AND($H789="Y",$F789&gt;Settings!$B$5,$I789&lt;&gt;"Y"),"Host should pay upfront",IF($J789&lt;&gt;"Y","Save receipt","OK"))))</f>
        <v/>
      </c>
      <c r="P789" s="29" t="str">
        <f aca="false">IF($A789="","",DATE(YEAR($A789),MONTH($A789),1))</f>
        <v/>
      </c>
      <c r="Q789" s="31" t="str">
        <f aca="false">IF($A789="","",IF(AND($L789='Invoice Builder'!$C$5,$P789='Invoice Builder'!$C$6,N($N789)&gt;0),COUNTIFS($L$5:$L789,'Invoice Builder'!$C$5,$P$5:$P789,'Invoice Builder'!$C$6,$N$5:$N789,"&gt;0"),""))</f>
        <v/>
      </c>
      <c r="R789" s="27" t="str">
        <f aca="false">IF($A789="","",IF($A789&gt;=DATE(YEAR($A789),4,6),YEAR($A789)&amp;"/"&amp;RIGHT(YEAR($A789)+1,2),YEAR($A789)-1&amp;"/"&amp;RIGHT(YEAR($A789),2)))</f>
        <v/>
      </c>
    </row>
    <row r="790" customFormat="false" ht="15" hidden="false" customHeight="false" outlineLevel="0" collapsed="false">
      <c r="A790" s="22"/>
      <c r="B790" s="23"/>
      <c r="C790" s="23"/>
      <c r="D790" s="23"/>
      <c r="E790" s="32"/>
      <c r="F790" s="25"/>
      <c r="G790" s="23"/>
      <c r="H790" s="23"/>
      <c r="I790" s="23"/>
      <c r="J790" s="23"/>
      <c r="K790" s="23"/>
      <c r="L790" s="27" t="str">
        <f aca="false">IF($B790="","",IFERROR(INDEX(Properties!$D$5:$D$104,MATCH($B790,Properties!$A$5:$A$104,0)),"-"))</f>
        <v/>
      </c>
      <c r="M790" s="28" t="str">
        <f aca="false">IF(OR($A790="",N($E790)=0),"",$F790/$E790)</f>
        <v/>
      </c>
      <c r="N790" s="28" t="str">
        <f aca="false">IF($A790="","",IF($H790="Y",$F790*(1+Settings!$B$3),0))</f>
        <v/>
      </c>
      <c r="O790" s="27" t="str">
        <f aca="false">IF($A790="","",IF(AND($H790="Y",$G790&lt;&gt;"Restock",N($M790)&gt;Settings!$B$4,$I790&lt;&gt;"Y"),"Get host OK",IF(AND($H790="Y",$F790&gt;Settings!$B$5,$I790&lt;&gt;"Y"),"Host should pay upfront",IF($J790&lt;&gt;"Y","Save receipt","OK"))))</f>
        <v/>
      </c>
      <c r="P790" s="29" t="str">
        <f aca="false">IF($A790="","",DATE(YEAR($A790),MONTH($A790),1))</f>
        <v/>
      </c>
      <c r="Q790" s="31" t="str">
        <f aca="false">IF($A790="","",IF(AND($L790='Invoice Builder'!$C$5,$P790='Invoice Builder'!$C$6,N($N790)&gt;0),COUNTIFS($L$5:$L790,'Invoice Builder'!$C$5,$P$5:$P790,'Invoice Builder'!$C$6,$N$5:$N790,"&gt;0"),""))</f>
        <v/>
      </c>
      <c r="R790" s="27" t="str">
        <f aca="false">IF($A790="","",IF($A790&gt;=DATE(YEAR($A790),4,6),YEAR($A790)&amp;"/"&amp;RIGHT(YEAR($A790)+1,2),YEAR($A790)-1&amp;"/"&amp;RIGHT(YEAR($A790),2)))</f>
        <v/>
      </c>
    </row>
    <row r="791" customFormat="false" ht="15" hidden="false" customHeight="false" outlineLevel="0" collapsed="false">
      <c r="A791" s="22"/>
      <c r="B791" s="23"/>
      <c r="C791" s="23"/>
      <c r="D791" s="23"/>
      <c r="E791" s="32"/>
      <c r="F791" s="25"/>
      <c r="G791" s="23"/>
      <c r="H791" s="23"/>
      <c r="I791" s="23"/>
      <c r="J791" s="23"/>
      <c r="K791" s="23"/>
      <c r="L791" s="27" t="str">
        <f aca="false">IF($B791="","",IFERROR(INDEX(Properties!$D$5:$D$104,MATCH($B791,Properties!$A$5:$A$104,0)),"-"))</f>
        <v/>
      </c>
      <c r="M791" s="28" t="str">
        <f aca="false">IF(OR($A791="",N($E791)=0),"",$F791/$E791)</f>
        <v/>
      </c>
      <c r="N791" s="28" t="str">
        <f aca="false">IF($A791="","",IF($H791="Y",$F791*(1+Settings!$B$3),0))</f>
        <v/>
      </c>
      <c r="O791" s="27" t="str">
        <f aca="false">IF($A791="","",IF(AND($H791="Y",$G791&lt;&gt;"Restock",N($M791)&gt;Settings!$B$4,$I791&lt;&gt;"Y"),"Get host OK",IF(AND($H791="Y",$F791&gt;Settings!$B$5,$I791&lt;&gt;"Y"),"Host should pay upfront",IF($J791&lt;&gt;"Y","Save receipt","OK"))))</f>
        <v/>
      </c>
      <c r="P791" s="29" t="str">
        <f aca="false">IF($A791="","",DATE(YEAR($A791),MONTH($A791),1))</f>
        <v/>
      </c>
      <c r="Q791" s="31" t="str">
        <f aca="false">IF($A791="","",IF(AND($L791='Invoice Builder'!$C$5,$P791='Invoice Builder'!$C$6,N($N791)&gt;0),COUNTIFS($L$5:$L791,'Invoice Builder'!$C$5,$P$5:$P791,'Invoice Builder'!$C$6,$N$5:$N791,"&gt;0"),""))</f>
        <v/>
      </c>
      <c r="R791" s="27" t="str">
        <f aca="false">IF($A791="","",IF($A791&gt;=DATE(YEAR($A791),4,6),YEAR($A791)&amp;"/"&amp;RIGHT(YEAR($A791)+1,2),YEAR($A791)-1&amp;"/"&amp;RIGHT(YEAR($A791),2)))</f>
        <v/>
      </c>
    </row>
    <row r="792" customFormat="false" ht="15" hidden="false" customHeight="false" outlineLevel="0" collapsed="false">
      <c r="A792" s="22"/>
      <c r="B792" s="23"/>
      <c r="C792" s="23"/>
      <c r="D792" s="23"/>
      <c r="E792" s="32"/>
      <c r="F792" s="25"/>
      <c r="G792" s="23"/>
      <c r="H792" s="23"/>
      <c r="I792" s="23"/>
      <c r="J792" s="23"/>
      <c r="K792" s="23"/>
      <c r="L792" s="27" t="str">
        <f aca="false">IF($B792="","",IFERROR(INDEX(Properties!$D$5:$D$104,MATCH($B792,Properties!$A$5:$A$104,0)),"-"))</f>
        <v/>
      </c>
      <c r="M792" s="28" t="str">
        <f aca="false">IF(OR($A792="",N($E792)=0),"",$F792/$E792)</f>
        <v/>
      </c>
      <c r="N792" s="28" t="str">
        <f aca="false">IF($A792="","",IF($H792="Y",$F792*(1+Settings!$B$3),0))</f>
        <v/>
      </c>
      <c r="O792" s="27" t="str">
        <f aca="false">IF($A792="","",IF(AND($H792="Y",$G792&lt;&gt;"Restock",N($M792)&gt;Settings!$B$4,$I792&lt;&gt;"Y"),"Get host OK",IF(AND($H792="Y",$F792&gt;Settings!$B$5,$I792&lt;&gt;"Y"),"Host should pay upfront",IF($J792&lt;&gt;"Y","Save receipt","OK"))))</f>
        <v/>
      </c>
      <c r="P792" s="29" t="str">
        <f aca="false">IF($A792="","",DATE(YEAR($A792),MONTH($A792),1))</f>
        <v/>
      </c>
      <c r="Q792" s="31" t="str">
        <f aca="false">IF($A792="","",IF(AND($L792='Invoice Builder'!$C$5,$P792='Invoice Builder'!$C$6,N($N792)&gt;0),COUNTIFS($L$5:$L792,'Invoice Builder'!$C$5,$P$5:$P792,'Invoice Builder'!$C$6,$N$5:$N792,"&gt;0"),""))</f>
        <v/>
      </c>
      <c r="R792" s="27" t="str">
        <f aca="false">IF($A792="","",IF($A792&gt;=DATE(YEAR($A792),4,6),YEAR($A792)&amp;"/"&amp;RIGHT(YEAR($A792)+1,2),YEAR($A792)-1&amp;"/"&amp;RIGHT(YEAR($A792),2)))</f>
        <v/>
      </c>
    </row>
    <row r="793" customFormat="false" ht="15" hidden="false" customHeight="false" outlineLevel="0" collapsed="false">
      <c r="A793" s="22"/>
      <c r="B793" s="23"/>
      <c r="C793" s="23"/>
      <c r="D793" s="23"/>
      <c r="E793" s="32"/>
      <c r="F793" s="25"/>
      <c r="G793" s="23"/>
      <c r="H793" s="23"/>
      <c r="I793" s="23"/>
      <c r="J793" s="23"/>
      <c r="K793" s="23"/>
      <c r="L793" s="27" t="str">
        <f aca="false">IF($B793="","",IFERROR(INDEX(Properties!$D$5:$D$104,MATCH($B793,Properties!$A$5:$A$104,0)),"-"))</f>
        <v/>
      </c>
      <c r="M793" s="28" t="str">
        <f aca="false">IF(OR($A793="",N($E793)=0),"",$F793/$E793)</f>
        <v/>
      </c>
      <c r="N793" s="28" t="str">
        <f aca="false">IF($A793="","",IF($H793="Y",$F793*(1+Settings!$B$3),0))</f>
        <v/>
      </c>
      <c r="O793" s="27" t="str">
        <f aca="false">IF($A793="","",IF(AND($H793="Y",$G793&lt;&gt;"Restock",N($M793)&gt;Settings!$B$4,$I793&lt;&gt;"Y"),"Get host OK",IF(AND($H793="Y",$F793&gt;Settings!$B$5,$I793&lt;&gt;"Y"),"Host should pay upfront",IF($J793&lt;&gt;"Y","Save receipt","OK"))))</f>
        <v/>
      </c>
      <c r="P793" s="29" t="str">
        <f aca="false">IF($A793="","",DATE(YEAR($A793),MONTH($A793),1))</f>
        <v/>
      </c>
      <c r="Q793" s="31" t="str">
        <f aca="false">IF($A793="","",IF(AND($L793='Invoice Builder'!$C$5,$P793='Invoice Builder'!$C$6,N($N793)&gt;0),COUNTIFS($L$5:$L793,'Invoice Builder'!$C$5,$P$5:$P793,'Invoice Builder'!$C$6,$N$5:$N793,"&gt;0"),""))</f>
        <v/>
      </c>
      <c r="R793" s="27" t="str">
        <f aca="false">IF($A793="","",IF($A793&gt;=DATE(YEAR($A793),4,6),YEAR($A793)&amp;"/"&amp;RIGHT(YEAR($A793)+1,2),YEAR($A793)-1&amp;"/"&amp;RIGHT(YEAR($A793),2)))</f>
        <v/>
      </c>
    </row>
    <row r="794" customFormat="false" ht="15" hidden="false" customHeight="false" outlineLevel="0" collapsed="false">
      <c r="A794" s="22"/>
      <c r="B794" s="23"/>
      <c r="C794" s="23"/>
      <c r="D794" s="23"/>
      <c r="E794" s="32"/>
      <c r="F794" s="25"/>
      <c r="G794" s="23"/>
      <c r="H794" s="23"/>
      <c r="I794" s="23"/>
      <c r="J794" s="23"/>
      <c r="K794" s="23"/>
      <c r="L794" s="27" t="str">
        <f aca="false">IF($B794="","",IFERROR(INDEX(Properties!$D$5:$D$104,MATCH($B794,Properties!$A$5:$A$104,0)),"-"))</f>
        <v/>
      </c>
      <c r="M794" s="28" t="str">
        <f aca="false">IF(OR($A794="",N($E794)=0),"",$F794/$E794)</f>
        <v/>
      </c>
      <c r="N794" s="28" t="str">
        <f aca="false">IF($A794="","",IF($H794="Y",$F794*(1+Settings!$B$3),0))</f>
        <v/>
      </c>
      <c r="O794" s="27" t="str">
        <f aca="false">IF($A794="","",IF(AND($H794="Y",$G794&lt;&gt;"Restock",N($M794)&gt;Settings!$B$4,$I794&lt;&gt;"Y"),"Get host OK",IF(AND($H794="Y",$F794&gt;Settings!$B$5,$I794&lt;&gt;"Y"),"Host should pay upfront",IF($J794&lt;&gt;"Y","Save receipt","OK"))))</f>
        <v/>
      </c>
      <c r="P794" s="29" t="str">
        <f aca="false">IF($A794="","",DATE(YEAR($A794),MONTH($A794),1))</f>
        <v/>
      </c>
      <c r="Q794" s="31" t="str">
        <f aca="false">IF($A794="","",IF(AND($L794='Invoice Builder'!$C$5,$P794='Invoice Builder'!$C$6,N($N794)&gt;0),COUNTIFS($L$5:$L794,'Invoice Builder'!$C$5,$P$5:$P794,'Invoice Builder'!$C$6,$N$5:$N794,"&gt;0"),""))</f>
        <v/>
      </c>
      <c r="R794" s="27" t="str">
        <f aca="false">IF($A794="","",IF($A794&gt;=DATE(YEAR($A794),4,6),YEAR($A794)&amp;"/"&amp;RIGHT(YEAR($A794)+1,2),YEAR($A794)-1&amp;"/"&amp;RIGHT(YEAR($A794),2)))</f>
        <v/>
      </c>
    </row>
    <row r="795" customFormat="false" ht="15" hidden="false" customHeight="false" outlineLevel="0" collapsed="false">
      <c r="A795" s="22"/>
      <c r="B795" s="23"/>
      <c r="C795" s="23"/>
      <c r="D795" s="23"/>
      <c r="E795" s="32"/>
      <c r="F795" s="25"/>
      <c r="G795" s="23"/>
      <c r="H795" s="23"/>
      <c r="I795" s="23"/>
      <c r="J795" s="23"/>
      <c r="K795" s="23"/>
      <c r="L795" s="27" t="str">
        <f aca="false">IF($B795="","",IFERROR(INDEX(Properties!$D$5:$D$104,MATCH($B795,Properties!$A$5:$A$104,0)),"-"))</f>
        <v/>
      </c>
      <c r="M795" s="28" t="str">
        <f aca="false">IF(OR($A795="",N($E795)=0),"",$F795/$E795)</f>
        <v/>
      </c>
      <c r="N795" s="28" t="str">
        <f aca="false">IF($A795="","",IF($H795="Y",$F795*(1+Settings!$B$3),0))</f>
        <v/>
      </c>
      <c r="O795" s="27" t="str">
        <f aca="false">IF($A795="","",IF(AND($H795="Y",$G795&lt;&gt;"Restock",N($M795)&gt;Settings!$B$4,$I795&lt;&gt;"Y"),"Get host OK",IF(AND($H795="Y",$F795&gt;Settings!$B$5,$I795&lt;&gt;"Y"),"Host should pay upfront",IF($J795&lt;&gt;"Y","Save receipt","OK"))))</f>
        <v/>
      </c>
      <c r="P795" s="29" t="str">
        <f aca="false">IF($A795="","",DATE(YEAR($A795),MONTH($A795),1))</f>
        <v/>
      </c>
      <c r="Q795" s="31" t="str">
        <f aca="false">IF($A795="","",IF(AND($L795='Invoice Builder'!$C$5,$P795='Invoice Builder'!$C$6,N($N795)&gt;0),COUNTIFS($L$5:$L795,'Invoice Builder'!$C$5,$P$5:$P795,'Invoice Builder'!$C$6,$N$5:$N795,"&gt;0"),""))</f>
        <v/>
      </c>
      <c r="R795" s="27" t="str">
        <f aca="false">IF($A795="","",IF($A795&gt;=DATE(YEAR($A795),4,6),YEAR($A795)&amp;"/"&amp;RIGHT(YEAR($A795)+1,2),YEAR($A795)-1&amp;"/"&amp;RIGHT(YEAR($A795),2)))</f>
        <v/>
      </c>
    </row>
    <row r="796" customFormat="false" ht="15" hidden="false" customHeight="false" outlineLevel="0" collapsed="false">
      <c r="A796" s="22"/>
      <c r="B796" s="23"/>
      <c r="C796" s="23"/>
      <c r="D796" s="23"/>
      <c r="E796" s="32"/>
      <c r="F796" s="25"/>
      <c r="G796" s="23"/>
      <c r="H796" s="23"/>
      <c r="I796" s="23"/>
      <c r="J796" s="23"/>
      <c r="K796" s="23"/>
      <c r="L796" s="27" t="str">
        <f aca="false">IF($B796="","",IFERROR(INDEX(Properties!$D$5:$D$104,MATCH($B796,Properties!$A$5:$A$104,0)),"-"))</f>
        <v/>
      </c>
      <c r="M796" s="28" t="str">
        <f aca="false">IF(OR($A796="",N($E796)=0),"",$F796/$E796)</f>
        <v/>
      </c>
      <c r="N796" s="28" t="str">
        <f aca="false">IF($A796="","",IF($H796="Y",$F796*(1+Settings!$B$3),0))</f>
        <v/>
      </c>
      <c r="O796" s="27" t="str">
        <f aca="false">IF($A796="","",IF(AND($H796="Y",$G796&lt;&gt;"Restock",N($M796)&gt;Settings!$B$4,$I796&lt;&gt;"Y"),"Get host OK",IF(AND($H796="Y",$F796&gt;Settings!$B$5,$I796&lt;&gt;"Y"),"Host should pay upfront",IF($J796&lt;&gt;"Y","Save receipt","OK"))))</f>
        <v/>
      </c>
      <c r="P796" s="29" t="str">
        <f aca="false">IF($A796="","",DATE(YEAR($A796),MONTH($A796),1))</f>
        <v/>
      </c>
      <c r="Q796" s="31" t="str">
        <f aca="false">IF($A796="","",IF(AND($L796='Invoice Builder'!$C$5,$P796='Invoice Builder'!$C$6,N($N796)&gt;0),COUNTIFS($L$5:$L796,'Invoice Builder'!$C$5,$P$5:$P796,'Invoice Builder'!$C$6,$N$5:$N796,"&gt;0"),""))</f>
        <v/>
      </c>
      <c r="R796" s="27" t="str">
        <f aca="false">IF($A796="","",IF($A796&gt;=DATE(YEAR($A796),4,6),YEAR($A796)&amp;"/"&amp;RIGHT(YEAR($A796)+1,2),YEAR($A796)-1&amp;"/"&amp;RIGHT(YEAR($A796),2)))</f>
        <v/>
      </c>
    </row>
    <row r="797" customFormat="false" ht="15" hidden="false" customHeight="false" outlineLevel="0" collapsed="false">
      <c r="A797" s="22"/>
      <c r="B797" s="23"/>
      <c r="C797" s="23"/>
      <c r="D797" s="23"/>
      <c r="E797" s="32"/>
      <c r="F797" s="25"/>
      <c r="G797" s="23"/>
      <c r="H797" s="23"/>
      <c r="I797" s="23"/>
      <c r="J797" s="23"/>
      <c r="K797" s="23"/>
      <c r="L797" s="27" t="str">
        <f aca="false">IF($B797="","",IFERROR(INDEX(Properties!$D$5:$D$104,MATCH($B797,Properties!$A$5:$A$104,0)),"-"))</f>
        <v/>
      </c>
      <c r="M797" s="28" t="str">
        <f aca="false">IF(OR($A797="",N($E797)=0),"",$F797/$E797)</f>
        <v/>
      </c>
      <c r="N797" s="28" t="str">
        <f aca="false">IF($A797="","",IF($H797="Y",$F797*(1+Settings!$B$3),0))</f>
        <v/>
      </c>
      <c r="O797" s="27" t="str">
        <f aca="false">IF($A797="","",IF(AND($H797="Y",$G797&lt;&gt;"Restock",N($M797)&gt;Settings!$B$4,$I797&lt;&gt;"Y"),"Get host OK",IF(AND($H797="Y",$F797&gt;Settings!$B$5,$I797&lt;&gt;"Y"),"Host should pay upfront",IF($J797&lt;&gt;"Y","Save receipt","OK"))))</f>
        <v/>
      </c>
      <c r="P797" s="29" t="str">
        <f aca="false">IF($A797="","",DATE(YEAR($A797),MONTH($A797),1))</f>
        <v/>
      </c>
      <c r="Q797" s="31" t="str">
        <f aca="false">IF($A797="","",IF(AND($L797='Invoice Builder'!$C$5,$P797='Invoice Builder'!$C$6,N($N797)&gt;0),COUNTIFS($L$5:$L797,'Invoice Builder'!$C$5,$P$5:$P797,'Invoice Builder'!$C$6,$N$5:$N797,"&gt;0"),""))</f>
        <v/>
      </c>
      <c r="R797" s="27" t="str">
        <f aca="false">IF($A797="","",IF($A797&gt;=DATE(YEAR($A797),4,6),YEAR($A797)&amp;"/"&amp;RIGHT(YEAR($A797)+1,2),YEAR($A797)-1&amp;"/"&amp;RIGHT(YEAR($A797),2)))</f>
        <v/>
      </c>
    </row>
    <row r="798" customFormat="false" ht="15" hidden="false" customHeight="false" outlineLevel="0" collapsed="false">
      <c r="A798" s="22"/>
      <c r="B798" s="23"/>
      <c r="C798" s="23"/>
      <c r="D798" s="23"/>
      <c r="E798" s="32"/>
      <c r="F798" s="25"/>
      <c r="G798" s="23"/>
      <c r="H798" s="23"/>
      <c r="I798" s="23"/>
      <c r="J798" s="23"/>
      <c r="K798" s="23"/>
      <c r="L798" s="27" t="str">
        <f aca="false">IF($B798="","",IFERROR(INDEX(Properties!$D$5:$D$104,MATCH($B798,Properties!$A$5:$A$104,0)),"-"))</f>
        <v/>
      </c>
      <c r="M798" s="28" t="str">
        <f aca="false">IF(OR($A798="",N($E798)=0),"",$F798/$E798)</f>
        <v/>
      </c>
      <c r="N798" s="28" t="str">
        <f aca="false">IF($A798="","",IF($H798="Y",$F798*(1+Settings!$B$3),0))</f>
        <v/>
      </c>
      <c r="O798" s="27" t="str">
        <f aca="false">IF($A798="","",IF(AND($H798="Y",$G798&lt;&gt;"Restock",N($M798)&gt;Settings!$B$4,$I798&lt;&gt;"Y"),"Get host OK",IF(AND($H798="Y",$F798&gt;Settings!$B$5,$I798&lt;&gt;"Y"),"Host should pay upfront",IF($J798&lt;&gt;"Y","Save receipt","OK"))))</f>
        <v/>
      </c>
      <c r="P798" s="29" t="str">
        <f aca="false">IF($A798="","",DATE(YEAR($A798),MONTH($A798),1))</f>
        <v/>
      </c>
      <c r="Q798" s="31" t="str">
        <f aca="false">IF($A798="","",IF(AND($L798='Invoice Builder'!$C$5,$P798='Invoice Builder'!$C$6,N($N798)&gt;0),COUNTIFS($L$5:$L798,'Invoice Builder'!$C$5,$P$5:$P798,'Invoice Builder'!$C$6,$N$5:$N798,"&gt;0"),""))</f>
        <v/>
      </c>
      <c r="R798" s="27" t="str">
        <f aca="false">IF($A798="","",IF($A798&gt;=DATE(YEAR($A798),4,6),YEAR($A798)&amp;"/"&amp;RIGHT(YEAR($A798)+1,2),YEAR($A798)-1&amp;"/"&amp;RIGHT(YEAR($A798),2)))</f>
        <v/>
      </c>
    </row>
    <row r="799" customFormat="false" ht="15" hidden="false" customHeight="false" outlineLevel="0" collapsed="false">
      <c r="A799" s="22"/>
      <c r="B799" s="23"/>
      <c r="C799" s="23"/>
      <c r="D799" s="23"/>
      <c r="E799" s="32"/>
      <c r="F799" s="25"/>
      <c r="G799" s="23"/>
      <c r="H799" s="23"/>
      <c r="I799" s="23"/>
      <c r="J799" s="23"/>
      <c r="K799" s="23"/>
      <c r="L799" s="27" t="str">
        <f aca="false">IF($B799="","",IFERROR(INDEX(Properties!$D$5:$D$104,MATCH($B799,Properties!$A$5:$A$104,0)),"-"))</f>
        <v/>
      </c>
      <c r="M799" s="28" t="str">
        <f aca="false">IF(OR($A799="",N($E799)=0),"",$F799/$E799)</f>
        <v/>
      </c>
      <c r="N799" s="28" t="str">
        <f aca="false">IF($A799="","",IF($H799="Y",$F799*(1+Settings!$B$3),0))</f>
        <v/>
      </c>
      <c r="O799" s="27" t="str">
        <f aca="false">IF($A799="","",IF(AND($H799="Y",$G799&lt;&gt;"Restock",N($M799)&gt;Settings!$B$4,$I799&lt;&gt;"Y"),"Get host OK",IF(AND($H799="Y",$F799&gt;Settings!$B$5,$I799&lt;&gt;"Y"),"Host should pay upfront",IF($J799&lt;&gt;"Y","Save receipt","OK"))))</f>
        <v/>
      </c>
      <c r="P799" s="29" t="str">
        <f aca="false">IF($A799="","",DATE(YEAR($A799),MONTH($A799),1))</f>
        <v/>
      </c>
      <c r="Q799" s="31" t="str">
        <f aca="false">IF($A799="","",IF(AND($L799='Invoice Builder'!$C$5,$P799='Invoice Builder'!$C$6,N($N799)&gt;0),COUNTIFS($L$5:$L799,'Invoice Builder'!$C$5,$P$5:$P799,'Invoice Builder'!$C$6,$N$5:$N799,"&gt;0"),""))</f>
        <v/>
      </c>
      <c r="R799" s="27" t="str">
        <f aca="false">IF($A799="","",IF($A799&gt;=DATE(YEAR($A799),4,6),YEAR($A799)&amp;"/"&amp;RIGHT(YEAR($A799)+1,2),YEAR($A799)-1&amp;"/"&amp;RIGHT(YEAR($A799),2)))</f>
        <v/>
      </c>
    </row>
    <row r="800" customFormat="false" ht="15" hidden="false" customHeight="false" outlineLevel="0" collapsed="false">
      <c r="A800" s="22"/>
      <c r="B800" s="23"/>
      <c r="C800" s="23"/>
      <c r="D800" s="23"/>
      <c r="E800" s="32"/>
      <c r="F800" s="25"/>
      <c r="G800" s="23"/>
      <c r="H800" s="23"/>
      <c r="I800" s="23"/>
      <c r="J800" s="23"/>
      <c r="K800" s="23"/>
      <c r="L800" s="27" t="str">
        <f aca="false">IF($B800="","",IFERROR(INDEX(Properties!$D$5:$D$104,MATCH($B800,Properties!$A$5:$A$104,0)),"-"))</f>
        <v/>
      </c>
      <c r="M800" s="28" t="str">
        <f aca="false">IF(OR($A800="",N($E800)=0),"",$F800/$E800)</f>
        <v/>
      </c>
      <c r="N800" s="28" t="str">
        <f aca="false">IF($A800="","",IF($H800="Y",$F800*(1+Settings!$B$3),0))</f>
        <v/>
      </c>
      <c r="O800" s="27" t="str">
        <f aca="false">IF($A800="","",IF(AND($H800="Y",$G800&lt;&gt;"Restock",N($M800)&gt;Settings!$B$4,$I800&lt;&gt;"Y"),"Get host OK",IF(AND($H800="Y",$F800&gt;Settings!$B$5,$I800&lt;&gt;"Y"),"Host should pay upfront",IF($J800&lt;&gt;"Y","Save receipt","OK"))))</f>
        <v/>
      </c>
      <c r="P800" s="29" t="str">
        <f aca="false">IF($A800="","",DATE(YEAR($A800),MONTH($A800),1))</f>
        <v/>
      </c>
      <c r="Q800" s="31" t="str">
        <f aca="false">IF($A800="","",IF(AND($L800='Invoice Builder'!$C$5,$P800='Invoice Builder'!$C$6,N($N800)&gt;0),COUNTIFS($L$5:$L800,'Invoice Builder'!$C$5,$P$5:$P800,'Invoice Builder'!$C$6,$N$5:$N800,"&gt;0"),""))</f>
        <v/>
      </c>
      <c r="R800" s="27" t="str">
        <f aca="false">IF($A800="","",IF($A800&gt;=DATE(YEAR($A800),4,6),YEAR($A800)&amp;"/"&amp;RIGHT(YEAR($A800)+1,2),YEAR($A800)-1&amp;"/"&amp;RIGHT(YEAR($A800),2)))</f>
        <v/>
      </c>
    </row>
    <row r="801" customFormat="false" ht="15" hidden="false" customHeight="false" outlineLevel="0" collapsed="false">
      <c r="A801" s="22"/>
      <c r="B801" s="23"/>
      <c r="C801" s="23"/>
      <c r="D801" s="23"/>
      <c r="E801" s="32"/>
      <c r="F801" s="25"/>
      <c r="G801" s="23"/>
      <c r="H801" s="23"/>
      <c r="I801" s="23"/>
      <c r="J801" s="23"/>
      <c r="K801" s="23"/>
      <c r="L801" s="27" t="str">
        <f aca="false">IF($B801="","",IFERROR(INDEX(Properties!$D$5:$D$104,MATCH($B801,Properties!$A$5:$A$104,0)),"-"))</f>
        <v/>
      </c>
      <c r="M801" s="28" t="str">
        <f aca="false">IF(OR($A801="",N($E801)=0),"",$F801/$E801)</f>
        <v/>
      </c>
      <c r="N801" s="28" t="str">
        <f aca="false">IF($A801="","",IF($H801="Y",$F801*(1+Settings!$B$3),0))</f>
        <v/>
      </c>
      <c r="O801" s="27" t="str">
        <f aca="false">IF($A801="","",IF(AND($H801="Y",$G801&lt;&gt;"Restock",N($M801)&gt;Settings!$B$4,$I801&lt;&gt;"Y"),"Get host OK",IF(AND($H801="Y",$F801&gt;Settings!$B$5,$I801&lt;&gt;"Y"),"Host should pay upfront",IF($J801&lt;&gt;"Y","Save receipt","OK"))))</f>
        <v/>
      </c>
      <c r="P801" s="29" t="str">
        <f aca="false">IF($A801="","",DATE(YEAR($A801),MONTH($A801),1))</f>
        <v/>
      </c>
      <c r="Q801" s="31" t="str">
        <f aca="false">IF($A801="","",IF(AND($L801='Invoice Builder'!$C$5,$P801='Invoice Builder'!$C$6,N($N801)&gt;0),COUNTIFS($L$5:$L801,'Invoice Builder'!$C$5,$P$5:$P801,'Invoice Builder'!$C$6,$N$5:$N801,"&gt;0"),""))</f>
        <v/>
      </c>
      <c r="R801" s="27" t="str">
        <f aca="false">IF($A801="","",IF($A801&gt;=DATE(YEAR($A801),4,6),YEAR($A801)&amp;"/"&amp;RIGHT(YEAR($A801)+1,2),YEAR($A801)-1&amp;"/"&amp;RIGHT(YEAR($A801),2)))</f>
        <v/>
      </c>
    </row>
    <row r="802" customFormat="false" ht="15" hidden="false" customHeight="false" outlineLevel="0" collapsed="false">
      <c r="A802" s="22"/>
      <c r="B802" s="23"/>
      <c r="C802" s="23"/>
      <c r="D802" s="23"/>
      <c r="E802" s="32"/>
      <c r="F802" s="25"/>
      <c r="G802" s="23"/>
      <c r="H802" s="23"/>
      <c r="I802" s="23"/>
      <c r="J802" s="23"/>
      <c r="K802" s="23"/>
      <c r="L802" s="27" t="str">
        <f aca="false">IF($B802="","",IFERROR(INDEX(Properties!$D$5:$D$104,MATCH($B802,Properties!$A$5:$A$104,0)),"-"))</f>
        <v/>
      </c>
      <c r="M802" s="28" t="str">
        <f aca="false">IF(OR($A802="",N($E802)=0),"",$F802/$E802)</f>
        <v/>
      </c>
      <c r="N802" s="28" t="str">
        <f aca="false">IF($A802="","",IF($H802="Y",$F802*(1+Settings!$B$3),0))</f>
        <v/>
      </c>
      <c r="O802" s="27" t="str">
        <f aca="false">IF($A802="","",IF(AND($H802="Y",$G802&lt;&gt;"Restock",N($M802)&gt;Settings!$B$4,$I802&lt;&gt;"Y"),"Get host OK",IF(AND($H802="Y",$F802&gt;Settings!$B$5,$I802&lt;&gt;"Y"),"Host should pay upfront",IF($J802&lt;&gt;"Y","Save receipt","OK"))))</f>
        <v/>
      </c>
      <c r="P802" s="29" t="str">
        <f aca="false">IF($A802="","",DATE(YEAR($A802),MONTH($A802),1))</f>
        <v/>
      </c>
      <c r="Q802" s="31" t="str">
        <f aca="false">IF($A802="","",IF(AND($L802='Invoice Builder'!$C$5,$P802='Invoice Builder'!$C$6,N($N802)&gt;0),COUNTIFS($L$5:$L802,'Invoice Builder'!$C$5,$P$5:$P802,'Invoice Builder'!$C$6,$N$5:$N802,"&gt;0"),""))</f>
        <v/>
      </c>
      <c r="R802" s="27" t="str">
        <f aca="false">IF($A802="","",IF($A802&gt;=DATE(YEAR($A802),4,6),YEAR($A802)&amp;"/"&amp;RIGHT(YEAR($A802)+1,2),YEAR($A802)-1&amp;"/"&amp;RIGHT(YEAR($A802),2)))</f>
        <v/>
      </c>
    </row>
    <row r="803" customFormat="false" ht="15" hidden="false" customHeight="false" outlineLevel="0" collapsed="false">
      <c r="A803" s="22"/>
      <c r="B803" s="23"/>
      <c r="C803" s="23"/>
      <c r="D803" s="23"/>
      <c r="E803" s="32"/>
      <c r="F803" s="25"/>
      <c r="G803" s="23"/>
      <c r="H803" s="23"/>
      <c r="I803" s="23"/>
      <c r="J803" s="23"/>
      <c r="K803" s="23"/>
      <c r="L803" s="27" t="str">
        <f aca="false">IF($B803="","",IFERROR(INDEX(Properties!$D$5:$D$104,MATCH($B803,Properties!$A$5:$A$104,0)),"-"))</f>
        <v/>
      </c>
      <c r="M803" s="28" t="str">
        <f aca="false">IF(OR($A803="",N($E803)=0),"",$F803/$E803)</f>
        <v/>
      </c>
      <c r="N803" s="28" t="str">
        <f aca="false">IF($A803="","",IF($H803="Y",$F803*(1+Settings!$B$3),0))</f>
        <v/>
      </c>
      <c r="O803" s="27" t="str">
        <f aca="false">IF($A803="","",IF(AND($H803="Y",$G803&lt;&gt;"Restock",N($M803)&gt;Settings!$B$4,$I803&lt;&gt;"Y"),"Get host OK",IF(AND($H803="Y",$F803&gt;Settings!$B$5,$I803&lt;&gt;"Y"),"Host should pay upfront",IF($J803&lt;&gt;"Y","Save receipt","OK"))))</f>
        <v/>
      </c>
      <c r="P803" s="29" t="str">
        <f aca="false">IF($A803="","",DATE(YEAR($A803),MONTH($A803),1))</f>
        <v/>
      </c>
      <c r="Q803" s="31" t="str">
        <f aca="false">IF($A803="","",IF(AND($L803='Invoice Builder'!$C$5,$P803='Invoice Builder'!$C$6,N($N803)&gt;0),COUNTIFS($L$5:$L803,'Invoice Builder'!$C$5,$P$5:$P803,'Invoice Builder'!$C$6,$N$5:$N803,"&gt;0"),""))</f>
        <v/>
      </c>
      <c r="R803" s="27" t="str">
        <f aca="false">IF($A803="","",IF($A803&gt;=DATE(YEAR($A803),4,6),YEAR($A803)&amp;"/"&amp;RIGHT(YEAR($A803)+1,2),YEAR($A803)-1&amp;"/"&amp;RIGHT(YEAR($A803),2)))</f>
        <v/>
      </c>
    </row>
    <row r="804" customFormat="false" ht="15" hidden="false" customHeight="false" outlineLevel="0" collapsed="false">
      <c r="A804" s="22"/>
      <c r="B804" s="23"/>
      <c r="C804" s="23"/>
      <c r="D804" s="23"/>
      <c r="E804" s="32"/>
      <c r="F804" s="25"/>
      <c r="G804" s="23"/>
      <c r="H804" s="23"/>
      <c r="I804" s="23"/>
      <c r="J804" s="23"/>
      <c r="K804" s="23"/>
      <c r="L804" s="27" t="str">
        <f aca="false">IF($B804="","",IFERROR(INDEX(Properties!$D$5:$D$104,MATCH($B804,Properties!$A$5:$A$104,0)),"-"))</f>
        <v/>
      </c>
      <c r="M804" s="28" t="str">
        <f aca="false">IF(OR($A804="",N($E804)=0),"",$F804/$E804)</f>
        <v/>
      </c>
      <c r="N804" s="28" t="str">
        <f aca="false">IF($A804="","",IF($H804="Y",$F804*(1+Settings!$B$3),0))</f>
        <v/>
      </c>
      <c r="O804" s="27" t="str">
        <f aca="false">IF($A804="","",IF(AND($H804="Y",$G804&lt;&gt;"Restock",N($M804)&gt;Settings!$B$4,$I804&lt;&gt;"Y"),"Get host OK",IF(AND($H804="Y",$F804&gt;Settings!$B$5,$I804&lt;&gt;"Y"),"Host should pay upfront",IF($J804&lt;&gt;"Y","Save receipt","OK"))))</f>
        <v/>
      </c>
      <c r="P804" s="29" t="str">
        <f aca="false">IF($A804="","",DATE(YEAR($A804),MONTH($A804),1))</f>
        <v/>
      </c>
      <c r="Q804" s="31" t="str">
        <f aca="false">IF($A804="","",IF(AND($L804='Invoice Builder'!$C$5,$P804='Invoice Builder'!$C$6,N($N804)&gt;0),COUNTIFS($L$5:$L804,'Invoice Builder'!$C$5,$P$5:$P804,'Invoice Builder'!$C$6,$N$5:$N804,"&gt;0"),""))</f>
        <v/>
      </c>
      <c r="R804" s="27" t="str">
        <f aca="false">IF($A804="","",IF($A804&gt;=DATE(YEAR($A804),4,6),YEAR($A804)&amp;"/"&amp;RIGHT(YEAR($A804)+1,2),YEAR($A804)-1&amp;"/"&amp;RIGHT(YEAR($A804),2)))</f>
        <v/>
      </c>
    </row>
    <row r="805" customFormat="false" ht="15" hidden="false" customHeight="false" outlineLevel="0" collapsed="false">
      <c r="A805" s="22"/>
      <c r="B805" s="23"/>
      <c r="C805" s="23"/>
      <c r="D805" s="23"/>
      <c r="E805" s="32"/>
      <c r="F805" s="25"/>
      <c r="G805" s="23"/>
      <c r="H805" s="23"/>
      <c r="I805" s="23"/>
      <c r="J805" s="23"/>
      <c r="K805" s="23"/>
      <c r="L805" s="27" t="str">
        <f aca="false">IF($B805="","",IFERROR(INDEX(Properties!$D$5:$D$104,MATCH($B805,Properties!$A$5:$A$104,0)),"-"))</f>
        <v/>
      </c>
      <c r="M805" s="28" t="str">
        <f aca="false">IF(OR($A805="",N($E805)=0),"",$F805/$E805)</f>
        <v/>
      </c>
      <c r="N805" s="28" t="str">
        <f aca="false">IF($A805="","",IF($H805="Y",$F805*(1+Settings!$B$3),0))</f>
        <v/>
      </c>
      <c r="O805" s="27" t="str">
        <f aca="false">IF($A805="","",IF(AND($H805="Y",$G805&lt;&gt;"Restock",N($M805)&gt;Settings!$B$4,$I805&lt;&gt;"Y"),"Get host OK",IF(AND($H805="Y",$F805&gt;Settings!$B$5,$I805&lt;&gt;"Y"),"Host should pay upfront",IF($J805&lt;&gt;"Y","Save receipt","OK"))))</f>
        <v/>
      </c>
      <c r="P805" s="29" t="str">
        <f aca="false">IF($A805="","",DATE(YEAR($A805),MONTH($A805),1))</f>
        <v/>
      </c>
      <c r="Q805" s="31" t="str">
        <f aca="false">IF($A805="","",IF(AND($L805='Invoice Builder'!$C$5,$P805='Invoice Builder'!$C$6,N($N805)&gt;0),COUNTIFS($L$5:$L805,'Invoice Builder'!$C$5,$P$5:$P805,'Invoice Builder'!$C$6,$N$5:$N805,"&gt;0"),""))</f>
        <v/>
      </c>
      <c r="R805" s="27" t="str">
        <f aca="false">IF($A805="","",IF($A805&gt;=DATE(YEAR($A805),4,6),YEAR($A805)&amp;"/"&amp;RIGHT(YEAR($A805)+1,2),YEAR($A805)-1&amp;"/"&amp;RIGHT(YEAR($A805),2)))</f>
        <v/>
      </c>
    </row>
    <row r="806" customFormat="false" ht="15" hidden="false" customHeight="false" outlineLevel="0" collapsed="false">
      <c r="A806" s="22"/>
      <c r="B806" s="23"/>
      <c r="C806" s="23"/>
      <c r="D806" s="23"/>
      <c r="E806" s="32"/>
      <c r="F806" s="25"/>
      <c r="G806" s="23"/>
      <c r="H806" s="23"/>
      <c r="I806" s="23"/>
      <c r="J806" s="23"/>
      <c r="K806" s="23"/>
      <c r="L806" s="27" t="str">
        <f aca="false">IF($B806="","",IFERROR(INDEX(Properties!$D$5:$D$104,MATCH($B806,Properties!$A$5:$A$104,0)),"-"))</f>
        <v/>
      </c>
      <c r="M806" s="28" t="str">
        <f aca="false">IF(OR($A806="",N($E806)=0),"",$F806/$E806)</f>
        <v/>
      </c>
      <c r="N806" s="28" t="str">
        <f aca="false">IF($A806="","",IF($H806="Y",$F806*(1+Settings!$B$3),0))</f>
        <v/>
      </c>
      <c r="O806" s="27" t="str">
        <f aca="false">IF($A806="","",IF(AND($H806="Y",$G806&lt;&gt;"Restock",N($M806)&gt;Settings!$B$4,$I806&lt;&gt;"Y"),"Get host OK",IF(AND($H806="Y",$F806&gt;Settings!$B$5,$I806&lt;&gt;"Y"),"Host should pay upfront",IF($J806&lt;&gt;"Y","Save receipt","OK"))))</f>
        <v/>
      </c>
      <c r="P806" s="29" t="str">
        <f aca="false">IF($A806="","",DATE(YEAR($A806),MONTH($A806),1))</f>
        <v/>
      </c>
      <c r="Q806" s="31" t="str">
        <f aca="false">IF($A806="","",IF(AND($L806='Invoice Builder'!$C$5,$P806='Invoice Builder'!$C$6,N($N806)&gt;0),COUNTIFS($L$5:$L806,'Invoice Builder'!$C$5,$P$5:$P806,'Invoice Builder'!$C$6,$N$5:$N806,"&gt;0"),""))</f>
        <v/>
      </c>
      <c r="R806" s="27" t="str">
        <f aca="false">IF($A806="","",IF($A806&gt;=DATE(YEAR($A806),4,6),YEAR($A806)&amp;"/"&amp;RIGHT(YEAR($A806)+1,2),YEAR($A806)-1&amp;"/"&amp;RIGHT(YEAR($A806),2)))</f>
        <v/>
      </c>
    </row>
    <row r="807" customFormat="false" ht="15" hidden="false" customHeight="false" outlineLevel="0" collapsed="false">
      <c r="A807" s="22"/>
      <c r="B807" s="23"/>
      <c r="C807" s="23"/>
      <c r="D807" s="23"/>
      <c r="E807" s="32"/>
      <c r="F807" s="25"/>
      <c r="G807" s="23"/>
      <c r="H807" s="23"/>
      <c r="I807" s="23"/>
      <c r="J807" s="23"/>
      <c r="K807" s="23"/>
      <c r="L807" s="27" t="str">
        <f aca="false">IF($B807="","",IFERROR(INDEX(Properties!$D$5:$D$104,MATCH($B807,Properties!$A$5:$A$104,0)),"-"))</f>
        <v/>
      </c>
      <c r="M807" s="28" t="str">
        <f aca="false">IF(OR($A807="",N($E807)=0),"",$F807/$E807)</f>
        <v/>
      </c>
      <c r="N807" s="28" t="str">
        <f aca="false">IF($A807="","",IF($H807="Y",$F807*(1+Settings!$B$3),0))</f>
        <v/>
      </c>
      <c r="O807" s="27" t="str">
        <f aca="false">IF($A807="","",IF(AND($H807="Y",$G807&lt;&gt;"Restock",N($M807)&gt;Settings!$B$4,$I807&lt;&gt;"Y"),"Get host OK",IF(AND($H807="Y",$F807&gt;Settings!$B$5,$I807&lt;&gt;"Y"),"Host should pay upfront",IF($J807&lt;&gt;"Y","Save receipt","OK"))))</f>
        <v/>
      </c>
      <c r="P807" s="29" t="str">
        <f aca="false">IF($A807="","",DATE(YEAR($A807),MONTH($A807),1))</f>
        <v/>
      </c>
      <c r="Q807" s="31" t="str">
        <f aca="false">IF($A807="","",IF(AND($L807='Invoice Builder'!$C$5,$P807='Invoice Builder'!$C$6,N($N807)&gt;0),COUNTIFS($L$5:$L807,'Invoice Builder'!$C$5,$P$5:$P807,'Invoice Builder'!$C$6,$N$5:$N807,"&gt;0"),""))</f>
        <v/>
      </c>
      <c r="R807" s="27" t="str">
        <f aca="false">IF($A807="","",IF($A807&gt;=DATE(YEAR($A807),4,6),YEAR($A807)&amp;"/"&amp;RIGHT(YEAR($A807)+1,2),YEAR($A807)-1&amp;"/"&amp;RIGHT(YEAR($A807),2)))</f>
        <v/>
      </c>
    </row>
    <row r="808" customFormat="false" ht="15" hidden="false" customHeight="false" outlineLevel="0" collapsed="false">
      <c r="A808" s="22"/>
      <c r="B808" s="23"/>
      <c r="C808" s="23"/>
      <c r="D808" s="23"/>
      <c r="E808" s="32"/>
      <c r="F808" s="25"/>
      <c r="G808" s="23"/>
      <c r="H808" s="23"/>
      <c r="I808" s="23"/>
      <c r="J808" s="23"/>
      <c r="K808" s="23"/>
      <c r="L808" s="27" t="str">
        <f aca="false">IF($B808="","",IFERROR(INDEX(Properties!$D$5:$D$104,MATCH($B808,Properties!$A$5:$A$104,0)),"-"))</f>
        <v/>
      </c>
      <c r="M808" s="28" t="str">
        <f aca="false">IF(OR($A808="",N($E808)=0),"",$F808/$E808)</f>
        <v/>
      </c>
      <c r="N808" s="28" t="str">
        <f aca="false">IF($A808="","",IF($H808="Y",$F808*(1+Settings!$B$3),0))</f>
        <v/>
      </c>
      <c r="O808" s="27" t="str">
        <f aca="false">IF($A808="","",IF(AND($H808="Y",$G808&lt;&gt;"Restock",N($M808)&gt;Settings!$B$4,$I808&lt;&gt;"Y"),"Get host OK",IF(AND($H808="Y",$F808&gt;Settings!$B$5,$I808&lt;&gt;"Y"),"Host should pay upfront",IF($J808&lt;&gt;"Y","Save receipt","OK"))))</f>
        <v/>
      </c>
      <c r="P808" s="29" t="str">
        <f aca="false">IF($A808="","",DATE(YEAR($A808),MONTH($A808),1))</f>
        <v/>
      </c>
      <c r="Q808" s="31" t="str">
        <f aca="false">IF($A808="","",IF(AND($L808='Invoice Builder'!$C$5,$P808='Invoice Builder'!$C$6,N($N808)&gt;0),COUNTIFS($L$5:$L808,'Invoice Builder'!$C$5,$P$5:$P808,'Invoice Builder'!$C$6,$N$5:$N808,"&gt;0"),""))</f>
        <v/>
      </c>
      <c r="R808" s="27" t="str">
        <f aca="false">IF($A808="","",IF($A808&gt;=DATE(YEAR($A808),4,6),YEAR($A808)&amp;"/"&amp;RIGHT(YEAR($A808)+1,2),YEAR($A808)-1&amp;"/"&amp;RIGHT(YEAR($A808),2)))</f>
        <v/>
      </c>
    </row>
    <row r="809" customFormat="false" ht="15" hidden="false" customHeight="false" outlineLevel="0" collapsed="false">
      <c r="A809" s="22"/>
      <c r="B809" s="23"/>
      <c r="C809" s="23"/>
      <c r="D809" s="23"/>
      <c r="E809" s="32"/>
      <c r="F809" s="25"/>
      <c r="G809" s="23"/>
      <c r="H809" s="23"/>
      <c r="I809" s="23"/>
      <c r="J809" s="23"/>
      <c r="K809" s="23"/>
      <c r="L809" s="27" t="str">
        <f aca="false">IF($B809="","",IFERROR(INDEX(Properties!$D$5:$D$104,MATCH($B809,Properties!$A$5:$A$104,0)),"-"))</f>
        <v/>
      </c>
      <c r="M809" s="28" t="str">
        <f aca="false">IF(OR($A809="",N($E809)=0),"",$F809/$E809)</f>
        <v/>
      </c>
      <c r="N809" s="28" t="str">
        <f aca="false">IF($A809="","",IF($H809="Y",$F809*(1+Settings!$B$3),0))</f>
        <v/>
      </c>
      <c r="O809" s="27" t="str">
        <f aca="false">IF($A809="","",IF(AND($H809="Y",$G809&lt;&gt;"Restock",N($M809)&gt;Settings!$B$4,$I809&lt;&gt;"Y"),"Get host OK",IF(AND($H809="Y",$F809&gt;Settings!$B$5,$I809&lt;&gt;"Y"),"Host should pay upfront",IF($J809&lt;&gt;"Y","Save receipt","OK"))))</f>
        <v/>
      </c>
      <c r="P809" s="29" t="str">
        <f aca="false">IF($A809="","",DATE(YEAR($A809),MONTH($A809),1))</f>
        <v/>
      </c>
      <c r="Q809" s="31" t="str">
        <f aca="false">IF($A809="","",IF(AND($L809='Invoice Builder'!$C$5,$P809='Invoice Builder'!$C$6,N($N809)&gt;0),COUNTIFS($L$5:$L809,'Invoice Builder'!$C$5,$P$5:$P809,'Invoice Builder'!$C$6,$N$5:$N809,"&gt;0"),""))</f>
        <v/>
      </c>
      <c r="R809" s="27" t="str">
        <f aca="false">IF($A809="","",IF($A809&gt;=DATE(YEAR($A809),4,6),YEAR($A809)&amp;"/"&amp;RIGHT(YEAR($A809)+1,2),YEAR($A809)-1&amp;"/"&amp;RIGHT(YEAR($A809),2)))</f>
        <v/>
      </c>
    </row>
    <row r="810" customFormat="false" ht="15" hidden="false" customHeight="false" outlineLevel="0" collapsed="false">
      <c r="A810" s="22"/>
      <c r="B810" s="23"/>
      <c r="C810" s="23"/>
      <c r="D810" s="23"/>
      <c r="E810" s="32"/>
      <c r="F810" s="25"/>
      <c r="G810" s="23"/>
      <c r="H810" s="23"/>
      <c r="I810" s="23"/>
      <c r="J810" s="23"/>
      <c r="K810" s="23"/>
      <c r="L810" s="27" t="str">
        <f aca="false">IF($B810="","",IFERROR(INDEX(Properties!$D$5:$D$104,MATCH($B810,Properties!$A$5:$A$104,0)),"-"))</f>
        <v/>
      </c>
      <c r="M810" s="28" t="str">
        <f aca="false">IF(OR($A810="",N($E810)=0),"",$F810/$E810)</f>
        <v/>
      </c>
      <c r="N810" s="28" t="str">
        <f aca="false">IF($A810="","",IF($H810="Y",$F810*(1+Settings!$B$3),0))</f>
        <v/>
      </c>
      <c r="O810" s="27" t="str">
        <f aca="false">IF($A810="","",IF(AND($H810="Y",$G810&lt;&gt;"Restock",N($M810)&gt;Settings!$B$4,$I810&lt;&gt;"Y"),"Get host OK",IF(AND($H810="Y",$F810&gt;Settings!$B$5,$I810&lt;&gt;"Y"),"Host should pay upfront",IF($J810&lt;&gt;"Y","Save receipt","OK"))))</f>
        <v/>
      </c>
      <c r="P810" s="29" t="str">
        <f aca="false">IF($A810="","",DATE(YEAR($A810),MONTH($A810),1))</f>
        <v/>
      </c>
      <c r="Q810" s="31" t="str">
        <f aca="false">IF($A810="","",IF(AND($L810='Invoice Builder'!$C$5,$P810='Invoice Builder'!$C$6,N($N810)&gt;0),COUNTIFS($L$5:$L810,'Invoice Builder'!$C$5,$P$5:$P810,'Invoice Builder'!$C$6,$N$5:$N810,"&gt;0"),""))</f>
        <v/>
      </c>
      <c r="R810" s="27" t="str">
        <f aca="false">IF($A810="","",IF($A810&gt;=DATE(YEAR($A810),4,6),YEAR($A810)&amp;"/"&amp;RIGHT(YEAR($A810)+1,2),YEAR($A810)-1&amp;"/"&amp;RIGHT(YEAR($A810),2)))</f>
        <v/>
      </c>
    </row>
    <row r="811" customFormat="false" ht="15" hidden="false" customHeight="false" outlineLevel="0" collapsed="false">
      <c r="A811" s="22"/>
      <c r="B811" s="23"/>
      <c r="C811" s="23"/>
      <c r="D811" s="23"/>
      <c r="E811" s="32"/>
      <c r="F811" s="25"/>
      <c r="G811" s="23"/>
      <c r="H811" s="23"/>
      <c r="I811" s="23"/>
      <c r="J811" s="23"/>
      <c r="K811" s="23"/>
      <c r="L811" s="27" t="str">
        <f aca="false">IF($B811="","",IFERROR(INDEX(Properties!$D$5:$D$104,MATCH($B811,Properties!$A$5:$A$104,0)),"-"))</f>
        <v/>
      </c>
      <c r="M811" s="28" t="str">
        <f aca="false">IF(OR($A811="",N($E811)=0),"",$F811/$E811)</f>
        <v/>
      </c>
      <c r="N811" s="28" t="str">
        <f aca="false">IF($A811="","",IF($H811="Y",$F811*(1+Settings!$B$3),0))</f>
        <v/>
      </c>
      <c r="O811" s="27" t="str">
        <f aca="false">IF($A811="","",IF(AND($H811="Y",$G811&lt;&gt;"Restock",N($M811)&gt;Settings!$B$4,$I811&lt;&gt;"Y"),"Get host OK",IF(AND($H811="Y",$F811&gt;Settings!$B$5,$I811&lt;&gt;"Y"),"Host should pay upfront",IF($J811&lt;&gt;"Y","Save receipt","OK"))))</f>
        <v/>
      </c>
      <c r="P811" s="29" t="str">
        <f aca="false">IF($A811="","",DATE(YEAR($A811),MONTH($A811),1))</f>
        <v/>
      </c>
      <c r="Q811" s="31" t="str">
        <f aca="false">IF($A811="","",IF(AND($L811='Invoice Builder'!$C$5,$P811='Invoice Builder'!$C$6,N($N811)&gt;0),COUNTIFS($L$5:$L811,'Invoice Builder'!$C$5,$P$5:$P811,'Invoice Builder'!$C$6,$N$5:$N811,"&gt;0"),""))</f>
        <v/>
      </c>
      <c r="R811" s="27" t="str">
        <f aca="false">IF($A811="","",IF($A811&gt;=DATE(YEAR($A811),4,6),YEAR($A811)&amp;"/"&amp;RIGHT(YEAR($A811)+1,2),YEAR($A811)-1&amp;"/"&amp;RIGHT(YEAR($A811),2)))</f>
        <v/>
      </c>
    </row>
    <row r="812" customFormat="false" ht="15" hidden="false" customHeight="false" outlineLevel="0" collapsed="false">
      <c r="A812" s="22"/>
      <c r="B812" s="23"/>
      <c r="C812" s="23"/>
      <c r="D812" s="23"/>
      <c r="E812" s="32"/>
      <c r="F812" s="25"/>
      <c r="G812" s="23"/>
      <c r="H812" s="23"/>
      <c r="I812" s="23"/>
      <c r="J812" s="23"/>
      <c r="K812" s="23"/>
      <c r="L812" s="27" t="str">
        <f aca="false">IF($B812="","",IFERROR(INDEX(Properties!$D$5:$D$104,MATCH($B812,Properties!$A$5:$A$104,0)),"-"))</f>
        <v/>
      </c>
      <c r="M812" s="28" t="str">
        <f aca="false">IF(OR($A812="",N($E812)=0),"",$F812/$E812)</f>
        <v/>
      </c>
      <c r="N812" s="28" t="str">
        <f aca="false">IF($A812="","",IF($H812="Y",$F812*(1+Settings!$B$3),0))</f>
        <v/>
      </c>
      <c r="O812" s="27" t="str">
        <f aca="false">IF($A812="","",IF(AND($H812="Y",$G812&lt;&gt;"Restock",N($M812)&gt;Settings!$B$4,$I812&lt;&gt;"Y"),"Get host OK",IF(AND($H812="Y",$F812&gt;Settings!$B$5,$I812&lt;&gt;"Y"),"Host should pay upfront",IF($J812&lt;&gt;"Y","Save receipt","OK"))))</f>
        <v/>
      </c>
      <c r="P812" s="29" t="str">
        <f aca="false">IF($A812="","",DATE(YEAR($A812),MONTH($A812),1))</f>
        <v/>
      </c>
      <c r="Q812" s="31" t="str">
        <f aca="false">IF($A812="","",IF(AND($L812='Invoice Builder'!$C$5,$P812='Invoice Builder'!$C$6,N($N812)&gt;0),COUNTIFS($L$5:$L812,'Invoice Builder'!$C$5,$P$5:$P812,'Invoice Builder'!$C$6,$N$5:$N812,"&gt;0"),""))</f>
        <v/>
      </c>
      <c r="R812" s="27" t="str">
        <f aca="false">IF($A812="","",IF($A812&gt;=DATE(YEAR($A812),4,6),YEAR($A812)&amp;"/"&amp;RIGHT(YEAR($A812)+1,2),YEAR($A812)-1&amp;"/"&amp;RIGHT(YEAR($A812),2)))</f>
        <v/>
      </c>
    </row>
    <row r="813" customFormat="false" ht="15" hidden="false" customHeight="false" outlineLevel="0" collapsed="false">
      <c r="A813" s="22"/>
      <c r="B813" s="23"/>
      <c r="C813" s="23"/>
      <c r="D813" s="23"/>
      <c r="E813" s="32"/>
      <c r="F813" s="25"/>
      <c r="G813" s="23"/>
      <c r="H813" s="23"/>
      <c r="I813" s="23"/>
      <c r="J813" s="23"/>
      <c r="K813" s="23"/>
      <c r="L813" s="27" t="str">
        <f aca="false">IF($B813="","",IFERROR(INDEX(Properties!$D$5:$D$104,MATCH($B813,Properties!$A$5:$A$104,0)),"-"))</f>
        <v/>
      </c>
      <c r="M813" s="28" t="str">
        <f aca="false">IF(OR($A813="",N($E813)=0),"",$F813/$E813)</f>
        <v/>
      </c>
      <c r="N813" s="28" t="str">
        <f aca="false">IF($A813="","",IF($H813="Y",$F813*(1+Settings!$B$3),0))</f>
        <v/>
      </c>
      <c r="O813" s="27" t="str">
        <f aca="false">IF($A813="","",IF(AND($H813="Y",$G813&lt;&gt;"Restock",N($M813)&gt;Settings!$B$4,$I813&lt;&gt;"Y"),"Get host OK",IF(AND($H813="Y",$F813&gt;Settings!$B$5,$I813&lt;&gt;"Y"),"Host should pay upfront",IF($J813&lt;&gt;"Y","Save receipt","OK"))))</f>
        <v/>
      </c>
      <c r="P813" s="29" t="str">
        <f aca="false">IF($A813="","",DATE(YEAR($A813),MONTH($A813),1))</f>
        <v/>
      </c>
      <c r="Q813" s="31" t="str">
        <f aca="false">IF($A813="","",IF(AND($L813='Invoice Builder'!$C$5,$P813='Invoice Builder'!$C$6,N($N813)&gt;0),COUNTIFS($L$5:$L813,'Invoice Builder'!$C$5,$P$5:$P813,'Invoice Builder'!$C$6,$N$5:$N813,"&gt;0"),""))</f>
        <v/>
      </c>
      <c r="R813" s="27" t="str">
        <f aca="false">IF($A813="","",IF($A813&gt;=DATE(YEAR($A813),4,6),YEAR($A813)&amp;"/"&amp;RIGHT(YEAR($A813)+1,2),YEAR($A813)-1&amp;"/"&amp;RIGHT(YEAR($A813),2)))</f>
        <v/>
      </c>
    </row>
    <row r="814" customFormat="false" ht="15" hidden="false" customHeight="false" outlineLevel="0" collapsed="false">
      <c r="A814" s="22"/>
      <c r="B814" s="23"/>
      <c r="C814" s="23"/>
      <c r="D814" s="23"/>
      <c r="E814" s="32"/>
      <c r="F814" s="25"/>
      <c r="G814" s="23"/>
      <c r="H814" s="23"/>
      <c r="I814" s="23"/>
      <c r="J814" s="23"/>
      <c r="K814" s="23"/>
      <c r="L814" s="27" t="str">
        <f aca="false">IF($B814="","",IFERROR(INDEX(Properties!$D$5:$D$104,MATCH($B814,Properties!$A$5:$A$104,0)),"-"))</f>
        <v/>
      </c>
      <c r="M814" s="28" t="str">
        <f aca="false">IF(OR($A814="",N($E814)=0),"",$F814/$E814)</f>
        <v/>
      </c>
      <c r="N814" s="28" t="str">
        <f aca="false">IF($A814="","",IF($H814="Y",$F814*(1+Settings!$B$3),0))</f>
        <v/>
      </c>
      <c r="O814" s="27" t="str">
        <f aca="false">IF($A814="","",IF(AND($H814="Y",$G814&lt;&gt;"Restock",N($M814)&gt;Settings!$B$4,$I814&lt;&gt;"Y"),"Get host OK",IF(AND($H814="Y",$F814&gt;Settings!$B$5,$I814&lt;&gt;"Y"),"Host should pay upfront",IF($J814&lt;&gt;"Y","Save receipt","OK"))))</f>
        <v/>
      </c>
      <c r="P814" s="29" t="str">
        <f aca="false">IF($A814="","",DATE(YEAR($A814),MONTH($A814),1))</f>
        <v/>
      </c>
      <c r="Q814" s="31" t="str">
        <f aca="false">IF($A814="","",IF(AND($L814='Invoice Builder'!$C$5,$P814='Invoice Builder'!$C$6,N($N814)&gt;0),COUNTIFS($L$5:$L814,'Invoice Builder'!$C$5,$P$5:$P814,'Invoice Builder'!$C$6,$N$5:$N814,"&gt;0"),""))</f>
        <v/>
      </c>
      <c r="R814" s="27" t="str">
        <f aca="false">IF($A814="","",IF($A814&gt;=DATE(YEAR($A814),4,6),YEAR($A814)&amp;"/"&amp;RIGHT(YEAR($A814)+1,2),YEAR($A814)-1&amp;"/"&amp;RIGHT(YEAR($A814),2)))</f>
        <v/>
      </c>
    </row>
    <row r="815" customFormat="false" ht="15" hidden="false" customHeight="false" outlineLevel="0" collapsed="false">
      <c r="A815" s="22"/>
      <c r="B815" s="23"/>
      <c r="C815" s="23"/>
      <c r="D815" s="23"/>
      <c r="E815" s="32"/>
      <c r="F815" s="25"/>
      <c r="G815" s="23"/>
      <c r="H815" s="23"/>
      <c r="I815" s="23"/>
      <c r="J815" s="23"/>
      <c r="K815" s="23"/>
      <c r="L815" s="27" t="str">
        <f aca="false">IF($B815="","",IFERROR(INDEX(Properties!$D$5:$D$104,MATCH($B815,Properties!$A$5:$A$104,0)),"-"))</f>
        <v/>
      </c>
      <c r="M815" s="28" t="str">
        <f aca="false">IF(OR($A815="",N($E815)=0),"",$F815/$E815)</f>
        <v/>
      </c>
      <c r="N815" s="28" t="str">
        <f aca="false">IF($A815="","",IF($H815="Y",$F815*(1+Settings!$B$3),0))</f>
        <v/>
      </c>
      <c r="O815" s="27" t="str">
        <f aca="false">IF($A815="","",IF(AND($H815="Y",$G815&lt;&gt;"Restock",N($M815)&gt;Settings!$B$4,$I815&lt;&gt;"Y"),"Get host OK",IF(AND($H815="Y",$F815&gt;Settings!$B$5,$I815&lt;&gt;"Y"),"Host should pay upfront",IF($J815&lt;&gt;"Y","Save receipt","OK"))))</f>
        <v/>
      </c>
      <c r="P815" s="29" t="str">
        <f aca="false">IF($A815="","",DATE(YEAR($A815),MONTH($A815),1))</f>
        <v/>
      </c>
      <c r="Q815" s="31" t="str">
        <f aca="false">IF($A815="","",IF(AND($L815='Invoice Builder'!$C$5,$P815='Invoice Builder'!$C$6,N($N815)&gt;0),COUNTIFS($L$5:$L815,'Invoice Builder'!$C$5,$P$5:$P815,'Invoice Builder'!$C$6,$N$5:$N815,"&gt;0"),""))</f>
        <v/>
      </c>
      <c r="R815" s="27" t="str">
        <f aca="false">IF($A815="","",IF($A815&gt;=DATE(YEAR($A815),4,6),YEAR($A815)&amp;"/"&amp;RIGHT(YEAR($A815)+1,2),YEAR($A815)-1&amp;"/"&amp;RIGHT(YEAR($A815),2)))</f>
        <v/>
      </c>
    </row>
    <row r="816" customFormat="false" ht="15" hidden="false" customHeight="false" outlineLevel="0" collapsed="false">
      <c r="A816" s="22"/>
      <c r="B816" s="23"/>
      <c r="C816" s="23"/>
      <c r="D816" s="23"/>
      <c r="E816" s="32"/>
      <c r="F816" s="25"/>
      <c r="G816" s="23"/>
      <c r="H816" s="23"/>
      <c r="I816" s="23"/>
      <c r="J816" s="23"/>
      <c r="K816" s="23"/>
      <c r="L816" s="27" t="str">
        <f aca="false">IF($B816="","",IFERROR(INDEX(Properties!$D$5:$D$104,MATCH($B816,Properties!$A$5:$A$104,0)),"-"))</f>
        <v/>
      </c>
      <c r="M816" s="28" t="str">
        <f aca="false">IF(OR($A816="",N($E816)=0),"",$F816/$E816)</f>
        <v/>
      </c>
      <c r="N816" s="28" t="str">
        <f aca="false">IF($A816="","",IF($H816="Y",$F816*(1+Settings!$B$3),0))</f>
        <v/>
      </c>
      <c r="O816" s="27" t="str">
        <f aca="false">IF($A816="","",IF(AND($H816="Y",$G816&lt;&gt;"Restock",N($M816)&gt;Settings!$B$4,$I816&lt;&gt;"Y"),"Get host OK",IF(AND($H816="Y",$F816&gt;Settings!$B$5,$I816&lt;&gt;"Y"),"Host should pay upfront",IF($J816&lt;&gt;"Y","Save receipt","OK"))))</f>
        <v/>
      </c>
      <c r="P816" s="29" t="str">
        <f aca="false">IF($A816="","",DATE(YEAR($A816),MONTH($A816),1))</f>
        <v/>
      </c>
      <c r="Q816" s="31" t="str">
        <f aca="false">IF($A816="","",IF(AND($L816='Invoice Builder'!$C$5,$P816='Invoice Builder'!$C$6,N($N816)&gt;0),COUNTIFS($L$5:$L816,'Invoice Builder'!$C$5,$P$5:$P816,'Invoice Builder'!$C$6,$N$5:$N816,"&gt;0"),""))</f>
        <v/>
      </c>
      <c r="R816" s="27" t="str">
        <f aca="false">IF($A816="","",IF($A816&gt;=DATE(YEAR($A816),4,6),YEAR($A816)&amp;"/"&amp;RIGHT(YEAR($A816)+1,2),YEAR($A816)-1&amp;"/"&amp;RIGHT(YEAR($A816),2)))</f>
        <v/>
      </c>
    </row>
    <row r="817" customFormat="false" ht="15" hidden="false" customHeight="false" outlineLevel="0" collapsed="false">
      <c r="A817" s="22"/>
      <c r="B817" s="23"/>
      <c r="C817" s="23"/>
      <c r="D817" s="23"/>
      <c r="E817" s="32"/>
      <c r="F817" s="25"/>
      <c r="G817" s="23"/>
      <c r="H817" s="23"/>
      <c r="I817" s="23"/>
      <c r="J817" s="23"/>
      <c r="K817" s="23"/>
      <c r="L817" s="27" t="str">
        <f aca="false">IF($B817="","",IFERROR(INDEX(Properties!$D$5:$D$104,MATCH($B817,Properties!$A$5:$A$104,0)),"-"))</f>
        <v/>
      </c>
      <c r="M817" s="28" t="str">
        <f aca="false">IF(OR($A817="",N($E817)=0),"",$F817/$E817)</f>
        <v/>
      </c>
      <c r="N817" s="28" t="str">
        <f aca="false">IF($A817="","",IF($H817="Y",$F817*(1+Settings!$B$3),0))</f>
        <v/>
      </c>
      <c r="O817" s="27" t="str">
        <f aca="false">IF($A817="","",IF(AND($H817="Y",$G817&lt;&gt;"Restock",N($M817)&gt;Settings!$B$4,$I817&lt;&gt;"Y"),"Get host OK",IF(AND($H817="Y",$F817&gt;Settings!$B$5,$I817&lt;&gt;"Y"),"Host should pay upfront",IF($J817&lt;&gt;"Y","Save receipt","OK"))))</f>
        <v/>
      </c>
      <c r="P817" s="29" t="str">
        <f aca="false">IF($A817="","",DATE(YEAR($A817),MONTH($A817),1))</f>
        <v/>
      </c>
      <c r="Q817" s="31" t="str">
        <f aca="false">IF($A817="","",IF(AND($L817='Invoice Builder'!$C$5,$P817='Invoice Builder'!$C$6,N($N817)&gt;0),COUNTIFS($L$5:$L817,'Invoice Builder'!$C$5,$P$5:$P817,'Invoice Builder'!$C$6,$N$5:$N817,"&gt;0"),""))</f>
        <v/>
      </c>
      <c r="R817" s="27" t="str">
        <f aca="false">IF($A817="","",IF($A817&gt;=DATE(YEAR($A817),4,6),YEAR($A817)&amp;"/"&amp;RIGHT(YEAR($A817)+1,2),YEAR($A817)-1&amp;"/"&amp;RIGHT(YEAR($A817),2)))</f>
        <v/>
      </c>
    </row>
    <row r="818" customFormat="false" ht="15" hidden="false" customHeight="false" outlineLevel="0" collapsed="false">
      <c r="A818" s="22"/>
      <c r="B818" s="23"/>
      <c r="C818" s="23"/>
      <c r="D818" s="23"/>
      <c r="E818" s="32"/>
      <c r="F818" s="25"/>
      <c r="G818" s="23"/>
      <c r="H818" s="23"/>
      <c r="I818" s="23"/>
      <c r="J818" s="23"/>
      <c r="K818" s="23"/>
      <c r="L818" s="27" t="str">
        <f aca="false">IF($B818="","",IFERROR(INDEX(Properties!$D$5:$D$104,MATCH($B818,Properties!$A$5:$A$104,0)),"-"))</f>
        <v/>
      </c>
      <c r="M818" s="28" t="str">
        <f aca="false">IF(OR($A818="",N($E818)=0),"",$F818/$E818)</f>
        <v/>
      </c>
      <c r="N818" s="28" t="str">
        <f aca="false">IF($A818="","",IF($H818="Y",$F818*(1+Settings!$B$3),0))</f>
        <v/>
      </c>
      <c r="O818" s="27" t="str">
        <f aca="false">IF($A818="","",IF(AND($H818="Y",$G818&lt;&gt;"Restock",N($M818)&gt;Settings!$B$4,$I818&lt;&gt;"Y"),"Get host OK",IF(AND($H818="Y",$F818&gt;Settings!$B$5,$I818&lt;&gt;"Y"),"Host should pay upfront",IF($J818&lt;&gt;"Y","Save receipt","OK"))))</f>
        <v/>
      </c>
      <c r="P818" s="29" t="str">
        <f aca="false">IF($A818="","",DATE(YEAR($A818),MONTH($A818),1))</f>
        <v/>
      </c>
      <c r="Q818" s="31" t="str">
        <f aca="false">IF($A818="","",IF(AND($L818='Invoice Builder'!$C$5,$P818='Invoice Builder'!$C$6,N($N818)&gt;0),COUNTIFS($L$5:$L818,'Invoice Builder'!$C$5,$P$5:$P818,'Invoice Builder'!$C$6,$N$5:$N818,"&gt;0"),""))</f>
        <v/>
      </c>
      <c r="R818" s="27" t="str">
        <f aca="false">IF($A818="","",IF($A818&gt;=DATE(YEAR($A818),4,6),YEAR($A818)&amp;"/"&amp;RIGHT(YEAR($A818)+1,2),YEAR($A818)-1&amp;"/"&amp;RIGHT(YEAR($A818),2)))</f>
        <v/>
      </c>
    </row>
    <row r="819" customFormat="false" ht="15" hidden="false" customHeight="false" outlineLevel="0" collapsed="false">
      <c r="A819" s="22"/>
      <c r="B819" s="23"/>
      <c r="C819" s="23"/>
      <c r="D819" s="23"/>
      <c r="E819" s="32"/>
      <c r="F819" s="25"/>
      <c r="G819" s="23"/>
      <c r="H819" s="23"/>
      <c r="I819" s="23"/>
      <c r="J819" s="23"/>
      <c r="K819" s="23"/>
      <c r="L819" s="27" t="str">
        <f aca="false">IF($B819="","",IFERROR(INDEX(Properties!$D$5:$D$104,MATCH($B819,Properties!$A$5:$A$104,0)),"-"))</f>
        <v/>
      </c>
      <c r="M819" s="28" t="str">
        <f aca="false">IF(OR($A819="",N($E819)=0),"",$F819/$E819)</f>
        <v/>
      </c>
      <c r="N819" s="28" t="str">
        <f aca="false">IF($A819="","",IF($H819="Y",$F819*(1+Settings!$B$3),0))</f>
        <v/>
      </c>
      <c r="O819" s="27" t="str">
        <f aca="false">IF($A819="","",IF(AND($H819="Y",$G819&lt;&gt;"Restock",N($M819)&gt;Settings!$B$4,$I819&lt;&gt;"Y"),"Get host OK",IF(AND($H819="Y",$F819&gt;Settings!$B$5,$I819&lt;&gt;"Y"),"Host should pay upfront",IF($J819&lt;&gt;"Y","Save receipt","OK"))))</f>
        <v/>
      </c>
      <c r="P819" s="29" t="str">
        <f aca="false">IF($A819="","",DATE(YEAR($A819),MONTH($A819),1))</f>
        <v/>
      </c>
      <c r="Q819" s="31" t="str">
        <f aca="false">IF($A819="","",IF(AND($L819='Invoice Builder'!$C$5,$P819='Invoice Builder'!$C$6,N($N819)&gt;0),COUNTIFS($L$5:$L819,'Invoice Builder'!$C$5,$P$5:$P819,'Invoice Builder'!$C$6,$N$5:$N819,"&gt;0"),""))</f>
        <v/>
      </c>
      <c r="R819" s="27" t="str">
        <f aca="false">IF($A819="","",IF($A819&gt;=DATE(YEAR($A819),4,6),YEAR($A819)&amp;"/"&amp;RIGHT(YEAR($A819)+1,2),YEAR($A819)-1&amp;"/"&amp;RIGHT(YEAR($A819),2)))</f>
        <v/>
      </c>
    </row>
    <row r="820" customFormat="false" ht="15" hidden="false" customHeight="false" outlineLevel="0" collapsed="false">
      <c r="A820" s="22"/>
      <c r="B820" s="23"/>
      <c r="C820" s="23"/>
      <c r="D820" s="23"/>
      <c r="E820" s="32"/>
      <c r="F820" s="25"/>
      <c r="G820" s="23"/>
      <c r="H820" s="23"/>
      <c r="I820" s="23"/>
      <c r="J820" s="23"/>
      <c r="K820" s="23"/>
      <c r="L820" s="27" t="str">
        <f aca="false">IF($B820="","",IFERROR(INDEX(Properties!$D$5:$D$104,MATCH($B820,Properties!$A$5:$A$104,0)),"-"))</f>
        <v/>
      </c>
      <c r="M820" s="28" t="str">
        <f aca="false">IF(OR($A820="",N($E820)=0),"",$F820/$E820)</f>
        <v/>
      </c>
      <c r="N820" s="28" t="str">
        <f aca="false">IF($A820="","",IF($H820="Y",$F820*(1+Settings!$B$3),0))</f>
        <v/>
      </c>
      <c r="O820" s="27" t="str">
        <f aca="false">IF($A820="","",IF(AND($H820="Y",$G820&lt;&gt;"Restock",N($M820)&gt;Settings!$B$4,$I820&lt;&gt;"Y"),"Get host OK",IF(AND($H820="Y",$F820&gt;Settings!$B$5,$I820&lt;&gt;"Y"),"Host should pay upfront",IF($J820&lt;&gt;"Y","Save receipt","OK"))))</f>
        <v/>
      </c>
      <c r="P820" s="29" t="str">
        <f aca="false">IF($A820="","",DATE(YEAR($A820),MONTH($A820),1))</f>
        <v/>
      </c>
      <c r="Q820" s="31" t="str">
        <f aca="false">IF($A820="","",IF(AND($L820='Invoice Builder'!$C$5,$P820='Invoice Builder'!$C$6,N($N820)&gt;0),COUNTIFS($L$5:$L820,'Invoice Builder'!$C$5,$P$5:$P820,'Invoice Builder'!$C$6,$N$5:$N820,"&gt;0"),""))</f>
        <v/>
      </c>
      <c r="R820" s="27" t="str">
        <f aca="false">IF($A820="","",IF($A820&gt;=DATE(YEAR($A820),4,6),YEAR($A820)&amp;"/"&amp;RIGHT(YEAR($A820)+1,2),YEAR($A820)-1&amp;"/"&amp;RIGHT(YEAR($A820),2)))</f>
        <v/>
      </c>
    </row>
    <row r="821" customFormat="false" ht="15" hidden="false" customHeight="false" outlineLevel="0" collapsed="false">
      <c r="A821" s="22"/>
      <c r="B821" s="23"/>
      <c r="C821" s="23"/>
      <c r="D821" s="23"/>
      <c r="E821" s="32"/>
      <c r="F821" s="25"/>
      <c r="G821" s="23"/>
      <c r="H821" s="23"/>
      <c r="I821" s="23"/>
      <c r="J821" s="23"/>
      <c r="K821" s="23"/>
      <c r="L821" s="27" t="str">
        <f aca="false">IF($B821="","",IFERROR(INDEX(Properties!$D$5:$D$104,MATCH($B821,Properties!$A$5:$A$104,0)),"-"))</f>
        <v/>
      </c>
      <c r="M821" s="28" t="str">
        <f aca="false">IF(OR($A821="",N($E821)=0),"",$F821/$E821)</f>
        <v/>
      </c>
      <c r="N821" s="28" t="str">
        <f aca="false">IF($A821="","",IF($H821="Y",$F821*(1+Settings!$B$3),0))</f>
        <v/>
      </c>
      <c r="O821" s="27" t="str">
        <f aca="false">IF($A821="","",IF(AND($H821="Y",$G821&lt;&gt;"Restock",N($M821)&gt;Settings!$B$4,$I821&lt;&gt;"Y"),"Get host OK",IF(AND($H821="Y",$F821&gt;Settings!$B$5,$I821&lt;&gt;"Y"),"Host should pay upfront",IF($J821&lt;&gt;"Y","Save receipt","OK"))))</f>
        <v/>
      </c>
      <c r="P821" s="29" t="str">
        <f aca="false">IF($A821="","",DATE(YEAR($A821),MONTH($A821),1))</f>
        <v/>
      </c>
      <c r="Q821" s="31" t="str">
        <f aca="false">IF($A821="","",IF(AND($L821='Invoice Builder'!$C$5,$P821='Invoice Builder'!$C$6,N($N821)&gt;0),COUNTIFS($L$5:$L821,'Invoice Builder'!$C$5,$P$5:$P821,'Invoice Builder'!$C$6,$N$5:$N821,"&gt;0"),""))</f>
        <v/>
      </c>
      <c r="R821" s="27" t="str">
        <f aca="false">IF($A821="","",IF($A821&gt;=DATE(YEAR($A821),4,6),YEAR($A821)&amp;"/"&amp;RIGHT(YEAR($A821)+1,2),YEAR($A821)-1&amp;"/"&amp;RIGHT(YEAR($A821),2)))</f>
        <v/>
      </c>
    </row>
    <row r="822" customFormat="false" ht="15" hidden="false" customHeight="false" outlineLevel="0" collapsed="false">
      <c r="A822" s="22"/>
      <c r="B822" s="23"/>
      <c r="C822" s="23"/>
      <c r="D822" s="23"/>
      <c r="E822" s="32"/>
      <c r="F822" s="25"/>
      <c r="G822" s="23"/>
      <c r="H822" s="23"/>
      <c r="I822" s="23"/>
      <c r="J822" s="23"/>
      <c r="K822" s="23"/>
      <c r="L822" s="27" t="str">
        <f aca="false">IF($B822="","",IFERROR(INDEX(Properties!$D$5:$D$104,MATCH($B822,Properties!$A$5:$A$104,0)),"-"))</f>
        <v/>
      </c>
      <c r="M822" s="28" t="str">
        <f aca="false">IF(OR($A822="",N($E822)=0),"",$F822/$E822)</f>
        <v/>
      </c>
      <c r="N822" s="28" t="str">
        <f aca="false">IF($A822="","",IF($H822="Y",$F822*(1+Settings!$B$3),0))</f>
        <v/>
      </c>
      <c r="O822" s="27" t="str">
        <f aca="false">IF($A822="","",IF(AND($H822="Y",$G822&lt;&gt;"Restock",N($M822)&gt;Settings!$B$4,$I822&lt;&gt;"Y"),"Get host OK",IF(AND($H822="Y",$F822&gt;Settings!$B$5,$I822&lt;&gt;"Y"),"Host should pay upfront",IF($J822&lt;&gt;"Y","Save receipt","OK"))))</f>
        <v/>
      </c>
      <c r="P822" s="29" t="str">
        <f aca="false">IF($A822="","",DATE(YEAR($A822),MONTH($A822),1))</f>
        <v/>
      </c>
      <c r="Q822" s="31" t="str">
        <f aca="false">IF($A822="","",IF(AND($L822='Invoice Builder'!$C$5,$P822='Invoice Builder'!$C$6,N($N822)&gt;0),COUNTIFS($L$5:$L822,'Invoice Builder'!$C$5,$P$5:$P822,'Invoice Builder'!$C$6,$N$5:$N822,"&gt;0"),""))</f>
        <v/>
      </c>
      <c r="R822" s="27" t="str">
        <f aca="false">IF($A822="","",IF($A822&gt;=DATE(YEAR($A822),4,6),YEAR($A822)&amp;"/"&amp;RIGHT(YEAR($A822)+1,2),YEAR($A822)-1&amp;"/"&amp;RIGHT(YEAR($A822),2)))</f>
        <v/>
      </c>
    </row>
    <row r="823" customFormat="false" ht="15" hidden="false" customHeight="false" outlineLevel="0" collapsed="false">
      <c r="A823" s="22"/>
      <c r="B823" s="23"/>
      <c r="C823" s="23"/>
      <c r="D823" s="23"/>
      <c r="E823" s="32"/>
      <c r="F823" s="25"/>
      <c r="G823" s="23"/>
      <c r="H823" s="23"/>
      <c r="I823" s="23"/>
      <c r="J823" s="23"/>
      <c r="K823" s="23"/>
      <c r="L823" s="27" t="str">
        <f aca="false">IF($B823="","",IFERROR(INDEX(Properties!$D$5:$D$104,MATCH($B823,Properties!$A$5:$A$104,0)),"-"))</f>
        <v/>
      </c>
      <c r="M823" s="28" t="str">
        <f aca="false">IF(OR($A823="",N($E823)=0),"",$F823/$E823)</f>
        <v/>
      </c>
      <c r="N823" s="28" t="str">
        <f aca="false">IF($A823="","",IF($H823="Y",$F823*(1+Settings!$B$3),0))</f>
        <v/>
      </c>
      <c r="O823" s="27" t="str">
        <f aca="false">IF($A823="","",IF(AND($H823="Y",$G823&lt;&gt;"Restock",N($M823)&gt;Settings!$B$4,$I823&lt;&gt;"Y"),"Get host OK",IF(AND($H823="Y",$F823&gt;Settings!$B$5,$I823&lt;&gt;"Y"),"Host should pay upfront",IF($J823&lt;&gt;"Y","Save receipt","OK"))))</f>
        <v/>
      </c>
      <c r="P823" s="29" t="str">
        <f aca="false">IF($A823="","",DATE(YEAR($A823),MONTH($A823),1))</f>
        <v/>
      </c>
      <c r="Q823" s="31" t="str">
        <f aca="false">IF($A823="","",IF(AND($L823='Invoice Builder'!$C$5,$P823='Invoice Builder'!$C$6,N($N823)&gt;0),COUNTIFS($L$5:$L823,'Invoice Builder'!$C$5,$P$5:$P823,'Invoice Builder'!$C$6,$N$5:$N823,"&gt;0"),""))</f>
        <v/>
      </c>
      <c r="R823" s="27" t="str">
        <f aca="false">IF($A823="","",IF($A823&gt;=DATE(YEAR($A823),4,6),YEAR($A823)&amp;"/"&amp;RIGHT(YEAR($A823)+1,2),YEAR($A823)-1&amp;"/"&amp;RIGHT(YEAR($A823),2)))</f>
        <v/>
      </c>
    </row>
    <row r="824" customFormat="false" ht="15" hidden="false" customHeight="false" outlineLevel="0" collapsed="false">
      <c r="A824" s="22"/>
      <c r="B824" s="23"/>
      <c r="C824" s="23"/>
      <c r="D824" s="23"/>
      <c r="E824" s="32"/>
      <c r="F824" s="25"/>
      <c r="G824" s="23"/>
      <c r="H824" s="23"/>
      <c r="I824" s="23"/>
      <c r="J824" s="23"/>
      <c r="K824" s="23"/>
      <c r="L824" s="27" t="str">
        <f aca="false">IF($B824="","",IFERROR(INDEX(Properties!$D$5:$D$104,MATCH($B824,Properties!$A$5:$A$104,0)),"-"))</f>
        <v/>
      </c>
      <c r="M824" s="28" t="str">
        <f aca="false">IF(OR($A824="",N($E824)=0),"",$F824/$E824)</f>
        <v/>
      </c>
      <c r="N824" s="28" t="str">
        <f aca="false">IF($A824="","",IF($H824="Y",$F824*(1+Settings!$B$3),0))</f>
        <v/>
      </c>
      <c r="O824" s="27" t="str">
        <f aca="false">IF($A824="","",IF(AND($H824="Y",$G824&lt;&gt;"Restock",N($M824)&gt;Settings!$B$4,$I824&lt;&gt;"Y"),"Get host OK",IF(AND($H824="Y",$F824&gt;Settings!$B$5,$I824&lt;&gt;"Y"),"Host should pay upfront",IF($J824&lt;&gt;"Y","Save receipt","OK"))))</f>
        <v/>
      </c>
      <c r="P824" s="29" t="str">
        <f aca="false">IF($A824="","",DATE(YEAR($A824),MONTH($A824),1))</f>
        <v/>
      </c>
      <c r="Q824" s="31" t="str">
        <f aca="false">IF($A824="","",IF(AND($L824='Invoice Builder'!$C$5,$P824='Invoice Builder'!$C$6,N($N824)&gt;0),COUNTIFS($L$5:$L824,'Invoice Builder'!$C$5,$P$5:$P824,'Invoice Builder'!$C$6,$N$5:$N824,"&gt;0"),""))</f>
        <v/>
      </c>
      <c r="R824" s="27" t="str">
        <f aca="false">IF($A824="","",IF($A824&gt;=DATE(YEAR($A824),4,6),YEAR($A824)&amp;"/"&amp;RIGHT(YEAR($A824)+1,2),YEAR($A824)-1&amp;"/"&amp;RIGHT(YEAR($A824),2)))</f>
        <v/>
      </c>
    </row>
    <row r="825" customFormat="false" ht="15" hidden="false" customHeight="false" outlineLevel="0" collapsed="false">
      <c r="A825" s="22"/>
      <c r="B825" s="23"/>
      <c r="C825" s="23"/>
      <c r="D825" s="23"/>
      <c r="E825" s="32"/>
      <c r="F825" s="25"/>
      <c r="G825" s="23"/>
      <c r="H825" s="23"/>
      <c r="I825" s="23"/>
      <c r="J825" s="23"/>
      <c r="K825" s="23"/>
      <c r="L825" s="27" t="str">
        <f aca="false">IF($B825="","",IFERROR(INDEX(Properties!$D$5:$D$104,MATCH($B825,Properties!$A$5:$A$104,0)),"-"))</f>
        <v/>
      </c>
      <c r="M825" s="28" t="str">
        <f aca="false">IF(OR($A825="",N($E825)=0),"",$F825/$E825)</f>
        <v/>
      </c>
      <c r="N825" s="28" t="str">
        <f aca="false">IF($A825="","",IF($H825="Y",$F825*(1+Settings!$B$3),0))</f>
        <v/>
      </c>
      <c r="O825" s="27" t="str">
        <f aca="false">IF($A825="","",IF(AND($H825="Y",$G825&lt;&gt;"Restock",N($M825)&gt;Settings!$B$4,$I825&lt;&gt;"Y"),"Get host OK",IF(AND($H825="Y",$F825&gt;Settings!$B$5,$I825&lt;&gt;"Y"),"Host should pay upfront",IF($J825&lt;&gt;"Y","Save receipt","OK"))))</f>
        <v/>
      </c>
      <c r="P825" s="29" t="str">
        <f aca="false">IF($A825="","",DATE(YEAR($A825),MONTH($A825),1))</f>
        <v/>
      </c>
      <c r="Q825" s="31" t="str">
        <f aca="false">IF($A825="","",IF(AND($L825='Invoice Builder'!$C$5,$P825='Invoice Builder'!$C$6,N($N825)&gt;0),COUNTIFS($L$5:$L825,'Invoice Builder'!$C$5,$P$5:$P825,'Invoice Builder'!$C$6,$N$5:$N825,"&gt;0"),""))</f>
        <v/>
      </c>
      <c r="R825" s="27" t="str">
        <f aca="false">IF($A825="","",IF($A825&gt;=DATE(YEAR($A825),4,6),YEAR($A825)&amp;"/"&amp;RIGHT(YEAR($A825)+1,2),YEAR($A825)-1&amp;"/"&amp;RIGHT(YEAR($A825),2)))</f>
        <v/>
      </c>
    </row>
    <row r="826" customFormat="false" ht="15" hidden="false" customHeight="false" outlineLevel="0" collapsed="false">
      <c r="A826" s="22"/>
      <c r="B826" s="23"/>
      <c r="C826" s="23"/>
      <c r="D826" s="23"/>
      <c r="E826" s="32"/>
      <c r="F826" s="25"/>
      <c r="G826" s="23"/>
      <c r="H826" s="23"/>
      <c r="I826" s="23"/>
      <c r="J826" s="23"/>
      <c r="K826" s="23"/>
      <c r="L826" s="27" t="str">
        <f aca="false">IF($B826="","",IFERROR(INDEX(Properties!$D$5:$D$104,MATCH($B826,Properties!$A$5:$A$104,0)),"-"))</f>
        <v/>
      </c>
      <c r="M826" s="28" t="str">
        <f aca="false">IF(OR($A826="",N($E826)=0),"",$F826/$E826)</f>
        <v/>
      </c>
      <c r="N826" s="28" t="str">
        <f aca="false">IF($A826="","",IF($H826="Y",$F826*(1+Settings!$B$3),0))</f>
        <v/>
      </c>
      <c r="O826" s="27" t="str">
        <f aca="false">IF($A826="","",IF(AND($H826="Y",$G826&lt;&gt;"Restock",N($M826)&gt;Settings!$B$4,$I826&lt;&gt;"Y"),"Get host OK",IF(AND($H826="Y",$F826&gt;Settings!$B$5,$I826&lt;&gt;"Y"),"Host should pay upfront",IF($J826&lt;&gt;"Y","Save receipt","OK"))))</f>
        <v/>
      </c>
      <c r="P826" s="29" t="str">
        <f aca="false">IF($A826="","",DATE(YEAR($A826),MONTH($A826),1))</f>
        <v/>
      </c>
      <c r="Q826" s="31" t="str">
        <f aca="false">IF($A826="","",IF(AND($L826='Invoice Builder'!$C$5,$P826='Invoice Builder'!$C$6,N($N826)&gt;0),COUNTIFS($L$5:$L826,'Invoice Builder'!$C$5,$P$5:$P826,'Invoice Builder'!$C$6,$N$5:$N826,"&gt;0"),""))</f>
        <v/>
      </c>
      <c r="R826" s="27" t="str">
        <f aca="false">IF($A826="","",IF($A826&gt;=DATE(YEAR($A826),4,6),YEAR($A826)&amp;"/"&amp;RIGHT(YEAR($A826)+1,2),YEAR($A826)-1&amp;"/"&amp;RIGHT(YEAR($A826),2)))</f>
        <v/>
      </c>
    </row>
    <row r="827" customFormat="false" ht="15" hidden="false" customHeight="false" outlineLevel="0" collapsed="false">
      <c r="A827" s="22"/>
      <c r="B827" s="23"/>
      <c r="C827" s="23"/>
      <c r="D827" s="23"/>
      <c r="E827" s="32"/>
      <c r="F827" s="25"/>
      <c r="G827" s="23"/>
      <c r="H827" s="23"/>
      <c r="I827" s="23"/>
      <c r="J827" s="23"/>
      <c r="K827" s="23"/>
      <c r="L827" s="27" t="str">
        <f aca="false">IF($B827="","",IFERROR(INDEX(Properties!$D$5:$D$104,MATCH($B827,Properties!$A$5:$A$104,0)),"-"))</f>
        <v/>
      </c>
      <c r="M827" s="28" t="str">
        <f aca="false">IF(OR($A827="",N($E827)=0),"",$F827/$E827)</f>
        <v/>
      </c>
      <c r="N827" s="28" t="str">
        <f aca="false">IF($A827="","",IF($H827="Y",$F827*(1+Settings!$B$3),0))</f>
        <v/>
      </c>
      <c r="O827" s="27" t="str">
        <f aca="false">IF($A827="","",IF(AND($H827="Y",$G827&lt;&gt;"Restock",N($M827)&gt;Settings!$B$4,$I827&lt;&gt;"Y"),"Get host OK",IF(AND($H827="Y",$F827&gt;Settings!$B$5,$I827&lt;&gt;"Y"),"Host should pay upfront",IF($J827&lt;&gt;"Y","Save receipt","OK"))))</f>
        <v/>
      </c>
      <c r="P827" s="29" t="str">
        <f aca="false">IF($A827="","",DATE(YEAR($A827),MONTH($A827),1))</f>
        <v/>
      </c>
      <c r="Q827" s="31" t="str">
        <f aca="false">IF($A827="","",IF(AND($L827='Invoice Builder'!$C$5,$P827='Invoice Builder'!$C$6,N($N827)&gt;0),COUNTIFS($L$5:$L827,'Invoice Builder'!$C$5,$P$5:$P827,'Invoice Builder'!$C$6,$N$5:$N827,"&gt;0"),""))</f>
        <v/>
      </c>
      <c r="R827" s="27" t="str">
        <f aca="false">IF($A827="","",IF($A827&gt;=DATE(YEAR($A827),4,6),YEAR($A827)&amp;"/"&amp;RIGHT(YEAR($A827)+1,2),YEAR($A827)-1&amp;"/"&amp;RIGHT(YEAR($A827),2)))</f>
        <v/>
      </c>
    </row>
    <row r="828" customFormat="false" ht="15" hidden="false" customHeight="false" outlineLevel="0" collapsed="false">
      <c r="A828" s="22"/>
      <c r="B828" s="23"/>
      <c r="C828" s="23"/>
      <c r="D828" s="23"/>
      <c r="E828" s="32"/>
      <c r="F828" s="25"/>
      <c r="G828" s="23"/>
      <c r="H828" s="23"/>
      <c r="I828" s="23"/>
      <c r="J828" s="23"/>
      <c r="K828" s="23"/>
      <c r="L828" s="27" t="str">
        <f aca="false">IF($B828="","",IFERROR(INDEX(Properties!$D$5:$D$104,MATCH($B828,Properties!$A$5:$A$104,0)),"-"))</f>
        <v/>
      </c>
      <c r="M828" s="28" t="str">
        <f aca="false">IF(OR($A828="",N($E828)=0),"",$F828/$E828)</f>
        <v/>
      </c>
      <c r="N828" s="28" t="str">
        <f aca="false">IF($A828="","",IF($H828="Y",$F828*(1+Settings!$B$3),0))</f>
        <v/>
      </c>
      <c r="O828" s="27" t="str">
        <f aca="false">IF($A828="","",IF(AND($H828="Y",$G828&lt;&gt;"Restock",N($M828)&gt;Settings!$B$4,$I828&lt;&gt;"Y"),"Get host OK",IF(AND($H828="Y",$F828&gt;Settings!$B$5,$I828&lt;&gt;"Y"),"Host should pay upfront",IF($J828&lt;&gt;"Y","Save receipt","OK"))))</f>
        <v/>
      </c>
      <c r="P828" s="29" t="str">
        <f aca="false">IF($A828="","",DATE(YEAR($A828),MONTH($A828),1))</f>
        <v/>
      </c>
      <c r="Q828" s="31" t="str">
        <f aca="false">IF($A828="","",IF(AND($L828='Invoice Builder'!$C$5,$P828='Invoice Builder'!$C$6,N($N828)&gt;0),COUNTIFS($L$5:$L828,'Invoice Builder'!$C$5,$P$5:$P828,'Invoice Builder'!$C$6,$N$5:$N828,"&gt;0"),""))</f>
        <v/>
      </c>
      <c r="R828" s="27" t="str">
        <f aca="false">IF($A828="","",IF($A828&gt;=DATE(YEAR($A828),4,6),YEAR($A828)&amp;"/"&amp;RIGHT(YEAR($A828)+1,2),YEAR($A828)-1&amp;"/"&amp;RIGHT(YEAR($A828),2)))</f>
        <v/>
      </c>
    </row>
    <row r="829" customFormat="false" ht="15" hidden="false" customHeight="false" outlineLevel="0" collapsed="false">
      <c r="A829" s="22"/>
      <c r="B829" s="23"/>
      <c r="C829" s="23"/>
      <c r="D829" s="23"/>
      <c r="E829" s="32"/>
      <c r="F829" s="25"/>
      <c r="G829" s="23"/>
      <c r="H829" s="23"/>
      <c r="I829" s="23"/>
      <c r="J829" s="23"/>
      <c r="K829" s="23"/>
      <c r="L829" s="27" t="str">
        <f aca="false">IF($B829="","",IFERROR(INDEX(Properties!$D$5:$D$104,MATCH($B829,Properties!$A$5:$A$104,0)),"-"))</f>
        <v/>
      </c>
      <c r="M829" s="28" t="str">
        <f aca="false">IF(OR($A829="",N($E829)=0),"",$F829/$E829)</f>
        <v/>
      </c>
      <c r="N829" s="28" t="str">
        <f aca="false">IF($A829="","",IF($H829="Y",$F829*(1+Settings!$B$3),0))</f>
        <v/>
      </c>
      <c r="O829" s="27" t="str">
        <f aca="false">IF($A829="","",IF(AND($H829="Y",$G829&lt;&gt;"Restock",N($M829)&gt;Settings!$B$4,$I829&lt;&gt;"Y"),"Get host OK",IF(AND($H829="Y",$F829&gt;Settings!$B$5,$I829&lt;&gt;"Y"),"Host should pay upfront",IF($J829&lt;&gt;"Y","Save receipt","OK"))))</f>
        <v/>
      </c>
      <c r="P829" s="29" t="str">
        <f aca="false">IF($A829="","",DATE(YEAR($A829),MONTH($A829),1))</f>
        <v/>
      </c>
      <c r="Q829" s="31" t="str">
        <f aca="false">IF($A829="","",IF(AND($L829='Invoice Builder'!$C$5,$P829='Invoice Builder'!$C$6,N($N829)&gt;0),COUNTIFS($L$5:$L829,'Invoice Builder'!$C$5,$P$5:$P829,'Invoice Builder'!$C$6,$N$5:$N829,"&gt;0"),""))</f>
        <v/>
      </c>
      <c r="R829" s="27" t="str">
        <f aca="false">IF($A829="","",IF($A829&gt;=DATE(YEAR($A829),4,6),YEAR($A829)&amp;"/"&amp;RIGHT(YEAR($A829)+1,2),YEAR($A829)-1&amp;"/"&amp;RIGHT(YEAR($A829),2)))</f>
        <v/>
      </c>
    </row>
    <row r="830" customFormat="false" ht="15" hidden="false" customHeight="false" outlineLevel="0" collapsed="false">
      <c r="A830" s="22"/>
      <c r="B830" s="23"/>
      <c r="C830" s="23"/>
      <c r="D830" s="23"/>
      <c r="E830" s="32"/>
      <c r="F830" s="25"/>
      <c r="G830" s="23"/>
      <c r="H830" s="23"/>
      <c r="I830" s="23"/>
      <c r="J830" s="23"/>
      <c r="K830" s="23"/>
      <c r="L830" s="27" t="str">
        <f aca="false">IF($B830="","",IFERROR(INDEX(Properties!$D$5:$D$104,MATCH($B830,Properties!$A$5:$A$104,0)),"-"))</f>
        <v/>
      </c>
      <c r="M830" s="28" t="str">
        <f aca="false">IF(OR($A830="",N($E830)=0),"",$F830/$E830)</f>
        <v/>
      </c>
      <c r="N830" s="28" t="str">
        <f aca="false">IF($A830="","",IF($H830="Y",$F830*(1+Settings!$B$3),0))</f>
        <v/>
      </c>
      <c r="O830" s="27" t="str">
        <f aca="false">IF($A830="","",IF(AND($H830="Y",$G830&lt;&gt;"Restock",N($M830)&gt;Settings!$B$4,$I830&lt;&gt;"Y"),"Get host OK",IF(AND($H830="Y",$F830&gt;Settings!$B$5,$I830&lt;&gt;"Y"),"Host should pay upfront",IF($J830&lt;&gt;"Y","Save receipt","OK"))))</f>
        <v/>
      </c>
      <c r="P830" s="29" t="str">
        <f aca="false">IF($A830="","",DATE(YEAR($A830),MONTH($A830),1))</f>
        <v/>
      </c>
      <c r="Q830" s="31" t="str">
        <f aca="false">IF($A830="","",IF(AND($L830='Invoice Builder'!$C$5,$P830='Invoice Builder'!$C$6,N($N830)&gt;0),COUNTIFS($L$5:$L830,'Invoice Builder'!$C$5,$P$5:$P830,'Invoice Builder'!$C$6,$N$5:$N830,"&gt;0"),""))</f>
        <v/>
      </c>
      <c r="R830" s="27" t="str">
        <f aca="false">IF($A830="","",IF($A830&gt;=DATE(YEAR($A830),4,6),YEAR($A830)&amp;"/"&amp;RIGHT(YEAR($A830)+1,2),YEAR($A830)-1&amp;"/"&amp;RIGHT(YEAR($A830),2)))</f>
        <v/>
      </c>
    </row>
    <row r="831" customFormat="false" ht="15" hidden="false" customHeight="false" outlineLevel="0" collapsed="false">
      <c r="A831" s="22"/>
      <c r="B831" s="23"/>
      <c r="C831" s="23"/>
      <c r="D831" s="23"/>
      <c r="E831" s="32"/>
      <c r="F831" s="25"/>
      <c r="G831" s="23"/>
      <c r="H831" s="23"/>
      <c r="I831" s="23"/>
      <c r="J831" s="23"/>
      <c r="K831" s="23"/>
      <c r="L831" s="27" t="str">
        <f aca="false">IF($B831="","",IFERROR(INDEX(Properties!$D$5:$D$104,MATCH($B831,Properties!$A$5:$A$104,0)),"-"))</f>
        <v/>
      </c>
      <c r="M831" s="28" t="str">
        <f aca="false">IF(OR($A831="",N($E831)=0),"",$F831/$E831)</f>
        <v/>
      </c>
      <c r="N831" s="28" t="str">
        <f aca="false">IF($A831="","",IF($H831="Y",$F831*(1+Settings!$B$3),0))</f>
        <v/>
      </c>
      <c r="O831" s="27" t="str">
        <f aca="false">IF($A831="","",IF(AND($H831="Y",$G831&lt;&gt;"Restock",N($M831)&gt;Settings!$B$4,$I831&lt;&gt;"Y"),"Get host OK",IF(AND($H831="Y",$F831&gt;Settings!$B$5,$I831&lt;&gt;"Y"),"Host should pay upfront",IF($J831&lt;&gt;"Y","Save receipt","OK"))))</f>
        <v/>
      </c>
      <c r="P831" s="29" t="str">
        <f aca="false">IF($A831="","",DATE(YEAR($A831),MONTH($A831),1))</f>
        <v/>
      </c>
      <c r="Q831" s="31" t="str">
        <f aca="false">IF($A831="","",IF(AND($L831='Invoice Builder'!$C$5,$P831='Invoice Builder'!$C$6,N($N831)&gt;0),COUNTIFS($L$5:$L831,'Invoice Builder'!$C$5,$P$5:$P831,'Invoice Builder'!$C$6,$N$5:$N831,"&gt;0"),""))</f>
        <v/>
      </c>
      <c r="R831" s="27" t="str">
        <f aca="false">IF($A831="","",IF($A831&gt;=DATE(YEAR($A831),4,6),YEAR($A831)&amp;"/"&amp;RIGHT(YEAR($A831)+1,2),YEAR($A831)-1&amp;"/"&amp;RIGHT(YEAR($A831),2)))</f>
        <v/>
      </c>
    </row>
    <row r="832" customFormat="false" ht="15" hidden="false" customHeight="false" outlineLevel="0" collapsed="false">
      <c r="A832" s="22"/>
      <c r="B832" s="23"/>
      <c r="C832" s="23"/>
      <c r="D832" s="23"/>
      <c r="E832" s="32"/>
      <c r="F832" s="25"/>
      <c r="G832" s="23"/>
      <c r="H832" s="23"/>
      <c r="I832" s="23"/>
      <c r="J832" s="23"/>
      <c r="K832" s="23"/>
      <c r="L832" s="27" t="str">
        <f aca="false">IF($B832="","",IFERROR(INDEX(Properties!$D$5:$D$104,MATCH($B832,Properties!$A$5:$A$104,0)),"-"))</f>
        <v/>
      </c>
      <c r="M832" s="28" t="str">
        <f aca="false">IF(OR($A832="",N($E832)=0),"",$F832/$E832)</f>
        <v/>
      </c>
      <c r="N832" s="28" t="str">
        <f aca="false">IF($A832="","",IF($H832="Y",$F832*(1+Settings!$B$3),0))</f>
        <v/>
      </c>
      <c r="O832" s="27" t="str">
        <f aca="false">IF($A832="","",IF(AND($H832="Y",$G832&lt;&gt;"Restock",N($M832)&gt;Settings!$B$4,$I832&lt;&gt;"Y"),"Get host OK",IF(AND($H832="Y",$F832&gt;Settings!$B$5,$I832&lt;&gt;"Y"),"Host should pay upfront",IF($J832&lt;&gt;"Y","Save receipt","OK"))))</f>
        <v/>
      </c>
      <c r="P832" s="29" t="str">
        <f aca="false">IF($A832="","",DATE(YEAR($A832),MONTH($A832),1))</f>
        <v/>
      </c>
      <c r="Q832" s="31" t="str">
        <f aca="false">IF($A832="","",IF(AND($L832='Invoice Builder'!$C$5,$P832='Invoice Builder'!$C$6,N($N832)&gt;0),COUNTIFS($L$5:$L832,'Invoice Builder'!$C$5,$P$5:$P832,'Invoice Builder'!$C$6,$N$5:$N832,"&gt;0"),""))</f>
        <v/>
      </c>
      <c r="R832" s="27" t="str">
        <f aca="false">IF($A832="","",IF($A832&gt;=DATE(YEAR($A832),4,6),YEAR($A832)&amp;"/"&amp;RIGHT(YEAR($A832)+1,2),YEAR($A832)-1&amp;"/"&amp;RIGHT(YEAR($A832),2)))</f>
        <v/>
      </c>
    </row>
    <row r="833" customFormat="false" ht="15" hidden="false" customHeight="false" outlineLevel="0" collapsed="false">
      <c r="A833" s="22"/>
      <c r="B833" s="23"/>
      <c r="C833" s="23"/>
      <c r="D833" s="23"/>
      <c r="E833" s="32"/>
      <c r="F833" s="25"/>
      <c r="G833" s="23"/>
      <c r="H833" s="23"/>
      <c r="I833" s="23"/>
      <c r="J833" s="23"/>
      <c r="K833" s="23"/>
      <c r="L833" s="27" t="str">
        <f aca="false">IF($B833="","",IFERROR(INDEX(Properties!$D$5:$D$104,MATCH($B833,Properties!$A$5:$A$104,0)),"-"))</f>
        <v/>
      </c>
      <c r="M833" s="28" t="str">
        <f aca="false">IF(OR($A833="",N($E833)=0),"",$F833/$E833)</f>
        <v/>
      </c>
      <c r="N833" s="28" t="str">
        <f aca="false">IF($A833="","",IF($H833="Y",$F833*(1+Settings!$B$3),0))</f>
        <v/>
      </c>
      <c r="O833" s="27" t="str">
        <f aca="false">IF($A833="","",IF(AND($H833="Y",$G833&lt;&gt;"Restock",N($M833)&gt;Settings!$B$4,$I833&lt;&gt;"Y"),"Get host OK",IF(AND($H833="Y",$F833&gt;Settings!$B$5,$I833&lt;&gt;"Y"),"Host should pay upfront",IF($J833&lt;&gt;"Y","Save receipt","OK"))))</f>
        <v/>
      </c>
      <c r="P833" s="29" t="str">
        <f aca="false">IF($A833="","",DATE(YEAR($A833),MONTH($A833),1))</f>
        <v/>
      </c>
      <c r="Q833" s="31" t="str">
        <f aca="false">IF($A833="","",IF(AND($L833='Invoice Builder'!$C$5,$P833='Invoice Builder'!$C$6,N($N833)&gt;0),COUNTIFS($L$5:$L833,'Invoice Builder'!$C$5,$P$5:$P833,'Invoice Builder'!$C$6,$N$5:$N833,"&gt;0"),""))</f>
        <v/>
      </c>
      <c r="R833" s="27" t="str">
        <f aca="false">IF($A833="","",IF($A833&gt;=DATE(YEAR($A833),4,6),YEAR($A833)&amp;"/"&amp;RIGHT(YEAR($A833)+1,2),YEAR($A833)-1&amp;"/"&amp;RIGHT(YEAR($A833),2)))</f>
        <v/>
      </c>
    </row>
    <row r="834" customFormat="false" ht="15" hidden="false" customHeight="false" outlineLevel="0" collapsed="false">
      <c r="A834" s="22"/>
      <c r="B834" s="23"/>
      <c r="C834" s="23"/>
      <c r="D834" s="23"/>
      <c r="E834" s="32"/>
      <c r="F834" s="25"/>
      <c r="G834" s="23"/>
      <c r="H834" s="23"/>
      <c r="I834" s="23"/>
      <c r="J834" s="23"/>
      <c r="K834" s="23"/>
      <c r="L834" s="27" t="str">
        <f aca="false">IF($B834="","",IFERROR(INDEX(Properties!$D$5:$D$104,MATCH($B834,Properties!$A$5:$A$104,0)),"-"))</f>
        <v/>
      </c>
      <c r="M834" s="28" t="str">
        <f aca="false">IF(OR($A834="",N($E834)=0),"",$F834/$E834)</f>
        <v/>
      </c>
      <c r="N834" s="28" t="str">
        <f aca="false">IF($A834="","",IF($H834="Y",$F834*(1+Settings!$B$3),0))</f>
        <v/>
      </c>
      <c r="O834" s="27" t="str">
        <f aca="false">IF($A834="","",IF(AND($H834="Y",$G834&lt;&gt;"Restock",N($M834)&gt;Settings!$B$4,$I834&lt;&gt;"Y"),"Get host OK",IF(AND($H834="Y",$F834&gt;Settings!$B$5,$I834&lt;&gt;"Y"),"Host should pay upfront",IF($J834&lt;&gt;"Y","Save receipt","OK"))))</f>
        <v/>
      </c>
      <c r="P834" s="29" t="str">
        <f aca="false">IF($A834="","",DATE(YEAR($A834),MONTH($A834),1))</f>
        <v/>
      </c>
      <c r="Q834" s="31" t="str">
        <f aca="false">IF($A834="","",IF(AND($L834='Invoice Builder'!$C$5,$P834='Invoice Builder'!$C$6,N($N834)&gt;0),COUNTIFS($L$5:$L834,'Invoice Builder'!$C$5,$P$5:$P834,'Invoice Builder'!$C$6,$N$5:$N834,"&gt;0"),""))</f>
        <v/>
      </c>
      <c r="R834" s="27" t="str">
        <f aca="false">IF($A834="","",IF($A834&gt;=DATE(YEAR($A834),4,6),YEAR($A834)&amp;"/"&amp;RIGHT(YEAR($A834)+1,2),YEAR($A834)-1&amp;"/"&amp;RIGHT(YEAR($A834),2)))</f>
        <v/>
      </c>
    </row>
    <row r="835" customFormat="false" ht="15" hidden="false" customHeight="false" outlineLevel="0" collapsed="false">
      <c r="A835" s="22"/>
      <c r="B835" s="23"/>
      <c r="C835" s="23"/>
      <c r="D835" s="23"/>
      <c r="E835" s="32"/>
      <c r="F835" s="25"/>
      <c r="G835" s="23"/>
      <c r="H835" s="23"/>
      <c r="I835" s="23"/>
      <c r="J835" s="23"/>
      <c r="K835" s="23"/>
      <c r="L835" s="27" t="str">
        <f aca="false">IF($B835="","",IFERROR(INDEX(Properties!$D$5:$D$104,MATCH($B835,Properties!$A$5:$A$104,0)),"-"))</f>
        <v/>
      </c>
      <c r="M835" s="28" t="str">
        <f aca="false">IF(OR($A835="",N($E835)=0),"",$F835/$E835)</f>
        <v/>
      </c>
      <c r="N835" s="28" t="str">
        <f aca="false">IF($A835="","",IF($H835="Y",$F835*(1+Settings!$B$3),0))</f>
        <v/>
      </c>
      <c r="O835" s="27" t="str">
        <f aca="false">IF($A835="","",IF(AND($H835="Y",$G835&lt;&gt;"Restock",N($M835)&gt;Settings!$B$4,$I835&lt;&gt;"Y"),"Get host OK",IF(AND($H835="Y",$F835&gt;Settings!$B$5,$I835&lt;&gt;"Y"),"Host should pay upfront",IF($J835&lt;&gt;"Y","Save receipt","OK"))))</f>
        <v/>
      </c>
      <c r="P835" s="29" t="str">
        <f aca="false">IF($A835="","",DATE(YEAR($A835),MONTH($A835),1))</f>
        <v/>
      </c>
      <c r="Q835" s="31" t="str">
        <f aca="false">IF($A835="","",IF(AND($L835='Invoice Builder'!$C$5,$P835='Invoice Builder'!$C$6,N($N835)&gt;0),COUNTIFS($L$5:$L835,'Invoice Builder'!$C$5,$P$5:$P835,'Invoice Builder'!$C$6,$N$5:$N835,"&gt;0"),""))</f>
        <v/>
      </c>
      <c r="R835" s="27" t="str">
        <f aca="false">IF($A835="","",IF($A835&gt;=DATE(YEAR($A835),4,6),YEAR($A835)&amp;"/"&amp;RIGHT(YEAR($A835)+1,2),YEAR($A835)-1&amp;"/"&amp;RIGHT(YEAR($A835),2)))</f>
        <v/>
      </c>
    </row>
    <row r="836" customFormat="false" ht="15" hidden="false" customHeight="false" outlineLevel="0" collapsed="false">
      <c r="A836" s="22"/>
      <c r="B836" s="23"/>
      <c r="C836" s="23"/>
      <c r="D836" s="23"/>
      <c r="E836" s="32"/>
      <c r="F836" s="25"/>
      <c r="G836" s="23"/>
      <c r="H836" s="23"/>
      <c r="I836" s="23"/>
      <c r="J836" s="23"/>
      <c r="K836" s="23"/>
      <c r="L836" s="27" t="str">
        <f aca="false">IF($B836="","",IFERROR(INDEX(Properties!$D$5:$D$104,MATCH($B836,Properties!$A$5:$A$104,0)),"-"))</f>
        <v/>
      </c>
      <c r="M836" s="28" t="str">
        <f aca="false">IF(OR($A836="",N($E836)=0),"",$F836/$E836)</f>
        <v/>
      </c>
      <c r="N836" s="28" t="str">
        <f aca="false">IF($A836="","",IF($H836="Y",$F836*(1+Settings!$B$3),0))</f>
        <v/>
      </c>
      <c r="O836" s="27" t="str">
        <f aca="false">IF($A836="","",IF(AND($H836="Y",$G836&lt;&gt;"Restock",N($M836)&gt;Settings!$B$4,$I836&lt;&gt;"Y"),"Get host OK",IF(AND($H836="Y",$F836&gt;Settings!$B$5,$I836&lt;&gt;"Y"),"Host should pay upfront",IF($J836&lt;&gt;"Y","Save receipt","OK"))))</f>
        <v/>
      </c>
      <c r="P836" s="29" t="str">
        <f aca="false">IF($A836="","",DATE(YEAR($A836),MONTH($A836),1))</f>
        <v/>
      </c>
      <c r="Q836" s="31" t="str">
        <f aca="false">IF($A836="","",IF(AND($L836='Invoice Builder'!$C$5,$P836='Invoice Builder'!$C$6,N($N836)&gt;0),COUNTIFS($L$5:$L836,'Invoice Builder'!$C$5,$P$5:$P836,'Invoice Builder'!$C$6,$N$5:$N836,"&gt;0"),""))</f>
        <v/>
      </c>
      <c r="R836" s="27" t="str">
        <f aca="false">IF($A836="","",IF($A836&gt;=DATE(YEAR($A836),4,6),YEAR($A836)&amp;"/"&amp;RIGHT(YEAR($A836)+1,2),YEAR($A836)-1&amp;"/"&amp;RIGHT(YEAR($A836),2)))</f>
        <v/>
      </c>
    </row>
    <row r="837" customFormat="false" ht="15" hidden="false" customHeight="false" outlineLevel="0" collapsed="false">
      <c r="A837" s="22"/>
      <c r="B837" s="23"/>
      <c r="C837" s="23"/>
      <c r="D837" s="23"/>
      <c r="E837" s="32"/>
      <c r="F837" s="25"/>
      <c r="G837" s="23"/>
      <c r="H837" s="23"/>
      <c r="I837" s="23"/>
      <c r="J837" s="23"/>
      <c r="K837" s="23"/>
      <c r="L837" s="27" t="str">
        <f aca="false">IF($B837="","",IFERROR(INDEX(Properties!$D$5:$D$104,MATCH($B837,Properties!$A$5:$A$104,0)),"-"))</f>
        <v/>
      </c>
      <c r="M837" s="28" t="str">
        <f aca="false">IF(OR($A837="",N($E837)=0),"",$F837/$E837)</f>
        <v/>
      </c>
      <c r="N837" s="28" t="str">
        <f aca="false">IF($A837="","",IF($H837="Y",$F837*(1+Settings!$B$3),0))</f>
        <v/>
      </c>
      <c r="O837" s="27" t="str">
        <f aca="false">IF($A837="","",IF(AND($H837="Y",$G837&lt;&gt;"Restock",N($M837)&gt;Settings!$B$4,$I837&lt;&gt;"Y"),"Get host OK",IF(AND($H837="Y",$F837&gt;Settings!$B$5,$I837&lt;&gt;"Y"),"Host should pay upfront",IF($J837&lt;&gt;"Y","Save receipt","OK"))))</f>
        <v/>
      </c>
      <c r="P837" s="29" t="str">
        <f aca="false">IF($A837="","",DATE(YEAR($A837),MONTH($A837),1))</f>
        <v/>
      </c>
      <c r="Q837" s="31" t="str">
        <f aca="false">IF($A837="","",IF(AND($L837='Invoice Builder'!$C$5,$P837='Invoice Builder'!$C$6,N($N837)&gt;0),COUNTIFS($L$5:$L837,'Invoice Builder'!$C$5,$P$5:$P837,'Invoice Builder'!$C$6,$N$5:$N837,"&gt;0"),""))</f>
        <v/>
      </c>
      <c r="R837" s="27" t="str">
        <f aca="false">IF($A837="","",IF($A837&gt;=DATE(YEAR($A837),4,6),YEAR($A837)&amp;"/"&amp;RIGHT(YEAR($A837)+1,2),YEAR($A837)-1&amp;"/"&amp;RIGHT(YEAR($A837),2)))</f>
        <v/>
      </c>
    </row>
    <row r="838" customFormat="false" ht="15" hidden="false" customHeight="false" outlineLevel="0" collapsed="false">
      <c r="A838" s="22"/>
      <c r="B838" s="23"/>
      <c r="C838" s="23"/>
      <c r="D838" s="23"/>
      <c r="E838" s="32"/>
      <c r="F838" s="25"/>
      <c r="G838" s="23"/>
      <c r="H838" s="23"/>
      <c r="I838" s="23"/>
      <c r="J838" s="23"/>
      <c r="K838" s="23"/>
      <c r="L838" s="27" t="str">
        <f aca="false">IF($B838="","",IFERROR(INDEX(Properties!$D$5:$D$104,MATCH($B838,Properties!$A$5:$A$104,0)),"-"))</f>
        <v/>
      </c>
      <c r="M838" s="28" t="str">
        <f aca="false">IF(OR($A838="",N($E838)=0),"",$F838/$E838)</f>
        <v/>
      </c>
      <c r="N838" s="28" t="str">
        <f aca="false">IF($A838="","",IF($H838="Y",$F838*(1+Settings!$B$3),0))</f>
        <v/>
      </c>
      <c r="O838" s="27" t="str">
        <f aca="false">IF($A838="","",IF(AND($H838="Y",$G838&lt;&gt;"Restock",N($M838)&gt;Settings!$B$4,$I838&lt;&gt;"Y"),"Get host OK",IF(AND($H838="Y",$F838&gt;Settings!$B$5,$I838&lt;&gt;"Y"),"Host should pay upfront",IF($J838&lt;&gt;"Y","Save receipt","OK"))))</f>
        <v/>
      </c>
      <c r="P838" s="29" t="str">
        <f aca="false">IF($A838="","",DATE(YEAR($A838),MONTH($A838),1))</f>
        <v/>
      </c>
      <c r="Q838" s="31" t="str">
        <f aca="false">IF($A838="","",IF(AND($L838='Invoice Builder'!$C$5,$P838='Invoice Builder'!$C$6,N($N838)&gt;0),COUNTIFS($L$5:$L838,'Invoice Builder'!$C$5,$P$5:$P838,'Invoice Builder'!$C$6,$N$5:$N838,"&gt;0"),""))</f>
        <v/>
      </c>
      <c r="R838" s="27" t="str">
        <f aca="false">IF($A838="","",IF($A838&gt;=DATE(YEAR($A838),4,6),YEAR($A838)&amp;"/"&amp;RIGHT(YEAR($A838)+1,2),YEAR($A838)-1&amp;"/"&amp;RIGHT(YEAR($A838),2)))</f>
        <v/>
      </c>
    </row>
    <row r="839" customFormat="false" ht="15" hidden="false" customHeight="false" outlineLevel="0" collapsed="false">
      <c r="A839" s="22"/>
      <c r="B839" s="23"/>
      <c r="C839" s="23"/>
      <c r="D839" s="23"/>
      <c r="E839" s="32"/>
      <c r="F839" s="25"/>
      <c r="G839" s="23"/>
      <c r="H839" s="23"/>
      <c r="I839" s="23"/>
      <c r="J839" s="23"/>
      <c r="K839" s="23"/>
      <c r="L839" s="27" t="str">
        <f aca="false">IF($B839="","",IFERROR(INDEX(Properties!$D$5:$D$104,MATCH($B839,Properties!$A$5:$A$104,0)),"-"))</f>
        <v/>
      </c>
      <c r="M839" s="28" t="str">
        <f aca="false">IF(OR($A839="",N($E839)=0),"",$F839/$E839)</f>
        <v/>
      </c>
      <c r="N839" s="28" t="str">
        <f aca="false">IF($A839="","",IF($H839="Y",$F839*(1+Settings!$B$3),0))</f>
        <v/>
      </c>
      <c r="O839" s="27" t="str">
        <f aca="false">IF($A839="","",IF(AND($H839="Y",$G839&lt;&gt;"Restock",N($M839)&gt;Settings!$B$4,$I839&lt;&gt;"Y"),"Get host OK",IF(AND($H839="Y",$F839&gt;Settings!$B$5,$I839&lt;&gt;"Y"),"Host should pay upfront",IF($J839&lt;&gt;"Y","Save receipt","OK"))))</f>
        <v/>
      </c>
      <c r="P839" s="29" t="str">
        <f aca="false">IF($A839="","",DATE(YEAR($A839),MONTH($A839),1))</f>
        <v/>
      </c>
      <c r="Q839" s="31" t="str">
        <f aca="false">IF($A839="","",IF(AND($L839='Invoice Builder'!$C$5,$P839='Invoice Builder'!$C$6,N($N839)&gt;0),COUNTIFS($L$5:$L839,'Invoice Builder'!$C$5,$P$5:$P839,'Invoice Builder'!$C$6,$N$5:$N839,"&gt;0"),""))</f>
        <v/>
      </c>
      <c r="R839" s="27" t="str">
        <f aca="false">IF($A839="","",IF($A839&gt;=DATE(YEAR($A839),4,6),YEAR($A839)&amp;"/"&amp;RIGHT(YEAR($A839)+1,2),YEAR($A839)-1&amp;"/"&amp;RIGHT(YEAR($A839),2)))</f>
        <v/>
      </c>
    </row>
    <row r="840" customFormat="false" ht="15" hidden="false" customHeight="false" outlineLevel="0" collapsed="false">
      <c r="A840" s="22"/>
      <c r="B840" s="23"/>
      <c r="C840" s="23"/>
      <c r="D840" s="23"/>
      <c r="E840" s="32"/>
      <c r="F840" s="25"/>
      <c r="G840" s="23"/>
      <c r="H840" s="23"/>
      <c r="I840" s="23"/>
      <c r="J840" s="23"/>
      <c r="K840" s="23"/>
      <c r="L840" s="27" t="str">
        <f aca="false">IF($B840="","",IFERROR(INDEX(Properties!$D$5:$D$104,MATCH($B840,Properties!$A$5:$A$104,0)),"-"))</f>
        <v/>
      </c>
      <c r="M840" s="28" t="str">
        <f aca="false">IF(OR($A840="",N($E840)=0),"",$F840/$E840)</f>
        <v/>
      </c>
      <c r="N840" s="28" t="str">
        <f aca="false">IF($A840="","",IF($H840="Y",$F840*(1+Settings!$B$3),0))</f>
        <v/>
      </c>
      <c r="O840" s="27" t="str">
        <f aca="false">IF($A840="","",IF(AND($H840="Y",$G840&lt;&gt;"Restock",N($M840)&gt;Settings!$B$4,$I840&lt;&gt;"Y"),"Get host OK",IF(AND($H840="Y",$F840&gt;Settings!$B$5,$I840&lt;&gt;"Y"),"Host should pay upfront",IF($J840&lt;&gt;"Y","Save receipt","OK"))))</f>
        <v/>
      </c>
      <c r="P840" s="29" t="str">
        <f aca="false">IF($A840="","",DATE(YEAR($A840),MONTH($A840),1))</f>
        <v/>
      </c>
      <c r="Q840" s="31" t="str">
        <f aca="false">IF($A840="","",IF(AND($L840='Invoice Builder'!$C$5,$P840='Invoice Builder'!$C$6,N($N840)&gt;0),COUNTIFS($L$5:$L840,'Invoice Builder'!$C$5,$P$5:$P840,'Invoice Builder'!$C$6,$N$5:$N840,"&gt;0"),""))</f>
        <v/>
      </c>
      <c r="R840" s="27" t="str">
        <f aca="false">IF($A840="","",IF($A840&gt;=DATE(YEAR($A840),4,6),YEAR($A840)&amp;"/"&amp;RIGHT(YEAR($A840)+1,2),YEAR($A840)-1&amp;"/"&amp;RIGHT(YEAR($A840),2)))</f>
        <v/>
      </c>
    </row>
    <row r="841" customFormat="false" ht="15" hidden="false" customHeight="false" outlineLevel="0" collapsed="false">
      <c r="A841" s="22"/>
      <c r="B841" s="23"/>
      <c r="C841" s="23"/>
      <c r="D841" s="23"/>
      <c r="E841" s="32"/>
      <c r="F841" s="25"/>
      <c r="G841" s="23"/>
      <c r="H841" s="23"/>
      <c r="I841" s="23"/>
      <c r="J841" s="23"/>
      <c r="K841" s="23"/>
      <c r="L841" s="27" t="str">
        <f aca="false">IF($B841="","",IFERROR(INDEX(Properties!$D$5:$D$104,MATCH($B841,Properties!$A$5:$A$104,0)),"-"))</f>
        <v/>
      </c>
      <c r="M841" s="28" t="str">
        <f aca="false">IF(OR($A841="",N($E841)=0),"",$F841/$E841)</f>
        <v/>
      </c>
      <c r="N841" s="28" t="str">
        <f aca="false">IF($A841="","",IF($H841="Y",$F841*(1+Settings!$B$3),0))</f>
        <v/>
      </c>
      <c r="O841" s="27" t="str">
        <f aca="false">IF($A841="","",IF(AND($H841="Y",$G841&lt;&gt;"Restock",N($M841)&gt;Settings!$B$4,$I841&lt;&gt;"Y"),"Get host OK",IF(AND($H841="Y",$F841&gt;Settings!$B$5,$I841&lt;&gt;"Y"),"Host should pay upfront",IF($J841&lt;&gt;"Y","Save receipt","OK"))))</f>
        <v/>
      </c>
      <c r="P841" s="29" t="str">
        <f aca="false">IF($A841="","",DATE(YEAR($A841),MONTH($A841),1))</f>
        <v/>
      </c>
      <c r="Q841" s="31" t="str">
        <f aca="false">IF($A841="","",IF(AND($L841='Invoice Builder'!$C$5,$P841='Invoice Builder'!$C$6,N($N841)&gt;0),COUNTIFS($L$5:$L841,'Invoice Builder'!$C$5,$P$5:$P841,'Invoice Builder'!$C$6,$N$5:$N841,"&gt;0"),""))</f>
        <v/>
      </c>
      <c r="R841" s="27" t="str">
        <f aca="false">IF($A841="","",IF($A841&gt;=DATE(YEAR($A841),4,6),YEAR($A841)&amp;"/"&amp;RIGHT(YEAR($A841)+1,2),YEAR($A841)-1&amp;"/"&amp;RIGHT(YEAR($A841),2)))</f>
        <v/>
      </c>
    </row>
    <row r="842" customFormat="false" ht="15" hidden="false" customHeight="false" outlineLevel="0" collapsed="false">
      <c r="A842" s="22"/>
      <c r="B842" s="23"/>
      <c r="C842" s="23"/>
      <c r="D842" s="23"/>
      <c r="E842" s="32"/>
      <c r="F842" s="25"/>
      <c r="G842" s="23"/>
      <c r="H842" s="23"/>
      <c r="I842" s="23"/>
      <c r="J842" s="23"/>
      <c r="K842" s="23"/>
      <c r="L842" s="27" t="str">
        <f aca="false">IF($B842="","",IFERROR(INDEX(Properties!$D$5:$D$104,MATCH($B842,Properties!$A$5:$A$104,0)),"-"))</f>
        <v/>
      </c>
      <c r="M842" s="28" t="str">
        <f aca="false">IF(OR($A842="",N($E842)=0),"",$F842/$E842)</f>
        <v/>
      </c>
      <c r="N842" s="28" t="str">
        <f aca="false">IF($A842="","",IF($H842="Y",$F842*(1+Settings!$B$3),0))</f>
        <v/>
      </c>
      <c r="O842" s="27" t="str">
        <f aca="false">IF($A842="","",IF(AND($H842="Y",$G842&lt;&gt;"Restock",N($M842)&gt;Settings!$B$4,$I842&lt;&gt;"Y"),"Get host OK",IF(AND($H842="Y",$F842&gt;Settings!$B$5,$I842&lt;&gt;"Y"),"Host should pay upfront",IF($J842&lt;&gt;"Y","Save receipt","OK"))))</f>
        <v/>
      </c>
      <c r="P842" s="29" t="str">
        <f aca="false">IF($A842="","",DATE(YEAR($A842),MONTH($A842),1))</f>
        <v/>
      </c>
      <c r="Q842" s="31" t="str">
        <f aca="false">IF($A842="","",IF(AND($L842='Invoice Builder'!$C$5,$P842='Invoice Builder'!$C$6,N($N842)&gt;0),COUNTIFS($L$5:$L842,'Invoice Builder'!$C$5,$P$5:$P842,'Invoice Builder'!$C$6,$N$5:$N842,"&gt;0"),""))</f>
        <v/>
      </c>
      <c r="R842" s="27" t="str">
        <f aca="false">IF($A842="","",IF($A842&gt;=DATE(YEAR($A842),4,6),YEAR($A842)&amp;"/"&amp;RIGHT(YEAR($A842)+1,2),YEAR($A842)-1&amp;"/"&amp;RIGHT(YEAR($A842),2)))</f>
        <v/>
      </c>
    </row>
    <row r="843" customFormat="false" ht="15" hidden="false" customHeight="false" outlineLevel="0" collapsed="false">
      <c r="A843" s="22"/>
      <c r="B843" s="23"/>
      <c r="C843" s="23"/>
      <c r="D843" s="23"/>
      <c r="E843" s="32"/>
      <c r="F843" s="25"/>
      <c r="G843" s="23"/>
      <c r="H843" s="23"/>
      <c r="I843" s="23"/>
      <c r="J843" s="23"/>
      <c r="K843" s="23"/>
      <c r="L843" s="27" t="str">
        <f aca="false">IF($B843="","",IFERROR(INDEX(Properties!$D$5:$D$104,MATCH($B843,Properties!$A$5:$A$104,0)),"-"))</f>
        <v/>
      </c>
      <c r="M843" s="28" t="str">
        <f aca="false">IF(OR($A843="",N($E843)=0),"",$F843/$E843)</f>
        <v/>
      </c>
      <c r="N843" s="28" t="str">
        <f aca="false">IF($A843="","",IF($H843="Y",$F843*(1+Settings!$B$3),0))</f>
        <v/>
      </c>
      <c r="O843" s="27" t="str">
        <f aca="false">IF($A843="","",IF(AND($H843="Y",$G843&lt;&gt;"Restock",N($M843)&gt;Settings!$B$4,$I843&lt;&gt;"Y"),"Get host OK",IF(AND($H843="Y",$F843&gt;Settings!$B$5,$I843&lt;&gt;"Y"),"Host should pay upfront",IF($J843&lt;&gt;"Y","Save receipt","OK"))))</f>
        <v/>
      </c>
      <c r="P843" s="29" t="str">
        <f aca="false">IF($A843="","",DATE(YEAR($A843),MONTH($A843),1))</f>
        <v/>
      </c>
      <c r="Q843" s="31" t="str">
        <f aca="false">IF($A843="","",IF(AND($L843='Invoice Builder'!$C$5,$P843='Invoice Builder'!$C$6,N($N843)&gt;0),COUNTIFS($L$5:$L843,'Invoice Builder'!$C$5,$P$5:$P843,'Invoice Builder'!$C$6,$N$5:$N843,"&gt;0"),""))</f>
        <v/>
      </c>
      <c r="R843" s="27" t="str">
        <f aca="false">IF($A843="","",IF($A843&gt;=DATE(YEAR($A843),4,6),YEAR($A843)&amp;"/"&amp;RIGHT(YEAR($A843)+1,2),YEAR($A843)-1&amp;"/"&amp;RIGHT(YEAR($A843),2)))</f>
        <v/>
      </c>
    </row>
    <row r="844" customFormat="false" ht="15" hidden="false" customHeight="false" outlineLevel="0" collapsed="false">
      <c r="A844" s="22"/>
      <c r="B844" s="23"/>
      <c r="C844" s="23"/>
      <c r="D844" s="23"/>
      <c r="E844" s="32"/>
      <c r="F844" s="25"/>
      <c r="G844" s="23"/>
      <c r="H844" s="23"/>
      <c r="I844" s="23"/>
      <c r="J844" s="23"/>
      <c r="K844" s="23"/>
      <c r="L844" s="27" t="str">
        <f aca="false">IF($B844="","",IFERROR(INDEX(Properties!$D$5:$D$104,MATCH($B844,Properties!$A$5:$A$104,0)),"-"))</f>
        <v/>
      </c>
      <c r="M844" s="28" t="str">
        <f aca="false">IF(OR($A844="",N($E844)=0),"",$F844/$E844)</f>
        <v/>
      </c>
      <c r="N844" s="28" t="str">
        <f aca="false">IF($A844="","",IF($H844="Y",$F844*(1+Settings!$B$3),0))</f>
        <v/>
      </c>
      <c r="O844" s="27" t="str">
        <f aca="false">IF($A844="","",IF(AND($H844="Y",$G844&lt;&gt;"Restock",N($M844)&gt;Settings!$B$4,$I844&lt;&gt;"Y"),"Get host OK",IF(AND($H844="Y",$F844&gt;Settings!$B$5,$I844&lt;&gt;"Y"),"Host should pay upfront",IF($J844&lt;&gt;"Y","Save receipt","OK"))))</f>
        <v/>
      </c>
      <c r="P844" s="29" t="str">
        <f aca="false">IF($A844="","",DATE(YEAR($A844),MONTH($A844),1))</f>
        <v/>
      </c>
      <c r="Q844" s="31" t="str">
        <f aca="false">IF($A844="","",IF(AND($L844='Invoice Builder'!$C$5,$P844='Invoice Builder'!$C$6,N($N844)&gt;0),COUNTIFS($L$5:$L844,'Invoice Builder'!$C$5,$P$5:$P844,'Invoice Builder'!$C$6,$N$5:$N844,"&gt;0"),""))</f>
        <v/>
      </c>
      <c r="R844" s="27" t="str">
        <f aca="false">IF($A844="","",IF($A844&gt;=DATE(YEAR($A844),4,6),YEAR($A844)&amp;"/"&amp;RIGHT(YEAR($A844)+1,2),YEAR($A844)-1&amp;"/"&amp;RIGHT(YEAR($A844),2)))</f>
        <v/>
      </c>
    </row>
    <row r="845" customFormat="false" ht="15" hidden="false" customHeight="false" outlineLevel="0" collapsed="false">
      <c r="A845" s="22"/>
      <c r="B845" s="23"/>
      <c r="C845" s="23"/>
      <c r="D845" s="23"/>
      <c r="E845" s="32"/>
      <c r="F845" s="25"/>
      <c r="G845" s="23"/>
      <c r="H845" s="23"/>
      <c r="I845" s="23"/>
      <c r="J845" s="23"/>
      <c r="K845" s="23"/>
      <c r="L845" s="27" t="str">
        <f aca="false">IF($B845="","",IFERROR(INDEX(Properties!$D$5:$D$104,MATCH($B845,Properties!$A$5:$A$104,0)),"-"))</f>
        <v/>
      </c>
      <c r="M845" s="28" t="str">
        <f aca="false">IF(OR($A845="",N($E845)=0),"",$F845/$E845)</f>
        <v/>
      </c>
      <c r="N845" s="28" t="str">
        <f aca="false">IF($A845="","",IF($H845="Y",$F845*(1+Settings!$B$3),0))</f>
        <v/>
      </c>
      <c r="O845" s="27" t="str">
        <f aca="false">IF($A845="","",IF(AND($H845="Y",$G845&lt;&gt;"Restock",N($M845)&gt;Settings!$B$4,$I845&lt;&gt;"Y"),"Get host OK",IF(AND($H845="Y",$F845&gt;Settings!$B$5,$I845&lt;&gt;"Y"),"Host should pay upfront",IF($J845&lt;&gt;"Y","Save receipt","OK"))))</f>
        <v/>
      </c>
      <c r="P845" s="29" t="str">
        <f aca="false">IF($A845="","",DATE(YEAR($A845),MONTH($A845),1))</f>
        <v/>
      </c>
      <c r="Q845" s="31" t="str">
        <f aca="false">IF($A845="","",IF(AND($L845='Invoice Builder'!$C$5,$P845='Invoice Builder'!$C$6,N($N845)&gt;0),COUNTIFS($L$5:$L845,'Invoice Builder'!$C$5,$P$5:$P845,'Invoice Builder'!$C$6,$N$5:$N845,"&gt;0"),""))</f>
        <v/>
      </c>
      <c r="R845" s="27" t="str">
        <f aca="false">IF($A845="","",IF($A845&gt;=DATE(YEAR($A845),4,6),YEAR($A845)&amp;"/"&amp;RIGHT(YEAR($A845)+1,2),YEAR($A845)-1&amp;"/"&amp;RIGHT(YEAR($A845),2)))</f>
        <v/>
      </c>
    </row>
    <row r="846" customFormat="false" ht="15" hidden="false" customHeight="false" outlineLevel="0" collapsed="false">
      <c r="A846" s="22"/>
      <c r="B846" s="23"/>
      <c r="C846" s="23"/>
      <c r="D846" s="23"/>
      <c r="E846" s="32"/>
      <c r="F846" s="25"/>
      <c r="G846" s="23"/>
      <c r="H846" s="23"/>
      <c r="I846" s="23"/>
      <c r="J846" s="23"/>
      <c r="K846" s="23"/>
      <c r="L846" s="27" t="str">
        <f aca="false">IF($B846="","",IFERROR(INDEX(Properties!$D$5:$D$104,MATCH($B846,Properties!$A$5:$A$104,0)),"-"))</f>
        <v/>
      </c>
      <c r="M846" s="28" t="str">
        <f aca="false">IF(OR($A846="",N($E846)=0),"",$F846/$E846)</f>
        <v/>
      </c>
      <c r="N846" s="28" t="str">
        <f aca="false">IF($A846="","",IF($H846="Y",$F846*(1+Settings!$B$3),0))</f>
        <v/>
      </c>
      <c r="O846" s="27" t="str">
        <f aca="false">IF($A846="","",IF(AND($H846="Y",$G846&lt;&gt;"Restock",N($M846)&gt;Settings!$B$4,$I846&lt;&gt;"Y"),"Get host OK",IF(AND($H846="Y",$F846&gt;Settings!$B$5,$I846&lt;&gt;"Y"),"Host should pay upfront",IF($J846&lt;&gt;"Y","Save receipt","OK"))))</f>
        <v/>
      </c>
      <c r="P846" s="29" t="str">
        <f aca="false">IF($A846="","",DATE(YEAR($A846),MONTH($A846),1))</f>
        <v/>
      </c>
      <c r="Q846" s="31" t="str">
        <f aca="false">IF($A846="","",IF(AND($L846='Invoice Builder'!$C$5,$P846='Invoice Builder'!$C$6,N($N846)&gt;0),COUNTIFS($L$5:$L846,'Invoice Builder'!$C$5,$P$5:$P846,'Invoice Builder'!$C$6,$N$5:$N846,"&gt;0"),""))</f>
        <v/>
      </c>
      <c r="R846" s="27" t="str">
        <f aca="false">IF($A846="","",IF($A846&gt;=DATE(YEAR($A846),4,6),YEAR($A846)&amp;"/"&amp;RIGHT(YEAR($A846)+1,2),YEAR($A846)-1&amp;"/"&amp;RIGHT(YEAR($A846),2)))</f>
        <v/>
      </c>
    </row>
    <row r="847" customFormat="false" ht="15" hidden="false" customHeight="false" outlineLevel="0" collapsed="false">
      <c r="A847" s="22"/>
      <c r="B847" s="23"/>
      <c r="C847" s="23"/>
      <c r="D847" s="23"/>
      <c r="E847" s="32"/>
      <c r="F847" s="25"/>
      <c r="G847" s="23"/>
      <c r="H847" s="23"/>
      <c r="I847" s="23"/>
      <c r="J847" s="23"/>
      <c r="K847" s="23"/>
      <c r="L847" s="27" t="str">
        <f aca="false">IF($B847="","",IFERROR(INDEX(Properties!$D$5:$D$104,MATCH($B847,Properties!$A$5:$A$104,0)),"-"))</f>
        <v/>
      </c>
      <c r="M847" s="28" t="str">
        <f aca="false">IF(OR($A847="",N($E847)=0),"",$F847/$E847)</f>
        <v/>
      </c>
      <c r="N847" s="28" t="str">
        <f aca="false">IF($A847="","",IF($H847="Y",$F847*(1+Settings!$B$3),0))</f>
        <v/>
      </c>
      <c r="O847" s="27" t="str">
        <f aca="false">IF($A847="","",IF(AND($H847="Y",$G847&lt;&gt;"Restock",N($M847)&gt;Settings!$B$4,$I847&lt;&gt;"Y"),"Get host OK",IF(AND($H847="Y",$F847&gt;Settings!$B$5,$I847&lt;&gt;"Y"),"Host should pay upfront",IF($J847&lt;&gt;"Y","Save receipt","OK"))))</f>
        <v/>
      </c>
      <c r="P847" s="29" t="str">
        <f aca="false">IF($A847="","",DATE(YEAR($A847),MONTH($A847),1))</f>
        <v/>
      </c>
      <c r="Q847" s="31" t="str">
        <f aca="false">IF($A847="","",IF(AND($L847='Invoice Builder'!$C$5,$P847='Invoice Builder'!$C$6,N($N847)&gt;0),COUNTIFS($L$5:$L847,'Invoice Builder'!$C$5,$P$5:$P847,'Invoice Builder'!$C$6,$N$5:$N847,"&gt;0"),""))</f>
        <v/>
      </c>
      <c r="R847" s="27" t="str">
        <f aca="false">IF($A847="","",IF($A847&gt;=DATE(YEAR($A847),4,6),YEAR($A847)&amp;"/"&amp;RIGHT(YEAR($A847)+1,2),YEAR($A847)-1&amp;"/"&amp;RIGHT(YEAR($A847),2)))</f>
        <v/>
      </c>
    </row>
    <row r="848" customFormat="false" ht="15" hidden="false" customHeight="false" outlineLevel="0" collapsed="false">
      <c r="A848" s="22"/>
      <c r="B848" s="23"/>
      <c r="C848" s="23"/>
      <c r="D848" s="23"/>
      <c r="E848" s="32"/>
      <c r="F848" s="25"/>
      <c r="G848" s="23"/>
      <c r="H848" s="23"/>
      <c r="I848" s="23"/>
      <c r="J848" s="23"/>
      <c r="K848" s="23"/>
      <c r="L848" s="27" t="str">
        <f aca="false">IF($B848="","",IFERROR(INDEX(Properties!$D$5:$D$104,MATCH($B848,Properties!$A$5:$A$104,0)),"-"))</f>
        <v/>
      </c>
      <c r="M848" s="28" t="str">
        <f aca="false">IF(OR($A848="",N($E848)=0),"",$F848/$E848)</f>
        <v/>
      </c>
      <c r="N848" s="28" t="str">
        <f aca="false">IF($A848="","",IF($H848="Y",$F848*(1+Settings!$B$3),0))</f>
        <v/>
      </c>
      <c r="O848" s="27" t="str">
        <f aca="false">IF($A848="","",IF(AND($H848="Y",$G848&lt;&gt;"Restock",N($M848)&gt;Settings!$B$4,$I848&lt;&gt;"Y"),"Get host OK",IF(AND($H848="Y",$F848&gt;Settings!$B$5,$I848&lt;&gt;"Y"),"Host should pay upfront",IF($J848&lt;&gt;"Y","Save receipt","OK"))))</f>
        <v/>
      </c>
      <c r="P848" s="29" t="str">
        <f aca="false">IF($A848="","",DATE(YEAR($A848),MONTH($A848),1))</f>
        <v/>
      </c>
      <c r="Q848" s="31" t="str">
        <f aca="false">IF($A848="","",IF(AND($L848='Invoice Builder'!$C$5,$P848='Invoice Builder'!$C$6,N($N848)&gt;0),COUNTIFS($L$5:$L848,'Invoice Builder'!$C$5,$P$5:$P848,'Invoice Builder'!$C$6,$N$5:$N848,"&gt;0"),""))</f>
        <v/>
      </c>
      <c r="R848" s="27" t="str">
        <f aca="false">IF($A848="","",IF($A848&gt;=DATE(YEAR($A848),4,6),YEAR($A848)&amp;"/"&amp;RIGHT(YEAR($A848)+1,2),YEAR($A848)-1&amp;"/"&amp;RIGHT(YEAR($A848),2)))</f>
        <v/>
      </c>
    </row>
    <row r="849" customFormat="false" ht="15" hidden="false" customHeight="false" outlineLevel="0" collapsed="false">
      <c r="A849" s="22"/>
      <c r="B849" s="23"/>
      <c r="C849" s="23"/>
      <c r="D849" s="23"/>
      <c r="E849" s="32"/>
      <c r="F849" s="25"/>
      <c r="G849" s="23"/>
      <c r="H849" s="23"/>
      <c r="I849" s="23"/>
      <c r="J849" s="23"/>
      <c r="K849" s="23"/>
      <c r="L849" s="27" t="str">
        <f aca="false">IF($B849="","",IFERROR(INDEX(Properties!$D$5:$D$104,MATCH($B849,Properties!$A$5:$A$104,0)),"-"))</f>
        <v/>
      </c>
      <c r="M849" s="28" t="str">
        <f aca="false">IF(OR($A849="",N($E849)=0),"",$F849/$E849)</f>
        <v/>
      </c>
      <c r="N849" s="28" t="str">
        <f aca="false">IF($A849="","",IF($H849="Y",$F849*(1+Settings!$B$3),0))</f>
        <v/>
      </c>
      <c r="O849" s="27" t="str">
        <f aca="false">IF($A849="","",IF(AND($H849="Y",$G849&lt;&gt;"Restock",N($M849)&gt;Settings!$B$4,$I849&lt;&gt;"Y"),"Get host OK",IF(AND($H849="Y",$F849&gt;Settings!$B$5,$I849&lt;&gt;"Y"),"Host should pay upfront",IF($J849&lt;&gt;"Y","Save receipt","OK"))))</f>
        <v/>
      </c>
      <c r="P849" s="29" t="str">
        <f aca="false">IF($A849="","",DATE(YEAR($A849),MONTH($A849),1))</f>
        <v/>
      </c>
      <c r="Q849" s="31" t="str">
        <f aca="false">IF($A849="","",IF(AND($L849='Invoice Builder'!$C$5,$P849='Invoice Builder'!$C$6,N($N849)&gt;0),COUNTIFS($L$5:$L849,'Invoice Builder'!$C$5,$P$5:$P849,'Invoice Builder'!$C$6,$N$5:$N849,"&gt;0"),""))</f>
        <v/>
      </c>
      <c r="R849" s="27" t="str">
        <f aca="false">IF($A849="","",IF($A849&gt;=DATE(YEAR($A849),4,6),YEAR($A849)&amp;"/"&amp;RIGHT(YEAR($A849)+1,2),YEAR($A849)-1&amp;"/"&amp;RIGHT(YEAR($A849),2)))</f>
        <v/>
      </c>
    </row>
    <row r="850" customFormat="false" ht="15" hidden="false" customHeight="false" outlineLevel="0" collapsed="false">
      <c r="A850" s="22"/>
      <c r="B850" s="23"/>
      <c r="C850" s="23"/>
      <c r="D850" s="23"/>
      <c r="E850" s="32"/>
      <c r="F850" s="25"/>
      <c r="G850" s="23"/>
      <c r="H850" s="23"/>
      <c r="I850" s="23"/>
      <c r="J850" s="23"/>
      <c r="K850" s="23"/>
      <c r="L850" s="27" t="str">
        <f aca="false">IF($B850="","",IFERROR(INDEX(Properties!$D$5:$D$104,MATCH($B850,Properties!$A$5:$A$104,0)),"-"))</f>
        <v/>
      </c>
      <c r="M850" s="28" t="str">
        <f aca="false">IF(OR($A850="",N($E850)=0),"",$F850/$E850)</f>
        <v/>
      </c>
      <c r="N850" s="28" t="str">
        <f aca="false">IF($A850="","",IF($H850="Y",$F850*(1+Settings!$B$3),0))</f>
        <v/>
      </c>
      <c r="O850" s="27" t="str">
        <f aca="false">IF($A850="","",IF(AND($H850="Y",$G850&lt;&gt;"Restock",N($M850)&gt;Settings!$B$4,$I850&lt;&gt;"Y"),"Get host OK",IF(AND($H850="Y",$F850&gt;Settings!$B$5,$I850&lt;&gt;"Y"),"Host should pay upfront",IF($J850&lt;&gt;"Y","Save receipt","OK"))))</f>
        <v/>
      </c>
      <c r="P850" s="29" t="str">
        <f aca="false">IF($A850="","",DATE(YEAR($A850),MONTH($A850),1))</f>
        <v/>
      </c>
      <c r="Q850" s="31" t="str">
        <f aca="false">IF($A850="","",IF(AND($L850='Invoice Builder'!$C$5,$P850='Invoice Builder'!$C$6,N($N850)&gt;0),COUNTIFS($L$5:$L850,'Invoice Builder'!$C$5,$P$5:$P850,'Invoice Builder'!$C$6,$N$5:$N850,"&gt;0"),""))</f>
        <v/>
      </c>
      <c r="R850" s="27" t="str">
        <f aca="false">IF($A850="","",IF($A850&gt;=DATE(YEAR($A850),4,6),YEAR($A850)&amp;"/"&amp;RIGHT(YEAR($A850)+1,2),YEAR($A850)-1&amp;"/"&amp;RIGHT(YEAR($A850),2)))</f>
        <v/>
      </c>
    </row>
    <row r="851" customFormat="false" ht="15" hidden="false" customHeight="false" outlineLevel="0" collapsed="false">
      <c r="A851" s="22"/>
      <c r="B851" s="23"/>
      <c r="C851" s="23"/>
      <c r="D851" s="23"/>
      <c r="E851" s="32"/>
      <c r="F851" s="25"/>
      <c r="G851" s="23"/>
      <c r="H851" s="23"/>
      <c r="I851" s="23"/>
      <c r="J851" s="23"/>
      <c r="K851" s="23"/>
      <c r="L851" s="27" t="str">
        <f aca="false">IF($B851="","",IFERROR(INDEX(Properties!$D$5:$D$104,MATCH($B851,Properties!$A$5:$A$104,0)),"-"))</f>
        <v/>
      </c>
      <c r="M851" s="28" t="str">
        <f aca="false">IF(OR($A851="",N($E851)=0),"",$F851/$E851)</f>
        <v/>
      </c>
      <c r="N851" s="28" t="str">
        <f aca="false">IF($A851="","",IF($H851="Y",$F851*(1+Settings!$B$3),0))</f>
        <v/>
      </c>
      <c r="O851" s="27" t="str">
        <f aca="false">IF($A851="","",IF(AND($H851="Y",$G851&lt;&gt;"Restock",N($M851)&gt;Settings!$B$4,$I851&lt;&gt;"Y"),"Get host OK",IF(AND($H851="Y",$F851&gt;Settings!$B$5,$I851&lt;&gt;"Y"),"Host should pay upfront",IF($J851&lt;&gt;"Y","Save receipt","OK"))))</f>
        <v/>
      </c>
      <c r="P851" s="29" t="str">
        <f aca="false">IF($A851="","",DATE(YEAR($A851),MONTH($A851),1))</f>
        <v/>
      </c>
      <c r="Q851" s="31" t="str">
        <f aca="false">IF($A851="","",IF(AND($L851='Invoice Builder'!$C$5,$P851='Invoice Builder'!$C$6,N($N851)&gt;0),COUNTIFS($L$5:$L851,'Invoice Builder'!$C$5,$P$5:$P851,'Invoice Builder'!$C$6,$N$5:$N851,"&gt;0"),""))</f>
        <v/>
      </c>
      <c r="R851" s="27" t="str">
        <f aca="false">IF($A851="","",IF($A851&gt;=DATE(YEAR($A851),4,6),YEAR($A851)&amp;"/"&amp;RIGHT(YEAR($A851)+1,2),YEAR($A851)-1&amp;"/"&amp;RIGHT(YEAR($A851),2)))</f>
        <v/>
      </c>
    </row>
    <row r="852" customFormat="false" ht="15" hidden="false" customHeight="false" outlineLevel="0" collapsed="false">
      <c r="A852" s="22"/>
      <c r="B852" s="23"/>
      <c r="C852" s="23"/>
      <c r="D852" s="23"/>
      <c r="E852" s="32"/>
      <c r="F852" s="25"/>
      <c r="G852" s="23"/>
      <c r="H852" s="23"/>
      <c r="I852" s="23"/>
      <c r="J852" s="23"/>
      <c r="K852" s="23"/>
      <c r="L852" s="27" t="str">
        <f aca="false">IF($B852="","",IFERROR(INDEX(Properties!$D$5:$D$104,MATCH($B852,Properties!$A$5:$A$104,0)),"-"))</f>
        <v/>
      </c>
      <c r="M852" s="28" t="str">
        <f aca="false">IF(OR($A852="",N($E852)=0),"",$F852/$E852)</f>
        <v/>
      </c>
      <c r="N852" s="28" t="str">
        <f aca="false">IF($A852="","",IF($H852="Y",$F852*(1+Settings!$B$3),0))</f>
        <v/>
      </c>
      <c r="O852" s="27" t="str">
        <f aca="false">IF($A852="","",IF(AND($H852="Y",$G852&lt;&gt;"Restock",N($M852)&gt;Settings!$B$4,$I852&lt;&gt;"Y"),"Get host OK",IF(AND($H852="Y",$F852&gt;Settings!$B$5,$I852&lt;&gt;"Y"),"Host should pay upfront",IF($J852&lt;&gt;"Y","Save receipt","OK"))))</f>
        <v/>
      </c>
      <c r="P852" s="29" t="str">
        <f aca="false">IF($A852="","",DATE(YEAR($A852),MONTH($A852),1))</f>
        <v/>
      </c>
      <c r="Q852" s="31" t="str">
        <f aca="false">IF($A852="","",IF(AND($L852='Invoice Builder'!$C$5,$P852='Invoice Builder'!$C$6,N($N852)&gt;0),COUNTIFS($L$5:$L852,'Invoice Builder'!$C$5,$P$5:$P852,'Invoice Builder'!$C$6,$N$5:$N852,"&gt;0"),""))</f>
        <v/>
      </c>
      <c r="R852" s="27" t="str">
        <f aca="false">IF($A852="","",IF($A852&gt;=DATE(YEAR($A852),4,6),YEAR($A852)&amp;"/"&amp;RIGHT(YEAR($A852)+1,2),YEAR($A852)-1&amp;"/"&amp;RIGHT(YEAR($A852),2)))</f>
        <v/>
      </c>
    </row>
    <row r="853" customFormat="false" ht="15" hidden="false" customHeight="false" outlineLevel="0" collapsed="false">
      <c r="A853" s="22"/>
      <c r="B853" s="23"/>
      <c r="C853" s="23"/>
      <c r="D853" s="23"/>
      <c r="E853" s="32"/>
      <c r="F853" s="25"/>
      <c r="G853" s="23"/>
      <c r="H853" s="23"/>
      <c r="I853" s="23"/>
      <c r="J853" s="23"/>
      <c r="K853" s="23"/>
      <c r="L853" s="27" t="str">
        <f aca="false">IF($B853="","",IFERROR(INDEX(Properties!$D$5:$D$104,MATCH($B853,Properties!$A$5:$A$104,0)),"-"))</f>
        <v/>
      </c>
      <c r="M853" s="28" t="str">
        <f aca="false">IF(OR($A853="",N($E853)=0),"",$F853/$E853)</f>
        <v/>
      </c>
      <c r="N853" s="28" t="str">
        <f aca="false">IF($A853="","",IF($H853="Y",$F853*(1+Settings!$B$3),0))</f>
        <v/>
      </c>
      <c r="O853" s="27" t="str">
        <f aca="false">IF($A853="","",IF(AND($H853="Y",$G853&lt;&gt;"Restock",N($M853)&gt;Settings!$B$4,$I853&lt;&gt;"Y"),"Get host OK",IF(AND($H853="Y",$F853&gt;Settings!$B$5,$I853&lt;&gt;"Y"),"Host should pay upfront",IF($J853&lt;&gt;"Y","Save receipt","OK"))))</f>
        <v/>
      </c>
      <c r="P853" s="29" t="str">
        <f aca="false">IF($A853="","",DATE(YEAR($A853),MONTH($A853),1))</f>
        <v/>
      </c>
      <c r="Q853" s="31" t="str">
        <f aca="false">IF($A853="","",IF(AND($L853='Invoice Builder'!$C$5,$P853='Invoice Builder'!$C$6,N($N853)&gt;0),COUNTIFS($L$5:$L853,'Invoice Builder'!$C$5,$P$5:$P853,'Invoice Builder'!$C$6,$N$5:$N853,"&gt;0"),""))</f>
        <v/>
      </c>
      <c r="R853" s="27" t="str">
        <f aca="false">IF($A853="","",IF($A853&gt;=DATE(YEAR($A853),4,6),YEAR($A853)&amp;"/"&amp;RIGHT(YEAR($A853)+1,2),YEAR($A853)-1&amp;"/"&amp;RIGHT(YEAR($A853),2)))</f>
        <v/>
      </c>
    </row>
    <row r="854" customFormat="false" ht="15" hidden="false" customHeight="false" outlineLevel="0" collapsed="false">
      <c r="A854" s="22"/>
      <c r="B854" s="23"/>
      <c r="C854" s="23"/>
      <c r="D854" s="23"/>
      <c r="E854" s="32"/>
      <c r="F854" s="25"/>
      <c r="G854" s="23"/>
      <c r="H854" s="23"/>
      <c r="I854" s="23"/>
      <c r="J854" s="23"/>
      <c r="K854" s="23"/>
      <c r="L854" s="27" t="str">
        <f aca="false">IF($B854="","",IFERROR(INDEX(Properties!$D$5:$D$104,MATCH($B854,Properties!$A$5:$A$104,0)),"-"))</f>
        <v/>
      </c>
      <c r="M854" s="28" t="str">
        <f aca="false">IF(OR($A854="",N($E854)=0),"",$F854/$E854)</f>
        <v/>
      </c>
      <c r="N854" s="28" t="str">
        <f aca="false">IF($A854="","",IF($H854="Y",$F854*(1+Settings!$B$3),0))</f>
        <v/>
      </c>
      <c r="O854" s="27" t="str">
        <f aca="false">IF($A854="","",IF(AND($H854="Y",$G854&lt;&gt;"Restock",N($M854)&gt;Settings!$B$4,$I854&lt;&gt;"Y"),"Get host OK",IF(AND($H854="Y",$F854&gt;Settings!$B$5,$I854&lt;&gt;"Y"),"Host should pay upfront",IF($J854&lt;&gt;"Y","Save receipt","OK"))))</f>
        <v/>
      </c>
      <c r="P854" s="29" t="str">
        <f aca="false">IF($A854="","",DATE(YEAR($A854),MONTH($A854),1))</f>
        <v/>
      </c>
      <c r="Q854" s="31" t="str">
        <f aca="false">IF($A854="","",IF(AND($L854='Invoice Builder'!$C$5,$P854='Invoice Builder'!$C$6,N($N854)&gt;0),COUNTIFS($L$5:$L854,'Invoice Builder'!$C$5,$P$5:$P854,'Invoice Builder'!$C$6,$N$5:$N854,"&gt;0"),""))</f>
        <v/>
      </c>
      <c r="R854" s="27" t="str">
        <f aca="false">IF($A854="","",IF($A854&gt;=DATE(YEAR($A854),4,6),YEAR($A854)&amp;"/"&amp;RIGHT(YEAR($A854)+1,2),YEAR($A854)-1&amp;"/"&amp;RIGHT(YEAR($A854),2)))</f>
        <v/>
      </c>
    </row>
    <row r="855" customFormat="false" ht="15" hidden="false" customHeight="false" outlineLevel="0" collapsed="false">
      <c r="A855" s="22"/>
      <c r="B855" s="23"/>
      <c r="C855" s="23"/>
      <c r="D855" s="23"/>
      <c r="E855" s="32"/>
      <c r="F855" s="25"/>
      <c r="G855" s="23"/>
      <c r="H855" s="23"/>
      <c r="I855" s="23"/>
      <c r="J855" s="23"/>
      <c r="K855" s="23"/>
      <c r="L855" s="27" t="str">
        <f aca="false">IF($B855="","",IFERROR(INDEX(Properties!$D$5:$D$104,MATCH($B855,Properties!$A$5:$A$104,0)),"-"))</f>
        <v/>
      </c>
      <c r="M855" s="28" t="str">
        <f aca="false">IF(OR($A855="",N($E855)=0),"",$F855/$E855)</f>
        <v/>
      </c>
      <c r="N855" s="28" t="str">
        <f aca="false">IF($A855="","",IF($H855="Y",$F855*(1+Settings!$B$3),0))</f>
        <v/>
      </c>
      <c r="O855" s="27" t="str">
        <f aca="false">IF($A855="","",IF(AND($H855="Y",$G855&lt;&gt;"Restock",N($M855)&gt;Settings!$B$4,$I855&lt;&gt;"Y"),"Get host OK",IF(AND($H855="Y",$F855&gt;Settings!$B$5,$I855&lt;&gt;"Y"),"Host should pay upfront",IF($J855&lt;&gt;"Y","Save receipt","OK"))))</f>
        <v/>
      </c>
      <c r="P855" s="29" t="str">
        <f aca="false">IF($A855="","",DATE(YEAR($A855),MONTH($A855),1))</f>
        <v/>
      </c>
      <c r="Q855" s="31" t="str">
        <f aca="false">IF($A855="","",IF(AND($L855='Invoice Builder'!$C$5,$P855='Invoice Builder'!$C$6,N($N855)&gt;0),COUNTIFS($L$5:$L855,'Invoice Builder'!$C$5,$P$5:$P855,'Invoice Builder'!$C$6,$N$5:$N855,"&gt;0"),""))</f>
        <v/>
      </c>
      <c r="R855" s="27" t="str">
        <f aca="false">IF($A855="","",IF($A855&gt;=DATE(YEAR($A855),4,6),YEAR($A855)&amp;"/"&amp;RIGHT(YEAR($A855)+1,2),YEAR($A855)-1&amp;"/"&amp;RIGHT(YEAR($A855),2)))</f>
        <v/>
      </c>
    </row>
    <row r="856" customFormat="false" ht="15" hidden="false" customHeight="false" outlineLevel="0" collapsed="false">
      <c r="A856" s="22"/>
      <c r="B856" s="23"/>
      <c r="C856" s="23"/>
      <c r="D856" s="23"/>
      <c r="E856" s="32"/>
      <c r="F856" s="25"/>
      <c r="G856" s="23"/>
      <c r="H856" s="23"/>
      <c r="I856" s="23"/>
      <c r="J856" s="23"/>
      <c r="K856" s="23"/>
      <c r="L856" s="27" t="str">
        <f aca="false">IF($B856="","",IFERROR(INDEX(Properties!$D$5:$D$104,MATCH($B856,Properties!$A$5:$A$104,0)),"-"))</f>
        <v/>
      </c>
      <c r="M856" s="28" t="str">
        <f aca="false">IF(OR($A856="",N($E856)=0),"",$F856/$E856)</f>
        <v/>
      </c>
      <c r="N856" s="28" t="str">
        <f aca="false">IF($A856="","",IF($H856="Y",$F856*(1+Settings!$B$3),0))</f>
        <v/>
      </c>
      <c r="O856" s="27" t="str">
        <f aca="false">IF($A856="","",IF(AND($H856="Y",$G856&lt;&gt;"Restock",N($M856)&gt;Settings!$B$4,$I856&lt;&gt;"Y"),"Get host OK",IF(AND($H856="Y",$F856&gt;Settings!$B$5,$I856&lt;&gt;"Y"),"Host should pay upfront",IF($J856&lt;&gt;"Y","Save receipt","OK"))))</f>
        <v/>
      </c>
      <c r="P856" s="29" t="str">
        <f aca="false">IF($A856="","",DATE(YEAR($A856),MONTH($A856),1))</f>
        <v/>
      </c>
      <c r="Q856" s="31" t="str">
        <f aca="false">IF($A856="","",IF(AND($L856='Invoice Builder'!$C$5,$P856='Invoice Builder'!$C$6,N($N856)&gt;0),COUNTIFS($L$5:$L856,'Invoice Builder'!$C$5,$P$5:$P856,'Invoice Builder'!$C$6,$N$5:$N856,"&gt;0"),""))</f>
        <v/>
      </c>
      <c r="R856" s="27" t="str">
        <f aca="false">IF($A856="","",IF($A856&gt;=DATE(YEAR($A856),4,6),YEAR($A856)&amp;"/"&amp;RIGHT(YEAR($A856)+1,2),YEAR($A856)-1&amp;"/"&amp;RIGHT(YEAR($A856),2)))</f>
        <v/>
      </c>
    </row>
    <row r="857" customFormat="false" ht="15" hidden="false" customHeight="false" outlineLevel="0" collapsed="false">
      <c r="A857" s="22"/>
      <c r="B857" s="23"/>
      <c r="C857" s="23"/>
      <c r="D857" s="23"/>
      <c r="E857" s="32"/>
      <c r="F857" s="25"/>
      <c r="G857" s="23"/>
      <c r="H857" s="23"/>
      <c r="I857" s="23"/>
      <c r="J857" s="23"/>
      <c r="K857" s="23"/>
      <c r="L857" s="27" t="str">
        <f aca="false">IF($B857="","",IFERROR(INDEX(Properties!$D$5:$D$104,MATCH($B857,Properties!$A$5:$A$104,0)),"-"))</f>
        <v/>
      </c>
      <c r="M857" s="28" t="str">
        <f aca="false">IF(OR($A857="",N($E857)=0),"",$F857/$E857)</f>
        <v/>
      </c>
      <c r="N857" s="28" t="str">
        <f aca="false">IF($A857="","",IF($H857="Y",$F857*(1+Settings!$B$3),0))</f>
        <v/>
      </c>
      <c r="O857" s="27" t="str">
        <f aca="false">IF($A857="","",IF(AND($H857="Y",$G857&lt;&gt;"Restock",N($M857)&gt;Settings!$B$4,$I857&lt;&gt;"Y"),"Get host OK",IF(AND($H857="Y",$F857&gt;Settings!$B$5,$I857&lt;&gt;"Y"),"Host should pay upfront",IF($J857&lt;&gt;"Y","Save receipt","OK"))))</f>
        <v/>
      </c>
      <c r="P857" s="29" t="str">
        <f aca="false">IF($A857="","",DATE(YEAR($A857),MONTH($A857),1))</f>
        <v/>
      </c>
      <c r="Q857" s="31" t="str">
        <f aca="false">IF($A857="","",IF(AND($L857='Invoice Builder'!$C$5,$P857='Invoice Builder'!$C$6,N($N857)&gt;0),COUNTIFS($L$5:$L857,'Invoice Builder'!$C$5,$P$5:$P857,'Invoice Builder'!$C$6,$N$5:$N857,"&gt;0"),""))</f>
        <v/>
      </c>
      <c r="R857" s="27" t="str">
        <f aca="false">IF($A857="","",IF($A857&gt;=DATE(YEAR($A857),4,6),YEAR($A857)&amp;"/"&amp;RIGHT(YEAR($A857)+1,2),YEAR($A857)-1&amp;"/"&amp;RIGHT(YEAR($A857),2)))</f>
        <v/>
      </c>
    </row>
    <row r="858" customFormat="false" ht="15" hidden="false" customHeight="false" outlineLevel="0" collapsed="false">
      <c r="A858" s="22"/>
      <c r="B858" s="23"/>
      <c r="C858" s="23"/>
      <c r="D858" s="23"/>
      <c r="E858" s="32"/>
      <c r="F858" s="25"/>
      <c r="G858" s="23"/>
      <c r="H858" s="23"/>
      <c r="I858" s="23"/>
      <c r="J858" s="23"/>
      <c r="K858" s="23"/>
      <c r="L858" s="27" t="str">
        <f aca="false">IF($B858="","",IFERROR(INDEX(Properties!$D$5:$D$104,MATCH($B858,Properties!$A$5:$A$104,0)),"-"))</f>
        <v/>
      </c>
      <c r="M858" s="28" t="str">
        <f aca="false">IF(OR($A858="",N($E858)=0),"",$F858/$E858)</f>
        <v/>
      </c>
      <c r="N858" s="28" t="str">
        <f aca="false">IF($A858="","",IF($H858="Y",$F858*(1+Settings!$B$3),0))</f>
        <v/>
      </c>
      <c r="O858" s="27" t="str">
        <f aca="false">IF($A858="","",IF(AND($H858="Y",$G858&lt;&gt;"Restock",N($M858)&gt;Settings!$B$4,$I858&lt;&gt;"Y"),"Get host OK",IF(AND($H858="Y",$F858&gt;Settings!$B$5,$I858&lt;&gt;"Y"),"Host should pay upfront",IF($J858&lt;&gt;"Y","Save receipt","OK"))))</f>
        <v/>
      </c>
      <c r="P858" s="29" t="str">
        <f aca="false">IF($A858="","",DATE(YEAR($A858),MONTH($A858),1))</f>
        <v/>
      </c>
      <c r="Q858" s="31" t="str">
        <f aca="false">IF($A858="","",IF(AND($L858='Invoice Builder'!$C$5,$P858='Invoice Builder'!$C$6,N($N858)&gt;0),COUNTIFS($L$5:$L858,'Invoice Builder'!$C$5,$P$5:$P858,'Invoice Builder'!$C$6,$N$5:$N858,"&gt;0"),""))</f>
        <v/>
      </c>
      <c r="R858" s="27" t="str">
        <f aca="false">IF($A858="","",IF($A858&gt;=DATE(YEAR($A858),4,6),YEAR($A858)&amp;"/"&amp;RIGHT(YEAR($A858)+1,2),YEAR($A858)-1&amp;"/"&amp;RIGHT(YEAR($A858),2)))</f>
        <v/>
      </c>
    </row>
    <row r="859" customFormat="false" ht="15" hidden="false" customHeight="false" outlineLevel="0" collapsed="false">
      <c r="A859" s="22"/>
      <c r="B859" s="23"/>
      <c r="C859" s="23"/>
      <c r="D859" s="23"/>
      <c r="E859" s="32"/>
      <c r="F859" s="25"/>
      <c r="G859" s="23"/>
      <c r="H859" s="23"/>
      <c r="I859" s="23"/>
      <c r="J859" s="23"/>
      <c r="K859" s="23"/>
      <c r="L859" s="27" t="str">
        <f aca="false">IF($B859="","",IFERROR(INDEX(Properties!$D$5:$D$104,MATCH($B859,Properties!$A$5:$A$104,0)),"-"))</f>
        <v/>
      </c>
      <c r="M859" s="28" t="str">
        <f aca="false">IF(OR($A859="",N($E859)=0),"",$F859/$E859)</f>
        <v/>
      </c>
      <c r="N859" s="28" t="str">
        <f aca="false">IF($A859="","",IF($H859="Y",$F859*(1+Settings!$B$3),0))</f>
        <v/>
      </c>
      <c r="O859" s="27" t="str">
        <f aca="false">IF($A859="","",IF(AND($H859="Y",$G859&lt;&gt;"Restock",N($M859)&gt;Settings!$B$4,$I859&lt;&gt;"Y"),"Get host OK",IF(AND($H859="Y",$F859&gt;Settings!$B$5,$I859&lt;&gt;"Y"),"Host should pay upfront",IF($J859&lt;&gt;"Y","Save receipt","OK"))))</f>
        <v/>
      </c>
      <c r="P859" s="29" t="str">
        <f aca="false">IF($A859="","",DATE(YEAR($A859),MONTH($A859),1))</f>
        <v/>
      </c>
      <c r="Q859" s="31" t="str">
        <f aca="false">IF($A859="","",IF(AND($L859='Invoice Builder'!$C$5,$P859='Invoice Builder'!$C$6,N($N859)&gt;0),COUNTIFS($L$5:$L859,'Invoice Builder'!$C$5,$P$5:$P859,'Invoice Builder'!$C$6,$N$5:$N859,"&gt;0"),""))</f>
        <v/>
      </c>
      <c r="R859" s="27" t="str">
        <f aca="false">IF($A859="","",IF($A859&gt;=DATE(YEAR($A859),4,6),YEAR($A859)&amp;"/"&amp;RIGHT(YEAR($A859)+1,2),YEAR($A859)-1&amp;"/"&amp;RIGHT(YEAR($A859),2)))</f>
        <v/>
      </c>
    </row>
    <row r="860" customFormat="false" ht="15" hidden="false" customHeight="false" outlineLevel="0" collapsed="false">
      <c r="A860" s="22"/>
      <c r="B860" s="23"/>
      <c r="C860" s="23"/>
      <c r="D860" s="23"/>
      <c r="E860" s="32"/>
      <c r="F860" s="25"/>
      <c r="G860" s="23"/>
      <c r="H860" s="23"/>
      <c r="I860" s="23"/>
      <c r="J860" s="23"/>
      <c r="K860" s="23"/>
      <c r="L860" s="27" t="str">
        <f aca="false">IF($B860="","",IFERROR(INDEX(Properties!$D$5:$D$104,MATCH($B860,Properties!$A$5:$A$104,0)),"-"))</f>
        <v/>
      </c>
      <c r="M860" s="28" t="str">
        <f aca="false">IF(OR($A860="",N($E860)=0),"",$F860/$E860)</f>
        <v/>
      </c>
      <c r="N860" s="28" t="str">
        <f aca="false">IF($A860="","",IF($H860="Y",$F860*(1+Settings!$B$3),0))</f>
        <v/>
      </c>
      <c r="O860" s="27" t="str">
        <f aca="false">IF($A860="","",IF(AND($H860="Y",$G860&lt;&gt;"Restock",N($M860)&gt;Settings!$B$4,$I860&lt;&gt;"Y"),"Get host OK",IF(AND($H860="Y",$F860&gt;Settings!$B$5,$I860&lt;&gt;"Y"),"Host should pay upfront",IF($J860&lt;&gt;"Y","Save receipt","OK"))))</f>
        <v/>
      </c>
      <c r="P860" s="29" t="str">
        <f aca="false">IF($A860="","",DATE(YEAR($A860),MONTH($A860),1))</f>
        <v/>
      </c>
      <c r="Q860" s="31" t="str">
        <f aca="false">IF($A860="","",IF(AND($L860='Invoice Builder'!$C$5,$P860='Invoice Builder'!$C$6,N($N860)&gt;0),COUNTIFS($L$5:$L860,'Invoice Builder'!$C$5,$P$5:$P860,'Invoice Builder'!$C$6,$N$5:$N860,"&gt;0"),""))</f>
        <v/>
      </c>
      <c r="R860" s="27" t="str">
        <f aca="false">IF($A860="","",IF($A860&gt;=DATE(YEAR($A860),4,6),YEAR($A860)&amp;"/"&amp;RIGHT(YEAR($A860)+1,2),YEAR($A860)-1&amp;"/"&amp;RIGHT(YEAR($A860),2)))</f>
        <v/>
      </c>
    </row>
    <row r="861" customFormat="false" ht="15" hidden="false" customHeight="false" outlineLevel="0" collapsed="false">
      <c r="A861" s="22"/>
      <c r="B861" s="23"/>
      <c r="C861" s="23"/>
      <c r="D861" s="23"/>
      <c r="E861" s="32"/>
      <c r="F861" s="25"/>
      <c r="G861" s="23"/>
      <c r="H861" s="23"/>
      <c r="I861" s="23"/>
      <c r="J861" s="23"/>
      <c r="K861" s="23"/>
      <c r="L861" s="27" t="str">
        <f aca="false">IF($B861="","",IFERROR(INDEX(Properties!$D$5:$D$104,MATCH($B861,Properties!$A$5:$A$104,0)),"-"))</f>
        <v/>
      </c>
      <c r="M861" s="28" t="str">
        <f aca="false">IF(OR($A861="",N($E861)=0),"",$F861/$E861)</f>
        <v/>
      </c>
      <c r="N861" s="28" t="str">
        <f aca="false">IF($A861="","",IF($H861="Y",$F861*(1+Settings!$B$3),0))</f>
        <v/>
      </c>
      <c r="O861" s="27" t="str">
        <f aca="false">IF($A861="","",IF(AND($H861="Y",$G861&lt;&gt;"Restock",N($M861)&gt;Settings!$B$4,$I861&lt;&gt;"Y"),"Get host OK",IF(AND($H861="Y",$F861&gt;Settings!$B$5,$I861&lt;&gt;"Y"),"Host should pay upfront",IF($J861&lt;&gt;"Y","Save receipt","OK"))))</f>
        <v/>
      </c>
      <c r="P861" s="29" t="str">
        <f aca="false">IF($A861="","",DATE(YEAR($A861),MONTH($A861),1))</f>
        <v/>
      </c>
      <c r="Q861" s="31" t="str">
        <f aca="false">IF($A861="","",IF(AND($L861='Invoice Builder'!$C$5,$P861='Invoice Builder'!$C$6,N($N861)&gt;0),COUNTIFS($L$5:$L861,'Invoice Builder'!$C$5,$P$5:$P861,'Invoice Builder'!$C$6,$N$5:$N861,"&gt;0"),""))</f>
        <v/>
      </c>
      <c r="R861" s="27" t="str">
        <f aca="false">IF($A861="","",IF($A861&gt;=DATE(YEAR($A861),4,6),YEAR($A861)&amp;"/"&amp;RIGHT(YEAR($A861)+1,2),YEAR($A861)-1&amp;"/"&amp;RIGHT(YEAR($A861),2)))</f>
        <v/>
      </c>
    </row>
    <row r="862" customFormat="false" ht="15" hidden="false" customHeight="false" outlineLevel="0" collapsed="false">
      <c r="A862" s="22"/>
      <c r="B862" s="23"/>
      <c r="C862" s="23"/>
      <c r="D862" s="23"/>
      <c r="E862" s="32"/>
      <c r="F862" s="25"/>
      <c r="G862" s="23"/>
      <c r="H862" s="23"/>
      <c r="I862" s="23"/>
      <c r="J862" s="23"/>
      <c r="K862" s="23"/>
      <c r="L862" s="27" t="str">
        <f aca="false">IF($B862="","",IFERROR(INDEX(Properties!$D$5:$D$104,MATCH($B862,Properties!$A$5:$A$104,0)),"-"))</f>
        <v/>
      </c>
      <c r="M862" s="28" t="str">
        <f aca="false">IF(OR($A862="",N($E862)=0),"",$F862/$E862)</f>
        <v/>
      </c>
      <c r="N862" s="28" t="str">
        <f aca="false">IF($A862="","",IF($H862="Y",$F862*(1+Settings!$B$3),0))</f>
        <v/>
      </c>
      <c r="O862" s="27" t="str">
        <f aca="false">IF($A862="","",IF(AND($H862="Y",$G862&lt;&gt;"Restock",N($M862)&gt;Settings!$B$4,$I862&lt;&gt;"Y"),"Get host OK",IF(AND($H862="Y",$F862&gt;Settings!$B$5,$I862&lt;&gt;"Y"),"Host should pay upfront",IF($J862&lt;&gt;"Y","Save receipt","OK"))))</f>
        <v/>
      </c>
      <c r="P862" s="29" t="str">
        <f aca="false">IF($A862="","",DATE(YEAR($A862),MONTH($A862),1))</f>
        <v/>
      </c>
      <c r="Q862" s="31" t="str">
        <f aca="false">IF($A862="","",IF(AND($L862='Invoice Builder'!$C$5,$P862='Invoice Builder'!$C$6,N($N862)&gt;0),COUNTIFS($L$5:$L862,'Invoice Builder'!$C$5,$P$5:$P862,'Invoice Builder'!$C$6,$N$5:$N862,"&gt;0"),""))</f>
        <v/>
      </c>
      <c r="R862" s="27" t="str">
        <f aca="false">IF($A862="","",IF($A862&gt;=DATE(YEAR($A862),4,6),YEAR($A862)&amp;"/"&amp;RIGHT(YEAR($A862)+1,2),YEAR($A862)-1&amp;"/"&amp;RIGHT(YEAR($A862),2)))</f>
        <v/>
      </c>
    </row>
    <row r="863" customFormat="false" ht="15" hidden="false" customHeight="false" outlineLevel="0" collapsed="false">
      <c r="A863" s="22"/>
      <c r="B863" s="23"/>
      <c r="C863" s="23"/>
      <c r="D863" s="23"/>
      <c r="E863" s="32"/>
      <c r="F863" s="25"/>
      <c r="G863" s="23"/>
      <c r="H863" s="23"/>
      <c r="I863" s="23"/>
      <c r="J863" s="23"/>
      <c r="K863" s="23"/>
      <c r="L863" s="27" t="str">
        <f aca="false">IF($B863="","",IFERROR(INDEX(Properties!$D$5:$D$104,MATCH($B863,Properties!$A$5:$A$104,0)),"-"))</f>
        <v/>
      </c>
      <c r="M863" s="28" t="str">
        <f aca="false">IF(OR($A863="",N($E863)=0),"",$F863/$E863)</f>
        <v/>
      </c>
      <c r="N863" s="28" t="str">
        <f aca="false">IF($A863="","",IF($H863="Y",$F863*(1+Settings!$B$3),0))</f>
        <v/>
      </c>
      <c r="O863" s="27" t="str">
        <f aca="false">IF($A863="","",IF(AND($H863="Y",$G863&lt;&gt;"Restock",N($M863)&gt;Settings!$B$4,$I863&lt;&gt;"Y"),"Get host OK",IF(AND($H863="Y",$F863&gt;Settings!$B$5,$I863&lt;&gt;"Y"),"Host should pay upfront",IF($J863&lt;&gt;"Y","Save receipt","OK"))))</f>
        <v/>
      </c>
      <c r="P863" s="29" t="str">
        <f aca="false">IF($A863="","",DATE(YEAR($A863),MONTH($A863),1))</f>
        <v/>
      </c>
      <c r="Q863" s="31" t="str">
        <f aca="false">IF($A863="","",IF(AND($L863='Invoice Builder'!$C$5,$P863='Invoice Builder'!$C$6,N($N863)&gt;0),COUNTIFS($L$5:$L863,'Invoice Builder'!$C$5,$P$5:$P863,'Invoice Builder'!$C$6,$N$5:$N863,"&gt;0"),""))</f>
        <v/>
      </c>
      <c r="R863" s="27" t="str">
        <f aca="false">IF($A863="","",IF($A863&gt;=DATE(YEAR($A863),4,6),YEAR($A863)&amp;"/"&amp;RIGHT(YEAR($A863)+1,2),YEAR($A863)-1&amp;"/"&amp;RIGHT(YEAR($A863),2)))</f>
        <v/>
      </c>
    </row>
    <row r="864" customFormat="false" ht="15" hidden="false" customHeight="false" outlineLevel="0" collapsed="false">
      <c r="A864" s="22"/>
      <c r="B864" s="23"/>
      <c r="C864" s="23"/>
      <c r="D864" s="23"/>
      <c r="E864" s="32"/>
      <c r="F864" s="25"/>
      <c r="G864" s="23"/>
      <c r="H864" s="23"/>
      <c r="I864" s="23"/>
      <c r="J864" s="23"/>
      <c r="K864" s="23"/>
      <c r="L864" s="27" t="str">
        <f aca="false">IF($B864="","",IFERROR(INDEX(Properties!$D$5:$D$104,MATCH($B864,Properties!$A$5:$A$104,0)),"-"))</f>
        <v/>
      </c>
      <c r="M864" s="28" t="str">
        <f aca="false">IF(OR($A864="",N($E864)=0),"",$F864/$E864)</f>
        <v/>
      </c>
      <c r="N864" s="28" t="str">
        <f aca="false">IF($A864="","",IF($H864="Y",$F864*(1+Settings!$B$3),0))</f>
        <v/>
      </c>
      <c r="O864" s="27" t="str">
        <f aca="false">IF($A864="","",IF(AND($H864="Y",$G864&lt;&gt;"Restock",N($M864)&gt;Settings!$B$4,$I864&lt;&gt;"Y"),"Get host OK",IF(AND($H864="Y",$F864&gt;Settings!$B$5,$I864&lt;&gt;"Y"),"Host should pay upfront",IF($J864&lt;&gt;"Y","Save receipt","OK"))))</f>
        <v/>
      </c>
      <c r="P864" s="29" t="str">
        <f aca="false">IF($A864="","",DATE(YEAR($A864),MONTH($A864),1))</f>
        <v/>
      </c>
      <c r="Q864" s="31" t="str">
        <f aca="false">IF($A864="","",IF(AND($L864='Invoice Builder'!$C$5,$P864='Invoice Builder'!$C$6,N($N864)&gt;0),COUNTIFS($L$5:$L864,'Invoice Builder'!$C$5,$P$5:$P864,'Invoice Builder'!$C$6,$N$5:$N864,"&gt;0"),""))</f>
        <v/>
      </c>
      <c r="R864" s="27" t="str">
        <f aca="false">IF($A864="","",IF($A864&gt;=DATE(YEAR($A864),4,6),YEAR($A864)&amp;"/"&amp;RIGHT(YEAR($A864)+1,2),YEAR($A864)-1&amp;"/"&amp;RIGHT(YEAR($A864),2)))</f>
        <v/>
      </c>
    </row>
    <row r="865" customFormat="false" ht="15" hidden="false" customHeight="false" outlineLevel="0" collapsed="false">
      <c r="A865" s="22"/>
      <c r="B865" s="23"/>
      <c r="C865" s="23"/>
      <c r="D865" s="23"/>
      <c r="E865" s="32"/>
      <c r="F865" s="25"/>
      <c r="G865" s="23"/>
      <c r="H865" s="23"/>
      <c r="I865" s="23"/>
      <c r="J865" s="23"/>
      <c r="K865" s="23"/>
      <c r="L865" s="27" t="str">
        <f aca="false">IF($B865="","",IFERROR(INDEX(Properties!$D$5:$D$104,MATCH($B865,Properties!$A$5:$A$104,0)),"-"))</f>
        <v/>
      </c>
      <c r="M865" s="28" t="str">
        <f aca="false">IF(OR($A865="",N($E865)=0),"",$F865/$E865)</f>
        <v/>
      </c>
      <c r="N865" s="28" t="str">
        <f aca="false">IF($A865="","",IF($H865="Y",$F865*(1+Settings!$B$3),0))</f>
        <v/>
      </c>
      <c r="O865" s="27" t="str">
        <f aca="false">IF($A865="","",IF(AND($H865="Y",$G865&lt;&gt;"Restock",N($M865)&gt;Settings!$B$4,$I865&lt;&gt;"Y"),"Get host OK",IF(AND($H865="Y",$F865&gt;Settings!$B$5,$I865&lt;&gt;"Y"),"Host should pay upfront",IF($J865&lt;&gt;"Y","Save receipt","OK"))))</f>
        <v/>
      </c>
      <c r="P865" s="29" t="str">
        <f aca="false">IF($A865="","",DATE(YEAR($A865),MONTH($A865),1))</f>
        <v/>
      </c>
      <c r="Q865" s="31" t="str">
        <f aca="false">IF($A865="","",IF(AND($L865='Invoice Builder'!$C$5,$P865='Invoice Builder'!$C$6,N($N865)&gt;0),COUNTIFS($L$5:$L865,'Invoice Builder'!$C$5,$P$5:$P865,'Invoice Builder'!$C$6,$N$5:$N865,"&gt;0"),""))</f>
        <v/>
      </c>
      <c r="R865" s="27" t="str">
        <f aca="false">IF($A865="","",IF($A865&gt;=DATE(YEAR($A865),4,6),YEAR($A865)&amp;"/"&amp;RIGHT(YEAR($A865)+1,2),YEAR($A865)-1&amp;"/"&amp;RIGHT(YEAR($A865),2)))</f>
        <v/>
      </c>
    </row>
    <row r="866" customFormat="false" ht="15" hidden="false" customHeight="false" outlineLevel="0" collapsed="false">
      <c r="A866" s="22"/>
      <c r="B866" s="23"/>
      <c r="C866" s="23"/>
      <c r="D866" s="23"/>
      <c r="E866" s="32"/>
      <c r="F866" s="25"/>
      <c r="G866" s="23"/>
      <c r="H866" s="23"/>
      <c r="I866" s="23"/>
      <c r="J866" s="23"/>
      <c r="K866" s="23"/>
      <c r="L866" s="27" t="str">
        <f aca="false">IF($B866="","",IFERROR(INDEX(Properties!$D$5:$D$104,MATCH($B866,Properties!$A$5:$A$104,0)),"-"))</f>
        <v/>
      </c>
      <c r="M866" s="28" t="str">
        <f aca="false">IF(OR($A866="",N($E866)=0),"",$F866/$E866)</f>
        <v/>
      </c>
      <c r="N866" s="28" t="str">
        <f aca="false">IF($A866="","",IF($H866="Y",$F866*(1+Settings!$B$3),0))</f>
        <v/>
      </c>
      <c r="O866" s="27" t="str">
        <f aca="false">IF($A866="","",IF(AND($H866="Y",$G866&lt;&gt;"Restock",N($M866)&gt;Settings!$B$4,$I866&lt;&gt;"Y"),"Get host OK",IF(AND($H866="Y",$F866&gt;Settings!$B$5,$I866&lt;&gt;"Y"),"Host should pay upfront",IF($J866&lt;&gt;"Y","Save receipt","OK"))))</f>
        <v/>
      </c>
      <c r="P866" s="29" t="str">
        <f aca="false">IF($A866="","",DATE(YEAR($A866),MONTH($A866),1))</f>
        <v/>
      </c>
      <c r="Q866" s="31" t="str">
        <f aca="false">IF($A866="","",IF(AND($L866='Invoice Builder'!$C$5,$P866='Invoice Builder'!$C$6,N($N866)&gt;0),COUNTIFS($L$5:$L866,'Invoice Builder'!$C$5,$P$5:$P866,'Invoice Builder'!$C$6,$N$5:$N866,"&gt;0"),""))</f>
        <v/>
      </c>
      <c r="R866" s="27" t="str">
        <f aca="false">IF($A866="","",IF($A866&gt;=DATE(YEAR($A866),4,6),YEAR($A866)&amp;"/"&amp;RIGHT(YEAR($A866)+1,2),YEAR($A866)-1&amp;"/"&amp;RIGHT(YEAR($A866),2)))</f>
        <v/>
      </c>
    </row>
    <row r="867" customFormat="false" ht="15" hidden="false" customHeight="false" outlineLevel="0" collapsed="false">
      <c r="A867" s="22"/>
      <c r="B867" s="23"/>
      <c r="C867" s="23"/>
      <c r="D867" s="23"/>
      <c r="E867" s="32"/>
      <c r="F867" s="25"/>
      <c r="G867" s="23"/>
      <c r="H867" s="23"/>
      <c r="I867" s="23"/>
      <c r="J867" s="23"/>
      <c r="K867" s="23"/>
      <c r="L867" s="27" t="str">
        <f aca="false">IF($B867="","",IFERROR(INDEX(Properties!$D$5:$D$104,MATCH($B867,Properties!$A$5:$A$104,0)),"-"))</f>
        <v/>
      </c>
      <c r="M867" s="28" t="str">
        <f aca="false">IF(OR($A867="",N($E867)=0),"",$F867/$E867)</f>
        <v/>
      </c>
      <c r="N867" s="28" t="str">
        <f aca="false">IF($A867="","",IF($H867="Y",$F867*(1+Settings!$B$3),0))</f>
        <v/>
      </c>
      <c r="O867" s="27" t="str">
        <f aca="false">IF($A867="","",IF(AND($H867="Y",$G867&lt;&gt;"Restock",N($M867)&gt;Settings!$B$4,$I867&lt;&gt;"Y"),"Get host OK",IF(AND($H867="Y",$F867&gt;Settings!$B$5,$I867&lt;&gt;"Y"),"Host should pay upfront",IF($J867&lt;&gt;"Y","Save receipt","OK"))))</f>
        <v/>
      </c>
      <c r="P867" s="29" t="str">
        <f aca="false">IF($A867="","",DATE(YEAR($A867),MONTH($A867),1))</f>
        <v/>
      </c>
      <c r="Q867" s="31" t="str">
        <f aca="false">IF($A867="","",IF(AND($L867='Invoice Builder'!$C$5,$P867='Invoice Builder'!$C$6,N($N867)&gt;0),COUNTIFS($L$5:$L867,'Invoice Builder'!$C$5,$P$5:$P867,'Invoice Builder'!$C$6,$N$5:$N867,"&gt;0"),""))</f>
        <v/>
      </c>
      <c r="R867" s="27" t="str">
        <f aca="false">IF($A867="","",IF($A867&gt;=DATE(YEAR($A867),4,6),YEAR($A867)&amp;"/"&amp;RIGHT(YEAR($A867)+1,2),YEAR($A867)-1&amp;"/"&amp;RIGHT(YEAR($A867),2)))</f>
        <v/>
      </c>
    </row>
    <row r="868" customFormat="false" ht="15" hidden="false" customHeight="false" outlineLevel="0" collapsed="false">
      <c r="A868" s="22"/>
      <c r="B868" s="23"/>
      <c r="C868" s="23"/>
      <c r="D868" s="23"/>
      <c r="E868" s="32"/>
      <c r="F868" s="25"/>
      <c r="G868" s="23"/>
      <c r="H868" s="23"/>
      <c r="I868" s="23"/>
      <c r="J868" s="23"/>
      <c r="K868" s="23"/>
      <c r="L868" s="27" t="str">
        <f aca="false">IF($B868="","",IFERROR(INDEX(Properties!$D$5:$D$104,MATCH($B868,Properties!$A$5:$A$104,0)),"-"))</f>
        <v/>
      </c>
      <c r="M868" s="28" t="str">
        <f aca="false">IF(OR($A868="",N($E868)=0),"",$F868/$E868)</f>
        <v/>
      </c>
      <c r="N868" s="28" t="str">
        <f aca="false">IF($A868="","",IF($H868="Y",$F868*(1+Settings!$B$3),0))</f>
        <v/>
      </c>
      <c r="O868" s="27" t="str">
        <f aca="false">IF($A868="","",IF(AND($H868="Y",$G868&lt;&gt;"Restock",N($M868)&gt;Settings!$B$4,$I868&lt;&gt;"Y"),"Get host OK",IF(AND($H868="Y",$F868&gt;Settings!$B$5,$I868&lt;&gt;"Y"),"Host should pay upfront",IF($J868&lt;&gt;"Y","Save receipt","OK"))))</f>
        <v/>
      </c>
      <c r="P868" s="29" t="str">
        <f aca="false">IF($A868="","",DATE(YEAR($A868),MONTH($A868),1))</f>
        <v/>
      </c>
      <c r="Q868" s="31" t="str">
        <f aca="false">IF($A868="","",IF(AND($L868='Invoice Builder'!$C$5,$P868='Invoice Builder'!$C$6,N($N868)&gt;0),COUNTIFS($L$5:$L868,'Invoice Builder'!$C$5,$P$5:$P868,'Invoice Builder'!$C$6,$N$5:$N868,"&gt;0"),""))</f>
        <v/>
      </c>
      <c r="R868" s="27" t="str">
        <f aca="false">IF($A868="","",IF($A868&gt;=DATE(YEAR($A868),4,6),YEAR($A868)&amp;"/"&amp;RIGHT(YEAR($A868)+1,2),YEAR($A868)-1&amp;"/"&amp;RIGHT(YEAR($A868),2)))</f>
        <v/>
      </c>
    </row>
    <row r="869" customFormat="false" ht="15" hidden="false" customHeight="false" outlineLevel="0" collapsed="false">
      <c r="A869" s="22"/>
      <c r="B869" s="23"/>
      <c r="C869" s="23"/>
      <c r="D869" s="23"/>
      <c r="E869" s="32"/>
      <c r="F869" s="25"/>
      <c r="G869" s="23"/>
      <c r="H869" s="23"/>
      <c r="I869" s="23"/>
      <c r="J869" s="23"/>
      <c r="K869" s="23"/>
      <c r="L869" s="27" t="str">
        <f aca="false">IF($B869="","",IFERROR(INDEX(Properties!$D$5:$D$104,MATCH($B869,Properties!$A$5:$A$104,0)),"-"))</f>
        <v/>
      </c>
      <c r="M869" s="28" t="str">
        <f aca="false">IF(OR($A869="",N($E869)=0),"",$F869/$E869)</f>
        <v/>
      </c>
      <c r="N869" s="28" t="str">
        <f aca="false">IF($A869="","",IF($H869="Y",$F869*(1+Settings!$B$3),0))</f>
        <v/>
      </c>
      <c r="O869" s="27" t="str">
        <f aca="false">IF($A869="","",IF(AND($H869="Y",$G869&lt;&gt;"Restock",N($M869)&gt;Settings!$B$4,$I869&lt;&gt;"Y"),"Get host OK",IF(AND($H869="Y",$F869&gt;Settings!$B$5,$I869&lt;&gt;"Y"),"Host should pay upfront",IF($J869&lt;&gt;"Y","Save receipt","OK"))))</f>
        <v/>
      </c>
      <c r="P869" s="29" t="str">
        <f aca="false">IF($A869="","",DATE(YEAR($A869),MONTH($A869),1))</f>
        <v/>
      </c>
      <c r="Q869" s="31" t="str">
        <f aca="false">IF($A869="","",IF(AND($L869='Invoice Builder'!$C$5,$P869='Invoice Builder'!$C$6,N($N869)&gt;0),COUNTIFS($L$5:$L869,'Invoice Builder'!$C$5,$P$5:$P869,'Invoice Builder'!$C$6,$N$5:$N869,"&gt;0"),""))</f>
        <v/>
      </c>
      <c r="R869" s="27" t="str">
        <f aca="false">IF($A869="","",IF($A869&gt;=DATE(YEAR($A869),4,6),YEAR($A869)&amp;"/"&amp;RIGHT(YEAR($A869)+1,2),YEAR($A869)-1&amp;"/"&amp;RIGHT(YEAR($A869),2)))</f>
        <v/>
      </c>
    </row>
    <row r="870" customFormat="false" ht="15" hidden="false" customHeight="false" outlineLevel="0" collapsed="false">
      <c r="A870" s="22"/>
      <c r="B870" s="23"/>
      <c r="C870" s="23"/>
      <c r="D870" s="23"/>
      <c r="E870" s="32"/>
      <c r="F870" s="25"/>
      <c r="G870" s="23"/>
      <c r="H870" s="23"/>
      <c r="I870" s="23"/>
      <c r="J870" s="23"/>
      <c r="K870" s="23"/>
      <c r="L870" s="27" t="str">
        <f aca="false">IF($B870="","",IFERROR(INDEX(Properties!$D$5:$D$104,MATCH($B870,Properties!$A$5:$A$104,0)),"-"))</f>
        <v/>
      </c>
      <c r="M870" s="28" t="str">
        <f aca="false">IF(OR($A870="",N($E870)=0),"",$F870/$E870)</f>
        <v/>
      </c>
      <c r="N870" s="28" t="str">
        <f aca="false">IF($A870="","",IF($H870="Y",$F870*(1+Settings!$B$3),0))</f>
        <v/>
      </c>
      <c r="O870" s="27" t="str">
        <f aca="false">IF($A870="","",IF(AND($H870="Y",$G870&lt;&gt;"Restock",N($M870)&gt;Settings!$B$4,$I870&lt;&gt;"Y"),"Get host OK",IF(AND($H870="Y",$F870&gt;Settings!$B$5,$I870&lt;&gt;"Y"),"Host should pay upfront",IF($J870&lt;&gt;"Y","Save receipt","OK"))))</f>
        <v/>
      </c>
      <c r="P870" s="29" t="str">
        <f aca="false">IF($A870="","",DATE(YEAR($A870),MONTH($A870),1))</f>
        <v/>
      </c>
      <c r="Q870" s="31" t="str">
        <f aca="false">IF($A870="","",IF(AND($L870='Invoice Builder'!$C$5,$P870='Invoice Builder'!$C$6,N($N870)&gt;0),COUNTIFS($L$5:$L870,'Invoice Builder'!$C$5,$P$5:$P870,'Invoice Builder'!$C$6,$N$5:$N870,"&gt;0"),""))</f>
        <v/>
      </c>
      <c r="R870" s="27" t="str">
        <f aca="false">IF($A870="","",IF($A870&gt;=DATE(YEAR($A870),4,6),YEAR($A870)&amp;"/"&amp;RIGHT(YEAR($A870)+1,2),YEAR($A870)-1&amp;"/"&amp;RIGHT(YEAR($A870),2)))</f>
        <v/>
      </c>
    </row>
    <row r="871" customFormat="false" ht="15" hidden="false" customHeight="false" outlineLevel="0" collapsed="false">
      <c r="A871" s="22"/>
      <c r="B871" s="23"/>
      <c r="C871" s="23"/>
      <c r="D871" s="23"/>
      <c r="E871" s="32"/>
      <c r="F871" s="25"/>
      <c r="G871" s="23"/>
      <c r="H871" s="23"/>
      <c r="I871" s="23"/>
      <c r="J871" s="23"/>
      <c r="K871" s="23"/>
      <c r="L871" s="27" t="str">
        <f aca="false">IF($B871="","",IFERROR(INDEX(Properties!$D$5:$D$104,MATCH($B871,Properties!$A$5:$A$104,0)),"-"))</f>
        <v/>
      </c>
      <c r="M871" s="28" t="str">
        <f aca="false">IF(OR($A871="",N($E871)=0),"",$F871/$E871)</f>
        <v/>
      </c>
      <c r="N871" s="28" t="str">
        <f aca="false">IF($A871="","",IF($H871="Y",$F871*(1+Settings!$B$3),0))</f>
        <v/>
      </c>
      <c r="O871" s="27" t="str">
        <f aca="false">IF($A871="","",IF(AND($H871="Y",$G871&lt;&gt;"Restock",N($M871)&gt;Settings!$B$4,$I871&lt;&gt;"Y"),"Get host OK",IF(AND($H871="Y",$F871&gt;Settings!$B$5,$I871&lt;&gt;"Y"),"Host should pay upfront",IF($J871&lt;&gt;"Y","Save receipt","OK"))))</f>
        <v/>
      </c>
      <c r="P871" s="29" t="str">
        <f aca="false">IF($A871="","",DATE(YEAR($A871),MONTH($A871),1))</f>
        <v/>
      </c>
      <c r="Q871" s="31" t="str">
        <f aca="false">IF($A871="","",IF(AND($L871='Invoice Builder'!$C$5,$P871='Invoice Builder'!$C$6,N($N871)&gt;0),COUNTIFS($L$5:$L871,'Invoice Builder'!$C$5,$P$5:$P871,'Invoice Builder'!$C$6,$N$5:$N871,"&gt;0"),""))</f>
        <v/>
      </c>
      <c r="R871" s="27" t="str">
        <f aca="false">IF($A871="","",IF($A871&gt;=DATE(YEAR($A871),4,6),YEAR($A871)&amp;"/"&amp;RIGHT(YEAR($A871)+1,2),YEAR($A871)-1&amp;"/"&amp;RIGHT(YEAR($A871),2)))</f>
        <v/>
      </c>
    </row>
    <row r="872" customFormat="false" ht="15" hidden="false" customHeight="false" outlineLevel="0" collapsed="false">
      <c r="A872" s="22"/>
      <c r="B872" s="23"/>
      <c r="C872" s="23"/>
      <c r="D872" s="23"/>
      <c r="E872" s="32"/>
      <c r="F872" s="25"/>
      <c r="G872" s="23"/>
      <c r="H872" s="23"/>
      <c r="I872" s="23"/>
      <c r="J872" s="23"/>
      <c r="K872" s="23"/>
      <c r="L872" s="27" t="str">
        <f aca="false">IF($B872="","",IFERROR(INDEX(Properties!$D$5:$D$104,MATCH($B872,Properties!$A$5:$A$104,0)),"-"))</f>
        <v/>
      </c>
      <c r="M872" s="28" t="str">
        <f aca="false">IF(OR($A872="",N($E872)=0),"",$F872/$E872)</f>
        <v/>
      </c>
      <c r="N872" s="28" t="str">
        <f aca="false">IF($A872="","",IF($H872="Y",$F872*(1+Settings!$B$3),0))</f>
        <v/>
      </c>
      <c r="O872" s="27" t="str">
        <f aca="false">IF($A872="","",IF(AND($H872="Y",$G872&lt;&gt;"Restock",N($M872)&gt;Settings!$B$4,$I872&lt;&gt;"Y"),"Get host OK",IF(AND($H872="Y",$F872&gt;Settings!$B$5,$I872&lt;&gt;"Y"),"Host should pay upfront",IF($J872&lt;&gt;"Y","Save receipt","OK"))))</f>
        <v/>
      </c>
      <c r="P872" s="29" t="str">
        <f aca="false">IF($A872="","",DATE(YEAR($A872),MONTH($A872),1))</f>
        <v/>
      </c>
      <c r="Q872" s="31" t="str">
        <f aca="false">IF($A872="","",IF(AND($L872='Invoice Builder'!$C$5,$P872='Invoice Builder'!$C$6,N($N872)&gt;0),COUNTIFS($L$5:$L872,'Invoice Builder'!$C$5,$P$5:$P872,'Invoice Builder'!$C$6,$N$5:$N872,"&gt;0"),""))</f>
        <v/>
      </c>
      <c r="R872" s="27" t="str">
        <f aca="false">IF($A872="","",IF($A872&gt;=DATE(YEAR($A872),4,6),YEAR($A872)&amp;"/"&amp;RIGHT(YEAR($A872)+1,2),YEAR($A872)-1&amp;"/"&amp;RIGHT(YEAR($A872),2)))</f>
        <v/>
      </c>
    </row>
    <row r="873" customFormat="false" ht="15" hidden="false" customHeight="false" outlineLevel="0" collapsed="false">
      <c r="A873" s="22"/>
      <c r="B873" s="23"/>
      <c r="C873" s="23"/>
      <c r="D873" s="23"/>
      <c r="E873" s="32"/>
      <c r="F873" s="25"/>
      <c r="G873" s="23"/>
      <c r="H873" s="23"/>
      <c r="I873" s="23"/>
      <c r="J873" s="23"/>
      <c r="K873" s="23"/>
      <c r="L873" s="27" t="str">
        <f aca="false">IF($B873="","",IFERROR(INDEX(Properties!$D$5:$D$104,MATCH($B873,Properties!$A$5:$A$104,0)),"-"))</f>
        <v/>
      </c>
      <c r="M873" s="28" t="str">
        <f aca="false">IF(OR($A873="",N($E873)=0),"",$F873/$E873)</f>
        <v/>
      </c>
      <c r="N873" s="28" t="str">
        <f aca="false">IF($A873="","",IF($H873="Y",$F873*(1+Settings!$B$3),0))</f>
        <v/>
      </c>
      <c r="O873" s="27" t="str">
        <f aca="false">IF($A873="","",IF(AND($H873="Y",$G873&lt;&gt;"Restock",N($M873)&gt;Settings!$B$4,$I873&lt;&gt;"Y"),"Get host OK",IF(AND($H873="Y",$F873&gt;Settings!$B$5,$I873&lt;&gt;"Y"),"Host should pay upfront",IF($J873&lt;&gt;"Y","Save receipt","OK"))))</f>
        <v/>
      </c>
      <c r="P873" s="29" t="str">
        <f aca="false">IF($A873="","",DATE(YEAR($A873),MONTH($A873),1))</f>
        <v/>
      </c>
      <c r="Q873" s="31" t="str">
        <f aca="false">IF($A873="","",IF(AND($L873='Invoice Builder'!$C$5,$P873='Invoice Builder'!$C$6,N($N873)&gt;0),COUNTIFS($L$5:$L873,'Invoice Builder'!$C$5,$P$5:$P873,'Invoice Builder'!$C$6,$N$5:$N873,"&gt;0"),""))</f>
        <v/>
      </c>
      <c r="R873" s="27" t="str">
        <f aca="false">IF($A873="","",IF($A873&gt;=DATE(YEAR($A873),4,6),YEAR($A873)&amp;"/"&amp;RIGHT(YEAR($A873)+1,2),YEAR($A873)-1&amp;"/"&amp;RIGHT(YEAR($A873),2)))</f>
        <v/>
      </c>
    </row>
    <row r="874" customFormat="false" ht="15" hidden="false" customHeight="false" outlineLevel="0" collapsed="false">
      <c r="A874" s="22"/>
      <c r="B874" s="23"/>
      <c r="C874" s="23"/>
      <c r="D874" s="23"/>
      <c r="E874" s="32"/>
      <c r="F874" s="25"/>
      <c r="G874" s="23"/>
      <c r="H874" s="23"/>
      <c r="I874" s="23"/>
      <c r="J874" s="23"/>
      <c r="K874" s="23"/>
      <c r="L874" s="27" t="str">
        <f aca="false">IF($B874="","",IFERROR(INDEX(Properties!$D$5:$D$104,MATCH($B874,Properties!$A$5:$A$104,0)),"-"))</f>
        <v/>
      </c>
      <c r="M874" s="28" t="str">
        <f aca="false">IF(OR($A874="",N($E874)=0),"",$F874/$E874)</f>
        <v/>
      </c>
      <c r="N874" s="28" t="str">
        <f aca="false">IF($A874="","",IF($H874="Y",$F874*(1+Settings!$B$3),0))</f>
        <v/>
      </c>
      <c r="O874" s="27" t="str">
        <f aca="false">IF($A874="","",IF(AND($H874="Y",$G874&lt;&gt;"Restock",N($M874)&gt;Settings!$B$4,$I874&lt;&gt;"Y"),"Get host OK",IF(AND($H874="Y",$F874&gt;Settings!$B$5,$I874&lt;&gt;"Y"),"Host should pay upfront",IF($J874&lt;&gt;"Y","Save receipt","OK"))))</f>
        <v/>
      </c>
      <c r="P874" s="29" t="str">
        <f aca="false">IF($A874="","",DATE(YEAR($A874),MONTH($A874),1))</f>
        <v/>
      </c>
      <c r="Q874" s="31" t="str">
        <f aca="false">IF($A874="","",IF(AND($L874='Invoice Builder'!$C$5,$P874='Invoice Builder'!$C$6,N($N874)&gt;0),COUNTIFS($L$5:$L874,'Invoice Builder'!$C$5,$P$5:$P874,'Invoice Builder'!$C$6,$N$5:$N874,"&gt;0"),""))</f>
        <v/>
      </c>
      <c r="R874" s="27" t="str">
        <f aca="false">IF($A874="","",IF($A874&gt;=DATE(YEAR($A874),4,6),YEAR($A874)&amp;"/"&amp;RIGHT(YEAR($A874)+1,2),YEAR($A874)-1&amp;"/"&amp;RIGHT(YEAR($A874),2)))</f>
        <v/>
      </c>
    </row>
    <row r="875" customFormat="false" ht="15" hidden="false" customHeight="false" outlineLevel="0" collapsed="false">
      <c r="A875" s="22"/>
      <c r="B875" s="23"/>
      <c r="C875" s="23"/>
      <c r="D875" s="23"/>
      <c r="E875" s="32"/>
      <c r="F875" s="25"/>
      <c r="G875" s="23"/>
      <c r="H875" s="23"/>
      <c r="I875" s="23"/>
      <c r="J875" s="23"/>
      <c r="K875" s="23"/>
      <c r="L875" s="27" t="str">
        <f aca="false">IF($B875="","",IFERROR(INDEX(Properties!$D$5:$D$104,MATCH($B875,Properties!$A$5:$A$104,0)),"-"))</f>
        <v/>
      </c>
      <c r="M875" s="28" t="str">
        <f aca="false">IF(OR($A875="",N($E875)=0),"",$F875/$E875)</f>
        <v/>
      </c>
      <c r="N875" s="28" t="str">
        <f aca="false">IF($A875="","",IF($H875="Y",$F875*(1+Settings!$B$3),0))</f>
        <v/>
      </c>
      <c r="O875" s="27" t="str">
        <f aca="false">IF($A875="","",IF(AND($H875="Y",$G875&lt;&gt;"Restock",N($M875)&gt;Settings!$B$4,$I875&lt;&gt;"Y"),"Get host OK",IF(AND($H875="Y",$F875&gt;Settings!$B$5,$I875&lt;&gt;"Y"),"Host should pay upfront",IF($J875&lt;&gt;"Y","Save receipt","OK"))))</f>
        <v/>
      </c>
      <c r="P875" s="29" t="str">
        <f aca="false">IF($A875="","",DATE(YEAR($A875),MONTH($A875),1))</f>
        <v/>
      </c>
      <c r="Q875" s="31" t="str">
        <f aca="false">IF($A875="","",IF(AND($L875='Invoice Builder'!$C$5,$P875='Invoice Builder'!$C$6,N($N875)&gt;0),COUNTIFS($L$5:$L875,'Invoice Builder'!$C$5,$P$5:$P875,'Invoice Builder'!$C$6,$N$5:$N875,"&gt;0"),""))</f>
        <v/>
      </c>
      <c r="R875" s="27" t="str">
        <f aca="false">IF($A875="","",IF($A875&gt;=DATE(YEAR($A875),4,6),YEAR($A875)&amp;"/"&amp;RIGHT(YEAR($A875)+1,2),YEAR($A875)-1&amp;"/"&amp;RIGHT(YEAR($A875),2)))</f>
        <v/>
      </c>
    </row>
    <row r="876" customFormat="false" ht="15" hidden="false" customHeight="false" outlineLevel="0" collapsed="false">
      <c r="A876" s="22"/>
      <c r="B876" s="23"/>
      <c r="C876" s="23"/>
      <c r="D876" s="23"/>
      <c r="E876" s="32"/>
      <c r="F876" s="25"/>
      <c r="G876" s="23"/>
      <c r="H876" s="23"/>
      <c r="I876" s="23"/>
      <c r="J876" s="23"/>
      <c r="K876" s="23"/>
      <c r="L876" s="27" t="str">
        <f aca="false">IF($B876="","",IFERROR(INDEX(Properties!$D$5:$D$104,MATCH($B876,Properties!$A$5:$A$104,0)),"-"))</f>
        <v/>
      </c>
      <c r="M876" s="28" t="str">
        <f aca="false">IF(OR($A876="",N($E876)=0),"",$F876/$E876)</f>
        <v/>
      </c>
      <c r="N876" s="28" t="str">
        <f aca="false">IF($A876="","",IF($H876="Y",$F876*(1+Settings!$B$3),0))</f>
        <v/>
      </c>
      <c r="O876" s="27" t="str">
        <f aca="false">IF($A876="","",IF(AND($H876="Y",$G876&lt;&gt;"Restock",N($M876)&gt;Settings!$B$4,$I876&lt;&gt;"Y"),"Get host OK",IF(AND($H876="Y",$F876&gt;Settings!$B$5,$I876&lt;&gt;"Y"),"Host should pay upfront",IF($J876&lt;&gt;"Y","Save receipt","OK"))))</f>
        <v/>
      </c>
      <c r="P876" s="29" t="str">
        <f aca="false">IF($A876="","",DATE(YEAR($A876),MONTH($A876),1))</f>
        <v/>
      </c>
      <c r="Q876" s="31" t="str">
        <f aca="false">IF($A876="","",IF(AND($L876='Invoice Builder'!$C$5,$P876='Invoice Builder'!$C$6,N($N876)&gt;0),COUNTIFS($L$5:$L876,'Invoice Builder'!$C$5,$P$5:$P876,'Invoice Builder'!$C$6,$N$5:$N876,"&gt;0"),""))</f>
        <v/>
      </c>
      <c r="R876" s="27" t="str">
        <f aca="false">IF($A876="","",IF($A876&gt;=DATE(YEAR($A876),4,6),YEAR($A876)&amp;"/"&amp;RIGHT(YEAR($A876)+1,2),YEAR($A876)-1&amp;"/"&amp;RIGHT(YEAR($A876),2)))</f>
        <v/>
      </c>
    </row>
    <row r="877" customFormat="false" ht="15" hidden="false" customHeight="false" outlineLevel="0" collapsed="false">
      <c r="A877" s="22"/>
      <c r="B877" s="23"/>
      <c r="C877" s="23"/>
      <c r="D877" s="23"/>
      <c r="E877" s="32"/>
      <c r="F877" s="25"/>
      <c r="G877" s="23"/>
      <c r="H877" s="23"/>
      <c r="I877" s="23"/>
      <c r="J877" s="23"/>
      <c r="K877" s="23"/>
      <c r="L877" s="27" t="str">
        <f aca="false">IF($B877="","",IFERROR(INDEX(Properties!$D$5:$D$104,MATCH($B877,Properties!$A$5:$A$104,0)),"-"))</f>
        <v/>
      </c>
      <c r="M877" s="28" t="str">
        <f aca="false">IF(OR($A877="",N($E877)=0),"",$F877/$E877)</f>
        <v/>
      </c>
      <c r="N877" s="28" t="str">
        <f aca="false">IF($A877="","",IF($H877="Y",$F877*(1+Settings!$B$3),0))</f>
        <v/>
      </c>
      <c r="O877" s="27" t="str">
        <f aca="false">IF($A877="","",IF(AND($H877="Y",$G877&lt;&gt;"Restock",N($M877)&gt;Settings!$B$4,$I877&lt;&gt;"Y"),"Get host OK",IF(AND($H877="Y",$F877&gt;Settings!$B$5,$I877&lt;&gt;"Y"),"Host should pay upfront",IF($J877&lt;&gt;"Y","Save receipt","OK"))))</f>
        <v/>
      </c>
      <c r="P877" s="29" t="str">
        <f aca="false">IF($A877="","",DATE(YEAR($A877),MONTH($A877),1))</f>
        <v/>
      </c>
      <c r="Q877" s="31" t="str">
        <f aca="false">IF($A877="","",IF(AND($L877='Invoice Builder'!$C$5,$P877='Invoice Builder'!$C$6,N($N877)&gt;0),COUNTIFS($L$5:$L877,'Invoice Builder'!$C$5,$P$5:$P877,'Invoice Builder'!$C$6,$N$5:$N877,"&gt;0"),""))</f>
        <v/>
      </c>
      <c r="R877" s="27" t="str">
        <f aca="false">IF($A877="","",IF($A877&gt;=DATE(YEAR($A877),4,6),YEAR($A877)&amp;"/"&amp;RIGHT(YEAR($A877)+1,2),YEAR($A877)-1&amp;"/"&amp;RIGHT(YEAR($A877),2)))</f>
        <v/>
      </c>
    </row>
    <row r="878" customFormat="false" ht="15" hidden="false" customHeight="false" outlineLevel="0" collapsed="false">
      <c r="A878" s="22"/>
      <c r="B878" s="23"/>
      <c r="C878" s="23"/>
      <c r="D878" s="23"/>
      <c r="E878" s="32"/>
      <c r="F878" s="25"/>
      <c r="G878" s="23"/>
      <c r="H878" s="23"/>
      <c r="I878" s="23"/>
      <c r="J878" s="23"/>
      <c r="K878" s="23"/>
      <c r="L878" s="27" t="str">
        <f aca="false">IF($B878="","",IFERROR(INDEX(Properties!$D$5:$D$104,MATCH($B878,Properties!$A$5:$A$104,0)),"-"))</f>
        <v/>
      </c>
      <c r="M878" s="28" t="str">
        <f aca="false">IF(OR($A878="",N($E878)=0),"",$F878/$E878)</f>
        <v/>
      </c>
      <c r="N878" s="28" t="str">
        <f aca="false">IF($A878="","",IF($H878="Y",$F878*(1+Settings!$B$3),0))</f>
        <v/>
      </c>
      <c r="O878" s="27" t="str">
        <f aca="false">IF($A878="","",IF(AND($H878="Y",$G878&lt;&gt;"Restock",N($M878)&gt;Settings!$B$4,$I878&lt;&gt;"Y"),"Get host OK",IF(AND($H878="Y",$F878&gt;Settings!$B$5,$I878&lt;&gt;"Y"),"Host should pay upfront",IF($J878&lt;&gt;"Y","Save receipt","OK"))))</f>
        <v/>
      </c>
      <c r="P878" s="29" t="str">
        <f aca="false">IF($A878="","",DATE(YEAR($A878),MONTH($A878),1))</f>
        <v/>
      </c>
      <c r="Q878" s="31" t="str">
        <f aca="false">IF($A878="","",IF(AND($L878='Invoice Builder'!$C$5,$P878='Invoice Builder'!$C$6,N($N878)&gt;0),COUNTIFS($L$5:$L878,'Invoice Builder'!$C$5,$P$5:$P878,'Invoice Builder'!$C$6,$N$5:$N878,"&gt;0"),""))</f>
        <v/>
      </c>
      <c r="R878" s="27" t="str">
        <f aca="false">IF($A878="","",IF($A878&gt;=DATE(YEAR($A878),4,6),YEAR($A878)&amp;"/"&amp;RIGHT(YEAR($A878)+1,2),YEAR($A878)-1&amp;"/"&amp;RIGHT(YEAR($A878),2)))</f>
        <v/>
      </c>
    </row>
    <row r="879" customFormat="false" ht="15" hidden="false" customHeight="false" outlineLevel="0" collapsed="false">
      <c r="A879" s="22"/>
      <c r="B879" s="23"/>
      <c r="C879" s="23"/>
      <c r="D879" s="23"/>
      <c r="E879" s="32"/>
      <c r="F879" s="25"/>
      <c r="G879" s="23"/>
      <c r="H879" s="23"/>
      <c r="I879" s="23"/>
      <c r="J879" s="23"/>
      <c r="K879" s="23"/>
      <c r="L879" s="27" t="str">
        <f aca="false">IF($B879="","",IFERROR(INDEX(Properties!$D$5:$D$104,MATCH($B879,Properties!$A$5:$A$104,0)),"-"))</f>
        <v/>
      </c>
      <c r="M879" s="28" t="str">
        <f aca="false">IF(OR($A879="",N($E879)=0),"",$F879/$E879)</f>
        <v/>
      </c>
      <c r="N879" s="28" t="str">
        <f aca="false">IF($A879="","",IF($H879="Y",$F879*(1+Settings!$B$3),0))</f>
        <v/>
      </c>
      <c r="O879" s="27" t="str">
        <f aca="false">IF($A879="","",IF(AND($H879="Y",$G879&lt;&gt;"Restock",N($M879)&gt;Settings!$B$4,$I879&lt;&gt;"Y"),"Get host OK",IF(AND($H879="Y",$F879&gt;Settings!$B$5,$I879&lt;&gt;"Y"),"Host should pay upfront",IF($J879&lt;&gt;"Y","Save receipt","OK"))))</f>
        <v/>
      </c>
      <c r="P879" s="29" t="str">
        <f aca="false">IF($A879="","",DATE(YEAR($A879),MONTH($A879),1))</f>
        <v/>
      </c>
      <c r="Q879" s="31" t="str">
        <f aca="false">IF($A879="","",IF(AND($L879='Invoice Builder'!$C$5,$P879='Invoice Builder'!$C$6,N($N879)&gt;0),COUNTIFS($L$5:$L879,'Invoice Builder'!$C$5,$P$5:$P879,'Invoice Builder'!$C$6,$N$5:$N879,"&gt;0"),""))</f>
        <v/>
      </c>
      <c r="R879" s="27" t="str">
        <f aca="false">IF($A879="","",IF($A879&gt;=DATE(YEAR($A879),4,6),YEAR($A879)&amp;"/"&amp;RIGHT(YEAR($A879)+1,2),YEAR($A879)-1&amp;"/"&amp;RIGHT(YEAR($A879),2)))</f>
        <v/>
      </c>
    </row>
    <row r="880" customFormat="false" ht="15" hidden="false" customHeight="false" outlineLevel="0" collapsed="false">
      <c r="A880" s="22"/>
      <c r="B880" s="23"/>
      <c r="C880" s="23"/>
      <c r="D880" s="23"/>
      <c r="E880" s="32"/>
      <c r="F880" s="25"/>
      <c r="G880" s="23"/>
      <c r="H880" s="23"/>
      <c r="I880" s="23"/>
      <c r="J880" s="23"/>
      <c r="K880" s="23"/>
      <c r="L880" s="27" t="str">
        <f aca="false">IF($B880="","",IFERROR(INDEX(Properties!$D$5:$D$104,MATCH($B880,Properties!$A$5:$A$104,0)),"-"))</f>
        <v/>
      </c>
      <c r="M880" s="28" t="str">
        <f aca="false">IF(OR($A880="",N($E880)=0),"",$F880/$E880)</f>
        <v/>
      </c>
      <c r="N880" s="28" t="str">
        <f aca="false">IF($A880="","",IF($H880="Y",$F880*(1+Settings!$B$3),0))</f>
        <v/>
      </c>
      <c r="O880" s="27" t="str">
        <f aca="false">IF($A880="","",IF(AND($H880="Y",$G880&lt;&gt;"Restock",N($M880)&gt;Settings!$B$4,$I880&lt;&gt;"Y"),"Get host OK",IF(AND($H880="Y",$F880&gt;Settings!$B$5,$I880&lt;&gt;"Y"),"Host should pay upfront",IF($J880&lt;&gt;"Y","Save receipt","OK"))))</f>
        <v/>
      </c>
      <c r="P880" s="29" t="str">
        <f aca="false">IF($A880="","",DATE(YEAR($A880),MONTH($A880),1))</f>
        <v/>
      </c>
      <c r="Q880" s="31" t="str">
        <f aca="false">IF($A880="","",IF(AND($L880='Invoice Builder'!$C$5,$P880='Invoice Builder'!$C$6,N($N880)&gt;0),COUNTIFS($L$5:$L880,'Invoice Builder'!$C$5,$P$5:$P880,'Invoice Builder'!$C$6,$N$5:$N880,"&gt;0"),""))</f>
        <v/>
      </c>
      <c r="R880" s="27" t="str">
        <f aca="false">IF($A880="","",IF($A880&gt;=DATE(YEAR($A880),4,6),YEAR($A880)&amp;"/"&amp;RIGHT(YEAR($A880)+1,2),YEAR($A880)-1&amp;"/"&amp;RIGHT(YEAR($A880),2)))</f>
        <v/>
      </c>
    </row>
    <row r="881" customFormat="false" ht="15" hidden="false" customHeight="false" outlineLevel="0" collapsed="false">
      <c r="A881" s="22"/>
      <c r="B881" s="23"/>
      <c r="C881" s="23"/>
      <c r="D881" s="23"/>
      <c r="E881" s="32"/>
      <c r="F881" s="25"/>
      <c r="G881" s="23"/>
      <c r="H881" s="23"/>
      <c r="I881" s="23"/>
      <c r="J881" s="23"/>
      <c r="K881" s="23"/>
      <c r="L881" s="27" t="str">
        <f aca="false">IF($B881="","",IFERROR(INDEX(Properties!$D$5:$D$104,MATCH($B881,Properties!$A$5:$A$104,0)),"-"))</f>
        <v/>
      </c>
      <c r="M881" s="28" t="str">
        <f aca="false">IF(OR($A881="",N($E881)=0),"",$F881/$E881)</f>
        <v/>
      </c>
      <c r="N881" s="28" t="str">
        <f aca="false">IF($A881="","",IF($H881="Y",$F881*(1+Settings!$B$3),0))</f>
        <v/>
      </c>
      <c r="O881" s="27" t="str">
        <f aca="false">IF($A881="","",IF(AND($H881="Y",$G881&lt;&gt;"Restock",N($M881)&gt;Settings!$B$4,$I881&lt;&gt;"Y"),"Get host OK",IF(AND($H881="Y",$F881&gt;Settings!$B$5,$I881&lt;&gt;"Y"),"Host should pay upfront",IF($J881&lt;&gt;"Y","Save receipt","OK"))))</f>
        <v/>
      </c>
      <c r="P881" s="29" t="str">
        <f aca="false">IF($A881="","",DATE(YEAR($A881),MONTH($A881),1))</f>
        <v/>
      </c>
      <c r="Q881" s="31" t="str">
        <f aca="false">IF($A881="","",IF(AND($L881='Invoice Builder'!$C$5,$P881='Invoice Builder'!$C$6,N($N881)&gt;0),COUNTIFS($L$5:$L881,'Invoice Builder'!$C$5,$P$5:$P881,'Invoice Builder'!$C$6,$N$5:$N881,"&gt;0"),""))</f>
        <v/>
      </c>
      <c r="R881" s="27" t="str">
        <f aca="false">IF($A881="","",IF($A881&gt;=DATE(YEAR($A881),4,6),YEAR($A881)&amp;"/"&amp;RIGHT(YEAR($A881)+1,2),YEAR($A881)-1&amp;"/"&amp;RIGHT(YEAR($A881),2)))</f>
        <v/>
      </c>
    </row>
    <row r="882" customFormat="false" ht="15" hidden="false" customHeight="false" outlineLevel="0" collapsed="false">
      <c r="A882" s="22"/>
      <c r="B882" s="23"/>
      <c r="C882" s="23"/>
      <c r="D882" s="23"/>
      <c r="E882" s="32"/>
      <c r="F882" s="25"/>
      <c r="G882" s="23"/>
      <c r="H882" s="23"/>
      <c r="I882" s="23"/>
      <c r="J882" s="23"/>
      <c r="K882" s="23"/>
      <c r="L882" s="27" t="str">
        <f aca="false">IF($B882="","",IFERROR(INDEX(Properties!$D$5:$D$104,MATCH($B882,Properties!$A$5:$A$104,0)),"-"))</f>
        <v/>
      </c>
      <c r="M882" s="28" t="str">
        <f aca="false">IF(OR($A882="",N($E882)=0),"",$F882/$E882)</f>
        <v/>
      </c>
      <c r="N882" s="28" t="str">
        <f aca="false">IF($A882="","",IF($H882="Y",$F882*(1+Settings!$B$3),0))</f>
        <v/>
      </c>
      <c r="O882" s="27" t="str">
        <f aca="false">IF($A882="","",IF(AND($H882="Y",$G882&lt;&gt;"Restock",N($M882)&gt;Settings!$B$4,$I882&lt;&gt;"Y"),"Get host OK",IF(AND($H882="Y",$F882&gt;Settings!$B$5,$I882&lt;&gt;"Y"),"Host should pay upfront",IF($J882&lt;&gt;"Y","Save receipt","OK"))))</f>
        <v/>
      </c>
      <c r="P882" s="29" t="str">
        <f aca="false">IF($A882="","",DATE(YEAR($A882),MONTH($A882),1))</f>
        <v/>
      </c>
      <c r="Q882" s="31" t="str">
        <f aca="false">IF($A882="","",IF(AND($L882='Invoice Builder'!$C$5,$P882='Invoice Builder'!$C$6,N($N882)&gt;0),COUNTIFS($L$5:$L882,'Invoice Builder'!$C$5,$P$5:$P882,'Invoice Builder'!$C$6,$N$5:$N882,"&gt;0"),""))</f>
        <v/>
      </c>
      <c r="R882" s="27" t="str">
        <f aca="false">IF($A882="","",IF($A882&gt;=DATE(YEAR($A882),4,6),YEAR($A882)&amp;"/"&amp;RIGHT(YEAR($A882)+1,2),YEAR($A882)-1&amp;"/"&amp;RIGHT(YEAR($A882),2)))</f>
        <v/>
      </c>
    </row>
    <row r="883" customFormat="false" ht="15" hidden="false" customHeight="false" outlineLevel="0" collapsed="false">
      <c r="A883" s="22"/>
      <c r="B883" s="23"/>
      <c r="C883" s="23"/>
      <c r="D883" s="23"/>
      <c r="E883" s="32"/>
      <c r="F883" s="25"/>
      <c r="G883" s="23"/>
      <c r="H883" s="23"/>
      <c r="I883" s="23"/>
      <c r="J883" s="23"/>
      <c r="K883" s="23"/>
      <c r="L883" s="27" t="str">
        <f aca="false">IF($B883="","",IFERROR(INDEX(Properties!$D$5:$D$104,MATCH($B883,Properties!$A$5:$A$104,0)),"-"))</f>
        <v/>
      </c>
      <c r="M883" s="28" t="str">
        <f aca="false">IF(OR($A883="",N($E883)=0),"",$F883/$E883)</f>
        <v/>
      </c>
      <c r="N883" s="28" t="str">
        <f aca="false">IF($A883="","",IF($H883="Y",$F883*(1+Settings!$B$3),0))</f>
        <v/>
      </c>
      <c r="O883" s="27" t="str">
        <f aca="false">IF($A883="","",IF(AND($H883="Y",$G883&lt;&gt;"Restock",N($M883)&gt;Settings!$B$4,$I883&lt;&gt;"Y"),"Get host OK",IF(AND($H883="Y",$F883&gt;Settings!$B$5,$I883&lt;&gt;"Y"),"Host should pay upfront",IF($J883&lt;&gt;"Y","Save receipt","OK"))))</f>
        <v/>
      </c>
      <c r="P883" s="29" t="str">
        <f aca="false">IF($A883="","",DATE(YEAR($A883),MONTH($A883),1))</f>
        <v/>
      </c>
      <c r="Q883" s="31" t="str">
        <f aca="false">IF($A883="","",IF(AND($L883='Invoice Builder'!$C$5,$P883='Invoice Builder'!$C$6,N($N883)&gt;0),COUNTIFS($L$5:$L883,'Invoice Builder'!$C$5,$P$5:$P883,'Invoice Builder'!$C$6,$N$5:$N883,"&gt;0"),""))</f>
        <v/>
      </c>
      <c r="R883" s="27" t="str">
        <f aca="false">IF($A883="","",IF($A883&gt;=DATE(YEAR($A883),4,6),YEAR($A883)&amp;"/"&amp;RIGHT(YEAR($A883)+1,2),YEAR($A883)-1&amp;"/"&amp;RIGHT(YEAR($A883),2)))</f>
        <v/>
      </c>
    </row>
    <row r="884" customFormat="false" ht="15" hidden="false" customHeight="false" outlineLevel="0" collapsed="false">
      <c r="A884" s="22"/>
      <c r="B884" s="23"/>
      <c r="C884" s="23"/>
      <c r="D884" s="23"/>
      <c r="E884" s="32"/>
      <c r="F884" s="25"/>
      <c r="G884" s="23"/>
      <c r="H884" s="23"/>
      <c r="I884" s="23"/>
      <c r="J884" s="23"/>
      <c r="K884" s="23"/>
      <c r="L884" s="27" t="str">
        <f aca="false">IF($B884="","",IFERROR(INDEX(Properties!$D$5:$D$104,MATCH($B884,Properties!$A$5:$A$104,0)),"-"))</f>
        <v/>
      </c>
      <c r="M884" s="28" t="str">
        <f aca="false">IF(OR($A884="",N($E884)=0),"",$F884/$E884)</f>
        <v/>
      </c>
      <c r="N884" s="28" t="str">
        <f aca="false">IF($A884="","",IF($H884="Y",$F884*(1+Settings!$B$3),0))</f>
        <v/>
      </c>
      <c r="O884" s="27" t="str">
        <f aca="false">IF($A884="","",IF(AND($H884="Y",$G884&lt;&gt;"Restock",N($M884)&gt;Settings!$B$4,$I884&lt;&gt;"Y"),"Get host OK",IF(AND($H884="Y",$F884&gt;Settings!$B$5,$I884&lt;&gt;"Y"),"Host should pay upfront",IF($J884&lt;&gt;"Y","Save receipt","OK"))))</f>
        <v/>
      </c>
      <c r="P884" s="29" t="str">
        <f aca="false">IF($A884="","",DATE(YEAR($A884),MONTH($A884),1))</f>
        <v/>
      </c>
      <c r="Q884" s="31" t="str">
        <f aca="false">IF($A884="","",IF(AND($L884='Invoice Builder'!$C$5,$P884='Invoice Builder'!$C$6,N($N884)&gt;0),COUNTIFS($L$5:$L884,'Invoice Builder'!$C$5,$P$5:$P884,'Invoice Builder'!$C$6,$N$5:$N884,"&gt;0"),""))</f>
        <v/>
      </c>
      <c r="R884" s="27" t="str">
        <f aca="false">IF($A884="","",IF($A884&gt;=DATE(YEAR($A884),4,6),YEAR($A884)&amp;"/"&amp;RIGHT(YEAR($A884)+1,2),YEAR($A884)-1&amp;"/"&amp;RIGHT(YEAR($A884),2)))</f>
        <v/>
      </c>
    </row>
    <row r="885" customFormat="false" ht="15" hidden="false" customHeight="false" outlineLevel="0" collapsed="false">
      <c r="A885" s="22"/>
      <c r="B885" s="23"/>
      <c r="C885" s="23"/>
      <c r="D885" s="23"/>
      <c r="E885" s="32"/>
      <c r="F885" s="25"/>
      <c r="G885" s="23"/>
      <c r="H885" s="23"/>
      <c r="I885" s="23"/>
      <c r="J885" s="23"/>
      <c r="K885" s="23"/>
      <c r="L885" s="27" t="str">
        <f aca="false">IF($B885="","",IFERROR(INDEX(Properties!$D$5:$D$104,MATCH($B885,Properties!$A$5:$A$104,0)),"-"))</f>
        <v/>
      </c>
      <c r="M885" s="28" t="str">
        <f aca="false">IF(OR($A885="",N($E885)=0),"",$F885/$E885)</f>
        <v/>
      </c>
      <c r="N885" s="28" t="str">
        <f aca="false">IF($A885="","",IF($H885="Y",$F885*(1+Settings!$B$3),0))</f>
        <v/>
      </c>
      <c r="O885" s="27" t="str">
        <f aca="false">IF($A885="","",IF(AND($H885="Y",$G885&lt;&gt;"Restock",N($M885)&gt;Settings!$B$4,$I885&lt;&gt;"Y"),"Get host OK",IF(AND($H885="Y",$F885&gt;Settings!$B$5,$I885&lt;&gt;"Y"),"Host should pay upfront",IF($J885&lt;&gt;"Y","Save receipt","OK"))))</f>
        <v/>
      </c>
      <c r="P885" s="29" t="str">
        <f aca="false">IF($A885="","",DATE(YEAR($A885),MONTH($A885),1))</f>
        <v/>
      </c>
      <c r="Q885" s="31" t="str">
        <f aca="false">IF($A885="","",IF(AND($L885='Invoice Builder'!$C$5,$P885='Invoice Builder'!$C$6,N($N885)&gt;0),COUNTIFS($L$5:$L885,'Invoice Builder'!$C$5,$P$5:$P885,'Invoice Builder'!$C$6,$N$5:$N885,"&gt;0"),""))</f>
        <v/>
      </c>
      <c r="R885" s="27" t="str">
        <f aca="false">IF($A885="","",IF($A885&gt;=DATE(YEAR($A885),4,6),YEAR($A885)&amp;"/"&amp;RIGHT(YEAR($A885)+1,2),YEAR($A885)-1&amp;"/"&amp;RIGHT(YEAR($A885),2)))</f>
        <v/>
      </c>
    </row>
    <row r="886" customFormat="false" ht="15" hidden="false" customHeight="false" outlineLevel="0" collapsed="false">
      <c r="A886" s="22"/>
      <c r="B886" s="23"/>
      <c r="C886" s="23"/>
      <c r="D886" s="23"/>
      <c r="E886" s="32"/>
      <c r="F886" s="25"/>
      <c r="G886" s="23"/>
      <c r="H886" s="23"/>
      <c r="I886" s="23"/>
      <c r="J886" s="23"/>
      <c r="K886" s="23"/>
      <c r="L886" s="27" t="str">
        <f aca="false">IF($B886="","",IFERROR(INDEX(Properties!$D$5:$D$104,MATCH($B886,Properties!$A$5:$A$104,0)),"-"))</f>
        <v/>
      </c>
      <c r="M886" s="28" t="str">
        <f aca="false">IF(OR($A886="",N($E886)=0),"",$F886/$E886)</f>
        <v/>
      </c>
      <c r="N886" s="28" t="str">
        <f aca="false">IF($A886="","",IF($H886="Y",$F886*(1+Settings!$B$3),0))</f>
        <v/>
      </c>
      <c r="O886" s="27" t="str">
        <f aca="false">IF($A886="","",IF(AND($H886="Y",$G886&lt;&gt;"Restock",N($M886)&gt;Settings!$B$4,$I886&lt;&gt;"Y"),"Get host OK",IF(AND($H886="Y",$F886&gt;Settings!$B$5,$I886&lt;&gt;"Y"),"Host should pay upfront",IF($J886&lt;&gt;"Y","Save receipt","OK"))))</f>
        <v/>
      </c>
      <c r="P886" s="29" t="str">
        <f aca="false">IF($A886="","",DATE(YEAR($A886),MONTH($A886),1))</f>
        <v/>
      </c>
      <c r="Q886" s="31" t="str">
        <f aca="false">IF($A886="","",IF(AND($L886='Invoice Builder'!$C$5,$P886='Invoice Builder'!$C$6,N($N886)&gt;0),COUNTIFS($L$5:$L886,'Invoice Builder'!$C$5,$P$5:$P886,'Invoice Builder'!$C$6,$N$5:$N886,"&gt;0"),""))</f>
        <v/>
      </c>
      <c r="R886" s="27" t="str">
        <f aca="false">IF($A886="","",IF($A886&gt;=DATE(YEAR($A886),4,6),YEAR($A886)&amp;"/"&amp;RIGHT(YEAR($A886)+1,2),YEAR($A886)-1&amp;"/"&amp;RIGHT(YEAR($A886),2)))</f>
        <v/>
      </c>
    </row>
    <row r="887" customFormat="false" ht="15" hidden="false" customHeight="false" outlineLevel="0" collapsed="false">
      <c r="A887" s="22"/>
      <c r="B887" s="23"/>
      <c r="C887" s="23"/>
      <c r="D887" s="23"/>
      <c r="E887" s="32"/>
      <c r="F887" s="25"/>
      <c r="G887" s="23"/>
      <c r="H887" s="23"/>
      <c r="I887" s="23"/>
      <c r="J887" s="23"/>
      <c r="K887" s="23"/>
      <c r="L887" s="27" t="str">
        <f aca="false">IF($B887="","",IFERROR(INDEX(Properties!$D$5:$D$104,MATCH($B887,Properties!$A$5:$A$104,0)),"-"))</f>
        <v/>
      </c>
      <c r="M887" s="28" t="str">
        <f aca="false">IF(OR($A887="",N($E887)=0),"",$F887/$E887)</f>
        <v/>
      </c>
      <c r="N887" s="28" t="str">
        <f aca="false">IF($A887="","",IF($H887="Y",$F887*(1+Settings!$B$3),0))</f>
        <v/>
      </c>
      <c r="O887" s="27" t="str">
        <f aca="false">IF($A887="","",IF(AND($H887="Y",$G887&lt;&gt;"Restock",N($M887)&gt;Settings!$B$4,$I887&lt;&gt;"Y"),"Get host OK",IF(AND($H887="Y",$F887&gt;Settings!$B$5,$I887&lt;&gt;"Y"),"Host should pay upfront",IF($J887&lt;&gt;"Y","Save receipt","OK"))))</f>
        <v/>
      </c>
      <c r="P887" s="29" t="str">
        <f aca="false">IF($A887="","",DATE(YEAR($A887),MONTH($A887),1))</f>
        <v/>
      </c>
      <c r="Q887" s="31" t="str">
        <f aca="false">IF($A887="","",IF(AND($L887='Invoice Builder'!$C$5,$P887='Invoice Builder'!$C$6,N($N887)&gt;0),COUNTIFS($L$5:$L887,'Invoice Builder'!$C$5,$P$5:$P887,'Invoice Builder'!$C$6,$N$5:$N887,"&gt;0"),""))</f>
        <v/>
      </c>
      <c r="R887" s="27" t="str">
        <f aca="false">IF($A887="","",IF($A887&gt;=DATE(YEAR($A887),4,6),YEAR($A887)&amp;"/"&amp;RIGHT(YEAR($A887)+1,2),YEAR($A887)-1&amp;"/"&amp;RIGHT(YEAR($A887),2)))</f>
        <v/>
      </c>
    </row>
    <row r="888" customFormat="false" ht="15" hidden="false" customHeight="false" outlineLevel="0" collapsed="false">
      <c r="A888" s="22"/>
      <c r="B888" s="23"/>
      <c r="C888" s="23"/>
      <c r="D888" s="23"/>
      <c r="E888" s="32"/>
      <c r="F888" s="25"/>
      <c r="G888" s="23"/>
      <c r="H888" s="23"/>
      <c r="I888" s="23"/>
      <c r="J888" s="23"/>
      <c r="K888" s="23"/>
      <c r="L888" s="27" t="str">
        <f aca="false">IF($B888="","",IFERROR(INDEX(Properties!$D$5:$D$104,MATCH($B888,Properties!$A$5:$A$104,0)),"-"))</f>
        <v/>
      </c>
      <c r="M888" s="28" t="str">
        <f aca="false">IF(OR($A888="",N($E888)=0),"",$F888/$E888)</f>
        <v/>
      </c>
      <c r="N888" s="28" t="str">
        <f aca="false">IF($A888="","",IF($H888="Y",$F888*(1+Settings!$B$3),0))</f>
        <v/>
      </c>
      <c r="O888" s="27" t="str">
        <f aca="false">IF($A888="","",IF(AND($H888="Y",$G888&lt;&gt;"Restock",N($M888)&gt;Settings!$B$4,$I888&lt;&gt;"Y"),"Get host OK",IF(AND($H888="Y",$F888&gt;Settings!$B$5,$I888&lt;&gt;"Y"),"Host should pay upfront",IF($J888&lt;&gt;"Y","Save receipt","OK"))))</f>
        <v/>
      </c>
      <c r="P888" s="29" t="str">
        <f aca="false">IF($A888="","",DATE(YEAR($A888),MONTH($A888),1))</f>
        <v/>
      </c>
      <c r="Q888" s="31" t="str">
        <f aca="false">IF($A888="","",IF(AND($L888='Invoice Builder'!$C$5,$P888='Invoice Builder'!$C$6,N($N888)&gt;0),COUNTIFS($L$5:$L888,'Invoice Builder'!$C$5,$P$5:$P888,'Invoice Builder'!$C$6,$N$5:$N888,"&gt;0"),""))</f>
        <v/>
      </c>
      <c r="R888" s="27" t="str">
        <f aca="false">IF($A888="","",IF($A888&gt;=DATE(YEAR($A888),4,6),YEAR($A888)&amp;"/"&amp;RIGHT(YEAR($A888)+1,2),YEAR($A888)-1&amp;"/"&amp;RIGHT(YEAR($A888),2)))</f>
        <v/>
      </c>
    </row>
    <row r="889" customFormat="false" ht="15" hidden="false" customHeight="false" outlineLevel="0" collapsed="false">
      <c r="A889" s="22"/>
      <c r="B889" s="23"/>
      <c r="C889" s="23"/>
      <c r="D889" s="23"/>
      <c r="E889" s="32"/>
      <c r="F889" s="25"/>
      <c r="G889" s="23"/>
      <c r="H889" s="23"/>
      <c r="I889" s="23"/>
      <c r="J889" s="23"/>
      <c r="K889" s="23"/>
      <c r="L889" s="27" t="str">
        <f aca="false">IF($B889="","",IFERROR(INDEX(Properties!$D$5:$D$104,MATCH($B889,Properties!$A$5:$A$104,0)),"-"))</f>
        <v/>
      </c>
      <c r="M889" s="28" t="str">
        <f aca="false">IF(OR($A889="",N($E889)=0),"",$F889/$E889)</f>
        <v/>
      </c>
      <c r="N889" s="28" t="str">
        <f aca="false">IF($A889="","",IF($H889="Y",$F889*(1+Settings!$B$3),0))</f>
        <v/>
      </c>
      <c r="O889" s="27" t="str">
        <f aca="false">IF($A889="","",IF(AND($H889="Y",$G889&lt;&gt;"Restock",N($M889)&gt;Settings!$B$4,$I889&lt;&gt;"Y"),"Get host OK",IF(AND($H889="Y",$F889&gt;Settings!$B$5,$I889&lt;&gt;"Y"),"Host should pay upfront",IF($J889&lt;&gt;"Y","Save receipt","OK"))))</f>
        <v/>
      </c>
      <c r="P889" s="29" t="str">
        <f aca="false">IF($A889="","",DATE(YEAR($A889),MONTH($A889),1))</f>
        <v/>
      </c>
      <c r="Q889" s="31" t="str">
        <f aca="false">IF($A889="","",IF(AND($L889='Invoice Builder'!$C$5,$P889='Invoice Builder'!$C$6,N($N889)&gt;0),COUNTIFS($L$5:$L889,'Invoice Builder'!$C$5,$P$5:$P889,'Invoice Builder'!$C$6,$N$5:$N889,"&gt;0"),""))</f>
        <v/>
      </c>
      <c r="R889" s="27" t="str">
        <f aca="false">IF($A889="","",IF($A889&gt;=DATE(YEAR($A889),4,6),YEAR($A889)&amp;"/"&amp;RIGHT(YEAR($A889)+1,2),YEAR($A889)-1&amp;"/"&amp;RIGHT(YEAR($A889),2)))</f>
        <v/>
      </c>
    </row>
    <row r="890" customFormat="false" ht="15" hidden="false" customHeight="false" outlineLevel="0" collapsed="false">
      <c r="A890" s="22"/>
      <c r="B890" s="23"/>
      <c r="C890" s="23"/>
      <c r="D890" s="23"/>
      <c r="E890" s="32"/>
      <c r="F890" s="25"/>
      <c r="G890" s="23"/>
      <c r="H890" s="23"/>
      <c r="I890" s="23"/>
      <c r="J890" s="23"/>
      <c r="K890" s="23"/>
      <c r="L890" s="27" t="str">
        <f aca="false">IF($B890="","",IFERROR(INDEX(Properties!$D$5:$D$104,MATCH($B890,Properties!$A$5:$A$104,0)),"-"))</f>
        <v/>
      </c>
      <c r="M890" s="28" t="str">
        <f aca="false">IF(OR($A890="",N($E890)=0),"",$F890/$E890)</f>
        <v/>
      </c>
      <c r="N890" s="28" t="str">
        <f aca="false">IF($A890="","",IF($H890="Y",$F890*(1+Settings!$B$3),0))</f>
        <v/>
      </c>
      <c r="O890" s="27" t="str">
        <f aca="false">IF($A890="","",IF(AND($H890="Y",$G890&lt;&gt;"Restock",N($M890)&gt;Settings!$B$4,$I890&lt;&gt;"Y"),"Get host OK",IF(AND($H890="Y",$F890&gt;Settings!$B$5,$I890&lt;&gt;"Y"),"Host should pay upfront",IF($J890&lt;&gt;"Y","Save receipt","OK"))))</f>
        <v/>
      </c>
      <c r="P890" s="29" t="str">
        <f aca="false">IF($A890="","",DATE(YEAR($A890),MONTH($A890),1))</f>
        <v/>
      </c>
      <c r="Q890" s="31" t="str">
        <f aca="false">IF($A890="","",IF(AND($L890='Invoice Builder'!$C$5,$P890='Invoice Builder'!$C$6,N($N890)&gt;0),COUNTIFS($L$5:$L890,'Invoice Builder'!$C$5,$P$5:$P890,'Invoice Builder'!$C$6,$N$5:$N890,"&gt;0"),""))</f>
        <v/>
      </c>
      <c r="R890" s="27" t="str">
        <f aca="false">IF($A890="","",IF($A890&gt;=DATE(YEAR($A890),4,6),YEAR($A890)&amp;"/"&amp;RIGHT(YEAR($A890)+1,2),YEAR($A890)-1&amp;"/"&amp;RIGHT(YEAR($A890),2)))</f>
        <v/>
      </c>
    </row>
    <row r="891" customFormat="false" ht="15" hidden="false" customHeight="false" outlineLevel="0" collapsed="false">
      <c r="A891" s="22"/>
      <c r="B891" s="23"/>
      <c r="C891" s="23"/>
      <c r="D891" s="23"/>
      <c r="E891" s="32"/>
      <c r="F891" s="25"/>
      <c r="G891" s="23"/>
      <c r="H891" s="23"/>
      <c r="I891" s="23"/>
      <c r="J891" s="23"/>
      <c r="K891" s="23"/>
      <c r="L891" s="27" t="str">
        <f aca="false">IF($B891="","",IFERROR(INDEX(Properties!$D$5:$D$104,MATCH($B891,Properties!$A$5:$A$104,0)),"-"))</f>
        <v/>
      </c>
      <c r="M891" s="28" t="str">
        <f aca="false">IF(OR($A891="",N($E891)=0),"",$F891/$E891)</f>
        <v/>
      </c>
      <c r="N891" s="28" t="str">
        <f aca="false">IF($A891="","",IF($H891="Y",$F891*(1+Settings!$B$3),0))</f>
        <v/>
      </c>
      <c r="O891" s="27" t="str">
        <f aca="false">IF($A891="","",IF(AND($H891="Y",$G891&lt;&gt;"Restock",N($M891)&gt;Settings!$B$4,$I891&lt;&gt;"Y"),"Get host OK",IF(AND($H891="Y",$F891&gt;Settings!$B$5,$I891&lt;&gt;"Y"),"Host should pay upfront",IF($J891&lt;&gt;"Y","Save receipt","OK"))))</f>
        <v/>
      </c>
      <c r="P891" s="29" t="str">
        <f aca="false">IF($A891="","",DATE(YEAR($A891),MONTH($A891),1))</f>
        <v/>
      </c>
      <c r="Q891" s="31" t="str">
        <f aca="false">IF($A891="","",IF(AND($L891='Invoice Builder'!$C$5,$P891='Invoice Builder'!$C$6,N($N891)&gt;0),COUNTIFS($L$5:$L891,'Invoice Builder'!$C$5,$P$5:$P891,'Invoice Builder'!$C$6,$N$5:$N891,"&gt;0"),""))</f>
        <v/>
      </c>
      <c r="R891" s="27" t="str">
        <f aca="false">IF($A891="","",IF($A891&gt;=DATE(YEAR($A891),4,6),YEAR($A891)&amp;"/"&amp;RIGHT(YEAR($A891)+1,2),YEAR($A891)-1&amp;"/"&amp;RIGHT(YEAR($A891),2)))</f>
        <v/>
      </c>
    </row>
    <row r="892" customFormat="false" ht="15" hidden="false" customHeight="false" outlineLevel="0" collapsed="false">
      <c r="A892" s="22"/>
      <c r="B892" s="23"/>
      <c r="C892" s="23"/>
      <c r="D892" s="23"/>
      <c r="E892" s="32"/>
      <c r="F892" s="25"/>
      <c r="G892" s="23"/>
      <c r="H892" s="23"/>
      <c r="I892" s="23"/>
      <c r="J892" s="23"/>
      <c r="K892" s="23"/>
      <c r="L892" s="27" t="str">
        <f aca="false">IF($B892="","",IFERROR(INDEX(Properties!$D$5:$D$104,MATCH($B892,Properties!$A$5:$A$104,0)),"-"))</f>
        <v/>
      </c>
      <c r="M892" s="28" t="str">
        <f aca="false">IF(OR($A892="",N($E892)=0),"",$F892/$E892)</f>
        <v/>
      </c>
      <c r="N892" s="28" t="str">
        <f aca="false">IF($A892="","",IF($H892="Y",$F892*(1+Settings!$B$3),0))</f>
        <v/>
      </c>
      <c r="O892" s="27" t="str">
        <f aca="false">IF($A892="","",IF(AND($H892="Y",$G892&lt;&gt;"Restock",N($M892)&gt;Settings!$B$4,$I892&lt;&gt;"Y"),"Get host OK",IF(AND($H892="Y",$F892&gt;Settings!$B$5,$I892&lt;&gt;"Y"),"Host should pay upfront",IF($J892&lt;&gt;"Y","Save receipt","OK"))))</f>
        <v/>
      </c>
      <c r="P892" s="29" t="str">
        <f aca="false">IF($A892="","",DATE(YEAR($A892),MONTH($A892),1))</f>
        <v/>
      </c>
      <c r="Q892" s="31" t="str">
        <f aca="false">IF($A892="","",IF(AND($L892='Invoice Builder'!$C$5,$P892='Invoice Builder'!$C$6,N($N892)&gt;0),COUNTIFS($L$5:$L892,'Invoice Builder'!$C$5,$P$5:$P892,'Invoice Builder'!$C$6,$N$5:$N892,"&gt;0"),""))</f>
        <v/>
      </c>
      <c r="R892" s="27" t="str">
        <f aca="false">IF($A892="","",IF($A892&gt;=DATE(YEAR($A892),4,6),YEAR($A892)&amp;"/"&amp;RIGHT(YEAR($A892)+1,2),YEAR($A892)-1&amp;"/"&amp;RIGHT(YEAR($A892),2)))</f>
        <v/>
      </c>
    </row>
    <row r="893" customFormat="false" ht="15" hidden="false" customHeight="false" outlineLevel="0" collapsed="false">
      <c r="A893" s="22"/>
      <c r="B893" s="23"/>
      <c r="C893" s="23"/>
      <c r="D893" s="23"/>
      <c r="E893" s="32"/>
      <c r="F893" s="25"/>
      <c r="G893" s="23"/>
      <c r="H893" s="23"/>
      <c r="I893" s="23"/>
      <c r="J893" s="23"/>
      <c r="K893" s="23"/>
      <c r="L893" s="27" t="str">
        <f aca="false">IF($B893="","",IFERROR(INDEX(Properties!$D$5:$D$104,MATCH($B893,Properties!$A$5:$A$104,0)),"-"))</f>
        <v/>
      </c>
      <c r="M893" s="28" t="str">
        <f aca="false">IF(OR($A893="",N($E893)=0),"",$F893/$E893)</f>
        <v/>
      </c>
      <c r="N893" s="28" t="str">
        <f aca="false">IF($A893="","",IF($H893="Y",$F893*(1+Settings!$B$3),0))</f>
        <v/>
      </c>
      <c r="O893" s="27" t="str">
        <f aca="false">IF($A893="","",IF(AND($H893="Y",$G893&lt;&gt;"Restock",N($M893)&gt;Settings!$B$4,$I893&lt;&gt;"Y"),"Get host OK",IF(AND($H893="Y",$F893&gt;Settings!$B$5,$I893&lt;&gt;"Y"),"Host should pay upfront",IF($J893&lt;&gt;"Y","Save receipt","OK"))))</f>
        <v/>
      </c>
      <c r="P893" s="29" t="str">
        <f aca="false">IF($A893="","",DATE(YEAR($A893),MONTH($A893),1))</f>
        <v/>
      </c>
      <c r="Q893" s="31" t="str">
        <f aca="false">IF($A893="","",IF(AND($L893='Invoice Builder'!$C$5,$P893='Invoice Builder'!$C$6,N($N893)&gt;0),COUNTIFS($L$5:$L893,'Invoice Builder'!$C$5,$P$5:$P893,'Invoice Builder'!$C$6,$N$5:$N893,"&gt;0"),""))</f>
        <v/>
      </c>
      <c r="R893" s="27" t="str">
        <f aca="false">IF($A893="","",IF($A893&gt;=DATE(YEAR($A893),4,6),YEAR($A893)&amp;"/"&amp;RIGHT(YEAR($A893)+1,2),YEAR($A893)-1&amp;"/"&amp;RIGHT(YEAR($A893),2)))</f>
        <v/>
      </c>
    </row>
    <row r="894" customFormat="false" ht="15" hidden="false" customHeight="false" outlineLevel="0" collapsed="false">
      <c r="A894" s="22"/>
      <c r="B894" s="23"/>
      <c r="C894" s="23"/>
      <c r="D894" s="23"/>
      <c r="E894" s="32"/>
      <c r="F894" s="25"/>
      <c r="G894" s="23"/>
      <c r="H894" s="23"/>
      <c r="I894" s="23"/>
      <c r="J894" s="23"/>
      <c r="K894" s="23"/>
      <c r="L894" s="27" t="str">
        <f aca="false">IF($B894="","",IFERROR(INDEX(Properties!$D$5:$D$104,MATCH($B894,Properties!$A$5:$A$104,0)),"-"))</f>
        <v/>
      </c>
      <c r="M894" s="28" t="str">
        <f aca="false">IF(OR($A894="",N($E894)=0),"",$F894/$E894)</f>
        <v/>
      </c>
      <c r="N894" s="28" t="str">
        <f aca="false">IF($A894="","",IF($H894="Y",$F894*(1+Settings!$B$3),0))</f>
        <v/>
      </c>
      <c r="O894" s="27" t="str">
        <f aca="false">IF($A894="","",IF(AND($H894="Y",$G894&lt;&gt;"Restock",N($M894)&gt;Settings!$B$4,$I894&lt;&gt;"Y"),"Get host OK",IF(AND($H894="Y",$F894&gt;Settings!$B$5,$I894&lt;&gt;"Y"),"Host should pay upfront",IF($J894&lt;&gt;"Y","Save receipt","OK"))))</f>
        <v/>
      </c>
      <c r="P894" s="29" t="str">
        <f aca="false">IF($A894="","",DATE(YEAR($A894),MONTH($A894),1))</f>
        <v/>
      </c>
      <c r="Q894" s="31" t="str">
        <f aca="false">IF($A894="","",IF(AND($L894='Invoice Builder'!$C$5,$P894='Invoice Builder'!$C$6,N($N894)&gt;0),COUNTIFS($L$5:$L894,'Invoice Builder'!$C$5,$P$5:$P894,'Invoice Builder'!$C$6,$N$5:$N894,"&gt;0"),""))</f>
        <v/>
      </c>
      <c r="R894" s="27" t="str">
        <f aca="false">IF($A894="","",IF($A894&gt;=DATE(YEAR($A894),4,6),YEAR($A894)&amp;"/"&amp;RIGHT(YEAR($A894)+1,2),YEAR($A894)-1&amp;"/"&amp;RIGHT(YEAR($A894),2)))</f>
        <v/>
      </c>
    </row>
    <row r="895" customFormat="false" ht="15" hidden="false" customHeight="false" outlineLevel="0" collapsed="false">
      <c r="A895" s="22"/>
      <c r="B895" s="23"/>
      <c r="C895" s="23"/>
      <c r="D895" s="23"/>
      <c r="E895" s="32"/>
      <c r="F895" s="25"/>
      <c r="G895" s="23"/>
      <c r="H895" s="23"/>
      <c r="I895" s="23"/>
      <c r="J895" s="23"/>
      <c r="K895" s="23"/>
      <c r="L895" s="27" t="str">
        <f aca="false">IF($B895="","",IFERROR(INDEX(Properties!$D$5:$D$104,MATCH($B895,Properties!$A$5:$A$104,0)),"-"))</f>
        <v/>
      </c>
      <c r="M895" s="28" t="str">
        <f aca="false">IF(OR($A895="",N($E895)=0),"",$F895/$E895)</f>
        <v/>
      </c>
      <c r="N895" s="28" t="str">
        <f aca="false">IF($A895="","",IF($H895="Y",$F895*(1+Settings!$B$3),0))</f>
        <v/>
      </c>
      <c r="O895" s="27" t="str">
        <f aca="false">IF($A895="","",IF(AND($H895="Y",$G895&lt;&gt;"Restock",N($M895)&gt;Settings!$B$4,$I895&lt;&gt;"Y"),"Get host OK",IF(AND($H895="Y",$F895&gt;Settings!$B$5,$I895&lt;&gt;"Y"),"Host should pay upfront",IF($J895&lt;&gt;"Y","Save receipt","OK"))))</f>
        <v/>
      </c>
      <c r="P895" s="29" t="str">
        <f aca="false">IF($A895="","",DATE(YEAR($A895),MONTH($A895),1))</f>
        <v/>
      </c>
      <c r="Q895" s="31" t="str">
        <f aca="false">IF($A895="","",IF(AND($L895='Invoice Builder'!$C$5,$P895='Invoice Builder'!$C$6,N($N895)&gt;0),COUNTIFS($L$5:$L895,'Invoice Builder'!$C$5,$P$5:$P895,'Invoice Builder'!$C$6,$N$5:$N895,"&gt;0"),""))</f>
        <v/>
      </c>
      <c r="R895" s="27" t="str">
        <f aca="false">IF($A895="","",IF($A895&gt;=DATE(YEAR($A895),4,6),YEAR($A895)&amp;"/"&amp;RIGHT(YEAR($A895)+1,2),YEAR($A895)-1&amp;"/"&amp;RIGHT(YEAR($A895),2)))</f>
        <v/>
      </c>
    </row>
    <row r="896" customFormat="false" ht="15" hidden="false" customHeight="false" outlineLevel="0" collapsed="false">
      <c r="A896" s="22"/>
      <c r="B896" s="23"/>
      <c r="C896" s="23"/>
      <c r="D896" s="23"/>
      <c r="E896" s="32"/>
      <c r="F896" s="25"/>
      <c r="G896" s="23"/>
      <c r="H896" s="23"/>
      <c r="I896" s="23"/>
      <c r="J896" s="23"/>
      <c r="K896" s="23"/>
      <c r="L896" s="27" t="str">
        <f aca="false">IF($B896="","",IFERROR(INDEX(Properties!$D$5:$D$104,MATCH($B896,Properties!$A$5:$A$104,0)),"-"))</f>
        <v/>
      </c>
      <c r="M896" s="28" t="str">
        <f aca="false">IF(OR($A896="",N($E896)=0),"",$F896/$E896)</f>
        <v/>
      </c>
      <c r="N896" s="28" t="str">
        <f aca="false">IF($A896="","",IF($H896="Y",$F896*(1+Settings!$B$3),0))</f>
        <v/>
      </c>
      <c r="O896" s="27" t="str">
        <f aca="false">IF($A896="","",IF(AND($H896="Y",$G896&lt;&gt;"Restock",N($M896)&gt;Settings!$B$4,$I896&lt;&gt;"Y"),"Get host OK",IF(AND($H896="Y",$F896&gt;Settings!$B$5,$I896&lt;&gt;"Y"),"Host should pay upfront",IF($J896&lt;&gt;"Y","Save receipt","OK"))))</f>
        <v/>
      </c>
      <c r="P896" s="29" t="str">
        <f aca="false">IF($A896="","",DATE(YEAR($A896),MONTH($A896),1))</f>
        <v/>
      </c>
      <c r="Q896" s="31" t="str">
        <f aca="false">IF($A896="","",IF(AND($L896='Invoice Builder'!$C$5,$P896='Invoice Builder'!$C$6,N($N896)&gt;0),COUNTIFS($L$5:$L896,'Invoice Builder'!$C$5,$P$5:$P896,'Invoice Builder'!$C$6,$N$5:$N896,"&gt;0"),""))</f>
        <v/>
      </c>
      <c r="R896" s="27" t="str">
        <f aca="false">IF($A896="","",IF($A896&gt;=DATE(YEAR($A896),4,6),YEAR($A896)&amp;"/"&amp;RIGHT(YEAR($A896)+1,2),YEAR($A896)-1&amp;"/"&amp;RIGHT(YEAR($A896),2)))</f>
        <v/>
      </c>
    </row>
    <row r="897" customFormat="false" ht="15" hidden="false" customHeight="false" outlineLevel="0" collapsed="false">
      <c r="A897" s="22"/>
      <c r="B897" s="23"/>
      <c r="C897" s="23"/>
      <c r="D897" s="23"/>
      <c r="E897" s="32"/>
      <c r="F897" s="25"/>
      <c r="G897" s="23"/>
      <c r="H897" s="23"/>
      <c r="I897" s="23"/>
      <c r="J897" s="23"/>
      <c r="K897" s="23"/>
      <c r="L897" s="27" t="str">
        <f aca="false">IF($B897="","",IFERROR(INDEX(Properties!$D$5:$D$104,MATCH($B897,Properties!$A$5:$A$104,0)),"-"))</f>
        <v/>
      </c>
      <c r="M897" s="28" t="str">
        <f aca="false">IF(OR($A897="",N($E897)=0),"",$F897/$E897)</f>
        <v/>
      </c>
      <c r="N897" s="28" t="str">
        <f aca="false">IF($A897="","",IF($H897="Y",$F897*(1+Settings!$B$3),0))</f>
        <v/>
      </c>
      <c r="O897" s="27" t="str">
        <f aca="false">IF($A897="","",IF(AND($H897="Y",$G897&lt;&gt;"Restock",N($M897)&gt;Settings!$B$4,$I897&lt;&gt;"Y"),"Get host OK",IF(AND($H897="Y",$F897&gt;Settings!$B$5,$I897&lt;&gt;"Y"),"Host should pay upfront",IF($J897&lt;&gt;"Y","Save receipt","OK"))))</f>
        <v/>
      </c>
      <c r="P897" s="29" t="str">
        <f aca="false">IF($A897="","",DATE(YEAR($A897),MONTH($A897),1))</f>
        <v/>
      </c>
      <c r="Q897" s="31" t="str">
        <f aca="false">IF($A897="","",IF(AND($L897='Invoice Builder'!$C$5,$P897='Invoice Builder'!$C$6,N($N897)&gt;0),COUNTIFS($L$5:$L897,'Invoice Builder'!$C$5,$P$5:$P897,'Invoice Builder'!$C$6,$N$5:$N897,"&gt;0"),""))</f>
        <v/>
      </c>
      <c r="R897" s="27" t="str">
        <f aca="false">IF($A897="","",IF($A897&gt;=DATE(YEAR($A897),4,6),YEAR($A897)&amp;"/"&amp;RIGHT(YEAR($A897)+1,2),YEAR($A897)-1&amp;"/"&amp;RIGHT(YEAR($A897),2)))</f>
        <v/>
      </c>
    </row>
    <row r="898" customFormat="false" ht="15" hidden="false" customHeight="false" outlineLevel="0" collapsed="false">
      <c r="A898" s="22"/>
      <c r="B898" s="23"/>
      <c r="C898" s="23"/>
      <c r="D898" s="23"/>
      <c r="E898" s="32"/>
      <c r="F898" s="25"/>
      <c r="G898" s="23"/>
      <c r="H898" s="23"/>
      <c r="I898" s="23"/>
      <c r="J898" s="23"/>
      <c r="K898" s="23"/>
      <c r="L898" s="27" t="str">
        <f aca="false">IF($B898="","",IFERROR(INDEX(Properties!$D$5:$D$104,MATCH($B898,Properties!$A$5:$A$104,0)),"-"))</f>
        <v/>
      </c>
      <c r="M898" s="28" t="str">
        <f aca="false">IF(OR($A898="",N($E898)=0),"",$F898/$E898)</f>
        <v/>
      </c>
      <c r="N898" s="28" t="str">
        <f aca="false">IF($A898="","",IF($H898="Y",$F898*(1+Settings!$B$3),0))</f>
        <v/>
      </c>
      <c r="O898" s="27" t="str">
        <f aca="false">IF($A898="","",IF(AND($H898="Y",$G898&lt;&gt;"Restock",N($M898)&gt;Settings!$B$4,$I898&lt;&gt;"Y"),"Get host OK",IF(AND($H898="Y",$F898&gt;Settings!$B$5,$I898&lt;&gt;"Y"),"Host should pay upfront",IF($J898&lt;&gt;"Y","Save receipt","OK"))))</f>
        <v/>
      </c>
      <c r="P898" s="29" t="str">
        <f aca="false">IF($A898="","",DATE(YEAR($A898),MONTH($A898),1))</f>
        <v/>
      </c>
      <c r="Q898" s="31" t="str">
        <f aca="false">IF($A898="","",IF(AND($L898='Invoice Builder'!$C$5,$P898='Invoice Builder'!$C$6,N($N898)&gt;0),COUNTIFS($L$5:$L898,'Invoice Builder'!$C$5,$P$5:$P898,'Invoice Builder'!$C$6,$N$5:$N898,"&gt;0"),""))</f>
        <v/>
      </c>
      <c r="R898" s="27" t="str">
        <f aca="false">IF($A898="","",IF($A898&gt;=DATE(YEAR($A898),4,6),YEAR($A898)&amp;"/"&amp;RIGHT(YEAR($A898)+1,2),YEAR($A898)-1&amp;"/"&amp;RIGHT(YEAR($A898),2)))</f>
        <v/>
      </c>
    </row>
    <row r="899" customFormat="false" ht="15" hidden="false" customHeight="false" outlineLevel="0" collapsed="false">
      <c r="A899" s="22"/>
      <c r="B899" s="23"/>
      <c r="C899" s="23"/>
      <c r="D899" s="23"/>
      <c r="E899" s="32"/>
      <c r="F899" s="25"/>
      <c r="G899" s="23"/>
      <c r="H899" s="23"/>
      <c r="I899" s="23"/>
      <c r="J899" s="23"/>
      <c r="K899" s="23"/>
      <c r="L899" s="27" t="str">
        <f aca="false">IF($B899="","",IFERROR(INDEX(Properties!$D$5:$D$104,MATCH($B899,Properties!$A$5:$A$104,0)),"-"))</f>
        <v/>
      </c>
      <c r="M899" s="28" t="str">
        <f aca="false">IF(OR($A899="",N($E899)=0),"",$F899/$E899)</f>
        <v/>
      </c>
      <c r="N899" s="28" t="str">
        <f aca="false">IF($A899="","",IF($H899="Y",$F899*(1+Settings!$B$3),0))</f>
        <v/>
      </c>
      <c r="O899" s="27" t="str">
        <f aca="false">IF($A899="","",IF(AND($H899="Y",$G899&lt;&gt;"Restock",N($M899)&gt;Settings!$B$4,$I899&lt;&gt;"Y"),"Get host OK",IF(AND($H899="Y",$F899&gt;Settings!$B$5,$I899&lt;&gt;"Y"),"Host should pay upfront",IF($J899&lt;&gt;"Y","Save receipt","OK"))))</f>
        <v/>
      </c>
      <c r="P899" s="29" t="str">
        <f aca="false">IF($A899="","",DATE(YEAR($A899),MONTH($A899),1))</f>
        <v/>
      </c>
      <c r="Q899" s="31" t="str">
        <f aca="false">IF($A899="","",IF(AND($L899='Invoice Builder'!$C$5,$P899='Invoice Builder'!$C$6,N($N899)&gt;0),COUNTIFS($L$5:$L899,'Invoice Builder'!$C$5,$P$5:$P899,'Invoice Builder'!$C$6,$N$5:$N899,"&gt;0"),""))</f>
        <v/>
      </c>
      <c r="R899" s="27" t="str">
        <f aca="false">IF($A899="","",IF($A899&gt;=DATE(YEAR($A899),4,6),YEAR($A899)&amp;"/"&amp;RIGHT(YEAR($A899)+1,2),YEAR($A899)-1&amp;"/"&amp;RIGHT(YEAR($A899),2)))</f>
        <v/>
      </c>
    </row>
    <row r="900" customFormat="false" ht="15" hidden="false" customHeight="false" outlineLevel="0" collapsed="false">
      <c r="A900" s="22"/>
      <c r="B900" s="23"/>
      <c r="C900" s="23"/>
      <c r="D900" s="23"/>
      <c r="E900" s="32"/>
      <c r="F900" s="25"/>
      <c r="G900" s="23"/>
      <c r="H900" s="23"/>
      <c r="I900" s="23"/>
      <c r="J900" s="23"/>
      <c r="K900" s="23"/>
      <c r="L900" s="27" t="str">
        <f aca="false">IF($B900="","",IFERROR(INDEX(Properties!$D$5:$D$104,MATCH($B900,Properties!$A$5:$A$104,0)),"-"))</f>
        <v/>
      </c>
      <c r="M900" s="28" t="str">
        <f aca="false">IF(OR($A900="",N($E900)=0),"",$F900/$E900)</f>
        <v/>
      </c>
      <c r="N900" s="28" t="str">
        <f aca="false">IF($A900="","",IF($H900="Y",$F900*(1+Settings!$B$3),0))</f>
        <v/>
      </c>
      <c r="O900" s="27" t="str">
        <f aca="false">IF($A900="","",IF(AND($H900="Y",$G900&lt;&gt;"Restock",N($M900)&gt;Settings!$B$4,$I900&lt;&gt;"Y"),"Get host OK",IF(AND($H900="Y",$F900&gt;Settings!$B$5,$I900&lt;&gt;"Y"),"Host should pay upfront",IF($J900&lt;&gt;"Y","Save receipt","OK"))))</f>
        <v/>
      </c>
      <c r="P900" s="29" t="str">
        <f aca="false">IF($A900="","",DATE(YEAR($A900),MONTH($A900),1))</f>
        <v/>
      </c>
      <c r="Q900" s="31" t="str">
        <f aca="false">IF($A900="","",IF(AND($L900='Invoice Builder'!$C$5,$P900='Invoice Builder'!$C$6,N($N900)&gt;0),COUNTIFS($L$5:$L900,'Invoice Builder'!$C$5,$P$5:$P900,'Invoice Builder'!$C$6,$N$5:$N900,"&gt;0"),""))</f>
        <v/>
      </c>
      <c r="R900" s="27" t="str">
        <f aca="false">IF($A900="","",IF($A900&gt;=DATE(YEAR($A900),4,6),YEAR($A900)&amp;"/"&amp;RIGHT(YEAR($A900)+1,2),YEAR($A900)-1&amp;"/"&amp;RIGHT(YEAR($A900),2)))</f>
        <v/>
      </c>
    </row>
    <row r="901" customFormat="false" ht="15" hidden="false" customHeight="false" outlineLevel="0" collapsed="false">
      <c r="A901" s="22"/>
      <c r="B901" s="23"/>
      <c r="C901" s="23"/>
      <c r="D901" s="23"/>
      <c r="E901" s="32"/>
      <c r="F901" s="25"/>
      <c r="G901" s="23"/>
      <c r="H901" s="23"/>
      <c r="I901" s="23"/>
      <c r="J901" s="23"/>
      <c r="K901" s="23"/>
      <c r="L901" s="27" t="str">
        <f aca="false">IF($B901="","",IFERROR(INDEX(Properties!$D$5:$D$104,MATCH($B901,Properties!$A$5:$A$104,0)),"-"))</f>
        <v/>
      </c>
      <c r="M901" s="28" t="str">
        <f aca="false">IF(OR($A901="",N($E901)=0),"",$F901/$E901)</f>
        <v/>
      </c>
      <c r="N901" s="28" t="str">
        <f aca="false">IF($A901="","",IF($H901="Y",$F901*(1+Settings!$B$3),0))</f>
        <v/>
      </c>
      <c r="O901" s="27" t="str">
        <f aca="false">IF($A901="","",IF(AND($H901="Y",$G901&lt;&gt;"Restock",N($M901)&gt;Settings!$B$4,$I901&lt;&gt;"Y"),"Get host OK",IF(AND($H901="Y",$F901&gt;Settings!$B$5,$I901&lt;&gt;"Y"),"Host should pay upfront",IF($J901&lt;&gt;"Y","Save receipt","OK"))))</f>
        <v/>
      </c>
      <c r="P901" s="29" t="str">
        <f aca="false">IF($A901="","",DATE(YEAR($A901),MONTH($A901),1))</f>
        <v/>
      </c>
      <c r="Q901" s="31" t="str">
        <f aca="false">IF($A901="","",IF(AND($L901='Invoice Builder'!$C$5,$P901='Invoice Builder'!$C$6,N($N901)&gt;0),COUNTIFS($L$5:$L901,'Invoice Builder'!$C$5,$P$5:$P901,'Invoice Builder'!$C$6,$N$5:$N901,"&gt;0"),""))</f>
        <v/>
      </c>
      <c r="R901" s="27" t="str">
        <f aca="false">IF($A901="","",IF($A901&gt;=DATE(YEAR($A901),4,6),YEAR($A901)&amp;"/"&amp;RIGHT(YEAR($A901)+1,2),YEAR($A901)-1&amp;"/"&amp;RIGHT(YEAR($A901),2)))</f>
        <v/>
      </c>
    </row>
    <row r="902" customFormat="false" ht="15" hidden="false" customHeight="false" outlineLevel="0" collapsed="false">
      <c r="A902" s="22"/>
      <c r="B902" s="23"/>
      <c r="C902" s="23"/>
      <c r="D902" s="23"/>
      <c r="E902" s="32"/>
      <c r="F902" s="25"/>
      <c r="G902" s="23"/>
      <c r="H902" s="23"/>
      <c r="I902" s="23"/>
      <c r="J902" s="23"/>
      <c r="K902" s="23"/>
      <c r="L902" s="27" t="str">
        <f aca="false">IF($B902="","",IFERROR(INDEX(Properties!$D$5:$D$104,MATCH($B902,Properties!$A$5:$A$104,0)),"-"))</f>
        <v/>
      </c>
      <c r="M902" s="28" t="str">
        <f aca="false">IF(OR($A902="",N($E902)=0),"",$F902/$E902)</f>
        <v/>
      </c>
      <c r="N902" s="28" t="str">
        <f aca="false">IF($A902="","",IF($H902="Y",$F902*(1+Settings!$B$3),0))</f>
        <v/>
      </c>
      <c r="O902" s="27" t="str">
        <f aca="false">IF($A902="","",IF(AND($H902="Y",$G902&lt;&gt;"Restock",N($M902)&gt;Settings!$B$4,$I902&lt;&gt;"Y"),"Get host OK",IF(AND($H902="Y",$F902&gt;Settings!$B$5,$I902&lt;&gt;"Y"),"Host should pay upfront",IF($J902&lt;&gt;"Y","Save receipt","OK"))))</f>
        <v/>
      </c>
      <c r="P902" s="29" t="str">
        <f aca="false">IF($A902="","",DATE(YEAR($A902),MONTH($A902),1))</f>
        <v/>
      </c>
      <c r="Q902" s="31" t="str">
        <f aca="false">IF($A902="","",IF(AND($L902='Invoice Builder'!$C$5,$P902='Invoice Builder'!$C$6,N($N902)&gt;0),COUNTIFS($L$5:$L902,'Invoice Builder'!$C$5,$P$5:$P902,'Invoice Builder'!$C$6,$N$5:$N902,"&gt;0"),""))</f>
        <v/>
      </c>
      <c r="R902" s="27" t="str">
        <f aca="false">IF($A902="","",IF($A902&gt;=DATE(YEAR($A902),4,6),YEAR($A902)&amp;"/"&amp;RIGHT(YEAR($A902)+1,2),YEAR($A902)-1&amp;"/"&amp;RIGHT(YEAR($A902),2)))</f>
        <v/>
      </c>
    </row>
    <row r="903" customFormat="false" ht="15" hidden="false" customHeight="false" outlineLevel="0" collapsed="false">
      <c r="A903" s="22"/>
      <c r="B903" s="23"/>
      <c r="C903" s="23"/>
      <c r="D903" s="23"/>
      <c r="E903" s="32"/>
      <c r="F903" s="25"/>
      <c r="G903" s="23"/>
      <c r="H903" s="23"/>
      <c r="I903" s="23"/>
      <c r="J903" s="23"/>
      <c r="K903" s="23"/>
      <c r="L903" s="27" t="str">
        <f aca="false">IF($B903="","",IFERROR(INDEX(Properties!$D$5:$D$104,MATCH($B903,Properties!$A$5:$A$104,0)),"-"))</f>
        <v/>
      </c>
      <c r="M903" s="28" t="str">
        <f aca="false">IF(OR($A903="",N($E903)=0),"",$F903/$E903)</f>
        <v/>
      </c>
      <c r="N903" s="28" t="str">
        <f aca="false">IF($A903="","",IF($H903="Y",$F903*(1+Settings!$B$3),0))</f>
        <v/>
      </c>
      <c r="O903" s="27" t="str">
        <f aca="false">IF($A903="","",IF(AND($H903="Y",$G903&lt;&gt;"Restock",N($M903)&gt;Settings!$B$4,$I903&lt;&gt;"Y"),"Get host OK",IF(AND($H903="Y",$F903&gt;Settings!$B$5,$I903&lt;&gt;"Y"),"Host should pay upfront",IF($J903&lt;&gt;"Y","Save receipt","OK"))))</f>
        <v/>
      </c>
      <c r="P903" s="29" t="str">
        <f aca="false">IF($A903="","",DATE(YEAR($A903),MONTH($A903),1))</f>
        <v/>
      </c>
      <c r="Q903" s="31" t="str">
        <f aca="false">IF($A903="","",IF(AND($L903='Invoice Builder'!$C$5,$P903='Invoice Builder'!$C$6,N($N903)&gt;0),COUNTIFS($L$5:$L903,'Invoice Builder'!$C$5,$P$5:$P903,'Invoice Builder'!$C$6,$N$5:$N903,"&gt;0"),""))</f>
        <v/>
      </c>
      <c r="R903" s="27" t="str">
        <f aca="false">IF($A903="","",IF($A903&gt;=DATE(YEAR($A903),4,6),YEAR($A903)&amp;"/"&amp;RIGHT(YEAR($A903)+1,2),YEAR($A903)-1&amp;"/"&amp;RIGHT(YEAR($A903),2)))</f>
        <v/>
      </c>
    </row>
    <row r="904" customFormat="false" ht="15" hidden="false" customHeight="false" outlineLevel="0" collapsed="false">
      <c r="A904" s="22"/>
      <c r="B904" s="23"/>
      <c r="C904" s="23"/>
      <c r="D904" s="23"/>
      <c r="E904" s="32"/>
      <c r="F904" s="25"/>
      <c r="G904" s="23"/>
      <c r="H904" s="23"/>
      <c r="I904" s="23"/>
      <c r="J904" s="23"/>
      <c r="K904" s="23"/>
      <c r="L904" s="27" t="str">
        <f aca="false">IF($B904="","",IFERROR(INDEX(Properties!$D$5:$D$104,MATCH($B904,Properties!$A$5:$A$104,0)),"-"))</f>
        <v/>
      </c>
      <c r="M904" s="28" t="str">
        <f aca="false">IF(OR($A904="",N($E904)=0),"",$F904/$E904)</f>
        <v/>
      </c>
      <c r="N904" s="28" t="str">
        <f aca="false">IF($A904="","",IF($H904="Y",$F904*(1+Settings!$B$3),0))</f>
        <v/>
      </c>
      <c r="O904" s="27" t="str">
        <f aca="false">IF($A904="","",IF(AND($H904="Y",$G904&lt;&gt;"Restock",N($M904)&gt;Settings!$B$4,$I904&lt;&gt;"Y"),"Get host OK",IF(AND($H904="Y",$F904&gt;Settings!$B$5,$I904&lt;&gt;"Y"),"Host should pay upfront",IF($J904&lt;&gt;"Y","Save receipt","OK"))))</f>
        <v/>
      </c>
      <c r="P904" s="29" t="str">
        <f aca="false">IF($A904="","",DATE(YEAR($A904),MONTH($A904),1))</f>
        <v/>
      </c>
      <c r="Q904" s="31" t="str">
        <f aca="false">IF($A904="","",IF(AND($L904='Invoice Builder'!$C$5,$P904='Invoice Builder'!$C$6,N($N904)&gt;0),COUNTIFS($L$5:$L904,'Invoice Builder'!$C$5,$P$5:$P904,'Invoice Builder'!$C$6,$N$5:$N904,"&gt;0"),""))</f>
        <v/>
      </c>
      <c r="R904" s="27" t="str">
        <f aca="false">IF($A904="","",IF($A904&gt;=DATE(YEAR($A904),4,6),YEAR($A904)&amp;"/"&amp;RIGHT(YEAR($A904)+1,2),YEAR($A904)-1&amp;"/"&amp;RIGHT(YEAR($A904),2)))</f>
        <v/>
      </c>
    </row>
    <row r="905" customFormat="false" ht="15" hidden="false" customHeight="false" outlineLevel="0" collapsed="false">
      <c r="A905" s="22"/>
      <c r="B905" s="23"/>
      <c r="C905" s="23"/>
      <c r="D905" s="23"/>
      <c r="E905" s="32"/>
      <c r="F905" s="25"/>
      <c r="G905" s="23"/>
      <c r="H905" s="23"/>
      <c r="I905" s="23"/>
      <c r="J905" s="23"/>
      <c r="K905" s="23"/>
      <c r="L905" s="27" t="str">
        <f aca="false">IF($B905="","",IFERROR(INDEX(Properties!$D$5:$D$104,MATCH($B905,Properties!$A$5:$A$104,0)),"-"))</f>
        <v/>
      </c>
      <c r="M905" s="28" t="str">
        <f aca="false">IF(OR($A905="",N($E905)=0),"",$F905/$E905)</f>
        <v/>
      </c>
      <c r="N905" s="28" t="str">
        <f aca="false">IF($A905="","",IF($H905="Y",$F905*(1+Settings!$B$3),0))</f>
        <v/>
      </c>
      <c r="O905" s="27" t="str">
        <f aca="false">IF($A905="","",IF(AND($H905="Y",$G905&lt;&gt;"Restock",N($M905)&gt;Settings!$B$4,$I905&lt;&gt;"Y"),"Get host OK",IF(AND($H905="Y",$F905&gt;Settings!$B$5,$I905&lt;&gt;"Y"),"Host should pay upfront",IF($J905&lt;&gt;"Y","Save receipt","OK"))))</f>
        <v/>
      </c>
      <c r="P905" s="29" t="str">
        <f aca="false">IF($A905="","",DATE(YEAR($A905),MONTH($A905),1))</f>
        <v/>
      </c>
      <c r="Q905" s="31" t="str">
        <f aca="false">IF($A905="","",IF(AND($L905='Invoice Builder'!$C$5,$P905='Invoice Builder'!$C$6,N($N905)&gt;0),COUNTIFS($L$5:$L905,'Invoice Builder'!$C$5,$P$5:$P905,'Invoice Builder'!$C$6,$N$5:$N905,"&gt;0"),""))</f>
        <v/>
      </c>
      <c r="R905" s="27" t="str">
        <f aca="false">IF($A905="","",IF($A905&gt;=DATE(YEAR($A905),4,6),YEAR($A905)&amp;"/"&amp;RIGHT(YEAR($A905)+1,2),YEAR($A905)-1&amp;"/"&amp;RIGHT(YEAR($A905),2)))</f>
        <v/>
      </c>
    </row>
    <row r="906" customFormat="false" ht="15" hidden="false" customHeight="false" outlineLevel="0" collapsed="false">
      <c r="A906" s="22"/>
      <c r="B906" s="23"/>
      <c r="C906" s="23"/>
      <c r="D906" s="23"/>
      <c r="E906" s="32"/>
      <c r="F906" s="25"/>
      <c r="G906" s="23"/>
      <c r="H906" s="23"/>
      <c r="I906" s="23"/>
      <c r="J906" s="23"/>
      <c r="K906" s="23"/>
      <c r="L906" s="27" t="str">
        <f aca="false">IF($B906="","",IFERROR(INDEX(Properties!$D$5:$D$104,MATCH($B906,Properties!$A$5:$A$104,0)),"-"))</f>
        <v/>
      </c>
      <c r="M906" s="28" t="str">
        <f aca="false">IF(OR($A906="",N($E906)=0),"",$F906/$E906)</f>
        <v/>
      </c>
      <c r="N906" s="28" t="str">
        <f aca="false">IF($A906="","",IF($H906="Y",$F906*(1+Settings!$B$3),0))</f>
        <v/>
      </c>
      <c r="O906" s="27" t="str">
        <f aca="false">IF($A906="","",IF(AND($H906="Y",$G906&lt;&gt;"Restock",N($M906)&gt;Settings!$B$4,$I906&lt;&gt;"Y"),"Get host OK",IF(AND($H906="Y",$F906&gt;Settings!$B$5,$I906&lt;&gt;"Y"),"Host should pay upfront",IF($J906&lt;&gt;"Y","Save receipt","OK"))))</f>
        <v/>
      </c>
      <c r="P906" s="29" t="str">
        <f aca="false">IF($A906="","",DATE(YEAR($A906),MONTH($A906),1))</f>
        <v/>
      </c>
      <c r="Q906" s="31" t="str">
        <f aca="false">IF($A906="","",IF(AND($L906='Invoice Builder'!$C$5,$P906='Invoice Builder'!$C$6,N($N906)&gt;0),COUNTIFS($L$5:$L906,'Invoice Builder'!$C$5,$P$5:$P906,'Invoice Builder'!$C$6,$N$5:$N906,"&gt;0"),""))</f>
        <v/>
      </c>
      <c r="R906" s="27" t="str">
        <f aca="false">IF($A906="","",IF($A906&gt;=DATE(YEAR($A906),4,6),YEAR($A906)&amp;"/"&amp;RIGHT(YEAR($A906)+1,2),YEAR($A906)-1&amp;"/"&amp;RIGHT(YEAR($A906),2)))</f>
        <v/>
      </c>
    </row>
    <row r="907" customFormat="false" ht="15" hidden="false" customHeight="false" outlineLevel="0" collapsed="false">
      <c r="A907" s="22"/>
      <c r="B907" s="23"/>
      <c r="C907" s="23"/>
      <c r="D907" s="23"/>
      <c r="E907" s="32"/>
      <c r="F907" s="25"/>
      <c r="G907" s="23"/>
      <c r="H907" s="23"/>
      <c r="I907" s="23"/>
      <c r="J907" s="23"/>
      <c r="K907" s="23"/>
      <c r="L907" s="27" t="str">
        <f aca="false">IF($B907="","",IFERROR(INDEX(Properties!$D$5:$D$104,MATCH($B907,Properties!$A$5:$A$104,0)),"-"))</f>
        <v/>
      </c>
      <c r="M907" s="28" t="str">
        <f aca="false">IF(OR($A907="",N($E907)=0),"",$F907/$E907)</f>
        <v/>
      </c>
      <c r="N907" s="28" t="str">
        <f aca="false">IF($A907="","",IF($H907="Y",$F907*(1+Settings!$B$3),0))</f>
        <v/>
      </c>
      <c r="O907" s="27" t="str">
        <f aca="false">IF($A907="","",IF(AND($H907="Y",$G907&lt;&gt;"Restock",N($M907)&gt;Settings!$B$4,$I907&lt;&gt;"Y"),"Get host OK",IF(AND($H907="Y",$F907&gt;Settings!$B$5,$I907&lt;&gt;"Y"),"Host should pay upfront",IF($J907&lt;&gt;"Y","Save receipt","OK"))))</f>
        <v/>
      </c>
      <c r="P907" s="29" t="str">
        <f aca="false">IF($A907="","",DATE(YEAR($A907),MONTH($A907),1))</f>
        <v/>
      </c>
      <c r="Q907" s="31" t="str">
        <f aca="false">IF($A907="","",IF(AND($L907='Invoice Builder'!$C$5,$P907='Invoice Builder'!$C$6,N($N907)&gt;0),COUNTIFS($L$5:$L907,'Invoice Builder'!$C$5,$P$5:$P907,'Invoice Builder'!$C$6,$N$5:$N907,"&gt;0"),""))</f>
        <v/>
      </c>
      <c r="R907" s="27" t="str">
        <f aca="false">IF($A907="","",IF($A907&gt;=DATE(YEAR($A907),4,6),YEAR($A907)&amp;"/"&amp;RIGHT(YEAR($A907)+1,2),YEAR($A907)-1&amp;"/"&amp;RIGHT(YEAR($A907),2)))</f>
        <v/>
      </c>
    </row>
    <row r="908" customFormat="false" ht="15" hidden="false" customHeight="false" outlineLevel="0" collapsed="false">
      <c r="A908" s="22"/>
      <c r="B908" s="23"/>
      <c r="C908" s="23"/>
      <c r="D908" s="23"/>
      <c r="E908" s="32"/>
      <c r="F908" s="25"/>
      <c r="G908" s="23"/>
      <c r="H908" s="23"/>
      <c r="I908" s="23"/>
      <c r="J908" s="23"/>
      <c r="K908" s="23"/>
      <c r="L908" s="27" t="str">
        <f aca="false">IF($B908="","",IFERROR(INDEX(Properties!$D$5:$D$104,MATCH($B908,Properties!$A$5:$A$104,0)),"-"))</f>
        <v/>
      </c>
      <c r="M908" s="28" t="str">
        <f aca="false">IF(OR($A908="",N($E908)=0),"",$F908/$E908)</f>
        <v/>
      </c>
      <c r="N908" s="28" t="str">
        <f aca="false">IF($A908="","",IF($H908="Y",$F908*(1+Settings!$B$3),0))</f>
        <v/>
      </c>
      <c r="O908" s="27" t="str">
        <f aca="false">IF($A908="","",IF(AND($H908="Y",$G908&lt;&gt;"Restock",N($M908)&gt;Settings!$B$4,$I908&lt;&gt;"Y"),"Get host OK",IF(AND($H908="Y",$F908&gt;Settings!$B$5,$I908&lt;&gt;"Y"),"Host should pay upfront",IF($J908&lt;&gt;"Y","Save receipt","OK"))))</f>
        <v/>
      </c>
      <c r="P908" s="29" t="str">
        <f aca="false">IF($A908="","",DATE(YEAR($A908),MONTH($A908),1))</f>
        <v/>
      </c>
      <c r="Q908" s="31" t="str">
        <f aca="false">IF($A908="","",IF(AND($L908='Invoice Builder'!$C$5,$P908='Invoice Builder'!$C$6,N($N908)&gt;0),COUNTIFS($L$5:$L908,'Invoice Builder'!$C$5,$P$5:$P908,'Invoice Builder'!$C$6,$N$5:$N908,"&gt;0"),""))</f>
        <v/>
      </c>
      <c r="R908" s="27" t="str">
        <f aca="false">IF($A908="","",IF($A908&gt;=DATE(YEAR($A908),4,6),YEAR($A908)&amp;"/"&amp;RIGHT(YEAR($A908)+1,2),YEAR($A908)-1&amp;"/"&amp;RIGHT(YEAR($A908),2)))</f>
        <v/>
      </c>
    </row>
    <row r="909" customFormat="false" ht="15" hidden="false" customHeight="false" outlineLevel="0" collapsed="false">
      <c r="A909" s="22"/>
      <c r="B909" s="23"/>
      <c r="C909" s="23"/>
      <c r="D909" s="23"/>
      <c r="E909" s="32"/>
      <c r="F909" s="25"/>
      <c r="G909" s="23"/>
      <c r="H909" s="23"/>
      <c r="I909" s="23"/>
      <c r="J909" s="23"/>
      <c r="K909" s="23"/>
      <c r="L909" s="27" t="str">
        <f aca="false">IF($B909="","",IFERROR(INDEX(Properties!$D$5:$D$104,MATCH($B909,Properties!$A$5:$A$104,0)),"-"))</f>
        <v/>
      </c>
      <c r="M909" s="28" t="str">
        <f aca="false">IF(OR($A909="",N($E909)=0),"",$F909/$E909)</f>
        <v/>
      </c>
      <c r="N909" s="28" t="str">
        <f aca="false">IF($A909="","",IF($H909="Y",$F909*(1+Settings!$B$3),0))</f>
        <v/>
      </c>
      <c r="O909" s="27" t="str">
        <f aca="false">IF($A909="","",IF(AND($H909="Y",$G909&lt;&gt;"Restock",N($M909)&gt;Settings!$B$4,$I909&lt;&gt;"Y"),"Get host OK",IF(AND($H909="Y",$F909&gt;Settings!$B$5,$I909&lt;&gt;"Y"),"Host should pay upfront",IF($J909&lt;&gt;"Y","Save receipt","OK"))))</f>
        <v/>
      </c>
      <c r="P909" s="29" t="str">
        <f aca="false">IF($A909="","",DATE(YEAR($A909),MONTH($A909),1))</f>
        <v/>
      </c>
      <c r="Q909" s="31" t="str">
        <f aca="false">IF($A909="","",IF(AND($L909='Invoice Builder'!$C$5,$P909='Invoice Builder'!$C$6,N($N909)&gt;0),COUNTIFS($L$5:$L909,'Invoice Builder'!$C$5,$P$5:$P909,'Invoice Builder'!$C$6,$N$5:$N909,"&gt;0"),""))</f>
        <v/>
      </c>
      <c r="R909" s="27" t="str">
        <f aca="false">IF($A909="","",IF($A909&gt;=DATE(YEAR($A909),4,6),YEAR($A909)&amp;"/"&amp;RIGHT(YEAR($A909)+1,2),YEAR($A909)-1&amp;"/"&amp;RIGHT(YEAR($A909),2)))</f>
        <v/>
      </c>
    </row>
    <row r="910" customFormat="false" ht="15" hidden="false" customHeight="false" outlineLevel="0" collapsed="false">
      <c r="A910" s="22"/>
      <c r="B910" s="23"/>
      <c r="C910" s="23"/>
      <c r="D910" s="23"/>
      <c r="E910" s="32"/>
      <c r="F910" s="25"/>
      <c r="G910" s="23"/>
      <c r="H910" s="23"/>
      <c r="I910" s="23"/>
      <c r="J910" s="23"/>
      <c r="K910" s="23"/>
      <c r="L910" s="27" t="str">
        <f aca="false">IF($B910="","",IFERROR(INDEX(Properties!$D$5:$D$104,MATCH($B910,Properties!$A$5:$A$104,0)),"-"))</f>
        <v/>
      </c>
      <c r="M910" s="28" t="str">
        <f aca="false">IF(OR($A910="",N($E910)=0),"",$F910/$E910)</f>
        <v/>
      </c>
      <c r="N910" s="28" t="str">
        <f aca="false">IF($A910="","",IF($H910="Y",$F910*(1+Settings!$B$3),0))</f>
        <v/>
      </c>
      <c r="O910" s="27" t="str">
        <f aca="false">IF($A910="","",IF(AND($H910="Y",$G910&lt;&gt;"Restock",N($M910)&gt;Settings!$B$4,$I910&lt;&gt;"Y"),"Get host OK",IF(AND($H910="Y",$F910&gt;Settings!$B$5,$I910&lt;&gt;"Y"),"Host should pay upfront",IF($J910&lt;&gt;"Y","Save receipt","OK"))))</f>
        <v/>
      </c>
      <c r="P910" s="29" t="str">
        <f aca="false">IF($A910="","",DATE(YEAR($A910),MONTH($A910),1))</f>
        <v/>
      </c>
      <c r="Q910" s="31" t="str">
        <f aca="false">IF($A910="","",IF(AND($L910='Invoice Builder'!$C$5,$P910='Invoice Builder'!$C$6,N($N910)&gt;0),COUNTIFS($L$5:$L910,'Invoice Builder'!$C$5,$P$5:$P910,'Invoice Builder'!$C$6,$N$5:$N910,"&gt;0"),""))</f>
        <v/>
      </c>
      <c r="R910" s="27" t="str">
        <f aca="false">IF($A910="","",IF($A910&gt;=DATE(YEAR($A910),4,6),YEAR($A910)&amp;"/"&amp;RIGHT(YEAR($A910)+1,2),YEAR($A910)-1&amp;"/"&amp;RIGHT(YEAR($A910),2)))</f>
        <v/>
      </c>
    </row>
    <row r="911" customFormat="false" ht="15" hidden="false" customHeight="false" outlineLevel="0" collapsed="false">
      <c r="A911" s="22"/>
      <c r="B911" s="23"/>
      <c r="C911" s="23"/>
      <c r="D911" s="23"/>
      <c r="E911" s="32"/>
      <c r="F911" s="25"/>
      <c r="G911" s="23"/>
      <c r="H911" s="23"/>
      <c r="I911" s="23"/>
      <c r="J911" s="23"/>
      <c r="K911" s="23"/>
      <c r="L911" s="27" t="str">
        <f aca="false">IF($B911="","",IFERROR(INDEX(Properties!$D$5:$D$104,MATCH($B911,Properties!$A$5:$A$104,0)),"-"))</f>
        <v/>
      </c>
      <c r="M911" s="28" t="str">
        <f aca="false">IF(OR($A911="",N($E911)=0),"",$F911/$E911)</f>
        <v/>
      </c>
      <c r="N911" s="28" t="str">
        <f aca="false">IF($A911="","",IF($H911="Y",$F911*(1+Settings!$B$3),0))</f>
        <v/>
      </c>
      <c r="O911" s="27" t="str">
        <f aca="false">IF($A911="","",IF(AND($H911="Y",$G911&lt;&gt;"Restock",N($M911)&gt;Settings!$B$4,$I911&lt;&gt;"Y"),"Get host OK",IF(AND($H911="Y",$F911&gt;Settings!$B$5,$I911&lt;&gt;"Y"),"Host should pay upfront",IF($J911&lt;&gt;"Y","Save receipt","OK"))))</f>
        <v/>
      </c>
      <c r="P911" s="29" t="str">
        <f aca="false">IF($A911="","",DATE(YEAR($A911),MONTH($A911),1))</f>
        <v/>
      </c>
      <c r="Q911" s="31" t="str">
        <f aca="false">IF($A911="","",IF(AND($L911='Invoice Builder'!$C$5,$P911='Invoice Builder'!$C$6,N($N911)&gt;0),COUNTIFS($L$5:$L911,'Invoice Builder'!$C$5,$P$5:$P911,'Invoice Builder'!$C$6,$N$5:$N911,"&gt;0"),""))</f>
        <v/>
      </c>
      <c r="R911" s="27" t="str">
        <f aca="false">IF($A911="","",IF($A911&gt;=DATE(YEAR($A911),4,6),YEAR($A911)&amp;"/"&amp;RIGHT(YEAR($A911)+1,2),YEAR($A911)-1&amp;"/"&amp;RIGHT(YEAR($A911),2)))</f>
        <v/>
      </c>
    </row>
    <row r="912" customFormat="false" ht="15" hidden="false" customHeight="false" outlineLevel="0" collapsed="false">
      <c r="A912" s="22"/>
      <c r="B912" s="23"/>
      <c r="C912" s="23"/>
      <c r="D912" s="23"/>
      <c r="E912" s="32"/>
      <c r="F912" s="25"/>
      <c r="G912" s="23"/>
      <c r="H912" s="23"/>
      <c r="I912" s="23"/>
      <c r="J912" s="23"/>
      <c r="K912" s="23"/>
      <c r="L912" s="27" t="str">
        <f aca="false">IF($B912="","",IFERROR(INDEX(Properties!$D$5:$D$104,MATCH($B912,Properties!$A$5:$A$104,0)),"-"))</f>
        <v/>
      </c>
      <c r="M912" s="28" t="str">
        <f aca="false">IF(OR($A912="",N($E912)=0),"",$F912/$E912)</f>
        <v/>
      </c>
      <c r="N912" s="28" t="str">
        <f aca="false">IF($A912="","",IF($H912="Y",$F912*(1+Settings!$B$3),0))</f>
        <v/>
      </c>
      <c r="O912" s="27" t="str">
        <f aca="false">IF($A912="","",IF(AND($H912="Y",$G912&lt;&gt;"Restock",N($M912)&gt;Settings!$B$4,$I912&lt;&gt;"Y"),"Get host OK",IF(AND($H912="Y",$F912&gt;Settings!$B$5,$I912&lt;&gt;"Y"),"Host should pay upfront",IF($J912&lt;&gt;"Y","Save receipt","OK"))))</f>
        <v/>
      </c>
      <c r="P912" s="29" t="str">
        <f aca="false">IF($A912="","",DATE(YEAR($A912),MONTH($A912),1))</f>
        <v/>
      </c>
      <c r="Q912" s="31" t="str">
        <f aca="false">IF($A912="","",IF(AND($L912='Invoice Builder'!$C$5,$P912='Invoice Builder'!$C$6,N($N912)&gt;0),COUNTIFS($L$5:$L912,'Invoice Builder'!$C$5,$P$5:$P912,'Invoice Builder'!$C$6,$N$5:$N912,"&gt;0"),""))</f>
        <v/>
      </c>
      <c r="R912" s="27" t="str">
        <f aca="false">IF($A912="","",IF($A912&gt;=DATE(YEAR($A912),4,6),YEAR($A912)&amp;"/"&amp;RIGHT(YEAR($A912)+1,2),YEAR($A912)-1&amp;"/"&amp;RIGHT(YEAR($A912),2)))</f>
        <v/>
      </c>
    </row>
    <row r="913" customFormat="false" ht="15" hidden="false" customHeight="false" outlineLevel="0" collapsed="false">
      <c r="A913" s="22"/>
      <c r="B913" s="23"/>
      <c r="C913" s="23"/>
      <c r="D913" s="23"/>
      <c r="E913" s="32"/>
      <c r="F913" s="25"/>
      <c r="G913" s="23"/>
      <c r="H913" s="23"/>
      <c r="I913" s="23"/>
      <c r="J913" s="23"/>
      <c r="K913" s="23"/>
      <c r="L913" s="27" t="str">
        <f aca="false">IF($B913="","",IFERROR(INDEX(Properties!$D$5:$D$104,MATCH($B913,Properties!$A$5:$A$104,0)),"-"))</f>
        <v/>
      </c>
      <c r="M913" s="28" t="str">
        <f aca="false">IF(OR($A913="",N($E913)=0),"",$F913/$E913)</f>
        <v/>
      </c>
      <c r="N913" s="28" t="str">
        <f aca="false">IF($A913="","",IF($H913="Y",$F913*(1+Settings!$B$3),0))</f>
        <v/>
      </c>
      <c r="O913" s="27" t="str">
        <f aca="false">IF($A913="","",IF(AND($H913="Y",$G913&lt;&gt;"Restock",N($M913)&gt;Settings!$B$4,$I913&lt;&gt;"Y"),"Get host OK",IF(AND($H913="Y",$F913&gt;Settings!$B$5,$I913&lt;&gt;"Y"),"Host should pay upfront",IF($J913&lt;&gt;"Y","Save receipt","OK"))))</f>
        <v/>
      </c>
      <c r="P913" s="29" t="str">
        <f aca="false">IF($A913="","",DATE(YEAR($A913),MONTH($A913),1))</f>
        <v/>
      </c>
      <c r="Q913" s="31" t="str">
        <f aca="false">IF($A913="","",IF(AND($L913='Invoice Builder'!$C$5,$P913='Invoice Builder'!$C$6,N($N913)&gt;0),COUNTIFS($L$5:$L913,'Invoice Builder'!$C$5,$P$5:$P913,'Invoice Builder'!$C$6,$N$5:$N913,"&gt;0"),""))</f>
        <v/>
      </c>
      <c r="R913" s="27" t="str">
        <f aca="false">IF($A913="","",IF($A913&gt;=DATE(YEAR($A913),4,6),YEAR($A913)&amp;"/"&amp;RIGHT(YEAR($A913)+1,2),YEAR($A913)-1&amp;"/"&amp;RIGHT(YEAR($A913),2)))</f>
        <v/>
      </c>
    </row>
    <row r="914" customFormat="false" ht="15" hidden="false" customHeight="false" outlineLevel="0" collapsed="false">
      <c r="A914" s="22"/>
      <c r="B914" s="23"/>
      <c r="C914" s="23"/>
      <c r="D914" s="23"/>
      <c r="E914" s="32"/>
      <c r="F914" s="25"/>
      <c r="G914" s="23"/>
      <c r="H914" s="23"/>
      <c r="I914" s="23"/>
      <c r="J914" s="23"/>
      <c r="K914" s="23"/>
      <c r="L914" s="27" t="str">
        <f aca="false">IF($B914="","",IFERROR(INDEX(Properties!$D$5:$D$104,MATCH($B914,Properties!$A$5:$A$104,0)),"-"))</f>
        <v/>
      </c>
      <c r="M914" s="28" t="str">
        <f aca="false">IF(OR($A914="",N($E914)=0),"",$F914/$E914)</f>
        <v/>
      </c>
      <c r="N914" s="28" t="str">
        <f aca="false">IF($A914="","",IF($H914="Y",$F914*(1+Settings!$B$3),0))</f>
        <v/>
      </c>
      <c r="O914" s="27" t="str">
        <f aca="false">IF($A914="","",IF(AND($H914="Y",$G914&lt;&gt;"Restock",N($M914)&gt;Settings!$B$4,$I914&lt;&gt;"Y"),"Get host OK",IF(AND($H914="Y",$F914&gt;Settings!$B$5,$I914&lt;&gt;"Y"),"Host should pay upfront",IF($J914&lt;&gt;"Y","Save receipt","OK"))))</f>
        <v/>
      </c>
      <c r="P914" s="29" t="str">
        <f aca="false">IF($A914="","",DATE(YEAR($A914),MONTH($A914),1))</f>
        <v/>
      </c>
      <c r="Q914" s="31" t="str">
        <f aca="false">IF($A914="","",IF(AND($L914='Invoice Builder'!$C$5,$P914='Invoice Builder'!$C$6,N($N914)&gt;0),COUNTIFS($L$5:$L914,'Invoice Builder'!$C$5,$P$5:$P914,'Invoice Builder'!$C$6,$N$5:$N914,"&gt;0"),""))</f>
        <v/>
      </c>
      <c r="R914" s="27" t="str">
        <f aca="false">IF($A914="","",IF($A914&gt;=DATE(YEAR($A914),4,6),YEAR($A914)&amp;"/"&amp;RIGHT(YEAR($A914)+1,2),YEAR($A914)-1&amp;"/"&amp;RIGHT(YEAR($A914),2)))</f>
        <v/>
      </c>
    </row>
    <row r="915" customFormat="false" ht="15" hidden="false" customHeight="false" outlineLevel="0" collapsed="false">
      <c r="A915" s="22"/>
      <c r="B915" s="23"/>
      <c r="C915" s="23"/>
      <c r="D915" s="23"/>
      <c r="E915" s="32"/>
      <c r="F915" s="25"/>
      <c r="G915" s="23"/>
      <c r="H915" s="23"/>
      <c r="I915" s="23"/>
      <c r="J915" s="23"/>
      <c r="K915" s="23"/>
      <c r="L915" s="27" t="str">
        <f aca="false">IF($B915="","",IFERROR(INDEX(Properties!$D$5:$D$104,MATCH($B915,Properties!$A$5:$A$104,0)),"-"))</f>
        <v/>
      </c>
      <c r="M915" s="28" t="str">
        <f aca="false">IF(OR($A915="",N($E915)=0),"",$F915/$E915)</f>
        <v/>
      </c>
      <c r="N915" s="28" t="str">
        <f aca="false">IF($A915="","",IF($H915="Y",$F915*(1+Settings!$B$3),0))</f>
        <v/>
      </c>
      <c r="O915" s="27" t="str">
        <f aca="false">IF($A915="","",IF(AND($H915="Y",$G915&lt;&gt;"Restock",N($M915)&gt;Settings!$B$4,$I915&lt;&gt;"Y"),"Get host OK",IF(AND($H915="Y",$F915&gt;Settings!$B$5,$I915&lt;&gt;"Y"),"Host should pay upfront",IF($J915&lt;&gt;"Y","Save receipt","OK"))))</f>
        <v/>
      </c>
      <c r="P915" s="29" t="str">
        <f aca="false">IF($A915="","",DATE(YEAR($A915),MONTH($A915),1))</f>
        <v/>
      </c>
      <c r="Q915" s="31" t="str">
        <f aca="false">IF($A915="","",IF(AND($L915='Invoice Builder'!$C$5,$P915='Invoice Builder'!$C$6,N($N915)&gt;0),COUNTIFS($L$5:$L915,'Invoice Builder'!$C$5,$P$5:$P915,'Invoice Builder'!$C$6,$N$5:$N915,"&gt;0"),""))</f>
        <v/>
      </c>
      <c r="R915" s="27" t="str">
        <f aca="false">IF($A915="","",IF($A915&gt;=DATE(YEAR($A915),4,6),YEAR($A915)&amp;"/"&amp;RIGHT(YEAR($A915)+1,2),YEAR($A915)-1&amp;"/"&amp;RIGHT(YEAR($A915),2)))</f>
        <v/>
      </c>
    </row>
    <row r="916" customFormat="false" ht="15" hidden="false" customHeight="false" outlineLevel="0" collapsed="false">
      <c r="A916" s="22"/>
      <c r="B916" s="23"/>
      <c r="C916" s="23"/>
      <c r="D916" s="23"/>
      <c r="E916" s="32"/>
      <c r="F916" s="25"/>
      <c r="G916" s="23"/>
      <c r="H916" s="23"/>
      <c r="I916" s="23"/>
      <c r="J916" s="23"/>
      <c r="K916" s="23"/>
      <c r="L916" s="27" t="str">
        <f aca="false">IF($B916="","",IFERROR(INDEX(Properties!$D$5:$D$104,MATCH($B916,Properties!$A$5:$A$104,0)),"-"))</f>
        <v/>
      </c>
      <c r="M916" s="28" t="str">
        <f aca="false">IF(OR($A916="",N($E916)=0),"",$F916/$E916)</f>
        <v/>
      </c>
      <c r="N916" s="28" t="str">
        <f aca="false">IF($A916="","",IF($H916="Y",$F916*(1+Settings!$B$3),0))</f>
        <v/>
      </c>
      <c r="O916" s="27" t="str">
        <f aca="false">IF($A916="","",IF(AND($H916="Y",$G916&lt;&gt;"Restock",N($M916)&gt;Settings!$B$4,$I916&lt;&gt;"Y"),"Get host OK",IF(AND($H916="Y",$F916&gt;Settings!$B$5,$I916&lt;&gt;"Y"),"Host should pay upfront",IF($J916&lt;&gt;"Y","Save receipt","OK"))))</f>
        <v/>
      </c>
      <c r="P916" s="29" t="str">
        <f aca="false">IF($A916="","",DATE(YEAR($A916),MONTH($A916),1))</f>
        <v/>
      </c>
      <c r="Q916" s="31" t="str">
        <f aca="false">IF($A916="","",IF(AND($L916='Invoice Builder'!$C$5,$P916='Invoice Builder'!$C$6,N($N916)&gt;0),COUNTIFS($L$5:$L916,'Invoice Builder'!$C$5,$P$5:$P916,'Invoice Builder'!$C$6,$N$5:$N916,"&gt;0"),""))</f>
        <v/>
      </c>
      <c r="R916" s="27" t="str">
        <f aca="false">IF($A916="","",IF($A916&gt;=DATE(YEAR($A916),4,6),YEAR($A916)&amp;"/"&amp;RIGHT(YEAR($A916)+1,2),YEAR($A916)-1&amp;"/"&amp;RIGHT(YEAR($A916),2)))</f>
        <v/>
      </c>
    </row>
    <row r="917" customFormat="false" ht="15" hidden="false" customHeight="false" outlineLevel="0" collapsed="false">
      <c r="A917" s="22"/>
      <c r="B917" s="23"/>
      <c r="C917" s="23"/>
      <c r="D917" s="23"/>
      <c r="E917" s="32"/>
      <c r="F917" s="25"/>
      <c r="G917" s="23"/>
      <c r="H917" s="23"/>
      <c r="I917" s="23"/>
      <c r="J917" s="23"/>
      <c r="K917" s="23"/>
      <c r="L917" s="27" t="str">
        <f aca="false">IF($B917="","",IFERROR(INDEX(Properties!$D$5:$D$104,MATCH($B917,Properties!$A$5:$A$104,0)),"-"))</f>
        <v/>
      </c>
      <c r="M917" s="28" t="str">
        <f aca="false">IF(OR($A917="",N($E917)=0),"",$F917/$E917)</f>
        <v/>
      </c>
      <c r="N917" s="28" t="str">
        <f aca="false">IF($A917="","",IF($H917="Y",$F917*(1+Settings!$B$3),0))</f>
        <v/>
      </c>
      <c r="O917" s="27" t="str">
        <f aca="false">IF($A917="","",IF(AND($H917="Y",$G917&lt;&gt;"Restock",N($M917)&gt;Settings!$B$4,$I917&lt;&gt;"Y"),"Get host OK",IF(AND($H917="Y",$F917&gt;Settings!$B$5,$I917&lt;&gt;"Y"),"Host should pay upfront",IF($J917&lt;&gt;"Y","Save receipt","OK"))))</f>
        <v/>
      </c>
      <c r="P917" s="29" t="str">
        <f aca="false">IF($A917="","",DATE(YEAR($A917),MONTH($A917),1))</f>
        <v/>
      </c>
      <c r="Q917" s="31" t="str">
        <f aca="false">IF($A917="","",IF(AND($L917='Invoice Builder'!$C$5,$P917='Invoice Builder'!$C$6,N($N917)&gt;0),COUNTIFS($L$5:$L917,'Invoice Builder'!$C$5,$P$5:$P917,'Invoice Builder'!$C$6,$N$5:$N917,"&gt;0"),""))</f>
        <v/>
      </c>
      <c r="R917" s="27" t="str">
        <f aca="false">IF($A917="","",IF($A917&gt;=DATE(YEAR($A917),4,6),YEAR($A917)&amp;"/"&amp;RIGHT(YEAR($A917)+1,2),YEAR($A917)-1&amp;"/"&amp;RIGHT(YEAR($A917),2)))</f>
        <v/>
      </c>
    </row>
    <row r="918" customFormat="false" ht="15" hidden="false" customHeight="false" outlineLevel="0" collapsed="false">
      <c r="A918" s="22"/>
      <c r="B918" s="23"/>
      <c r="C918" s="23"/>
      <c r="D918" s="23"/>
      <c r="E918" s="32"/>
      <c r="F918" s="25"/>
      <c r="G918" s="23"/>
      <c r="H918" s="23"/>
      <c r="I918" s="23"/>
      <c r="J918" s="23"/>
      <c r="K918" s="23"/>
      <c r="L918" s="27" t="str">
        <f aca="false">IF($B918="","",IFERROR(INDEX(Properties!$D$5:$D$104,MATCH($B918,Properties!$A$5:$A$104,0)),"-"))</f>
        <v/>
      </c>
      <c r="M918" s="28" t="str">
        <f aca="false">IF(OR($A918="",N($E918)=0),"",$F918/$E918)</f>
        <v/>
      </c>
      <c r="N918" s="28" t="str">
        <f aca="false">IF($A918="","",IF($H918="Y",$F918*(1+Settings!$B$3),0))</f>
        <v/>
      </c>
      <c r="O918" s="27" t="str">
        <f aca="false">IF($A918="","",IF(AND($H918="Y",$G918&lt;&gt;"Restock",N($M918)&gt;Settings!$B$4,$I918&lt;&gt;"Y"),"Get host OK",IF(AND($H918="Y",$F918&gt;Settings!$B$5,$I918&lt;&gt;"Y"),"Host should pay upfront",IF($J918&lt;&gt;"Y","Save receipt","OK"))))</f>
        <v/>
      </c>
      <c r="P918" s="29" t="str">
        <f aca="false">IF($A918="","",DATE(YEAR($A918),MONTH($A918),1))</f>
        <v/>
      </c>
      <c r="Q918" s="31" t="str">
        <f aca="false">IF($A918="","",IF(AND($L918='Invoice Builder'!$C$5,$P918='Invoice Builder'!$C$6,N($N918)&gt;0),COUNTIFS($L$5:$L918,'Invoice Builder'!$C$5,$P$5:$P918,'Invoice Builder'!$C$6,$N$5:$N918,"&gt;0"),""))</f>
        <v/>
      </c>
      <c r="R918" s="27" t="str">
        <f aca="false">IF($A918="","",IF($A918&gt;=DATE(YEAR($A918),4,6),YEAR($A918)&amp;"/"&amp;RIGHT(YEAR($A918)+1,2),YEAR($A918)-1&amp;"/"&amp;RIGHT(YEAR($A918),2)))</f>
        <v/>
      </c>
    </row>
    <row r="919" customFormat="false" ht="15" hidden="false" customHeight="false" outlineLevel="0" collapsed="false">
      <c r="A919" s="22"/>
      <c r="B919" s="23"/>
      <c r="C919" s="23"/>
      <c r="D919" s="23"/>
      <c r="E919" s="32"/>
      <c r="F919" s="25"/>
      <c r="G919" s="23"/>
      <c r="H919" s="23"/>
      <c r="I919" s="23"/>
      <c r="J919" s="23"/>
      <c r="K919" s="23"/>
      <c r="L919" s="27" t="str">
        <f aca="false">IF($B919="","",IFERROR(INDEX(Properties!$D$5:$D$104,MATCH($B919,Properties!$A$5:$A$104,0)),"-"))</f>
        <v/>
      </c>
      <c r="M919" s="28" t="str">
        <f aca="false">IF(OR($A919="",N($E919)=0),"",$F919/$E919)</f>
        <v/>
      </c>
      <c r="N919" s="28" t="str">
        <f aca="false">IF($A919="","",IF($H919="Y",$F919*(1+Settings!$B$3),0))</f>
        <v/>
      </c>
      <c r="O919" s="27" t="str">
        <f aca="false">IF($A919="","",IF(AND($H919="Y",$G919&lt;&gt;"Restock",N($M919)&gt;Settings!$B$4,$I919&lt;&gt;"Y"),"Get host OK",IF(AND($H919="Y",$F919&gt;Settings!$B$5,$I919&lt;&gt;"Y"),"Host should pay upfront",IF($J919&lt;&gt;"Y","Save receipt","OK"))))</f>
        <v/>
      </c>
      <c r="P919" s="29" t="str">
        <f aca="false">IF($A919="","",DATE(YEAR($A919),MONTH($A919),1))</f>
        <v/>
      </c>
      <c r="Q919" s="31" t="str">
        <f aca="false">IF($A919="","",IF(AND($L919='Invoice Builder'!$C$5,$P919='Invoice Builder'!$C$6,N($N919)&gt;0),COUNTIFS($L$5:$L919,'Invoice Builder'!$C$5,$P$5:$P919,'Invoice Builder'!$C$6,$N$5:$N919,"&gt;0"),""))</f>
        <v/>
      </c>
      <c r="R919" s="27" t="str">
        <f aca="false">IF($A919="","",IF($A919&gt;=DATE(YEAR($A919),4,6),YEAR($A919)&amp;"/"&amp;RIGHT(YEAR($A919)+1,2),YEAR($A919)-1&amp;"/"&amp;RIGHT(YEAR($A919),2)))</f>
        <v/>
      </c>
    </row>
    <row r="920" customFormat="false" ht="15" hidden="false" customHeight="false" outlineLevel="0" collapsed="false">
      <c r="A920" s="22"/>
      <c r="B920" s="23"/>
      <c r="C920" s="23"/>
      <c r="D920" s="23"/>
      <c r="E920" s="32"/>
      <c r="F920" s="25"/>
      <c r="G920" s="23"/>
      <c r="H920" s="23"/>
      <c r="I920" s="23"/>
      <c r="J920" s="23"/>
      <c r="K920" s="23"/>
      <c r="L920" s="27" t="str">
        <f aca="false">IF($B920="","",IFERROR(INDEX(Properties!$D$5:$D$104,MATCH($B920,Properties!$A$5:$A$104,0)),"-"))</f>
        <v/>
      </c>
      <c r="M920" s="28" t="str">
        <f aca="false">IF(OR($A920="",N($E920)=0),"",$F920/$E920)</f>
        <v/>
      </c>
      <c r="N920" s="28" t="str">
        <f aca="false">IF($A920="","",IF($H920="Y",$F920*(1+Settings!$B$3),0))</f>
        <v/>
      </c>
      <c r="O920" s="27" t="str">
        <f aca="false">IF($A920="","",IF(AND($H920="Y",$G920&lt;&gt;"Restock",N($M920)&gt;Settings!$B$4,$I920&lt;&gt;"Y"),"Get host OK",IF(AND($H920="Y",$F920&gt;Settings!$B$5,$I920&lt;&gt;"Y"),"Host should pay upfront",IF($J920&lt;&gt;"Y","Save receipt","OK"))))</f>
        <v/>
      </c>
      <c r="P920" s="29" t="str">
        <f aca="false">IF($A920="","",DATE(YEAR($A920),MONTH($A920),1))</f>
        <v/>
      </c>
      <c r="Q920" s="31" t="str">
        <f aca="false">IF($A920="","",IF(AND($L920='Invoice Builder'!$C$5,$P920='Invoice Builder'!$C$6,N($N920)&gt;0),COUNTIFS($L$5:$L920,'Invoice Builder'!$C$5,$P$5:$P920,'Invoice Builder'!$C$6,$N$5:$N920,"&gt;0"),""))</f>
        <v/>
      </c>
      <c r="R920" s="27" t="str">
        <f aca="false">IF($A920="","",IF($A920&gt;=DATE(YEAR($A920),4,6),YEAR($A920)&amp;"/"&amp;RIGHT(YEAR($A920)+1,2),YEAR($A920)-1&amp;"/"&amp;RIGHT(YEAR($A920),2)))</f>
        <v/>
      </c>
    </row>
    <row r="921" customFormat="false" ht="15" hidden="false" customHeight="false" outlineLevel="0" collapsed="false">
      <c r="A921" s="22"/>
      <c r="B921" s="23"/>
      <c r="C921" s="23"/>
      <c r="D921" s="23"/>
      <c r="E921" s="32"/>
      <c r="F921" s="25"/>
      <c r="G921" s="23"/>
      <c r="H921" s="23"/>
      <c r="I921" s="23"/>
      <c r="J921" s="23"/>
      <c r="K921" s="23"/>
      <c r="L921" s="27" t="str">
        <f aca="false">IF($B921="","",IFERROR(INDEX(Properties!$D$5:$D$104,MATCH($B921,Properties!$A$5:$A$104,0)),"-"))</f>
        <v/>
      </c>
      <c r="M921" s="28" t="str">
        <f aca="false">IF(OR($A921="",N($E921)=0),"",$F921/$E921)</f>
        <v/>
      </c>
      <c r="N921" s="28" t="str">
        <f aca="false">IF($A921="","",IF($H921="Y",$F921*(1+Settings!$B$3),0))</f>
        <v/>
      </c>
      <c r="O921" s="27" t="str">
        <f aca="false">IF($A921="","",IF(AND($H921="Y",$G921&lt;&gt;"Restock",N($M921)&gt;Settings!$B$4,$I921&lt;&gt;"Y"),"Get host OK",IF(AND($H921="Y",$F921&gt;Settings!$B$5,$I921&lt;&gt;"Y"),"Host should pay upfront",IF($J921&lt;&gt;"Y","Save receipt","OK"))))</f>
        <v/>
      </c>
      <c r="P921" s="29" t="str">
        <f aca="false">IF($A921="","",DATE(YEAR($A921),MONTH($A921),1))</f>
        <v/>
      </c>
      <c r="Q921" s="31" t="str">
        <f aca="false">IF($A921="","",IF(AND($L921='Invoice Builder'!$C$5,$P921='Invoice Builder'!$C$6,N($N921)&gt;0),COUNTIFS($L$5:$L921,'Invoice Builder'!$C$5,$P$5:$P921,'Invoice Builder'!$C$6,$N$5:$N921,"&gt;0"),""))</f>
        <v/>
      </c>
      <c r="R921" s="27" t="str">
        <f aca="false">IF($A921="","",IF($A921&gt;=DATE(YEAR($A921),4,6),YEAR($A921)&amp;"/"&amp;RIGHT(YEAR($A921)+1,2),YEAR($A921)-1&amp;"/"&amp;RIGHT(YEAR($A921),2)))</f>
        <v/>
      </c>
    </row>
    <row r="922" customFormat="false" ht="15" hidden="false" customHeight="false" outlineLevel="0" collapsed="false">
      <c r="A922" s="22"/>
      <c r="B922" s="23"/>
      <c r="C922" s="23"/>
      <c r="D922" s="23"/>
      <c r="E922" s="32"/>
      <c r="F922" s="25"/>
      <c r="G922" s="23"/>
      <c r="H922" s="23"/>
      <c r="I922" s="23"/>
      <c r="J922" s="23"/>
      <c r="K922" s="23"/>
      <c r="L922" s="27" t="str">
        <f aca="false">IF($B922="","",IFERROR(INDEX(Properties!$D$5:$D$104,MATCH($B922,Properties!$A$5:$A$104,0)),"-"))</f>
        <v/>
      </c>
      <c r="M922" s="28" t="str">
        <f aca="false">IF(OR($A922="",N($E922)=0),"",$F922/$E922)</f>
        <v/>
      </c>
      <c r="N922" s="28" t="str">
        <f aca="false">IF($A922="","",IF($H922="Y",$F922*(1+Settings!$B$3),0))</f>
        <v/>
      </c>
      <c r="O922" s="27" t="str">
        <f aca="false">IF($A922="","",IF(AND($H922="Y",$G922&lt;&gt;"Restock",N($M922)&gt;Settings!$B$4,$I922&lt;&gt;"Y"),"Get host OK",IF(AND($H922="Y",$F922&gt;Settings!$B$5,$I922&lt;&gt;"Y"),"Host should pay upfront",IF($J922&lt;&gt;"Y","Save receipt","OK"))))</f>
        <v/>
      </c>
      <c r="P922" s="29" t="str">
        <f aca="false">IF($A922="","",DATE(YEAR($A922),MONTH($A922),1))</f>
        <v/>
      </c>
      <c r="Q922" s="31" t="str">
        <f aca="false">IF($A922="","",IF(AND($L922='Invoice Builder'!$C$5,$P922='Invoice Builder'!$C$6,N($N922)&gt;0),COUNTIFS($L$5:$L922,'Invoice Builder'!$C$5,$P$5:$P922,'Invoice Builder'!$C$6,$N$5:$N922,"&gt;0"),""))</f>
        <v/>
      </c>
      <c r="R922" s="27" t="str">
        <f aca="false">IF($A922="","",IF($A922&gt;=DATE(YEAR($A922),4,6),YEAR($A922)&amp;"/"&amp;RIGHT(YEAR($A922)+1,2),YEAR($A922)-1&amp;"/"&amp;RIGHT(YEAR($A922),2)))</f>
        <v/>
      </c>
    </row>
    <row r="923" customFormat="false" ht="15" hidden="false" customHeight="false" outlineLevel="0" collapsed="false">
      <c r="A923" s="22"/>
      <c r="B923" s="23"/>
      <c r="C923" s="23"/>
      <c r="D923" s="23"/>
      <c r="E923" s="32"/>
      <c r="F923" s="25"/>
      <c r="G923" s="23"/>
      <c r="H923" s="23"/>
      <c r="I923" s="23"/>
      <c r="J923" s="23"/>
      <c r="K923" s="23"/>
      <c r="L923" s="27" t="str">
        <f aca="false">IF($B923="","",IFERROR(INDEX(Properties!$D$5:$D$104,MATCH($B923,Properties!$A$5:$A$104,0)),"-"))</f>
        <v/>
      </c>
      <c r="M923" s="28" t="str">
        <f aca="false">IF(OR($A923="",N($E923)=0),"",$F923/$E923)</f>
        <v/>
      </c>
      <c r="N923" s="28" t="str">
        <f aca="false">IF($A923="","",IF($H923="Y",$F923*(1+Settings!$B$3),0))</f>
        <v/>
      </c>
      <c r="O923" s="27" t="str">
        <f aca="false">IF($A923="","",IF(AND($H923="Y",$G923&lt;&gt;"Restock",N($M923)&gt;Settings!$B$4,$I923&lt;&gt;"Y"),"Get host OK",IF(AND($H923="Y",$F923&gt;Settings!$B$5,$I923&lt;&gt;"Y"),"Host should pay upfront",IF($J923&lt;&gt;"Y","Save receipt","OK"))))</f>
        <v/>
      </c>
      <c r="P923" s="29" t="str">
        <f aca="false">IF($A923="","",DATE(YEAR($A923),MONTH($A923),1))</f>
        <v/>
      </c>
      <c r="Q923" s="31" t="str">
        <f aca="false">IF($A923="","",IF(AND($L923='Invoice Builder'!$C$5,$P923='Invoice Builder'!$C$6,N($N923)&gt;0),COUNTIFS($L$5:$L923,'Invoice Builder'!$C$5,$P$5:$P923,'Invoice Builder'!$C$6,$N$5:$N923,"&gt;0"),""))</f>
        <v/>
      </c>
      <c r="R923" s="27" t="str">
        <f aca="false">IF($A923="","",IF($A923&gt;=DATE(YEAR($A923),4,6),YEAR($A923)&amp;"/"&amp;RIGHT(YEAR($A923)+1,2),YEAR($A923)-1&amp;"/"&amp;RIGHT(YEAR($A923),2)))</f>
        <v/>
      </c>
    </row>
    <row r="924" customFormat="false" ht="15" hidden="false" customHeight="false" outlineLevel="0" collapsed="false">
      <c r="A924" s="22"/>
      <c r="B924" s="23"/>
      <c r="C924" s="23"/>
      <c r="D924" s="23"/>
      <c r="E924" s="32"/>
      <c r="F924" s="25"/>
      <c r="G924" s="23"/>
      <c r="H924" s="23"/>
      <c r="I924" s="23"/>
      <c r="J924" s="23"/>
      <c r="K924" s="23"/>
      <c r="L924" s="27" t="str">
        <f aca="false">IF($B924="","",IFERROR(INDEX(Properties!$D$5:$D$104,MATCH($B924,Properties!$A$5:$A$104,0)),"-"))</f>
        <v/>
      </c>
      <c r="M924" s="28" t="str">
        <f aca="false">IF(OR($A924="",N($E924)=0),"",$F924/$E924)</f>
        <v/>
      </c>
      <c r="N924" s="28" t="str">
        <f aca="false">IF($A924="","",IF($H924="Y",$F924*(1+Settings!$B$3),0))</f>
        <v/>
      </c>
      <c r="O924" s="27" t="str">
        <f aca="false">IF($A924="","",IF(AND($H924="Y",$G924&lt;&gt;"Restock",N($M924)&gt;Settings!$B$4,$I924&lt;&gt;"Y"),"Get host OK",IF(AND($H924="Y",$F924&gt;Settings!$B$5,$I924&lt;&gt;"Y"),"Host should pay upfront",IF($J924&lt;&gt;"Y","Save receipt","OK"))))</f>
        <v/>
      </c>
      <c r="P924" s="29" t="str">
        <f aca="false">IF($A924="","",DATE(YEAR($A924),MONTH($A924),1))</f>
        <v/>
      </c>
      <c r="Q924" s="31" t="str">
        <f aca="false">IF($A924="","",IF(AND($L924='Invoice Builder'!$C$5,$P924='Invoice Builder'!$C$6,N($N924)&gt;0),COUNTIFS($L$5:$L924,'Invoice Builder'!$C$5,$P$5:$P924,'Invoice Builder'!$C$6,$N$5:$N924,"&gt;0"),""))</f>
        <v/>
      </c>
      <c r="R924" s="27" t="str">
        <f aca="false">IF($A924="","",IF($A924&gt;=DATE(YEAR($A924),4,6),YEAR($A924)&amp;"/"&amp;RIGHT(YEAR($A924)+1,2),YEAR($A924)-1&amp;"/"&amp;RIGHT(YEAR($A924),2)))</f>
        <v/>
      </c>
    </row>
    <row r="925" customFormat="false" ht="15" hidden="false" customHeight="false" outlineLevel="0" collapsed="false">
      <c r="A925" s="22"/>
      <c r="B925" s="23"/>
      <c r="C925" s="23"/>
      <c r="D925" s="23"/>
      <c r="E925" s="32"/>
      <c r="F925" s="25"/>
      <c r="G925" s="23"/>
      <c r="H925" s="23"/>
      <c r="I925" s="23"/>
      <c r="J925" s="23"/>
      <c r="K925" s="23"/>
      <c r="L925" s="27" t="str">
        <f aca="false">IF($B925="","",IFERROR(INDEX(Properties!$D$5:$D$104,MATCH($B925,Properties!$A$5:$A$104,0)),"-"))</f>
        <v/>
      </c>
      <c r="M925" s="28" t="str">
        <f aca="false">IF(OR($A925="",N($E925)=0),"",$F925/$E925)</f>
        <v/>
      </c>
      <c r="N925" s="28" t="str">
        <f aca="false">IF($A925="","",IF($H925="Y",$F925*(1+Settings!$B$3),0))</f>
        <v/>
      </c>
      <c r="O925" s="27" t="str">
        <f aca="false">IF($A925="","",IF(AND($H925="Y",$G925&lt;&gt;"Restock",N($M925)&gt;Settings!$B$4,$I925&lt;&gt;"Y"),"Get host OK",IF(AND($H925="Y",$F925&gt;Settings!$B$5,$I925&lt;&gt;"Y"),"Host should pay upfront",IF($J925&lt;&gt;"Y","Save receipt","OK"))))</f>
        <v/>
      </c>
      <c r="P925" s="29" t="str">
        <f aca="false">IF($A925="","",DATE(YEAR($A925),MONTH($A925),1))</f>
        <v/>
      </c>
      <c r="Q925" s="31" t="str">
        <f aca="false">IF($A925="","",IF(AND($L925='Invoice Builder'!$C$5,$P925='Invoice Builder'!$C$6,N($N925)&gt;0),COUNTIFS($L$5:$L925,'Invoice Builder'!$C$5,$P$5:$P925,'Invoice Builder'!$C$6,$N$5:$N925,"&gt;0"),""))</f>
        <v/>
      </c>
      <c r="R925" s="27" t="str">
        <f aca="false">IF($A925="","",IF($A925&gt;=DATE(YEAR($A925),4,6),YEAR($A925)&amp;"/"&amp;RIGHT(YEAR($A925)+1,2),YEAR($A925)-1&amp;"/"&amp;RIGHT(YEAR($A925),2)))</f>
        <v/>
      </c>
    </row>
    <row r="926" customFormat="false" ht="15" hidden="false" customHeight="false" outlineLevel="0" collapsed="false">
      <c r="A926" s="22"/>
      <c r="B926" s="23"/>
      <c r="C926" s="23"/>
      <c r="D926" s="23"/>
      <c r="E926" s="32"/>
      <c r="F926" s="25"/>
      <c r="G926" s="23"/>
      <c r="H926" s="23"/>
      <c r="I926" s="23"/>
      <c r="J926" s="23"/>
      <c r="K926" s="23"/>
      <c r="L926" s="27" t="str">
        <f aca="false">IF($B926="","",IFERROR(INDEX(Properties!$D$5:$D$104,MATCH($B926,Properties!$A$5:$A$104,0)),"-"))</f>
        <v/>
      </c>
      <c r="M926" s="28" t="str">
        <f aca="false">IF(OR($A926="",N($E926)=0),"",$F926/$E926)</f>
        <v/>
      </c>
      <c r="N926" s="28" t="str">
        <f aca="false">IF($A926="","",IF($H926="Y",$F926*(1+Settings!$B$3),0))</f>
        <v/>
      </c>
      <c r="O926" s="27" t="str">
        <f aca="false">IF($A926="","",IF(AND($H926="Y",$G926&lt;&gt;"Restock",N($M926)&gt;Settings!$B$4,$I926&lt;&gt;"Y"),"Get host OK",IF(AND($H926="Y",$F926&gt;Settings!$B$5,$I926&lt;&gt;"Y"),"Host should pay upfront",IF($J926&lt;&gt;"Y","Save receipt","OK"))))</f>
        <v/>
      </c>
      <c r="P926" s="29" t="str">
        <f aca="false">IF($A926="","",DATE(YEAR($A926),MONTH($A926),1))</f>
        <v/>
      </c>
      <c r="Q926" s="31" t="str">
        <f aca="false">IF($A926="","",IF(AND($L926='Invoice Builder'!$C$5,$P926='Invoice Builder'!$C$6,N($N926)&gt;0),COUNTIFS($L$5:$L926,'Invoice Builder'!$C$5,$P$5:$P926,'Invoice Builder'!$C$6,$N$5:$N926,"&gt;0"),""))</f>
        <v/>
      </c>
      <c r="R926" s="27" t="str">
        <f aca="false">IF($A926="","",IF($A926&gt;=DATE(YEAR($A926),4,6),YEAR($A926)&amp;"/"&amp;RIGHT(YEAR($A926)+1,2),YEAR($A926)-1&amp;"/"&amp;RIGHT(YEAR($A926),2)))</f>
        <v/>
      </c>
    </row>
    <row r="927" customFormat="false" ht="15" hidden="false" customHeight="false" outlineLevel="0" collapsed="false">
      <c r="A927" s="22"/>
      <c r="B927" s="23"/>
      <c r="C927" s="23"/>
      <c r="D927" s="23"/>
      <c r="E927" s="32"/>
      <c r="F927" s="25"/>
      <c r="G927" s="23"/>
      <c r="H927" s="23"/>
      <c r="I927" s="23"/>
      <c r="J927" s="23"/>
      <c r="K927" s="23"/>
      <c r="L927" s="27" t="str">
        <f aca="false">IF($B927="","",IFERROR(INDEX(Properties!$D$5:$D$104,MATCH($B927,Properties!$A$5:$A$104,0)),"-"))</f>
        <v/>
      </c>
      <c r="M927" s="28" t="str">
        <f aca="false">IF(OR($A927="",N($E927)=0),"",$F927/$E927)</f>
        <v/>
      </c>
      <c r="N927" s="28" t="str">
        <f aca="false">IF($A927="","",IF($H927="Y",$F927*(1+Settings!$B$3),0))</f>
        <v/>
      </c>
      <c r="O927" s="27" t="str">
        <f aca="false">IF($A927="","",IF(AND($H927="Y",$G927&lt;&gt;"Restock",N($M927)&gt;Settings!$B$4,$I927&lt;&gt;"Y"),"Get host OK",IF(AND($H927="Y",$F927&gt;Settings!$B$5,$I927&lt;&gt;"Y"),"Host should pay upfront",IF($J927&lt;&gt;"Y","Save receipt","OK"))))</f>
        <v/>
      </c>
      <c r="P927" s="29" t="str">
        <f aca="false">IF($A927="","",DATE(YEAR($A927),MONTH($A927),1))</f>
        <v/>
      </c>
      <c r="Q927" s="31" t="str">
        <f aca="false">IF($A927="","",IF(AND($L927='Invoice Builder'!$C$5,$P927='Invoice Builder'!$C$6,N($N927)&gt;0),COUNTIFS($L$5:$L927,'Invoice Builder'!$C$5,$P$5:$P927,'Invoice Builder'!$C$6,$N$5:$N927,"&gt;0"),""))</f>
        <v/>
      </c>
      <c r="R927" s="27" t="str">
        <f aca="false">IF($A927="","",IF($A927&gt;=DATE(YEAR($A927),4,6),YEAR($A927)&amp;"/"&amp;RIGHT(YEAR($A927)+1,2),YEAR($A927)-1&amp;"/"&amp;RIGHT(YEAR($A927),2)))</f>
        <v/>
      </c>
    </row>
    <row r="928" customFormat="false" ht="15" hidden="false" customHeight="false" outlineLevel="0" collapsed="false">
      <c r="A928" s="22"/>
      <c r="B928" s="23"/>
      <c r="C928" s="23"/>
      <c r="D928" s="23"/>
      <c r="E928" s="32"/>
      <c r="F928" s="25"/>
      <c r="G928" s="23"/>
      <c r="H928" s="23"/>
      <c r="I928" s="23"/>
      <c r="J928" s="23"/>
      <c r="K928" s="23"/>
      <c r="L928" s="27" t="str">
        <f aca="false">IF($B928="","",IFERROR(INDEX(Properties!$D$5:$D$104,MATCH($B928,Properties!$A$5:$A$104,0)),"-"))</f>
        <v/>
      </c>
      <c r="M928" s="28" t="str">
        <f aca="false">IF(OR($A928="",N($E928)=0),"",$F928/$E928)</f>
        <v/>
      </c>
      <c r="N928" s="28" t="str">
        <f aca="false">IF($A928="","",IF($H928="Y",$F928*(1+Settings!$B$3),0))</f>
        <v/>
      </c>
      <c r="O928" s="27" t="str">
        <f aca="false">IF($A928="","",IF(AND($H928="Y",$G928&lt;&gt;"Restock",N($M928)&gt;Settings!$B$4,$I928&lt;&gt;"Y"),"Get host OK",IF(AND($H928="Y",$F928&gt;Settings!$B$5,$I928&lt;&gt;"Y"),"Host should pay upfront",IF($J928&lt;&gt;"Y","Save receipt","OK"))))</f>
        <v/>
      </c>
      <c r="P928" s="29" t="str">
        <f aca="false">IF($A928="","",DATE(YEAR($A928),MONTH($A928),1))</f>
        <v/>
      </c>
      <c r="Q928" s="31" t="str">
        <f aca="false">IF($A928="","",IF(AND($L928='Invoice Builder'!$C$5,$P928='Invoice Builder'!$C$6,N($N928)&gt;0),COUNTIFS($L$5:$L928,'Invoice Builder'!$C$5,$P$5:$P928,'Invoice Builder'!$C$6,$N$5:$N928,"&gt;0"),""))</f>
        <v/>
      </c>
      <c r="R928" s="27" t="str">
        <f aca="false">IF($A928="","",IF($A928&gt;=DATE(YEAR($A928),4,6),YEAR($A928)&amp;"/"&amp;RIGHT(YEAR($A928)+1,2),YEAR($A928)-1&amp;"/"&amp;RIGHT(YEAR($A928),2)))</f>
        <v/>
      </c>
    </row>
    <row r="929" customFormat="false" ht="15" hidden="false" customHeight="false" outlineLevel="0" collapsed="false">
      <c r="A929" s="22"/>
      <c r="B929" s="23"/>
      <c r="C929" s="23"/>
      <c r="D929" s="23"/>
      <c r="E929" s="32"/>
      <c r="F929" s="25"/>
      <c r="G929" s="23"/>
      <c r="H929" s="23"/>
      <c r="I929" s="23"/>
      <c r="J929" s="23"/>
      <c r="K929" s="23"/>
      <c r="L929" s="27" t="str">
        <f aca="false">IF($B929="","",IFERROR(INDEX(Properties!$D$5:$D$104,MATCH($B929,Properties!$A$5:$A$104,0)),"-"))</f>
        <v/>
      </c>
      <c r="M929" s="28" t="str">
        <f aca="false">IF(OR($A929="",N($E929)=0),"",$F929/$E929)</f>
        <v/>
      </c>
      <c r="N929" s="28" t="str">
        <f aca="false">IF($A929="","",IF($H929="Y",$F929*(1+Settings!$B$3),0))</f>
        <v/>
      </c>
      <c r="O929" s="27" t="str">
        <f aca="false">IF($A929="","",IF(AND($H929="Y",$G929&lt;&gt;"Restock",N($M929)&gt;Settings!$B$4,$I929&lt;&gt;"Y"),"Get host OK",IF(AND($H929="Y",$F929&gt;Settings!$B$5,$I929&lt;&gt;"Y"),"Host should pay upfront",IF($J929&lt;&gt;"Y","Save receipt","OK"))))</f>
        <v/>
      </c>
      <c r="P929" s="29" t="str">
        <f aca="false">IF($A929="","",DATE(YEAR($A929),MONTH($A929),1))</f>
        <v/>
      </c>
      <c r="Q929" s="31" t="str">
        <f aca="false">IF($A929="","",IF(AND($L929='Invoice Builder'!$C$5,$P929='Invoice Builder'!$C$6,N($N929)&gt;0),COUNTIFS($L$5:$L929,'Invoice Builder'!$C$5,$P$5:$P929,'Invoice Builder'!$C$6,$N$5:$N929,"&gt;0"),""))</f>
        <v/>
      </c>
      <c r="R929" s="27" t="str">
        <f aca="false">IF($A929="","",IF($A929&gt;=DATE(YEAR($A929),4,6),YEAR($A929)&amp;"/"&amp;RIGHT(YEAR($A929)+1,2),YEAR($A929)-1&amp;"/"&amp;RIGHT(YEAR($A929),2)))</f>
        <v/>
      </c>
    </row>
    <row r="930" customFormat="false" ht="15" hidden="false" customHeight="false" outlineLevel="0" collapsed="false">
      <c r="A930" s="22"/>
      <c r="B930" s="23"/>
      <c r="C930" s="23"/>
      <c r="D930" s="23"/>
      <c r="E930" s="32"/>
      <c r="F930" s="25"/>
      <c r="G930" s="23"/>
      <c r="H930" s="23"/>
      <c r="I930" s="23"/>
      <c r="J930" s="23"/>
      <c r="K930" s="23"/>
      <c r="L930" s="27" t="str">
        <f aca="false">IF($B930="","",IFERROR(INDEX(Properties!$D$5:$D$104,MATCH($B930,Properties!$A$5:$A$104,0)),"-"))</f>
        <v/>
      </c>
      <c r="M930" s="28" t="str">
        <f aca="false">IF(OR($A930="",N($E930)=0),"",$F930/$E930)</f>
        <v/>
      </c>
      <c r="N930" s="28" t="str">
        <f aca="false">IF($A930="","",IF($H930="Y",$F930*(1+Settings!$B$3),0))</f>
        <v/>
      </c>
      <c r="O930" s="27" t="str">
        <f aca="false">IF($A930="","",IF(AND($H930="Y",$G930&lt;&gt;"Restock",N($M930)&gt;Settings!$B$4,$I930&lt;&gt;"Y"),"Get host OK",IF(AND($H930="Y",$F930&gt;Settings!$B$5,$I930&lt;&gt;"Y"),"Host should pay upfront",IF($J930&lt;&gt;"Y","Save receipt","OK"))))</f>
        <v/>
      </c>
      <c r="P930" s="29" t="str">
        <f aca="false">IF($A930="","",DATE(YEAR($A930),MONTH($A930),1))</f>
        <v/>
      </c>
      <c r="Q930" s="31" t="str">
        <f aca="false">IF($A930="","",IF(AND($L930='Invoice Builder'!$C$5,$P930='Invoice Builder'!$C$6,N($N930)&gt;0),COUNTIFS($L$5:$L930,'Invoice Builder'!$C$5,$P$5:$P930,'Invoice Builder'!$C$6,$N$5:$N930,"&gt;0"),""))</f>
        <v/>
      </c>
      <c r="R930" s="27" t="str">
        <f aca="false">IF($A930="","",IF($A930&gt;=DATE(YEAR($A930),4,6),YEAR($A930)&amp;"/"&amp;RIGHT(YEAR($A930)+1,2),YEAR($A930)-1&amp;"/"&amp;RIGHT(YEAR($A930),2)))</f>
        <v/>
      </c>
    </row>
    <row r="931" customFormat="false" ht="15" hidden="false" customHeight="false" outlineLevel="0" collapsed="false">
      <c r="A931" s="22"/>
      <c r="B931" s="23"/>
      <c r="C931" s="23"/>
      <c r="D931" s="23"/>
      <c r="E931" s="32"/>
      <c r="F931" s="25"/>
      <c r="G931" s="23"/>
      <c r="H931" s="23"/>
      <c r="I931" s="23"/>
      <c r="J931" s="23"/>
      <c r="K931" s="23"/>
      <c r="L931" s="27" t="str">
        <f aca="false">IF($B931="","",IFERROR(INDEX(Properties!$D$5:$D$104,MATCH($B931,Properties!$A$5:$A$104,0)),"-"))</f>
        <v/>
      </c>
      <c r="M931" s="28" t="str">
        <f aca="false">IF(OR($A931="",N($E931)=0),"",$F931/$E931)</f>
        <v/>
      </c>
      <c r="N931" s="28" t="str">
        <f aca="false">IF($A931="","",IF($H931="Y",$F931*(1+Settings!$B$3),0))</f>
        <v/>
      </c>
      <c r="O931" s="27" t="str">
        <f aca="false">IF($A931="","",IF(AND($H931="Y",$G931&lt;&gt;"Restock",N($M931)&gt;Settings!$B$4,$I931&lt;&gt;"Y"),"Get host OK",IF(AND($H931="Y",$F931&gt;Settings!$B$5,$I931&lt;&gt;"Y"),"Host should pay upfront",IF($J931&lt;&gt;"Y","Save receipt","OK"))))</f>
        <v/>
      </c>
      <c r="P931" s="29" t="str">
        <f aca="false">IF($A931="","",DATE(YEAR($A931),MONTH($A931),1))</f>
        <v/>
      </c>
      <c r="Q931" s="31" t="str">
        <f aca="false">IF($A931="","",IF(AND($L931='Invoice Builder'!$C$5,$P931='Invoice Builder'!$C$6,N($N931)&gt;0),COUNTIFS($L$5:$L931,'Invoice Builder'!$C$5,$P$5:$P931,'Invoice Builder'!$C$6,$N$5:$N931,"&gt;0"),""))</f>
        <v/>
      </c>
      <c r="R931" s="27" t="str">
        <f aca="false">IF($A931="","",IF($A931&gt;=DATE(YEAR($A931),4,6),YEAR($A931)&amp;"/"&amp;RIGHT(YEAR($A931)+1,2),YEAR($A931)-1&amp;"/"&amp;RIGHT(YEAR($A931),2)))</f>
        <v/>
      </c>
    </row>
    <row r="932" customFormat="false" ht="15" hidden="false" customHeight="false" outlineLevel="0" collapsed="false">
      <c r="A932" s="22"/>
      <c r="B932" s="23"/>
      <c r="C932" s="23"/>
      <c r="D932" s="23"/>
      <c r="E932" s="32"/>
      <c r="F932" s="25"/>
      <c r="G932" s="23"/>
      <c r="H932" s="23"/>
      <c r="I932" s="23"/>
      <c r="J932" s="23"/>
      <c r="K932" s="23"/>
      <c r="L932" s="27" t="str">
        <f aca="false">IF($B932="","",IFERROR(INDEX(Properties!$D$5:$D$104,MATCH($B932,Properties!$A$5:$A$104,0)),"-"))</f>
        <v/>
      </c>
      <c r="M932" s="28" t="str">
        <f aca="false">IF(OR($A932="",N($E932)=0),"",$F932/$E932)</f>
        <v/>
      </c>
      <c r="N932" s="28" t="str">
        <f aca="false">IF($A932="","",IF($H932="Y",$F932*(1+Settings!$B$3),0))</f>
        <v/>
      </c>
      <c r="O932" s="27" t="str">
        <f aca="false">IF($A932="","",IF(AND($H932="Y",$G932&lt;&gt;"Restock",N($M932)&gt;Settings!$B$4,$I932&lt;&gt;"Y"),"Get host OK",IF(AND($H932="Y",$F932&gt;Settings!$B$5,$I932&lt;&gt;"Y"),"Host should pay upfront",IF($J932&lt;&gt;"Y","Save receipt","OK"))))</f>
        <v/>
      </c>
      <c r="P932" s="29" t="str">
        <f aca="false">IF($A932="","",DATE(YEAR($A932),MONTH($A932),1))</f>
        <v/>
      </c>
      <c r="Q932" s="31" t="str">
        <f aca="false">IF($A932="","",IF(AND($L932='Invoice Builder'!$C$5,$P932='Invoice Builder'!$C$6,N($N932)&gt;0),COUNTIFS($L$5:$L932,'Invoice Builder'!$C$5,$P$5:$P932,'Invoice Builder'!$C$6,$N$5:$N932,"&gt;0"),""))</f>
        <v/>
      </c>
      <c r="R932" s="27" t="str">
        <f aca="false">IF($A932="","",IF($A932&gt;=DATE(YEAR($A932),4,6),YEAR($A932)&amp;"/"&amp;RIGHT(YEAR($A932)+1,2),YEAR($A932)-1&amp;"/"&amp;RIGHT(YEAR($A932),2)))</f>
        <v/>
      </c>
    </row>
    <row r="933" customFormat="false" ht="15" hidden="false" customHeight="false" outlineLevel="0" collapsed="false">
      <c r="A933" s="22"/>
      <c r="B933" s="23"/>
      <c r="C933" s="23"/>
      <c r="D933" s="23"/>
      <c r="E933" s="32"/>
      <c r="F933" s="25"/>
      <c r="G933" s="23"/>
      <c r="H933" s="23"/>
      <c r="I933" s="23"/>
      <c r="J933" s="23"/>
      <c r="K933" s="23"/>
      <c r="L933" s="27" t="str">
        <f aca="false">IF($B933="","",IFERROR(INDEX(Properties!$D$5:$D$104,MATCH($B933,Properties!$A$5:$A$104,0)),"-"))</f>
        <v/>
      </c>
      <c r="M933" s="28" t="str">
        <f aca="false">IF(OR($A933="",N($E933)=0),"",$F933/$E933)</f>
        <v/>
      </c>
      <c r="N933" s="28" t="str">
        <f aca="false">IF($A933="","",IF($H933="Y",$F933*(1+Settings!$B$3),0))</f>
        <v/>
      </c>
      <c r="O933" s="27" t="str">
        <f aca="false">IF($A933="","",IF(AND($H933="Y",$G933&lt;&gt;"Restock",N($M933)&gt;Settings!$B$4,$I933&lt;&gt;"Y"),"Get host OK",IF(AND($H933="Y",$F933&gt;Settings!$B$5,$I933&lt;&gt;"Y"),"Host should pay upfront",IF($J933&lt;&gt;"Y","Save receipt","OK"))))</f>
        <v/>
      </c>
      <c r="P933" s="29" t="str">
        <f aca="false">IF($A933="","",DATE(YEAR($A933),MONTH($A933),1))</f>
        <v/>
      </c>
      <c r="Q933" s="31" t="str">
        <f aca="false">IF($A933="","",IF(AND($L933='Invoice Builder'!$C$5,$P933='Invoice Builder'!$C$6,N($N933)&gt;0),COUNTIFS($L$5:$L933,'Invoice Builder'!$C$5,$P$5:$P933,'Invoice Builder'!$C$6,$N$5:$N933,"&gt;0"),""))</f>
        <v/>
      </c>
      <c r="R933" s="27" t="str">
        <f aca="false">IF($A933="","",IF($A933&gt;=DATE(YEAR($A933),4,6),YEAR($A933)&amp;"/"&amp;RIGHT(YEAR($A933)+1,2),YEAR($A933)-1&amp;"/"&amp;RIGHT(YEAR($A933),2)))</f>
        <v/>
      </c>
    </row>
    <row r="934" customFormat="false" ht="15" hidden="false" customHeight="false" outlineLevel="0" collapsed="false">
      <c r="A934" s="22"/>
      <c r="B934" s="23"/>
      <c r="C934" s="23"/>
      <c r="D934" s="23"/>
      <c r="E934" s="32"/>
      <c r="F934" s="25"/>
      <c r="G934" s="23"/>
      <c r="H934" s="23"/>
      <c r="I934" s="23"/>
      <c r="J934" s="23"/>
      <c r="K934" s="23"/>
      <c r="L934" s="27" t="str">
        <f aca="false">IF($B934="","",IFERROR(INDEX(Properties!$D$5:$D$104,MATCH($B934,Properties!$A$5:$A$104,0)),"-"))</f>
        <v/>
      </c>
      <c r="M934" s="28" t="str">
        <f aca="false">IF(OR($A934="",N($E934)=0),"",$F934/$E934)</f>
        <v/>
      </c>
      <c r="N934" s="28" t="str">
        <f aca="false">IF($A934="","",IF($H934="Y",$F934*(1+Settings!$B$3),0))</f>
        <v/>
      </c>
      <c r="O934" s="27" t="str">
        <f aca="false">IF($A934="","",IF(AND($H934="Y",$G934&lt;&gt;"Restock",N($M934)&gt;Settings!$B$4,$I934&lt;&gt;"Y"),"Get host OK",IF(AND($H934="Y",$F934&gt;Settings!$B$5,$I934&lt;&gt;"Y"),"Host should pay upfront",IF($J934&lt;&gt;"Y","Save receipt","OK"))))</f>
        <v/>
      </c>
      <c r="P934" s="29" t="str">
        <f aca="false">IF($A934="","",DATE(YEAR($A934),MONTH($A934),1))</f>
        <v/>
      </c>
      <c r="Q934" s="31" t="str">
        <f aca="false">IF($A934="","",IF(AND($L934='Invoice Builder'!$C$5,$P934='Invoice Builder'!$C$6,N($N934)&gt;0),COUNTIFS($L$5:$L934,'Invoice Builder'!$C$5,$P$5:$P934,'Invoice Builder'!$C$6,$N$5:$N934,"&gt;0"),""))</f>
        <v/>
      </c>
      <c r="R934" s="27" t="str">
        <f aca="false">IF($A934="","",IF($A934&gt;=DATE(YEAR($A934),4,6),YEAR($A934)&amp;"/"&amp;RIGHT(YEAR($A934)+1,2),YEAR($A934)-1&amp;"/"&amp;RIGHT(YEAR($A934),2)))</f>
        <v/>
      </c>
    </row>
    <row r="935" customFormat="false" ht="15" hidden="false" customHeight="false" outlineLevel="0" collapsed="false">
      <c r="A935" s="22"/>
      <c r="B935" s="23"/>
      <c r="C935" s="23"/>
      <c r="D935" s="23"/>
      <c r="E935" s="32"/>
      <c r="F935" s="25"/>
      <c r="G935" s="23"/>
      <c r="H935" s="23"/>
      <c r="I935" s="23"/>
      <c r="J935" s="23"/>
      <c r="K935" s="23"/>
      <c r="L935" s="27" t="str">
        <f aca="false">IF($B935="","",IFERROR(INDEX(Properties!$D$5:$D$104,MATCH($B935,Properties!$A$5:$A$104,0)),"-"))</f>
        <v/>
      </c>
      <c r="M935" s="28" t="str">
        <f aca="false">IF(OR($A935="",N($E935)=0),"",$F935/$E935)</f>
        <v/>
      </c>
      <c r="N935" s="28" t="str">
        <f aca="false">IF($A935="","",IF($H935="Y",$F935*(1+Settings!$B$3),0))</f>
        <v/>
      </c>
      <c r="O935" s="27" t="str">
        <f aca="false">IF($A935="","",IF(AND($H935="Y",$G935&lt;&gt;"Restock",N($M935)&gt;Settings!$B$4,$I935&lt;&gt;"Y"),"Get host OK",IF(AND($H935="Y",$F935&gt;Settings!$B$5,$I935&lt;&gt;"Y"),"Host should pay upfront",IF($J935&lt;&gt;"Y","Save receipt","OK"))))</f>
        <v/>
      </c>
      <c r="P935" s="29" t="str">
        <f aca="false">IF($A935="","",DATE(YEAR($A935),MONTH($A935),1))</f>
        <v/>
      </c>
      <c r="Q935" s="31" t="str">
        <f aca="false">IF($A935="","",IF(AND($L935='Invoice Builder'!$C$5,$P935='Invoice Builder'!$C$6,N($N935)&gt;0),COUNTIFS($L$5:$L935,'Invoice Builder'!$C$5,$P$5:$P935,'Invoice Builder'!$C$6,$N$5:$N935,"&gt;0"),""))</f>
        <v/>
      </c>
      <c r="R935" s="27" t="str">
        <f aca="false">IF($A935="","",IF($A935&gt;=DATE(YEAR($A935),4,6),YEAR($A935)&amp;"/"&amp;RIGHT(YEAR($A935)+1,2),YEAR($A935)-1&amp;"/"&amp;RIGHT(YEAR($A935),2)))</f>
        <v/>
      </c>
    </row>
    <row r="936" customFormat="false" ht="15" hidden="false" customHeight="false" outlineLevel="0" collapsed="false">
      <c r="A936" s="22"/>
      <c r="B936" s="23"/>
      <c r="C936" s="23"/>
      <c r="D936" s="23"/>
      <c r="E936" s="32"/>
      <c r="F936" s="25"/>
      <c r="G936" s="23"/>
      <c r="H936" s="23"/>
      <c r="I936" s="23"/>
      <c r="J936" s="23"/>
      <c r="K936" s="23"/>
      <c r="L936" s="27" t="str">
        <f aca="false">IF($B936="","",IFERROR(INDEX(Properties!$D$5:$D$104,MATCH($B936,Properties!$A$5:$A$104,0)),"-"))</f>
        <v/>
      </c>
      <c r="M936" s="28" t="str">
        <f aca="false">IF(OR($A936="",N($E936)=0),"",$F936/$E936)</f>
        <v/>
      </c>
      <c r="N936" s="28" t="str">
        <f aca="false">IF($A936="","",IF($H936="Y",$F936*(1+Settings!$B$3),0))</f>
        <v/>
      </c>
      <c r="O936" s="27" t="str">
        <f aca="false">IF($A936="","",IF(AND($H936="Y",$G936&lt;&gt;"Restock",N($M936)&gt;Settings!$B$4,$I936&lt;&gt;"Y"),"Get host OK",IF(AND($H936="Y",$F936&gt;Settings!$B$5,$I936&lt;&gt;"Y"),"Host should pay upfront",IF($J936&lt;&gt;"Y","Save receipt","OK"))))</f>
        <v/>
      </c>
      <c r="P936" s="29" t="str">
        <f aca="false">IF($A936="","",DATE(YEAR($A936),MONTH($A936),1))</f>
        <v/>
      </c>
      <c r="Q936" s="31" t="str">
        <f aca="false">IF($A936="","",IF(AND($L936='Invoice Builder'!$C$5,$P936='Invoice Builder'!$C$6,N($N936)&gt;0),COUNTIFS($L$5:$L936,'Invoice Builder'!$C$5,$P$5:$P936,'Invoice Builder'!$C$6,$N$5:$N936,"&gt;0"),""))</f>
        <v/>
      </c>
      <c r="R936" s="27" t="str">
        <f aca="false">IF($A936="","",IF($A936&gt;=DATE(YEAR($A936),4,6),YEAR($A936)&amp;"/"&amp;RIGHT(YEAR($A936)+1,2),YEAR($A936)-1&amp;"/"&amp;RIGHT(YEAR($A936),2)))</f>
        <v/>
      </c>
    </row>
    <row r="937" customFormat="false" ht="15" hidden="false" customHeight="false" outlineLevel="0" collapsed="false">
      <c r="A937" s="22"/>
      <c r="B937" s="23"/>
      <c r="C937" s="23"/>
      <c r="D937" s="23"/>
      <c r="E937" s="32"/>
      <c r="F937" s="25"/>
      <c r="G937" s="23"/>
      <c r="H937" s="23"/>
      <c r="I937" s="23"/>
      <c r="J937" s="23"/>
      <c r="K937" s="23"/>
      <c r="L937" s="27" t="str">
        <f aca="false">IF($B937="","",IFERROR(INDEX(Properties!$D$5:$D$104,MATCH($B937,Properties!$A$5:$A$104,0)),"-"))</f>
        <v/>
      </c>
      <c r="M937" s="28" t="str">
        <f aca="false">IF(OR($A937="",N($E937)=0),"",$F937/$E937)</f>
        <v/>
      </c>
      <c r="N937" s="28" t="str">
        <f aca="false">IF($A937="","",IF($H937="Y",$F937*(1+Settings!$B$3),0))</f>
        <v/>
      </c>
      <c r="O937" s="27" t="str">
        <f aca="false">IF($A937="","",IF(AND($H937="Y",$G937&lt;&gt;"Restock",N($M937)&gt;Settings!$B$4,$I937&lt;&gt;"Y"),"Get host OK",IF(AND($H937="Y",$F937&gt;Settings!$B$5,$I937&lt;&gt;"Y"),"Host should pay upfront",IF($J937&lt;&gt;"Y","Save receipt","OK"))))</f>
        <v/>
      </c>
      <c r="P937" s="29" t="str">
        <f aca="false">IF($A937="","",DATE(YEAR($A937),MONTH($A937),1))</f>
        <v/>
      </c>
      <c r="Q937" s="31" t="str">
        <f aca="false">IF($A937="","",IF(AND($L937='Invoice Builder'!$C$5,$P937='Invoice Builder'!$C$6,N($N937)&gt;0),COUNTIFS($L$5:$L937,'Invoice Builder'!$C$5,$P$5:$P937,'Invoice Builder'!$C$6,$N$5:$N937,"&gt;0"),""))</f>
        <v/>
      </c>
      <c r="R937" s="27" t="str">
        <f aca="false">IF($A937="","",IF($A937&gt;=DATE(YEAR($A937),4,6),YEAR($A937)&amp;"/"&amp;RIGHT(YEAR($A937)+1,2),YEAR($A937)-1&amp;"/"&amp;RIGHT(YEAR($A937),2)))</f>
        <v/>
      </c>
    </row>
    <row r="938" customFormat="false" ht="15" hidden="false" customHeight="false" outlineLevel="0" collapsed="false">
      <c r="A938" s="22"/>
      <c r="B938" s="23"/>
      <c r="C938" s="23"/>
      <c r="D938" s="23"/>
      <c r="E938" s="32"/>
      <c r="F938" s="25"/>
      <c r="G938" s="23"/>
      <c r="H938" s="23"/>
      <c r="I938" s="23"/>
      <c r="J938" s="23"/>
      <c r="K938" s="23"/>
      <c r="L938" s="27" t="str">
        <f aca="false">IF($B938="","",IFERROR(INDEX(Properties!$D$5:$D$104,MATCH($B938,Properties!$A$5:$A$104,0)),"-"))</f>
        <v/>
      </c>
      <c r="M938" s="28" t="str">
        <f aca="false">IF(OR($A938="",N($E938)=0),"",$F938/$E938)</f>
        <v/>
      </c>
      <c r="N938" s="28" t="str">
        <f aca="false">IF($A938="","",IF($H938="Y",$F938*(1+Settings!$B$3),0))</f>
        <v/>
      </c>
      <c r="O938" s="27" t="str">
        <f aca="false">IF($A938="","",IF(AND($H938="Y",$G938&lt;&gt;"Restock",N($M938)&gt;Settings!$B$4,$I938&lt;&gt;"Y"),"Get host OK",IF(AND($H938="Y",$F938&gt;Settings!$B$5,$I938&lt;&gt;"Y"),"Host should pay upfront",IF($J938&lt;&gt;"Y","Save receipt","OK"))))</f>
        <v/>
      </c>
      <c r="P938" s="29" t="str">
        <f aca="false">IF($A938="","",DATE(YEAR($A938),MONTH($A938),1))</f>
        <v/>
      </c>
      <c r="Q938" s="31" t="str">
        <f aca="false">IF($A938="","",IF(AND($L938='Invoice Builder'!$C$5,$P938='Invoice Builder'!$C$6,N($N938)&gt;0),COUNTIFS($L$5:$L938,'Invoice Builder'!$C$5,$P$5:$P938,'Invoice Builder'!$C$6,$N$5:$N938,"&gt;0"),""))</f>
        <v/>
      </c>
      <c r="R938" s="27" t="str">
        <f aca="false">IF($A938="","",IF($A938&gt;=DATE(YEAR($A938),4,6),YEAR($A938)&amp;"/"&amp;RIGHT(YEAR($A938)+1,2),YEAR($A938)-1&amp;"/"&amp;RIGHT(YEAR($A938),2)))</f>
        <v/>
      </c>
    </row>
    <row r="939" customFormat="false" ht="15" hidden="false" customHeight="false" outlineLevel="0" collapsed="false">
      <c r="A939" s="22"/>
      <c r="B939" s="23"/>
      <c r="C939" s="23"/>
      <c r="D939" s="23"/>
      <c r="E939" s="32"/>
      <c r="F939" s="25"/>
      <c r="G939" s="23"/>
      <c r="H939" s="23"/>
      <c r="I939" s="23"/>
      <c r="J939" s="23"/>
      <c r="K939" s="23"/>
      <c r="L939" s="27" t="str">
        <f aca="false">IF($B939="","",IFERROR(INDEX(Properties!$D$5:$D$104,MATCH($B939,Properties!$A$5:$A$104,0)),"-"))</f>
        <v/>
      </c>
      <c r="M939" s="28" t="str">
        <f aca="false">IF(OR($A939="",N($E939)=0),"",$F939/$E939)</f>
        <v/>
      </c>
      <c r="N939" s="28" t="str">
        <f aca="false">IF($A939="","",IF($H939="Y",$F939*(1+Settings!$B$3),0))</f>
        <v/>
      </c>
      <c r="O939" s="27" t="str">
        <f aca="false">IF($A939="","",IF(AND($H939="Y",$G939&lt;&gt;"Restock",N($M939)&gt;Settings!$B$4,$I939&lt;&gt;"Y"),"Get host OK",IF(AND($H939="Y",$F939&gt;Settings!$B$5,$I939&lt;&gt;"Y"),"Host should pay upfront",IF($J939&lt;&gt;"Y","Save receipt","OK"))))</f>
        <v/>
      </c>
      <c r="P939" s="29" t="str">
        <f aca="false">IF($A939="","",DATE(YEAR($A939),MONTH($A939),1))</f>
        <v/>
      </c>
      <c r="Q939" s="31" t="str">
        <f aca="false">IF($A939="","",IF(AND($L939='Invoice Builder'!$C$5,$P939='Invoice Builder'!$C$6,N($N939)&gt;0),COUNTIFS($L$5:$L939,'Invoice Builder'!$C$5,$P$5:$P939,'Invoice Builder'!$C$6,$N$5:$N939,"&gt;0"),""))</f>
        <v/>
      </c>
      <c r="R939" s="27" t="str">
        <f aca="false">IF($A939="","",IF($A939&gt;=DATE(YEAR($A939),4,6),YEAR($A939)&amp;"/"&amp;RIGHT(YEAR($A939)+1,2),YEAR($A939)-1&amp;"/"&amp;RIGHT(YEAR($A939),2)))</f>
        <v/>
      </c>
    </row>
    <row r="940" customFormat="false" ht="15" hidden="false" customHeight="false" outlineLevel="0" collapsed="false">
      <c r="A940" s="22"/>
      <c r="B940" s="23"/>
      <c r="C940" s="23"/>
      <c r="D940" s="23"/>
      <c r="E940" s="32"/>
      <c r="F940" s="25"/>
      <c r="G940" s="23"/>
      <c r="H940" s="23"/>
      <c r="I940" s="23"/>
      <c r="J940" s="23"/>
      <c r="K940" s="23"/>
      <c r="L940" s="27" t="str">
        <f aca="false">IF($B940="","",IFERROR(INDEX(Properties!$D$5:$D$104,MATCH($B940,Properties!$A$5:$A$104,0)),"-"))</f>
        <v/>
      </c>
      <c r="M940" s="28" t="str">
        <f aca="false">IF(OR($A940="",N($E940)=0),"",$F940/$E940)</f>
        <v/>
      </c>
      <c r="N940" s="28" t="str">
        <f aca="false">IF($A940="","",IF($H940="Y",$F940*(1+Settings!$B$3),0))</f>
        <v/>
      </c>
      <c r="O940" s="27" t="str">
        <f aca="false">IF($A940="","",IF(AND($H940="Y",$G940&lt;&gt;"Restock",N($M940)&gt;Settings!$B$4,$I940&lt;&gt;"Y"),"Get host OK",IF(AND($H940="Y",$F940&gt;Settings!$B$5,$I940&lt;&gt;"Y"),"Host should pay upfront",IF($J940&lt;&gt;"Y","Save receipt","OK"))))</f>
        <v/>
      </c>
      <c r="P940" s="29" t="str">
        <f aca="false">IF($A940="","",DATE(YEAR($A940),MONTH($A940),1))</f>
        <v/>
      </c>
      <c r="Q940" s="31" t="str">
        <f aca="false">IF($A940="","",IF(AND($L940='Invoice Builder'!$C$5,$P940='Invoice Builder'!$C$6,N($N940)&gt;0),COUNTIFS($L$5:$L940,'Invoice Builder'!$C$5,$P$5:$P940,'Invoice Builder'!$C$6,$N$5:$N940,"&gt;0"),""))</f>
        <v/>
      </c>
      <c r="R940" s="27" t="str">
        <f aca="false">IF($A940="","",IF($A940&gt;=DATE(YEAR($A940),4,6),YEAR($A940)&amp;"/"&amp;RIGHT(YEAR($A940)+1,2),YEAR($A940)-1&amp;"/"&amp;RIGHT(YEAR($A940),2)))</f>
        <v/>
      </c>
    </row>
    <row r="941" customFormat="false" ht="15" hidden="false" customHeight="false" outlineLevel="0" collapsed="false">
      <c r="A941" s="22"/>
      <c r="B941" s="23"/>
      <c r="C941" s="23"/>
      <c r="D941" s="23"/>
      <c r="E941" s="32"/>
      <c r="F941" s="25"/>
      <c r="G941" s="23"/>
      <c r="H941" s="23"/>
      <c r="I941" s="23"/>
      <c r="J941" s="23"/>
      <c r="K941" s="23"/>
      <c r="L941" s="27" t="str">
        <f aca="false">IF($B941="","",IFERROR(INDEX(Properties!$D$5:$D$104,MATCH($B941,Properties!$A$5:$A$104,0)),"-"))</f>
        <v/>
      </c>
      <c r="M941" s="28" t="str">
        <f aca="false">IF(OR($A941="",N($E941)=0),"",$F941/$E941)</f>
        <v/>
      </c>
      <c r="N941" s="28" t="str">
        <f aca="false">IF($A941="","",IF($H941="Y",$F941*(1+Settings!$B$3),0))</f>
        <v/>
      </c>
      <c r="O941" s="27" t="str">
        <f aca="false">IF($A941="","",IF(AND($H941="Y",$G941&lt;&gt;"Restock",N($M941)&gt;Settings!$B$4,$I941&lt;&gt;"Y"),"Get host OK",IF(AND($H941="Y",$F941&gt;Settings!$B$5,$I941&lt;&gt;"Y"),"Host should pay upfront",IF($J941&lt;&gt;"Y","Save receipt","OK"))))</f>
        <v/>
      </c>
      <c r="P941" s="29" t="str">
        <f aca="false">IF($A941="","",DATE(YEAR($A941),MONTH($A941),1))</f>
        <v/>
      </c>
      <c r="Q941" s="31" t="str">
        <f aca="false">IF($A941="","",IF(AND($L941='Invoice Builder'!$C$5,$P941='Invoice Builder'!$C$6,N($N941)&gt;0),COUNTIFS($L$5:$L941,'Invoice Builder'!$C$5,$P$5:$P941,'Invoice Builder'!$C$6,$N$5:$N941,"&gt;0"),""))</f>
        <v/>
      </c>
      <c r="R941" s="27" t="str">
        <f aca="false">IF($A941="","",IF($A941&gt;=DATE(YEAR($A941),4,6),YEAR($A941)&amp;"/"&amp;RIGHT(YEAR($A941)+1,2),YEAR($A941)-1&amp;"/"&amp;RIGHT(YEAR($A941),2)))</f>
        <v/>
      </c>
    </row>
    <row r="942" customFormat="false" ht="15" hidden="false" customHeight="false" outlineLevel="0" collapsed="false">
      <c r="A942" s="22"/>
      <c r="B942" s="23"/>
      <c r="C942" s="23"/>
      <c r="D942" s="23"/>
      <c r="E942" s="32"/>
      <c r="F942" s="25"/>
      <c r="G942" s="23"/>
      <c r="H942" s="23"/>
      <c r="I942" s="23"/>
      <c r="J942" s="23"/>
      <c r="K942" s="23"/>
      <c r="L942" s="27" t="str">
        <f aca="false">IF($B942="","",IFERROR(INDEX(Properties!$D$5:$D$104,MATCH($B942,Properties!$A$5:$A$104,0)),"-"))</f>
        <v/>
      </c>
      <c r="M942" s="28" t="str">
        <f aca="false">IF(OR($A942="",N($E942)=0),"",$F942/$E942)</f>
        <v/>
      </c>
      <c r="N942" s="28" t="str">
        <f aca="false">IF($A942="","",IF($H942="Y",$F942*(1+Settings!$B$3),0))</f>
        <v/>
      </c>
      <c r="O942" s="27" t="str">
        <f aca="false">IF($A942="","",IF(AND($H942="Y",$G942&lt;&gt;"Restock",N($M942)&gt;Settings!$B$4,$I942&lt;&gt;"Y"),"Get host OK",IF(AND($H942="Y",$F942&gt;Settings!$B$5,$I942&lt;&gt;"Y"),"Host should pay upfront",IF($J942&lt;&gt;"Y","Save receipt","OK"))))</f>
        <v/>
      </c>
      <c r="P942" s="29" t="str">
        <f aca="false">IF($A942="","",DATE(YEAR($A942),MONTH($A942),1))</f>
        <v/>
      </c>
      <c r="Q942" s="31" t="str">
        <f aca="false">IF($A942="","",IF(AND($L942='Invoice Builder'!$C$5,$P942='Invoice Builder'!$C$6,N($N942)&gt;0),COUNTIFS($L$5:$L942,'Invoice Builder'!$C$5,$P$5:$P942,'Invoice Builder'!$C$6,$N$5:$N942,"&gt;0"),""))</f>
        <v/>
      </c>
      <c r="R942" s="27" t="str">
        <f aca="false">IF($A942="","",IF($A942&gt;=DATE(YEAR($A942),4,6),YEAR($A942)&amp;"/"&amp;RIGHT(YEAR($A942)+1,2),YEAR($A942)-1&amp;"/"&amp;RIGHT(YEAR($A942),2)))</f>
        <v/>
      </c>
    </row>
    <row r="943" customFormat="false" ht="15" hidden="false" customHeight="false" outlineLevel="0" collapsed="false">
      <c r="A943" s="22"/>
      <c r="B943" s="23"/>
      <c r="C943" s="23"/>
      <c r="D943" s="23"/>
      <c r="E943" s="32"/>
      <c r="F943" s="25"/>
      <c r="G943" s="23"/>
      <c r="H943" s="23"/>
      <c r="I943" s="23"/>
      <c r="J943" s="23"/>
      <c r="K943" s="23"/>
      <c r="L943" s="27" t="str">
        <f aca="false">IF($B943="","",IFERROR(INDEX(Properties!$D$5:$D$104,MATCH($B943,Properties!$A$5:$A$104,0)),"-"))</f>
        <v/>
      </c>
      <c r="M943" s="28" t="str">
        <f aca="false">IF(OR($A943="",N($E943)=0),"",$F943/$E943)</f>
        <v/>
      </c>
      <c r="N943" s="28" t="str">
        <f aca="false">IF($A943="","",IF($H943="Y",$F943*(1+Settings!$B$3),0))</f>
        <v/>
      </c>
      <c r="O943" s="27" t="str">
        <f aca="false">IF($A943="","",IF(AND($H943="Y",$G943&lt;&gt;"Restock",N($M943)&gt;Settings!$B$4,$I943&lt;&gt;"Y"),"Get host OK",IF(AND($H943="Y",$F943&gt;Settings!$B$5,$I943&lt;&gt;"Y"),"Host should pay upfront",IF($J943&lt;&gt;"Y","Save receipt","OK"))))</f>
        <v/>
      </c>
      <c r="P943" s="29" t="str">
        <f aca="false">IF($A943="","",DATE(YEAR($A943),MONTH($A943),1))</f>
        <v/>
      </c>
      <c r="Q943" s="31" t="str">
        <f aca="false">IF($A943="","",IF(AND($L943='Invoice Builder'!$C$5,$P943='Invoice Builder'!$C$6,N($N943)&gt;0),COUNTIFS($L$5:$L943,'Invoice Builder'!$C$5,$P$5:$P943,'Invoice Builder'!$C$6,$N$5:$N943,"&gt;0"),""))</f>
        <v/>
      </c>
      <c r="R943" s="27" t="str">
        <f aca="false">IF($A943="","",IF($A943&gt;=DATE(YEAR($A943),4,6),YEAR($A943)&amp;"/"&amp;RIGHT(YEAR($A943)+1,2),YEAR($A943)-1&amp;"/"&amp;RIGHT(YEAR($A943),2)))</f>
        <v/>
      </c>
    </row>
    <row r="944" customFormat="false" ht="15" hidden="false" customHeight="false" outlineLevel="0" collapsed="false">
      <c r="A944" s="22"/>
      <c r="B944" s="23"/>
      <c r="C944" s="23"/>
      <c r="D944" s="23"/>
      <c r="E944" s="32"/>
      <c r="F944" s="25"/>
      <c r="G944" s="23"/>
      <c r="H944" s="23"/>
      <c r="I944" s="23"/>
      <c r="J944" s="23"/>
      <c r="K944" s="23"/>
      <c r="L944" s="27" t="str">
        <f aca="false">IF($B944="","",IFERROR(INDEX(Properties!$D$5:$D$104,MATCH($B944,Properties!$A$5:$A$104,0)),"-"))</f>
        <v/>
      </c>
      <c r="M944" s="28" t="str">
        <f aca="false">IF(OR($A944="",N($E944)=0),"",$F944/$E944)</f>
        <v/>
      </c>
      <c r="N944" s="28" t="str">
        <f aca="false">IF($A944="","",IF($H944="Y",$F944*(1+Settings!$B$3),0))</f>
        <v/>
      </c>
      <c r="O944" s="27" t="str">
        <f aca="false">IF($A944="","",IF(AND($H944="Y",$G944&lt;&gt;"Restock",N($M944)&gt;Settings!$B$4,$I944&lt;&gt;"Y"),"Get host OK",IF(AND($H944="Y",$F944&gt;Settings!$B$5,$I944&lt;&gt;"Y"),"Host should pay upfront",IF($J944&lt;&gt;"Y","Save receipt","OK"))))</f>
        <v/>
      </c>
      <c r="P944" s="29" t="str">
        <f aca="false">IF($A944="","",DATE(YEAR($A944),MONTH($A944),1))</f>
        <v/>
      </c>
      <c r="Q944" s="31" t="str">
        <f aca="false">IF($A944="","",IF(AND($L944='Invoice Builder'!$C$5,$P944='Invoice Builder'!$C$6,N($N944)&gt;0),COUNTIFS($L$5:$L944,'Invoice Builder'!$C$5,$P$5:$P944,'Invoice Builder'!$C$6,$N$5:$N944,"&gt;0"),""))</f>
        <v/>
      </c>
      <c r="R944" s="27" t="str">
        <f aca="false">IF($A944="","",IF($A944&gt;=DATE(YEAR($A944),4,6),YEAR($A944)&amp;"/"&amp;RIGHT(YEAR($A944)+1,2),YEAR($A944)-1&amp;"/"&amp;RIGHT(YEAR($A944),2)))</f>
        <v/>
      </c>
    </row>
    <row r="945" customFormat="false" ht="15" hidden="false" customHeight="false" outlineLevel="0" collapsed="false">
      <c r="A945" s="22"/>
      <c r="B945" s="23"/>
      <c r="C945" s="23"/>
      <c r="D945" s="23"/>
      <c r="E945" s="32"/>
      <c r="F945" s="25"/>
      <c r="G945" s="23"/>
      <c r="H945" s="23"/>
      <c r="I945" s="23"/>
      <c r="J945" s="23"/>
      <c r="K945" s="23"/>
      <c r="L945" s="27" t="str">
        <f aca="false">IF($B945="","",IFERROR(INDEX(Properties!$D$5:$D$104,MATCH($B945,Properties!$A$5:$A$104,0)),"-"))</f>
        <v/>
      </c>
      <c r="M945" s="28" t="str">
        <f aca="false">IF(OR($A945="",N($E945)=0),"",$F945/$E945)</f>
        <v/>
      </c>
      <c r="N945" s="28" t="str">
        <f aca="false">IF($A945="","",IF($H945="Y",$F945*(1+Settings!$B$3),0))</f>
        <v/>
      </c>
      <c r="O945" s="27" t="str">
        <f aca="false">IF($A945="","",IF(AND($H945="Y",$G945&lt;&gt;"Restock",N($M945)&gt;Settings!$B$4,$I945&lt;&gt;"Y"),"Get host OK",IF(AND($H945="Y",$F945&gt;Settings!$B$5,$I945&lt;&gt;"Y"),"Host should pay upfront",IF($J945&lt;&gt;"Y","Save receipt","OK"))))</f>
        <v/>
      </c>
      <c r="P945" s="29" t="str">
        <f aca="false">IF($A945="","",DATE(YEAR($A945),MONTH($A945),1))</f>
        <v/>
      </c>
      <c r="Q945" s="31" t="str">
        <f aca="false">IF($A945="","",IF(AND($L945='Invoice Builder'!$C$5,$P945='Invoice Builder'!$C$6,N($N945)&gt;0),COUNTIFS($L$5:$L945,'Invoice Builder'!$C$5,$P$5:$P945,'Invoice Builder'!$C$6,$N$5:$N945,"&gt;0"),""))</f>
        <v/>
      </c>
      <c r="R945" s="27" t="str">
        <f aca="false">IF($A945="","",IF($A945&gt;=DATE(YEAR($A945),4,6),YEAR($A945)&amp;"/"&amp;RIGHT(YEAR($A945)+1,2),YEAR($A945)-1&amp;"/"&amp;RIGHT(YEAR($A945),2)))</f>
        <v/>
      </c>
    </row>
    <row r="946" customFormat="false" ht="15" hidden="false" customHeight="false" outlineLevel="0" collapsed="false">
      <c r="A946" s="22"/>
      <c r="B946" s="23"/>
      <c r="C946" s="23"/>
      <c r="D946" s="23"/>
      <c r="E946" s="32"/>
      <c r="F946" s="25"/>
      <c r="G946" s="23"/>
      <c r="H946" s="23"/>
      <c r="I946" s="23"/>
      <c r="J946" s="23"/>
      <c r="K946" s="23"/>
      <c r="L946" s="27" t="str">
        <f aca="false">IF($B946="","",IFERROR(INDEX(Properties!$D$5:$D$104,MATCH($B946,Properties!$A$5:$A$104,0)),"-"))</f>
        <v/>
      </c>
      <c r="M946" s="28" t="str">
        <f aca="false">IF(OR($A946="",N($E946)=0),"",$F946/$E946)</f>
        <v/>
      </c>
      <c r="N946" s="28" t="str">
        <f aca="false">IF($A946="","",IF($H946="Y",$F946*(1+Settings!$B$3),0))</f>
        <v/>
      </c>
      <c r="O946" s="27" t="str">
        <f aca="false">IF($A946="","",IF(AND($H946="Y",$G946&lt;&gt;"Restock",N($M946)&gt;Settings!$B$4,$I946&lt;&gt;"Y"),"Get host OK",IF(AND($H946="Y",$F946&gt;Settings!$B$5,$I946&lt;&gt;"Y"),"Host should pay upfront",IF($J946&lt;&gt;"Y","Save receipt","OK"))))</f>
        <v/>
      </c>
      <c r="P946" s="29" t="str">
        <f aca="false">IF($A946="","",DATE(YEAR($A946),MONTH($A946),1))</f>
        <v/>
      </c>
      <c r="Q946" s="31" t="str">
        <f aca="false">IF($A946="","",IF(AND($L946='Invoice Builder'!$C$5,$P946='Invoice Builder'!$C$6,N($N946)&gt;0),COUNTIFS($L$5:$L946,'Invoice Builder'!$C$5,$P$5:$P946,'Invoice Builder'!$C$6,$N$5:$N946,"&gt;0"),""))</f>
        <v/>
      </c>
      <c r="R946" s="27" t="str">
        <f aca="false">IF($A946="","",IF($A946&gt;=DATE(YEAR($A946),4,6),YEAR($A946)&amp;"/"&amp;RIGHT(YEAR($A946)+1,2),YEAR($A946)-1&amp;"/"&amp;RIGHT(YEAR($A946),2)))</f>
        <v/>
      </c>
    </row>
    <row r="947" customFormat="false" ht="15" hidden="false" customHeight="false" outlineLevel="0" collapsed="false">
      <c r="A947" s="22"/>
      <c r="B947" s="23"/>
      <c r="C947" s="23"/>
      <c r="D947" s="23"/>
      <c r="E947" s="32"/>
      <c r="F947" s="25"/>
      <c r="G947" s="23"/>
      <c r="H947" s="23"/>
      <c r="I947" s="23"/>
      <c r="J947" s="23"/>
      <c r="K947" s="23"/>
      <c r="L947" s="27" t="str">
        <f aca="false">IF($B947="","",IFERROR(INDEX(Properties!$D$5:$D$104,MATCH($B947,Properties!$A$5:$A$104,0)),"-"))</f>
        <v/>
      </c>
      <c r="M947" s="28" t="str">
        <f aca="false">IF(OR($A947="",N($E947)=0),"",$F947/$E947)</f>
        <v/>
      </c>
      <c r="N947" s="28" t="str">
        <f aca="false">IF($A947="","",IF($H947="Y",$F947*(1+Settings!$B$3),0))</f>
        <v/>
      </c>
      <c r="O947" s="27" t="str">
        <f aca="false">IF($A947="","",IF(AND($H947="Y",$G947&lt;&gt;"Restock",N($M947)&gt;Settings!$B$4,$I947&lt;&gt;"Y"),"Get host OK",IF(AND($H947="Y",$F947&gt;Settings!$B$5,$I947&lt;&gt;"Y"),"Host should pay upfront",IF($J947&lt;&gt;"Y","Save receipt","OK"))))</f>
        <v/>
      </c>
      <c r="P947" s="29" t="str">
        <f aca="false">IF($A947="","",DATE(YEAR($A947),MONTH($A947),1))</f>
        <v/>
      </c>
      <c r="Q947" s="31" t="str">
        <f aca="false">IF($A947="","",IF(AND($L947='Invoice Builder'!$C$5,$P947='Invoice Builder'!$C$6,N($N947)&gt;0),COUNTIFS($L$5:$L947,'Invoice Builder'!$C$5,$P$5:$P947,'Invoice Builder'!$C$6,$N$5:$N947,"&gt;0"),""))</f>
        <v/>
      </c>
      <c r="R947" s="27" t="str">
        <f aca="false">IF($A947="","",IF($A947&gt;=DATE(YEAR($A947),4,6),YEAR($A947)&amp;"/"&amp;RIGHT(YEAR($A947)+1,2),YEAR($A947)-1&amp;"/"&amp;RIGHT(YEAR($A947),2)))</f>
        <v/>
      </c>
    </row>
    <row r="948" customFormat="false" ht="15" hidden="false" customHeight="false" outlineLevel="0" collapsed="false">
      <c r="A948" s="22"/>
      <c r="B948" s="23"/>
      <c r="C948" s="23"/>
      <c r="D948" s="23"/>
      <c r="E948" s="32"/>
      <c r="F948" s="25"/>
      <c r="G948" s="23"/>
      <c r="H948" s="23"/>
      <c r="I948" s="23"/>
      <c r="J948" s="23"/>
      <c r="K948" s="23"/>
      <c r="L948" s="27" t="str">
        <f aca="false">IF($B948="","",IFERROR(INDEX(Properties!$D$5:$D$104,MATCH($B948,Properties!$A$5:$A$104,0)),"-"))</f>
        <v/>
      </c>
      <c r="M948" s="28" t="str">
        <f aca="false">IF(OR($A948="",N($E948)=0),"",$F948/$E948)</f>
        <v/>
      </c>
      <c r="N948" s="28" t="str">
        <f aca="false">IF($A948="","",IF($H948="Y",$F948*(1+Settings!$B$3),0))</f>
        <v/>
      </c>
      <c r="O948" s="27" t="str">
        <f aca="false">IF($A948="","",IF(AND($H948="Y",$G948&lt;&gt;"Restock",N($M948)&gt;Settings!$B$4,$I948&lt;&gt;"Y"),"Get host OK",IF(AND($H948="Y",$F948&gt;Settings!$B$5,$I948&lt;&gt;"Y"),"Host should pay upfront",IF($J948&lt;&gt;"Y","Save receipt","OK"))))</f>
        <v/>
      </c>
      <c r="P948" s="29" t="str">
        <f aca="false">IF($A948="","",DATE(YEAR($A948),MONTH($A948),1))</f>
        <v/>
      </c>
      <c r="Q948" s="31" t="str">
        <f aca="false">IF($A948="","",IF(AND($L948='Invoice Builder'!$C$5,$P948='Invoice Builder'!$C$6,N($N948)&gt;0),COUNTIFS($L$5:$L948,'Invoice Builder'!$C$5,$P$5:$P948,'Invoice Builder'!$C$6,$N$5:$N948,"&gt;0"),""))</f>
        <v/>
      </c>
      <c r="R948" s="27" t="str">
        <f aca="false">IF($A948="","",IF($A948&gt;=DATE(YEAR($A948),4,6),YEAR($A948)&amp;"/"&amp;RIGHT(YEAR($A948)+1,2),YEAR($A948)-1&amp;"/"&amp;RIGHT(YEAR($A948),2)))</f>
        <v/>
      </c>
    </row>
    <row r="949" customFormat="false" ht="15" hidden="false" customHeight="false" outlineLevel="0" collapsed="false">
      <c r="A949" s="22"/>
      <c r="B949" s="23"/>
      <c r="C949" s="23"/>
      <c r="D949" s="23"/>
      <c r="E949" s="32"/>
      <c r="F949" s="25"/>
      <c r="G949" s="23"/>
      <c r="H949" s="23"/>
      <c r="I949" s="23"/>
      <c r="J949" s="23"/>
      <c r="K949" s="23"/>
      <c r="L949" s="27" t="str">
        <f aca="false">IF($B949="","",IFERROR(INDEX(Properties!$D$5:$D$104,MATCH($B949,Properties!$A$5:$A$104,0)),"-"))</f>
        <v/>
      </c>
      <c r="M949" s="28" t="str">
        <f aca="false">IF(OR($A949="",N($E949)=0),"",$F949/$E949)</f>
        <v/>
      </c>
      <c r="N949" s="28" t="str">
        <f aca="false">IF($A949="","",IF($H949="Y",$F949*(1+Settings!$B$3),0))</f>
        <v/>
      </c>
      <c r="O949" s="27" t="str">
        <f aca="false">IF($A949="","",IF(AND($H949="Y",$G949&lt;&gt;"Restock",N($M949)&gt;Settings!$B$4,$I949&lt;&gt;"Y"),"Get host OK",IF(AND($H949="Y",$F949&gt;Settings!$B$5,$I949&lt;&gt;"Y"),"Host should pay upfront",IF($J949&lt;&gt;"Y","Save receipt","OK"))))</f>
        <v/>
      </c>
      <c r="P949" s="29" t="str">
        <f aca="false">IF($A949="","",DATE(YEAR($A949),MONTH($A949),1))</f>
        <v/>
      </c>
      <c r="Q949" s="31" t="str">
        <f aca="false">IF($A949="","",IF(AND($L949='Invoice Builder'!$C$5,$P949='Invoice Builder'!$C$6,N($N949)&gt;0),COUNTIFS($L$5:$L949,'Invoice Builder'!$C$5,$P$5:$P949,'Invoice Builder'!$C$6,$N$5:$N949,"&gt;0"),""))</f>
        <v/>
      </c>
      <c r="R949" s="27" t="str">
        <f aca="false">IF($A949="","",IF($A949&gt;=DATE(YEAR($A949),4,6),YEAR($A949)&amp;"/"&amp;RIGHT(YEAR($A949)+1,2),YEAR($A949)-1&amp;"/"&amp;RIGHT(YEAR($A949),2)))</f>
        <v/>
      </c>
    </row>
    <row r="950" customFormat="false" ht="15" hidden="false" customHeight="false" outlineLevel="0" collapsed="false">
      <c r="A950" s="22"/>
      <c r="B950" s="23"/>
      <c r="C950" s="23"/>
      <c r="D950" s="23"/>
      <c r="E950" s="32"/>
      <c r="F950" s="25"/>
      <c r="G950" s="23"/>
      <c r="H950" s="23"/>
      <c r="I950" s="23"/>
      <c r="J950" s="23"/>
      <c r="K950" s="23"/>
      <c r="L950" s="27" t="str">
        <f aca="false">IF($B950="","",IFERROR(INDEX(Properties!$D$5:$D$104,MATCH($B950,Properties!$A$5:$A$104,0)),"-"))</f>
        <v/>
      </c>
      <c r="M950" s="28" t="str">
        <f aca="false">IF(OR($A950="",N($E950)=0),"",$F950/$E950)</f>
        <v/>
      </c>
      <c r="N950" s="28" t="str">
        <f aca="false">IF($A950="","",IF($H950="Y",$F950*(1+Settings!$B$3),0))</f>
        <v/>
      </c>
      <c r="O950" s="27" t="str">
        <f aca="false">IF($A950="","",IF(AND($H950="Y",$G950&lt;&gt;"Restock",N($M950)&gt;Settings!$B$4,$I950&lt;&gt;"Y"),"Get host OK",IF(AND($H950="Y",$F950&gt;Settings!$B$5,$I950&lt;&gt;"Y"),"Host should pay upfront",IF($J950&lt;&gt;"Y","Save receipt","OK"))))</f>
        <v/>
      </c>
      <c r="P950" s="29" t="str">
        <f aca="false">IF($A950="","",DATE(YEAR($A950),MONTH($A950),1))</f>
        <v/>
      </c>
      <c r="Q950" s="31" t="str">
        <f aca="false">IF($A950="","",IF(AND($L950='Invoice Builder'!$C$5,$P950='Invoice Builder'!$C$6,N($N950)&gt;0),COUNTIFS($L$5:$L950,'Invoice Builder'!$C$5,$P$5:$P950,'Invoice Builder'!$C$6,$N$5:$N950,"&gt;0"),""))</f>
        <v/>
      </c>
      <c r="R950" s="27" t="str">
        <f aca="false">IF($A950="","",IF($A950&gt;=DATE(YEAR($A950),4,6),YEAR($A950)&amp;"/"&amp;RIGHT(YEAR($A950)+1,2),YEAR($A950)-1&amp;"/"&amp;RIGHT(YEAR($A950),2)))</f>
        <v/>
      </c>
    </row>
    <row r="951" customFormat="false" ht="15" hidden="false" customHeight="false" outlineLevel="0" collapsed="false">
      <c r="A951" s="22"/>
      <c r="B951" s="23"/>
      <c r="C951" s="23"/>
      <c r="D951" s="23"/>
      <c r="E951" s="32"/>
      <c r="F951" s="25"/>
      <c r="G951" s="23"/>
      <c r="H951" s="23"/>
      <c r="I951" s="23"/>
      <c r="J951" s="23"/>
      <c r="K951" s="23"/>
      <c r="L951" s="27" t="str">
        <f aca="false">IF($B951="","",IFERROR(INDEX(Properties!$D$5:$D$104,MATCH($B951,Properties!$A$5:$A$104,0)),"-"))</f>
        <v/>
      </c>
      <c r="M951" s="28" t="str">
        <f aca="false">IF(OR($A951="",N($E951)=0),"",$F951/$E951)</f>
        <v/>
      </c>
      <c r="N951" s="28" t="str">
        <f aca="false">IF($A951="","",IF($H951="Y",$F951*(1+Settings!$B$3),0))</f>
        <v/>
      </c>
      <c r="O951" s="27" t="str">
        <f aca="false">IF($A951="","",IF(AND($H951="Y",$G951&lt;&gt;"Restock",N($M951)&gt;Settings!$B$4,$I951&lt;&gt;"Y"),"Get host OK",IF(AND($H951="Y",$F951&gt;Settings!$B$5,$I951&lt;&gt;"Y"),"Host should pay upfront",IF($J951&lt;&gt;"Y","Save receipt","OK"))))</f>
        <v/>
      </c>
      <c r="P951" s="29" t="str">
        <f aca="false">IF($A951="","",DATE(YEAR($A951),MONTH($A951),1))</f>
        <v/>
      </c>
      <c r="Q951" s="31" t="str">
        <f aca="false">IF($A951="","",IF(AND($L951='Invoice Builder'!$C$5,$P951='Invoice Builder'!$C$6,N($N951)&gt;0),COUNTIFS($L$5:$L951,'Invoice Builder'!$C$5,$P$5:$P951,'Invoice Builder'!$C$6,$N$5:$N951,"&gt;0"),""))</f>
        <v/>
      </c>
      <c r="R951" s="27" t="str">
        <f aca="false">IF($A951="","",IF($A951&gt;=DATE(YEAR($A951),4,6),YEAR($A951)&amp;"/"&amp;RIGHT(YEAR($A951)+1,2),YEAR($A951)-1&amp;"/"&amp;RIGHT(YEAR($A951),2)))</f>
        <v/>
      </c>
    </row>
    <row r="952" customFormat="false" ht="15" hidden="false" customHeight="false" outlineLevel="0" collapsed="false">
      <c r="A952" s="22"/>
      <c r="B952" s="23"/>
      <c r="C952" s="23"/>
      <c r="D952" s="23"/>
      <c r="E952" s="32"/>
      <c r="F952" s="25"/>
      <c r="G952" s="23"/>
      <c r="H952" s="23"/>
      <c r="I952" s="23"/>
      <c r="J952" s="23"/>
      <c r="K952" s="23"/>
      <c r="L952" s="27" t="str">
        <f aca="false">IF($B952="","",IFERROR(INDEX(Properties!$D$5:$D$104,MATCH($B952,Properties!$A$5:$A$104,0)),"-"))</f>
        <v/>
      </c>
      <c r="M952" s="28" t="str">
        <f aca="false">IF(OR($A952="",N($E952)=0),"",$F952/$E952)</f>
        <v/>
      </c>
      <c r="N952" s="28" t="str">
        <f aca="false">IF($A952="","",IF($H952="Y",$F952*(1+Settings!$B$3),0))</f>
        <v/>
      </c>
      <c r="O952" s="27" t="str">
        <f aca="false">IF($A952="","",IF(AND($H952="Y",$G952&lt;&gt;"Restock",N($M952)&gt;Settings!$B$4,$I952&lt;&gt;"Y"),"Get host OK",IF(AND($H952="Y",$F952&gt;Settings!$B$5,$I952&lt;&gt;"Y"),"Host should pay upfront",IF($J952&lt;&gt;"Y","Save receipt","OK"))))</f>
        <v/>
      </c>
      <c r="P952" s="29" t="str">
        <f aca="false">IF($A952="","",DATE(YEAR($A952),MONTH($A952),1))</f>
        <v/>
      </c>
      <c r="Q952" s="31" t="str">
        <f aca="false">IF($A952="","",IF(AND($L952='Invoice Builder'!$C$5,$P952='Invoice Builder'!$C$6,N($N952)&gt;0),COUNTIFS($L$5:$L952,'Invoice Builder'!$C$5,$P$5:$P952,'Invoice Builder'!$C$6,$N$5:$N952,"&gt;0"),""))</f>
        <v/>
      </c>
      <c r="R952" s="27" t="str">
        <f aca="false">IF($A952="","",IF($A952&gt;=DATE(YEAR($A952),4,6),YEAR($A952)&amp;"/"&amp;RIGHT(YEAR($A952)+1,2),YEAR($A952)-1&amp;"/"&amp;RIGHT(YEAR($A952),2)))</f>
        <v/>
      </c>
    </row>
    <row r="953" customFormat="false" ht="15" hidden="false" customHeight="false" outlineLevel="0" collapsed="false">
      <c r="A953" s="22"/>
      <c r="B953" s="23"/>
      <c r="C953" s="23"/>
      <c r="D953" s="23"/>
      <c r="E953" s="32"/>
      <c r="F953" s="25"/>
      <c r="G953" s="23"/>
      <c r="H953" s="23"/>
      <c r="I953" s="23"/>
      <c r="J953" s="23"/>
      <c r="K953" s="23"/>
      <c r="L953" s="27" t="str">
        <f aca="false">IF($B953="","",IFERROR(INDEX(Properties!$D$5:$D$104,MATCH($B953,Properties!$A$5:$A$104,0)),"-"))</f>
        <v/>
      </c>
      <c r="M953" s="28" t="str">
        <f aca="false">IF(OR($A953="",N($E953)=0),"",$F953/$E953)</f>
        <v/>
      </c>
      <c r="N953" s="28" t="str">
        <f aca="false">IF($A953="","",IF($H953="Y",$F953*(1+Settings!$B$3),0))</f>
        <v/>
      </c>
      <c r="O953" s="27" t="str">
        <f aca="false">IF($A953="","",IF(AND($H953="Y",$G953&lt;&gt;"Restock",N($M953)&gt;Settings!$B$4,$I953&lt;&gt;"Y"),"Get host OK",IF(AND($H953="Y",$F953&gt;Settings!$B$5,$I953&lt;&gt;"Y"),"Host should pay upfront",IF($J953&lt;&gt;"Y","Save receipt","OK"))))</f>
        <v/>
      </c>
      <c r="P953" s="29" t="str">
        <f aca="false">IF($A953="","",DATE(YEAR($A953),MONTH($A953),1))</f>
        <v/>
      </c>
      <c r="Q953" s="31" t="str">
        <f aca="false">IF($A953="","",IF(AND($L953='Invoice Builder'!$C$5,$P953='Invoice Builder'!$C$6,N($N953)&gt;0),COUNTIFS($L$5:$L953,'Invoice Builder'!$C$5,$P$5:$P953,'Invoice Builder'!$C$6,$N$5:$N953,"&gt;0"),""))</f>
        <v/>
      </c>
      <c r="R953" s="27" t="str">
        <f aca="false">IF($A953="","",IF($A953&gt;=DATE(YEAR($A953),4,6),YEAR($A953)&amp;"/"&amp;RIGHT(YEAR($A953)+1,2),YEAR($A953)-1&amp;"/"&amp;RIGHT(YEAR($A953),2)))</f>
        <v/>
      </c>
    </row>
    <row r="954" customFormat="false" ht="15" hidden="false" customHeight="false" outlineLevel="0" collapsed="false">
      <c r="A954" s="22"/>
      <c r="B954" s="23"/>
      <c r="C954" s="23"/>
      <c r="D954" s="23"/>
      <c r="E954" s="32"/>
      <c r="F954" s="25"/>
      <c r="G954" s="23"/>
      <c r="H954" s="23"/>
      <c r="I954" s="23"/>
      <c r="J954" s="23"/>
      <c r="K954" s="23"/>
      <c r="L954" s="27" t="str">
        <f aca="false">IF($B954="","",IFERROR(INDEX(Properties!$D$5:$D$104,MATCH($B954,Properties!$A$5:$A$104,0)),"-"))</f>
        <v/>
      </c>
      <c r="M954" s="28" t="str">
        <f aca="false">IF(OR($A954="",N($E954)=0),"",$F954/$E954)</f>
        <v/>
      </c>
      <c r="N954" s="28" t="str">
        <f aca="false">IF($A954="","",IF($H954="Y",$F954*(1+Settings!$B$3),0))</f>
        <v/>
      </c>
      <c r="O954" s="27" t="str">
        <f aca="false">IF($A954="","",IF(AND($H954="Y",$G954&lt;&gt;"Restock",N($M954)&gt;Settings!$B$4,$I954&lt;&gt;"Y"),"Get host OK",IF(AND($H954="Y",$F954&gt;Settings!$B$5,$I954&lt;&gt;"Y"),"Host should pay upfront",IF($J954&lt;&gt;"Y","Save receipt","OK"))))</f>
        <v/>
      </c>
      <c r="P954" s="29" t="str">
        <f aca="false">IF($A954="","",DATE(YEAR($A954),MONTH($A954),1))</f>
        <v/>
      </c>
      <c r="Q954" s="31" t="str">
        <f aca="false">IF($A954="","",IF(AND($L954='Invoice Builder'!$C$5,$P954='Invoice Builder'!$C$6,N($N954)&gt;0),COUNTIFS($L$5:$L954,'Invoice Builder'!$C$5,$P$5:$P954,'Invoice Builder'!$C$6,$N$5:$N954,"&gt;0"),""))</f>
        <v/>
      </c>
      <c r="R954" s="27" t="str">
        <f aca="false">IF($A954="","",IF($A954&gt;=DATE(YEAR($A954),4,6),YEAR($A954)&amp;"/"&amp;RIGHT(YEAR($A954)+1,2),YEAR($A954)-1&amp;"/"&amp;RIGHT(YEAR($A954),2)))</f>
        <v/>
      </c>
    </row>
    <row r="955" customFormat="false" ht="15" hidden="false" customHeight="false" outlineLevel="0" collapsed="false">
      <c r="A955" s="22"/>
      <c r="B955" s="23"/>
      <c r="C955" s="23"/>
      <c r="D955" s="23"/>
      <c r="E955" s="32"/>
      <c r="F955" s="25"/>
      <c r="G955" s="23"/>
      <c r="H955" s="23"/>
      <c r="I955" s="23"/>
      <c r="J955" s="23"/>
      <c r="K955" s="23"/>
      <c r="L955" s="27" t="str">
        <f aca="false">IF($B955="","",IFERROR(INDEX(Properties!$D$5:$D$104,MATCH($B955,Properties!$A$5:$A$104,0)),"-"))</f>
        <v/>
      </c>
      <c r="M955" s="28" t="str">
        <f aca="false">IF(OR($A955="",N($E955)=0),"",$F955/$E955)</f>
        <v/>
      </c>
      <c r="N955" s="28" t="str">
        <f aca="false">IF($A955="","",IF($H955="Y",$F955*(1+Settings!$B$3),0))</f>
        <v/>
      </c>
      <c r="O955" s="27" t="str">
        <f aca="false">IF($A955="","",IF(AND($H955="Y",$G955&lt;&gt;"Restock",N($M955)&gt;Settings!$B$4,$I955&lt;&gt;"Y"),"Get host OK",IF(AND($H955="Y",$F955&gt;Settings!$B$5,$I955&lt;&gt;"Y"),"Host should pay upfront",IF($J955&lt;&gt;"Y","Save receipt","OK"))))</f>
        <v/>
      </c>
      <c r="P955" s="29" t="str">
        <f aca="false">IF($A955="","",DATE(YEAR($A955),MONTH($A955),1))</f>
        <v/>
      </c>
      <c r="Q955" s="31" t="str">
        <f aca="false">IF($A955="","",IF(AND($L955='Invoice Builder'!$C$5,$P955='Invoice Builder'!$C$6,N($N955)&gt;0),COUNTIFS($L$5:$L955,'Invoice Builder'!$C$5,$P$5:$P955,'Invoice Builder'!$C$6,$N$5:$N955,"&gt;0"),""))</f>
        <v/>
      </c>
      <c r="R955" s="27" t="str">
        <f aca="false">IF($A955="","",IF($A955&gt;=DATE(YEAR($A955),4,6),YEAR($A955)&amp;"/"&amp;RIGHT(YEAR($A955)+1,2),YEAR($A955)-1&amp;"/"&amp;RIGHT(YEAR($A955),2)))</f>
        <v/>
      </c>
    </row>
    <row r="956" customFormat="false" ht="15" hidden="false" customHeight="false" outlineLevel="0" collapsed="false">
      <c r="A956" s="22"/>
      <c r="B956" s="23"/>
      <c r="C956" s="23"/>
      <c r="D956" s="23"/>
      <c r="E956" s="32"/>
      <c r="F956" s="25"/>
      <c r="G956" s="23"/>
      <c r="H956" s="23"/>
      <c r="I956" s="23"/>
      <c r="J956" s="23"/>
      <c r="K956" s="23"/>
      <c r="L956" s="27" t="str">
        <f aca="false">IF($B956="","",IFERROR(INDEX(Properties!$D$5:$D$104,MATCH($B956,Properties!$A$5:$A$104,0)),"-"))</f>
        <v/>
      </c>
      <c r="M956" s="28" t="str">
        <f aca="false">IF(OR($A956="",N($E956)=0),"",$F956/$E956)</f>
        <v/>
      </c>
      <c r="N956" s="28" t="str">
        <f aca="false">IF($A956="","",IF($H956="Y",$F956*(1+Settings!$B$3),0))</f>
        <v/>
      </c>
      <c r="O956" s="27" t="str">
        <f aca="false">IF($A956="","",IF(AND($H956="Y",$G956&lt;&gt;"Restock",N($M956)&gt;Settings!$B$4,$I956&lt;&gt;"Y"),"Get host OK",IF(AND($H956="Y",$F956&gt;Settings!$B$5,$I956&lt;&gt;"Y"),"Host should pay upfront",IF($J956&lt;&gt;"Y","Save receipt","OK"))))</f>
        <v/>
      </c>
      <c r="P956" s="29" t="str">
        <f aca="false">IF($A956="","",DATE(YEAR($A956),MONTH($A956),1))</f>
        <v/>
      </c>
      <c r="Q956" s="31" t="str">
        <f aca="false">IF($A956="","",IF(AND($L956='Invoice Builder'!$C$5,$P956='Invoice Builder'!$C$6,N($N956)&gt;0),COUNTIFS($L$5:$L956,'Invoice Builder'!$C$5,$P$5:$P956,'Invoice Builder'!$C$6,$N$5:$N956,"&gt;0"),""))</f>
        <v/>
      </c>
      <c r="R956" s="27" t="str">
        <f aca="false">IF($A956="","",IF($A956&gt;=DATE(YEAR($A956),4,6),YEAR($A956)&amp;"/"&amp;RIGHT(YEAR($A956)+1,2),YEAR($A956)-1&amp;"/"&amp;RIGHT(YEAR($A956),2)))</f>
        <v/>
      </c>
    </row>
    <row r="957" customFormat="false" ht="15" hidden="false" customHeight="false" outlineLevel="0" collapsed="false">
      <c r="A957" s="22"/>
      <c r="B957" s="23"/>
      <c r="C957" s="23"/>
      <c r="D957" s="23"/>
      <c r="E957" s="32"/>
      <c r="F957" s="25"/>
      <c r="G957" s="23"/>
      <c r="H957" s="23"/>
      <c r="I957" s="23"/>
      <c r="J957" s="23"/>
      <c r="K957" s="23"/>
      <c r="L957" s="27" t="str">
        <f aca="false">IF($B957="","",IFERROR(INDEX(Properties!$D$5:$D$104,MATCH($B957,Properties!$A$5:$A$104,0)),"-"))</f>
        <v/>
      </c>
      <c r="M957" s="28" t="str">
        <f aca="false">IF(OR($A957="",N($E957)=0),"",$F957/$E957)</f>
        <v/>
      </c>
      <c r="N957" s="28" t="str">
        <f aca="false">IF($A957="","",IF($H957="Y",$F957*(1+Settings!$B$3),0))</f>
        <v/>
      </c>
      <c r="O957" s="27" t="str">
        <f aca="false">IF($A957="","",IF(AND($H957="Y",$G957&lt;&gt;"Restock",N($M957)&gt;Settings!$B$4,$I957&lt;&gt;"Y"),"Get host OK",IF(AND($H957="Y",$F957&gt;Settings!$B$5,$I957&lt;&gt;"Y"),"Host should pay upfront",IF($J957&lt;&gt;"Y","Save receipt","OK"))))</f>
        <v/>
      </c>
      <c r="P957" s="29" t="str">
        <f aca="false">IF($A957="","",DATE(YEAR($A957),MONTH($A957),1))</f>
        <v/>
      </c>
      <c r="Q957" s="31" t="str">
        <f aca="false">IF($A957="","",IF(AND($L957='Invoice Builder'!$C$5,$P957='Invoice Builder'!$C$6,N($N957)&gt;0),COUNTIFS($L$5:$L957,'Invoice Builder'!$C$5,$P$5:$P957,'Invoice Builder'!$C$6,$N$5:$N957,"&gt;0"),""))</f>
        <v/>
      </c>
      <c r="R957" s="27" t="str">
        <f aca="false">IF($A957="","",IF($A957&gt;=DATE(YEAR($A957),4,6),YEAR($A957)&amp;"/"&amp;RIGHT(YEAR($A957)+1,2),YEAR($A957)-1&amp;"/"&amp;RIGHT(YEAR($A957),2)))</f>
        <v/>
      </c>
    </row>
    <row r="958" customFormat="false" ht="15" hidden="false" customHeight="false" outlineLevel="0" collapsed="false">
      <c r="A958" s="22"/>
      <c r="B958" s="23"/>
      <c r="C958" s="23"/>
      <c r="D958" s="23"/>
      <c r="E958" s="32"/>
      <c r="F958" s="25"/>
      <c r="G958" s="23"/>
      <c r="H958" s="23"/>
      <c r="I958" s="23"/>
      <c r="J958" s="23"/>
      <c r="K958" s="23"/>
      <c r="L958" s="27" t="str">
        <f aca="false">IF($B958="","",IFERROR(INDEX(Properties!$D$5:$D$104,MATCH($B958,Properties!$A$5:$A$104,0)),"-"))</f>
        <v/>
      </c>
      <c r="M958" s="28" t="str">
        <f aca="false">IF(OR($A958="",N($E958)=0),"",$F958/$E958)</f>
        <v/>
      </c>
      <c r="N958" s="28" t="str">
        <f aca="false">IF($A958="","",IF($H958="Y",$F958*(1+Settings!$B$3),0))</f>
        <v/>
      </c>
      <c r="O958" s="27" t="str">
        <f aca="false">IF($A958="","",IF(AND($H958="Y",$G958&lt;&gt;"Restock",N($M958)&gt;Settings!$B$4,$I958&lt;&gt;"Y"),"Get host OK",IF(AND($H958="Y",$F958&gt;Settings!$B$5,$I958&lt;&gt;"Y"),"Host should pay upfront",IF($J958&lt;&gt;"Y","Save receipt","OK"))))</f>
        <v/>
      </c>
      <c r="P958" s="29" t="str">
        <f aca="false">IF($A958="","",DATE(YEAR($A958),MONTH($A958),1))</f>
        <v/>
      </c>
      <c r="Q958" s="31" t="str">
        <f aca="false">IF($A958="","",IF(AND($L958='Invoice Builder'!$C$5,$P958='Invoice Builder'!$C$6,N($N958)&gt;0),COUNTIFS($L$5:$L958,'Invoice Builder'!$C$5,$P$5:$P958,'Invoice Builder'!$C$6,$N$5:$N958,"&gt;0"),""))</f>
        <v/>
      </c>
      <c r="R958" s="27" t="str">
        <f aca="false">IF($A958="","",IF($A958&gt;=DATE(YEAR($A958),4,6),YEAR($A958)&amp;"/"&amp;RIGHT(YEAR($A958)+1,2),YEAR($A958)-1&amp;"/"&amp;RIGHT(YEAR($A958),2)))</f>
        <v/>
      </c>
    </row>
    <row r="959" customFormat="false" ht="15" hidden="false" customHeight="false" outlineLevel="0" collapsed="false">
      <c r="A959" s="22"/>
      <c r="B959" s="23"/>
      <c r="C959" s="23"/>
      <c r="D959" s="23"/>
      <c r="E959" s="32"/>
      <c r="F959" s="25"/>
      <c r="G959" s="23"/>
      <c r="H959" s="23"/>
      <c r="I959" s="23"/>
      <c r="J959" s="23"/>
      <c r="K959" s="23"/>
      <c r="L959" s="27" t="str">
        <f aca="false">IF($B959="","",IFERROR(INDEX(Properties!$D$5:$D$104,MATCH($B959,Properties!$A$5:$A$104,0)),"-"))</f>
        <v/>
      </c>
      <c r="M959" s="28" t="str">
        <f aca="false">IF(OR($A959="",N($E959)=0),"",$F959/$E959)</f>
        <v/>
      </c>
      <c r="N959" s="28" t="str">
        <f aca="false">IF($A959="","",IF($H959="Y",$F959*(1+Settings!$B$3),0))</f>
        <v/>
      </c>
      <c r="O959" s="27" t="str">
        <f aca="false">IF($A959="","",IF(AND($H959="Y",$G959&lt;&gt;"Restock",N($M959)&gt;Settings!$B$4,$I959&lt;&gt;"Y"),"Get host OK",IF(AND($H959="Y",$F959&gt;Settings!$B$5,$I959&lt;&gt;"Y"),"Host should pay upfront",IF($J959&lt;&gt;"Y","Save receipt","OK"))))</f>
        <v/>
      </c>
      <c r="P959" s="29" t="str">
        <f aca="false">IF($A959="","",DATE(YEAR($A959),MONTH($A959),1))</f>
        <v/>
      </c>
      <c r="Q959" s="31" t="str">
        <f aca="false">IF($A959="","",IF(AND($L959='Invoice Builder'!$C$5,$P959='Invoice Builder'!$C$6,N($N959)&gt;0),COUNTIFS($L$5:$L959,'Invoice Builder'!$C$5,$P$5:$P959,'Invoice Builder'!$C$6,$N$5:$N959,"&gt;0"),""))</f>
        <v/>
      </c>
      <c r="R959" s="27" t="str">
        <f aca="false">IF($A959="","",IF($A959&gt;=DATE(YEAR($A959),4,6),YEAR($A959)&amp;"/"&amp;RIGHT(YEAR($A959)+1,2),YEAR($A959)-1&amp;"/"&amp;RIGHT(YEAR($A959),2)))</f>
        <v/>
      </c>
    </row>
    <row r="960" customFormat="false" ht="15" hidden="false" customHeight="false" outlineLevel="0" collapsed="false">
      <c r="A960" s="22"/>
      <c r="B960" s="23"/>
      <c r="C960" s="23"/>
      <c r="D960" s="23"/>
      <c r="E960" s="32"/>
      <c r="F960" s="25"/>
      <c r="G960" s="23"/>
      <c r="H960" s="23"/>
      <c r="I960" s="23"/>
      <c r="J960" s="23"/>
      <c r="K960" s="23"/>
      <c r="L960" s="27" t="str">
        <f aca="false">IF($B960="","",IFERROR(INDEX(Properties!$D$5:$D$104,MATCH($B960,Properties!$A$5:$A$104,0)),"-"))</f>
        <v/>
      </c>
      <c r="M960" s="28" t="str">
        <f aca="false">IF(OR($A960="",N($E960)=0),"",$F960/$E960)</f>
        <v/>
      </c>
      <c r="N960" s="28" t="str">
        <f aca="false">IF($A960="","",IF($H960="Y",$F960*(1+Settings!$B$3),0))</f>
        <v/>
      </c>
      <c r="O960" s="27" t="str">
        <f aca="false">IF($A960="","",IF(AND($H960="Y",$G960&lt;&gt;"Restock",N($M960)&gt;Settings!$B$4,$I960&lt;&gt;"Y"),"Get host OK",IF(AND($H960="Y",$F960&gt;Settings!$B$5,$I960&lt;&gt;"Y"),"Host should pay upfront",IF($J960&lt;&gt;"Y","Save receipt","OK"))))</f>
        <v/>
      </c>
      <c r="P960" s="29" t="str">
        <f aca="false">IF($A960="","",DATE(YEAR($A960),MONTH($A960),1))</f>
        <v/>
      </c>
      <c r="Q960" s="31" t="str">
        <f aca="false">IF($A960="","",IF(AND($L960='Invoice Builder'!$C$5,$P960='Invoice Builder'!$C$6,N($N960)&gt;0),COUNTIFS($L$5:$L960,'Invoice Builder'!$C$5,$P$5:$P960,'Invoice Builder'!$C$6,$N$5:$N960,"&gt;0"),""))</f>
        <v/>
      </c>
      <c r="R960" s="27" t="str">
        <f aca="false">IF($A960="","",IF($A960&gt;=DATE(YEAR($A960),4,6),YEAR($A960)&amp;"/"&amp;RIGHT(YEAR($A960)+1,2),YEAR($A960)-1&amp;"/"&amp;RIGHT(YEAR($A960),2)))</f>
        <v/>
      </c>
    </row>
    <row r="961" customFormat="false" ht="15" hidden="false" customHeight="false" outlineLevel="0" collapsed="false">
      <c r="A961" s="22"/>
      <c r="B961" s="23"/>
      <c r="C961" s="23"/>
      <c r="D961" s="23"/>
      <c r="E961" s="32"/>
      <c r="F961" s="25"/>
      <c r="G961" s="23"/>
      <c r="H961" s="23"/>
      <c r="I961" s="23"/>
      <c r="J961" s="23"/>
      <c r="K961" s="23"/>
      <c r="L961" s="27" t="str">
        <f aca="false">IF($B961="","",IFERROR(INDEX(Properties!$D$5:$D$104,MATCH($B961,Properties!$A$5:$A$104,0)),"-"))</f>
        <v/>
      </c>
      <c r="M961" s="28" t="str">
        <f aca="false">IF(OR($A961="",N($E961)=0),"",$F961/$E961)</f>
        <v/>
      </c>
      <c r="N961" s="28" t="str">
        <f aca="false">IF($A961="","",IF($H961="Y",$F961*(1+Settings!$B$3),0))</f>
        <v/>
      </c>
      <c r="O961" s="27" t="str">
        <f aca="false">IF($A961="","",IF(AND($H961="Y",$G961&lt;&gt;"Restock",N($M961)&gt;Settings!$B$4,$I961&lt;&gt;"Y"),"Get host OK",IF(AND($H961="Y",$F961&gt;Settings!$B$5,$I961&lt;&gt;"Y"),"Host should pay upfront",IF($J961&lt;&gt;"Y","Save receipt","OK"))))</f>
        <v/>
      </c>
      <c r="P961" s="29" t="str">
        <f aca="false">IF($A961="","",DATE(YEAR($A961),MONTH($A961),1))</f>
        <v/>
      </c>
      <c r="Q961" s="31" t="str">
        <f aca="false">IF($A961="","",IF(AND($L961='Invoice Builder'!$C$5,$P961='Invoice Builder'!$C$6,N($N961)&gt;0),COUNTIFS($L$5:$L961,'Invoice Builder'!$C$5,$P$5:$P961,'Invoice Builder'!$C$6,$N$5:$N961,"&gt;0"),""))</f>
        <v/>
      </c>
      <c r="R961" s="27" t="str">
        <f aca="false">IF($A961="","",IF($A961&gt;=DATE(YEAR($A961),4,6),YEAR($A961)&amp;"/"&amp;RIGHT(YEAR($A961)+1,2),YEAR($A961)-1&amp;"/"&amp;RIGHT(YEAR($A961),2)))</f>
        <v/>
      </c>
    </row>
    <row r="962" customFormat="false" ht="15" hidden="false" customHeight="false" outlineLevel="0" collapsed="false">
      <c r="A962" s="22"/>
      <c r="B962" s="23"/>
      <c r="C962" s="23"/>
      <c r="D962" s="23"/>
      <c r="E962" s="32"/>
      <c r="F962" s="25"/>
      <c r="G962" s="23"/>
      <c r="H962" s="23"/>
      <c r="I962" s="23"/>
      <c r="J962" s="23"/>
      <c r="K962" s="23"/>
      <c r="L962" s="27" t="str">
        <f aca="false">IF($B962="","",IFERROR(INDEX(Properties!$D$5:$D$104,MATCH($B962,Properties!$A$5:$A$104,0)),"-"))</f>
        <v/>
      </c>
      <c r="M962" s="28" t="str">
        <f aca="false">IF(OR($A962="",N($E962)=0),"",$F962/$E962)</f>
        <v/>
      </c>
      <c r="N962" s="28" t="str">
        <f aca="false">IF($A962="","",IF($H962="Y",$F962*(1+Settings!$B$3),0))</f>
        <v/>
      </c>
      <c r="O962" s="27" t="str">
        <f aca="false">IF($A962="","",IF(AND($H962="Y",$G962&lt;&gt;"Restock",N($M962)&gt;Settings!$B$4,$I962&lt;&gt;"Y"),"Get host OK",IF(AND($H962="Y",$F962&gt;Settings!$B$5,$I962&lt;&gt;"Y"),"Host should pay upfront",IF($J962&lt;&gt;"Y","Save receipt","OK"))))</f>
        <v/>
      </c>
      <c r="P962" s="29" t="str">
        <f aca="false">IF($A962="","",DATE(YEAR($A962),MONTH($A962),1))</f>
        <v/>
      </c>
      <c r="Q962" s="31" t="str">
        <f aca="false">IF($A962="","",IF(AND($L962='Invoice Builder'!$C$5,$P962='Invoice Builder'!$C$6,N($N962)&gt;0),COUNTIFS($L$5:$L962,'Invoice Builder'!$C$5,$P$5:$P962,'Invoice Builder'!$C$6,$N$5:$N962,"&gt;0"),""))</f>
        <v/>
      </c>
      <c r="R962" s="27" t="str">
        <f aca="false">IF($A962="","",IF($A962&gt;=DATE(YEAR($A962),4,6),YEAR($A962)&amp;"/"&amp;RIGHT(YEAR($A962)+1,2),YEAR($A962)-1&amp;"/"&amp;RIGHT(YEAR($A962),2)))</f>
        <v/>
      </c>
    </row>
    <row r="963" customFormat="false" ht="15" hidden="false" customHeight="false" outlineLevel="0" collapsed="false">
      <c r="A963" s="22"/>
      <c r="B963" s="23"/>
      <c r="C963" s="23"/>
      <c r="D963" s="23"/>
      <c r="E963" s="32"/>
      <c r="F963" s="25"/>
      <c r="G963" s="23"/>
      <c r="H963" s="23"/>
      <c r="I963" s="23"/>
      <c r="J963" s="23"/>
      <c r="K963" s="23"/>
      <c r="L963" s="27" t="str">
        <f aca="false">IF($B963="","",IFERROR(INDEX(Properties!$D$5:$D$104,MATCH($B963,Properties!$A$5:$A$104,0)),"-"))</f>
        <v/>
      </c>
      <c r="M963" s="28" t="str">
        <f aca="false">IF(OR($A963="",N($E963)=0),"",$F963/$E963)</f>
        <v/>
      </c>
      <c r="N963" s="28" t="str">
        <f aca="false">IF($A963="","",IF($H963="Y",$F963*(1+Settings!$B$3),0))</f>
        <v/>
      </c>
      <c r="O963" s="27" t="str">
        <f aca="false">IF($A963="","",IF(AND($H963="Y",$G963&lt;&gt;"Restock",N($M963)&gt;Settings!$B$4,$I963&lt;&gt;"Y"),"Get host OK",IF(AND($H963="Y",$F963&gt;Settings!$B$5,$I963&lt;&gt;"Y"),"Host should pay upfront",IF($J963&lt;&gt;"Y","Save receipt","OK"))))</f>
        <v/>
      </c>
      <c r="P963" s="29" t="str">
        <f aca="false">IF($A963="","",DATE(YEAR($A963),MONTH($A963),1))</f>
        <v/>
      </c>
      <c r="Q963" s="31" t="str">
        <f aca="false">IF($A963="","",IF(AND($L963='Invoice Builder'!$C$5,$P963='Invoice Builder'!$C$6,N($N963)&gt;0),COUNTIFS($L$5:$L963,'Invoice Builder'!$C$5,$P$5:$P963,'Invoice Builder'!$C$6,$N$5:$N963,"&gt;0"),""))</f>
        <v/>
      </c>
      <c r="R963" s="27" t="str">
        <f aca="false">IF($A963="","",IF($A963&gt;=DATE(YEAR($A963),4,6),YEAR($A963)&amp;"/"&amp;RIGHT(YEAR($A963)+1,2),YEAR($A963)-1&amp;"/"&amp;RIGHT(YEAR($A963),2)))</f>
        <v/>
      </c>
    </row>
    <row r="964" customFormat="false" ht="15" hidden="false" customHeight="false" outlineLevel="0" collapsed="false">
      <c r="A964" s="22"/>
      <c r="B964" s="23"/>
      <c r="C964" s="23"/>
      <c r="D964" s="23"/>
      <c r="E964" s="32"/>
      <c r="F964" s="25"/>
      <c r="G964" s="23"/>
      <c r="H964" s="23"/>
      <c r="I964" s="23"/>
      <c r="J964" s="23"/>
      <c r="K964" s="23"/>
      <c r="L964" s="27" t="str">
        <f aca="false">IF($B964="","",IFERROR(INDEX(Properties!$D$5:$D$104,MATCH($B964,Properties!$A$5:$A$104,0)),"-"))</f>
        <v/>
      </c>
      <c r="M964" s="28" t="str">
        <f aca="false">IF(OR($A964="",N($E964)=0),"",$F964/$E964)</f>
        <v/>
      </c>
      <c r="N964" s="28" t="str">
        <f aca="false">IF($A964="","",IF($H964="Y",$F964*(1+Settings!$B$3),0))</f>
        <v/>
      </c>
      <c r="O964" s="27" t="str">
        <f aca="false">IF($A964="","",IF(AND($H964="Y",$G964&lt;&gt;"Restock",N($M964)&gt;Settings!$B$4,$I964&lt;&gt;"Y"),"Get host OK",IF(AND($H964="Y",$F964&gt;Settings!$B$5,$I964&lt;&gt;"Y"),"Host should pay upfront",IF($J964&lt;&gt;"Y","Save receipt","OK"))))</f>
        <v/>
      </c>
      <c r="P964" s="29" t="str">
        <f aca="false">IF($A964="","",DATE(YEAR($A964),MONTH($A964),1))</f>
        <v/>
      </c>
      <c r="Q964" s="31" t="str">
        <f aca="false">IF($A964="","",IF(AND($L964='Invoice Builder'!$C$5,$P964='Invoice Builder'!$C$6,N($N964)&gt;0),COUNTIFS($L$5:$L964,'Invoice Builder'!$C$5,$P$5:$P964,'Invoice Builder'!$C$6,$N$5:$N964,"&gt;0"),""))</f>
        <v/>
      </c>
      <c r="R964" s="27" t="str">
        <f aca="false">IF($A964="","",IF($A964&gt;=DATE(YEAR($A964),4,6),YEAR($A964)&amp;"/"&amp;RIGHT(YEAR($A964)+1,2),YEAR($A964)-1&amp;"/"&amp;RIGHT(YEAR($A964),2)))</f>
        <v/>
      </c>
    </row>
    <row r="965" customFormat="false" ht="15" hidden="false" customHeight="false" outlineLevel="0" collapsed="false">
      <c r="A965" s="22"/>
      <c r="B965" s="23"/>
      <c r="C965" s="23"/>
      <c r="D965" s="23"/>
      <c r="E965" s="32"/>
      <c r="F965" s="25"/>
      <c r="G965" s="23"/>
      <c r="H965" s="23"/>
      <c r="I965" s="23"/>
      <c r="J965" s="23"/>
      <c r="K965" s="23"/>
      <c r="L965" s="27" t="str">
        <f aca="false">IF($B965="","",IFERROR(INDEX(Properties!$D$5:$D$104,MATCH($B965,Properties!$A$5:$A$104,0)),"-"))</f>
        <v/>
      </c>
      <c r="M965" s="28" t="str">
        <f aca="false">IF(OR($A965="",N($E965)=0),"",$F965/$E965)</f>
        <v/>
      </c>
      <c r="N965" s="28" t="str">
        <f aca="false">IF($A965="","",IF($H965="Y",$F965*(1+Settings!$B$3),0))</f>
        <v/>
      </c>
      <c r="O965" s="27" t="str">
        <f aca="false">IF($A965="","",IF(AND($H965="Y",$G965&lt;&gt;"Restock",N($M965)&gt;Settings!$B$4,$I965&lt;&gt;"Y"),"Get host OK",IF(AND($H965="Y",$F965&gt;Settings!$B$5,$I965&lt;&gt;"Y"),"Host should pay upfront",IF($J965&lt;&gt;"Y","Save receipt","OK"))))</f>
        <v/>
      </c>
      <c r="P965" s="29" t="str">
        <f aca="false">IF($A965="","",DATE(YEAR($A965),MONTH($A965),1))</f>
        <v/>
      </c>
      <c r="Q965" s="31" t="str">
        <f aca="false">IF($A965="","",IF(AND($L965='Invoice Builder'!$C$5,$P965='Invoice Builder'!$C$6,N($N965)&gt;0),COUNTIFS($L$5:$L965,'Invoice Builder'!$C$5,$P$5:$P965,'Invoice Builder'!$C$6,$N$5:$N965,"&gt;0"),""))</f>
        <v/>
      </c>
      <c r="R965" s="27" t="str">
        <f aca="false">IF($A965="","",IF($A965&gt;=DATE(YEAR($A965),4,6),YEAR($A965)&amp;"/"&amp;RIGHT(YEAR($A965)+1,2),YEAR($A965)-1&amp;"/"&amp;RIGHT(YEAR($A965),2)))</f>
        <v/>
      </c>
    </row>
    <row r="966" customFormat="false" ht="15" hidden="false" customHeight="false" outlineLevel="0" collapsed="false">
      <c r="A966" s="22"/>
      <c r="B966" s="23"/>
      <c r="C966" s="23"/>
      <c r="D966" s="23"/>
      <c r="E966" s="32"/>
      <c r="F966" s="25"/>
      <c r="G966" s="23"/>
      <c r="H966" s="23"/>
      <c r="I966" s="23"/>
      <c r="J966" s="23"/>
      <c r="K966" s="23"/>
      <c r="L966" s="27" t="str">
        <f aca="false">IF($B966="","",IFERROR(INDEX(Properties!$D$5:$D$104,MATCH($B966,Properties!$A$5:$A$104,0)),"-"))</f>
        <v/>
      </c>
      <c r="M966" s="28" t="str">
        <f aca="false">IF(OR($A966="",N($E966)=0),"",$F966/$E966)</f>
        <v/>
      </c>
      <c r="N966" s="28" t="str">
        <f aca="false">IF($A966="","",IF($H966="Y",$F966*(1+Settings!$B$3),0))</f>
        <v/>
      </c>
      <c r="O966" s="27" t="str">
        <f aca="false">IF($A966="","",IF(AND($H966="Y",$G966&lt;&gt;"Restock",N($M966)&gt;Settings!$B$4,$I966&lt;&gt;"Y"),"Get host OK",IF(AND($H966="Y",$F966&gt;Settings!$B$5,$I966&lt;&gt;"Y"),"Host should pay upfront",IF($J966&lt;&gt;"Y","Save receipt","OK"))))</f>
        <v/>
      </c>
      <c r="P966" s="29" t="str">
        <f aca="false">IF($A966="","",DATE(YEAR($A966),MONTH($A966),1))</f>
        <v/>
      </c>
      <c r="Q966" s="31" t="str">
        <f aca="false">IF($A966="","",IF(AND($L966='Invoice Builder'!$C$5,$P966='Invoice Builder'!$C$6,N($N966)&gt;0),COUNTIFS($L$5:$L966,'Invoice Builder'!$C$5,$P$5:$P966,'Invoice Builder'!$C$6,$N$5:$N966,"&gt;0"),""))</f>
        <v/>
      </c>
      <c r="R966" s="27" t="str">
        <f aca="false">IF($A966="","",IF($A966&gt;=DATE(YEAR($A966),4,6),YEAR($A966)&amp;"/"&amp;RIGHT(YEAR($A966)+1,2),YEAR($A966)-1&amp;"/"&amp;RIGHT(YEAR($A966),2)))</f>
        <v/>
      </c>
    </row>
    <row r="967" customFormat="false" ht="15" hidden="false" customHeight="false" outlineLevel="0" collapsed="false">
      <c r="A967" s="22"/>
      <c r="B967" s="23"/>
      <c r="C967" s="23"/>
      <c r="D967" s="23"/>
      <c r="E967" s="32"/>
      <c r="F967" s="25"/>
      <c r="G967" s="23"/>
      <c r="H967" s="23"/>
      <c r="I967" s="23"/>
      <c r="J967" s="23"/>
      <c r="K967" s="23"/>
      <c r="L967" s="27" t="str">
        <f aca="false">IF($B967="","",IFERROR(INDEX(Properties!$D$5:$D$104,MATCH($B967,Properties!$A$5:$A$104,0)),"-"))</f>
        <v/>
      </c>
      <c r="M967" s="28" t="str">
        <f aca="false">IF(OR($A967="",N($E967)=0),"",$F967/$E967)</f>
        <v/>
      </c>
      <c r="N967" s="28" t="str">
        <f aca="false">IF($A967="","",IF($H967="Y",$F967*(1+Settings!$B$3),0))</f>
        <v/>
      </c>
      <c r="O967" s="27" t="str">
        <f aca="false">IF($A967="","",IF(AND($H967="Y",$G967&lt;&gt;"Restock",N($M967)&gt;Settings!$B$4,$I967&lt;&gt;"Y"),"Get host OK",IF(AND($H967="Y",$F967&gt;Settings!$B$5,$I967&lt;&gt;"Y"),"Host should pay upfront",IF($J967&lt;&gt;"Y","Save receipt","OK"))))</f>
        <v/>
      </c>
      <c r="P967" s="29" t="str">
        <f aca="false">IF($A967="","",DATE(YEAR($A967),MONTH($A967),1))</f>
        <v/>
      </c>
      <c r="Q967" s="31" t="str">
        <f aca="false">IF($A967="","",IF(AND($L967='Invoice Builder'!$C$5,$P967='Invoice Builder'!$C$6,N($N967)&gt;0),COUNTIFS($L$5:$L967,'Invoice Builder'!$C$5,$P$5:$P967,'Invoice Builder'!$C$6,$N$5:$N967,"&gt;0"),""))</f>
        <v/>
      </c>
      <c r="R967" s="27" t="str">
        <f aca="false">IF($A967="","",IF($A967&gt;=DATE(YEAR($A967),4,6),YEAR($A967)&amp;"/"&amp;RIGHT(YEAR($A967)+1,2),YEAR($A967)-1&amp;"/"&amp;RIGHT(YEAR($A967),2)))</f>
        <v/>
      </c>
    </row>
    <row r="968" customFormat="false" ht="15" hidden="false" customHeight="false" outlineLevel="0" collapsed="false">
      <c r="A968" s="22"/>
      <c r="B968" s="23"/>
      <c r="C968" s="23"/>
      <c r="D968" s="23"/>
      <c r="E968" s="32"/>
      <c r="F968" s="25"/>
      <c r="G968" s="23"/>
      <c r="H968" s="23"/>
      <c r="I968" s="23"/>
      <c r="J968" s="23"/>
      <c r="K968" s="23"/>
      <c r="L968" s="27" t="str">
        <f aca="false">IF($B968="","",IFERROR(INDEX(Properties!$D$5:$D$104,MATCH($B968,Properties!$A$5:$A$104,0)),"-"))</f>
        <v/>
      </c>
      <c r="M968" s="28" t="str">
        <f aca="false">IF(OR($A968="",N($E968)=0),"",$F968/$E968)</f>
        <v/>
      </c>
      <c r="N968" s="28" t="str">
        <f aca="false">IF($A968="","",IF($H968="Y",$F968*(1+Settings!$B$3),0))</f>
        <v/>
      </c>
      <c r="O968" s="27" t="str">
        <f aca="false">IF($A968="","",IF(AND($H968="Y",$G968&lt;&gt;"Restock",N($M968)&gt;Settings!$B$4,$I968&lt;&gt;"Y"),"Get host OK",IF(AND($H968="Y",$F968&gt;Settings!$B$5,$I968&lt;&gt;"Y"),"Host should pay upfront",IF($J968&lt;&gt;"Y","Save receipt","OK"))))</f>
        <v/>
      </c>
      <c r="P968" s="29" t="str">
        <f aca="false">IF($A968="","",DATE(YEAR($A968),MONTH($A968),1))</f>
        <v/>
      </c>
      <c r="Q968" s="31" t="str">
        <f aca="false">IF($A968="","",IF(AND($L968='Invoice Builder'!$C$5,$P968='Invoice Builder'!$C$6,N($N968)&gt;0),COUNTIFS($L$5:$L968,'Invoice Builder'!$C$5,$P$5:$P968,'Invoice Builder'!$C$6,$N$5:$N968,"&gt;0"),""))</f>
        <v/>
      </c>
      <c r="R968" s="27" t="str">
        <f aca="false">IF($A968="","",IF($A968&gt;=DATE(YEAR($A968),4,6),YEAR($A968)&amp;"/"&amp;RIGHT(YEAR($A968)+1,2),YEAR($A968)-1&amp;"/"&amp;RIGHT(YEAR($A968),2)))</f>
        <v/>
      </c>
    </row>
    <row r="969" customFormat="false" ht="15" hidden="false" customHeight="false" outlineLevel="0" collapsed="false">
      <c r="A969" s="22"/>
      <c r="B969" s="23"/>
      <c r="C969" s="23"/>
      <c r="D969" s="23"/>
      <c r="E969" s="32"/>
      <c r="F969" s="25"/>
      <c r="G969" s="23"/>
      <c r="H969" s="23"/>
      <c r="I969" s="23"/>
      <c r="J969" s="23"/>
      <c r="K969" s="23"/>
      <c r="L969" s="27" t="str">
        <f aca="false">IF($B969="","",IFERROR(INDEX(Properties!$D$5:$D$104,MATCH($B969,Properties!$A$5:$A$104,0)),"-"))</f>
        <v/>
      </c>
      <c r="M969" s="28" t="str">
        <f aca="false">IF(OR($A969="",N($E969)=0),"",$F969/$E969)</f>
        <v/>
      </c>
      <c r="N969" s="28" t="str">
        <f aca="false">IF($A969="","",IF($H969="Y",$F969*(1+Settings!$B$3),0))</f>
        <v/>
      </c>
      <c r="O969" s="27" t="str">
        <f aca="false">IF($A969="","",IF(AND($H969="Y",$G969&lt;&gt;"Restock",N($M969)&gt;Settings!$B$4,$I969&lt;&gt;"Y"),"Get host OK",IF(AND($H969="Y",$F969&gt;Settings!$B$5,$I969&lt;&gt;"Y"),"Host should pay upfront",IF($J969&lt;&gt;"Y","Save receipt","OK"))))</f>
        <v/>
      </c>
      <c r="P969" s="29" t="str">
        <f aca="false">IF($A969="","",DATE(YEAR($A969),MONTH($A969),1))</f>
        <v/>
      </c>
      <c r="Q969" s="31" t="str">
        <f aca="false">IF($A969="","",IF(AND($L969='Invoice Builder'!$C$5,$P969='Invoice Builder'!$C$6,N($N969)&gt;0),COUNTIFS($L$5:$L969,'Invoice Builder'!$C$5,$P$5:$P969,'Invoice Builder'!$C$6,$N$5:$N969,"&gt;0"),""))</f>
        <v/>
      </c>
      <c r="R969" s="27" t="str">
        <f aca="false">IF($A969="","",IF($A969&gt;=DATE(YEAR($A969),4,6),YEAR($A969)&amp;"/"&amp;RIGHT(YEAR($A969)+1,2),YEAR($A969)-1&amp;"/"&amp;RIGHT(YEAR($A969),2)))</f>
        <v/>
      </c>
    </row>
    <row r="970" customFormat="false" ht="15" hidden="false" customHeight="false" outlineLevel="0" collapsed="false">
      <c r="A970" s="22"/>
      <c r="B970" s="23"/>
      <c r="C970" s="23"/>
      <c r="D970" s="23"/>
      <c r="E970" s="32"/>
      <c r="F970" s="25"/>
      <c r="G970" s="23"/>
      <c r="H970" s="23"/>
      <c r="I970" s="23"/>
      <c r="J970" s="23"/>
      <c r="K970" s="23"/>
      <c r="L970" s="27" t="str">
        <f aca="false">IF($B970="","",IFERROR(INDEX(Properties!$D$5:$D$104,MATCH($B970,Properties!$A$5:$A$104,0)),"-"))</f>
        <v/>
      </c>
      <c r="M970" s="28" t="str">
        <f aca="false">IF(OR($A970="",N($E970)=0),"",$F970/$E970)</f>
        <v/>
      </c>
      <c r="N970" s="28" t="str">
        <f aca="false">IF($A970="","",IF($H970="Y",$F970*(1+Settings!$B$3),0))</f>
        <v/>
      </c>
      <c r="O970" s="27" t="str">
        <f aca="false">IF($A970="","",IF(AND($H970="Y",$G970&lt;&gt;"Restock",N($M970)&gt;Settings!$B$4,$I970&lt;&gt;"Y"),"Get host OK",IF(AND($H970="Y",$F970&gt;Settings!$B$5,$I970&lt;&gt;"Y"),"Host should pay upfront",IF($J970&lt;&gt;"Y","Save receipt","OK"))))</f>
        <v/>
      </c>
      <c r="P970" s="29" t="str">
        <f aca="false">IF($A970="","",DATE(YEAR($A970),MONTH($A970),1))</f>
        <v/>
      </c>
      <c r="Q970" s="31" t="str">
        <f aca="false">IF($A970="","",IF(AND($L970='Invoice Builder'!$C$5,$P970='Invoice Builder'!$C$6,N($N970)&gt;0),COUNTIFS($L$5:$L970,'Invoice Builder'!$C$5,$P$5:$P970,'Invoice Builder'!$C$6,$N$5:$N970,"&gt;0"),""))</f>
        <v/>
      </c>
      <c r="R970" s="27" t="str">
        <f aca="false">IF($A970="","",IF($A970&gt;=DATE(YEAR($A970),4,6),YEAR($A970)&amp;"/"&amp;RIGHT(YEAR($A970)+1,2),YEAR($A970)-1&amp;"/"&amp;RIGHT(YEAR($A970),2)))</f>
        <v/>
      </c>
    </row>
    <row r="971" customFormat="false" ht="15" hidden="false" customHeight="false" outlineLevel="0" collapsed="false">
      <c r="A971" s="22"/>
      <c r="B971" s="23"/>
      <c r="C971" s="23"/>
      <c r="D971" s="23"/>
      <c r="E971" s="32"/>
      <c r="F971" s="25"/>
      <c r="G971" s="23"/>
      <c r="H971" s="23"/>
      <c r="I971" s="23"/>
      <c r="J971" s="23"/>
      <c r="K971" s="23"/>
      <c r="L971" s="27" t="str">
        <f aca="false">IF($B971="","",IFERROR(INDEX(Properties!$D$5:$D$104,MATCH($B971,Properties!$A$5:$A$104,0)),"-"))</f>
        <v/>
      </c>
      <c r="M971" s="28" t="str">
        <f aca="false">IF(OR($A971="",N($E971)=0),"",$F971/$E971)</f>
        <v/>
      </c>
      <c r="N971" s="28" t="str">
        <f aca="false">IF($A971="","",IF($H971="Y",$F971*(1+Settings!$B$3),0))</f>
        <v/>
      </c>
      <c r="O971" s="27" t="str">
        <f aca="false">IF($A971="","",IF(AND($H971="Y",$G971&lt;&gt;"Restock",N($M971)&gt;Settings!$B$4,$I971&lt;&gt;"Y"),"Get host OK",IF(AND($H971="Y",$F971&gt;Settings!$B$5,$I971&lt;&gt;"Y"),"Host should pay upfront",IF($J971&lt;&gt;"Y","Save receipt","OK"))))</f>
        <v/>
      </c>
      <c r="P971" s="29" t="str">
        <f aca="false">IF($A971="","",DATE(YEAR($A971),MONTH($A971),1))</f>
        <v/>
      </c>
      <c r="Q971" s="31" t="str">
        <f aca="false">IF($A971="","",IF(AND($L971='Invoice Builder'!$C$5,$P971='Invoice Builder'!$C$6,N($N971)&gt;0),COUNTIFS($L$5:$L971,'Invoice Builder'!$C$5,$P$5:$P971,'Invoice Builder'!$C$6,$N$5:$N971,"&gt;0"),""))</f>
        <v/>
      </c>
      <c r="R971" s="27" t="str">
        <f aca="false">IF($A971="","",IF($A971&gt;=DATE(YEAR($A971),4,6),YEAR($A971)&amp;"/"&amp;RIGHT(YEAR($A971)+1,2),YEAR($A971)-1&amp;"/"&amp;RIGHT(YEAR($A971),2)))</f>
        <v/>
      </c>
    </row>
    <row r="972" customFormat="false" ht="15" hidden="false" customHeight="false" outlineLevel="0" collapsed="false">
      <c r="A972" s="22"/>
      <c r="B972" s="23"/>
      <c r="C972" s="23"/>
      <c r="D972" s="23"/>
      <c r="E972" s="32"/>
      <c r="F972" s="25"/>
      <c r="G972" s="23"/>
      <c r="H972" s="23"/>
      <c r="I972" s="23"/>
      <c r="J972" s="23"/>
      <c r="K972" s="23"/>
      <c r="L972" s="27" t="str">
        <f aca="false">IF($B972="","",IFERROR(INDEX(Properties!$D$5:$D$104,MATCH($B972,Properties!$A$5:$A$104,0)),"-"))</f>
        <v/>
      </c>
      <c r="M972" s="28" t="str">
        <f aca="false">IF(OR($A972="",N($E972)=0),"",$F972/$E972)</f>
        <v/>
      </c>
      <c r="N972" s="28" t="str">
        <f aca="false">IF($A972="","",IF($H972="Y",$F972*(1+Settings!$B$3),0))</f>
        <v/>
      </c>
      <c r="O972" s="27" t="str">
        <f aca="false">IF($A972="","",IF(AND($H972="Y",$G972&lt;&gt;"Restock",N($M972)&gt;Settings!$B$4,$I972&lt;&gt;"Y"),"Get host OK",IF(AND($H972="Y",$F972&gt;Settings!$B$5,$I972&lt;&gt;"Y"),"Host should pay upfront",IF($J972&lt;&gt;"Y","Save receipt","OK"))))</f>
        <v/>
      </c>
      <c r="P972" s="29" t="str">
        <f aca="false">IF($A972="","",DATE(YEAR($A972),MONTH($A972),1))</f>
        <v/>
      </c>
      <c r="Q972" s="31" t="str">
        <f aca="false">IF($A972="","",IF(AND($L972='Invoice Builder'!$C$5,$P972='Invoice Builder'!$C$6,N($N972)&gt;0),COUNTIFS($L$5:$L972,'Invoice Builder'!$C$5,$P$5:$P972,'Invoice Builder'!$C$6,$N$5:$N972,"&gt;0"),""))</f>
        <v/>
      </c>
      <c r="R972" s="27" t="str">
        <f aca="false">IF($A972="","",IF($A972&gt;=DATE(YEAR($A972),4,6),YEAR($A972)&amp;"/"&amp;RIGHT(YEAR($A972)+1,2),YEAR($A972)-1&amp;"/"&amp;RIGHT(YEAR($A972),2)))</f>
        <v/>
      </c>
    </row>
    <row r="973" customFormat="false" ht="15" hidden="false" customHeight="false" outlineLevel="0" collapsed="false">
      <c r="A973" s="22"/>
      <c r="B973" s="23"/>
      <c r="C973" s="23"/>
      <c r="D973" s="23"/>
      <c r="E973" s="32"/>
      <c r="F973" s="25"/>
      <c r="G973" s="23"/>
      <c r="H973" s="23"/>
      <c r="I973" s="23"/>
      <c r="J973" s="23"/>
      <c r="K973" s="23"/>
      <c r="L973" s="27" t="str">
        <f aca="false">IF($B973="","",IFERROR(INDEX(Properties!$D$5:$D$104,MATCH($B973,Properties!$A$5:$A$104,0)),"-"))</f>
        <v/>
      </c>
      <c r="M973" s="28" t="str">
        <f aca="false">IF(OR($A973="",N($E973)=0),"",$F973/$E973)</f>
        <v/>
      </c>
      <c r="N973" s="28" t="str">
        <f aca="false">IF($A973="","",IF($H973="Y",$F973*(1+Settings!$B$3),0))</f>
        <v/>
      </c>
      <c r="O973" s="27" t="str">
        <f aca="false">IF($A973="","",IF(AND($H973="Y",$G973&lt;&gt;"Restock",N($M973)&gt;Settings!$B$4,$I973&lt;&gt;"Y"),"Get host OK",IF(AND($H973="Y",$F973&gt;Settings!$B$5,$I973&lt;&gt;"Y"),"Host should pay upfront",IF($J973&lt;&gt;"Y","Save receipt","OK"))))</f>
        <v/>
      </c>
      <c r="P973" s="29" t="str">
        <f aca="false">IF($A973="","",DATE(YEAR($A973),MONTH($A973),1))</f>
        <v/>
      </c>
      <c r="Q973" s="31" t="str">
        <f aca="false">IF($A973="","",IF(AND($L973='Invoice Builder'!$C$5,$P973='Invoice Builder'!$C$6,N($N973)&gt;0),COUNTIFS($L$5:$L973,'Invoice Builder'!$C$5,$P$5:$P973,'Invoice Builder'!$C$6,$N$5:$N973,"&gt;0"),""))</f>
        <v/>
      </c>
      <c r="R973" s="27" t="str">
        <f aca="false">IF($A973="","",IF($A973&gt;=DATE(YEAR($A973),4,6),YEAR($A973)&amp;"/"&amp;RIGHT(YEAR($A973)+1,2),YEAR($A973)-1&amp;"/"&amp;RIGHT(YEAR($A973),2)))</f>
        <v/>
      </c>
    </row>
    <row r="974" customFormat="false" ht="15" hidden="false" customHeight="false" outlineLevel="0" collapsed="false">
      <c r="A974" s="22"/>
      <c r="B974" s="23"/>
      <c r="C974" s="23"/>
      <c r="D974" s="23"/>
      <c r="E974" s="32"/>
      <c r="F974" s="25"/>
      <c r="G974" s="23"/>
      <c r="H974" s="23"/>
      <c r="I974" s="23"/>
      <c r="J974" s="23"/>
      <c r="K974" s="23"/>
      <c r="L974" s="27" t="str">
        <f aca="false">IF($B974="","",IFERROR(INDEX(Properties!$D$5:$D$104,MATCH($B974,Properties!$A$5:$A$104,0)),"-"))</f>
        <v/>
      </c>
      <c r="M974" s="28" t="str">
        <f aca="false">IF(OR($A974="",N($E974)=0),"",$F974/$E974)</f>
        <v/>
      </c>
      <c r="N974" s="28" t="str">
        <f aca="false">IF($A974="","",IF($H974="Y",$F974*(1+Settings!$B$3),0))</f>
        <v/>
      </c>
      <c r="O974" s="27" t="str">
        <f aca="false">IF($A974="","",IF(AND($H974="Y",$G974&lt;&gt;"Restock",N($M974)&gt;Settings!$B$4,$I974&lt;&gt;"Y"),"Get host OK",IF(AND($H974="Y",$F974&gt;Settings!$B$5,$I974&lt;&gt;"Y"),"Host should pay upfront",IF($J974&lt;&gt;"Y","Save receipt","OK"))))</f>
        <v/>
      </c>
      <c r="P974" s="29" t="str">
        <f aca="false">IF($A974="","",DATE(YEAR($A974),MONTH($A974),1))</f>
        <v/>
      </c>
      <c r="Q974" s="31" t="str">
        <f aca="false">IF($A974="","",IF(AND($L974='Invoice Builder'!$C$5,$P974='Invoice Builder'!$C$6,N($N974)&gt;0),COUNTIFS($L$5:$L974,'Invoice Builder'!$C$5,$P$5:$P974,'Invoice Builder'!$C$6,$N$5:$N974,"&gt;0"),""))</f>
        <v/>
      </c>
      <c r="R974" s="27" t="str">
        <f aca="false">IF($A974="","",IF($A974&gt;=DATE(YEAR($A974),4,6),YEAR($A974)&amp;"/"&amp;RIGHT(YEAR($A974)+1,2),YEAR($A974)-1&amp;"/"&amp;RIGHT(YEAR($A974),2)))</f>
        <v/>
      </c>
    </row>
    <row r="975" customFormat="false" ht="15" hidden="false" customHeight="false" outlineLevel="0" collapsed="false">
      <c r="A975" s="22"/>
      <c r="B975" s="23"/>
      <c r="C975" s="23"/>
      <c r="D975" s="23"/>
      <c r="E975" s="32"/>
      <c r="F975" s="25"/>
      <c r="G975" s="23"/>
      <c r="H975" s="23"/>
      <c r="I975" s="23"/>
      <c r="J975" s="23"/>
      <c r="K975" s="23"/>
      <c r="L975" s="27" t="str">
        <f aca="false">IF($B975="","",IFERROR(INDEX(Properties!$D$5:$D$104,MATCH($B975,Properties!$A$5:$A$104,0)),"-"))</f>
        <v/>
      </c>
      <c r="M975" s="28" t="str">
        <f aca="false">IF(OR($A975="",N($E975)=0),"",$F975/$E975)</f>
        <v/>
      </c>
      <c r="N975" s="28" t="str">
        <f aca="false">IF($A975="","",IF($H975="Y",$F975*(1+Settings!$B$3),0))</f>
        <v/>
      </c>
      <c r="O975" s="27" t="str">
        <f aca="false">IF($A975="","",IF(AND($H975="Y",$G975&lt;&gt;"Restock",N($M975)&gt;Settings!$B$4,$I975&lt;&gt;"Y"),"Get host OK",IF(AND($H975="Y",$F975&gt;Settings!$B$5,$I975&lt;&gt;"Y"),"Host should pay upfront",IF($J975&lt;&gt;"Y","Save receipt","OK"))))</f>
        <v/>
      </c>
      <c r="P975" s="29" t="str">
        <f aca="false">IF($A975="","",DATE(YEAR($A975),MONTH($A975),1))</f>
        <v/>
      </c>
      <c r="Q975" s="31" t="str">
        <f aca="false">IF($A975="","",IF(AND($L975='Invoice Builder'!$C$5,$P975='Invoice Builder'!$C$6,N($N975)&gt;0),COUNTIFS($L$5:$L975,'Invoice Builder'!$C$5,$P$5:$P975,'Invoice Builder'!$C$6,$N$5:$N975,"&gt;0"),""))</f>
        <v/>
      </c>
      <c r="R975" s="27" t="str">
        <f aca="false">IF($A975="","",IF($A975&gt;=DATE(YEAR($A975),4,6),YEAR($A975)&amp;"/"&amp;RIGHT(YEAR($A975)+1,2),YEAR($A975)-1&amp;"/"&amp;RIGHT(YEAR($A975),2)))</f>
        <v/>
      </c>
    </row>
    <row r="976" customFormat="false" ht="15" hidden="false" customHeight="false" outlineLevel="0" collapsed="false">
      <c r="A976" s="22"/>
      <c r="B976" s="23"/>
      <c r="C976" s="23"/>
      <c r="D976" s="23"/>
      <c r="E976" s="32"/>
      <c r="F976" s="25"/>
      <c r="G976" s="23"/>
      <c r="H976" s="23"/>
      <c r="I976" s="23"/>
      <c r="J976" s="23"/>
      <c r="K976" s="23"/>
      <c r="L976" s="27" t="str">
        <f aca="false">IF($B976="","",IFERROR(INDEX(Properties!$D$5:$D$104,MATCH($B976,Properties!$A$5:$A$104,0)),"-"))</f>
        <v/>
      </c>
      <c r="M976" s="28" t="str">
        <f aca="false">IF(OR($A976="",N($E976)=0),"",$F976/$E976)</f>
        <v/>
      </c>
      <c r="N976" s="28" t="str">
        <f aca="false">IF($A976="","",IF($H976="Y",$F976*(1+Settings!$B$3),0))</f>
        <v/>
      </c>
      <c r="O976" s="27" t="str">
        <f aca="false">IF($A976="","",IF(AND($H976="Y",$G976&lt;&gt;"Restock",N($M976)&gt;Settings!$B$4,$I976&lt;&gt;"Y"),"Get host OK",IF(AND($H976="Y",$F976&gt;Settings!$B$5,$I976&lt;&gt;"Y"),"Host should pay upfront",IF($J976&lt;&gt;"Y","Save receipt","OK"))))</f>
        <v/>
      </c>
      <c r="P976" s="29" t="str">
        <f aca="false">IF($A976="","",DATE(YEAR($A976),MONTH($A976),1))</f>
        <v/>
      </c>
      <c r="Q976" s="31" t="str">
        <f aca="false">IF($A976="","",IF(AND($L976='Invoice Builder'!$C$5,$P976='Invoice Builder'!$C$6,N($N976)&gt;0),COUNTIFS($L$5:$L976,'Invoice Builder'!$C$5,$P$5:$P976,'Invoice Builder'!$C$6,$N$5:$N976,"&gt;0"),""))</f>
        <v/>
      </c>
      <c r="R976" s="27" t="str">
        <f aca="false">IF($A976="","",IF($A976&gt;=DATE(YEAR($A976),4,6),YEAR($A976)&amp;"/"&amp;RIGHT(YEAR($A976)+1,2),YEAR($A976)-1&amp;"/"&amp;RIGHT(YEAR($A976),2)))</f>
        <v/>
      </c>
    </row>
    <row r="977" customFormat="false" ht="15" hidden="false" customHeight="false" outlineLevel="0" collapsed="false">
      <c r="A977" s="22"/>
      <c r="B977" s="23"/>
      <c r="C977" s="23"/>
      <c r="D977" s="23"/>
      <c r="E977" s="32"/>
      <c r="F977" s="25"/>
      <c r="G977" s="23"/>
      <c r="H977" s="23"/>
      <c r="I977" s="23"/>
      <c r="J977" s="23"/>
      <c r="K977" s="23"/>
      <c r="L977" s="27" t="str">
        <f aca="false">IF($B977="","",IFERROR(INDEX(Properties!$D$5:$D$104,MATCH($B977,Properties!$A$5:$A$104,0)),"-"))</f>
        <v/>
      </c>
      <c r="M977" s="28" t="str">
        <f aca="false">IF(OR($A977="",N($E977)=0),"",$F977/$E977)</f>
        <v/>
      </c>
      <c r="N977" s="28" t="str">
        <f aca="false">IF($A977="","",IF($H977="Y",$F977*(1+Settings!$B$3),0))</f>
        <v/>
      </c>
      <c r="O977" s="27" t="str">
        <f aca="false">IF($A977="","",IF(AND($H977="Y",$G977&lt;&gt;"Restock",N($M977)&gt;Settings!$B$4,$I977&lt;&gt;"Y"),"Get host OK",IF(AND($H977="Y",$F977&gt;Settings!$B$5,$I977&lt;&gt;"Y"),"Host should pay upfront",IF($J977&lt;&gt;"Y","Save receipt","OK"))))</f>
        <v/>
      </c>
      <c r="P977" s="29" t="str">
        <f aca="false">IF($A977="","",DATE(YEAR($A977),MONTH($A977),1))</f>
        <v/>
      </c>
      <c r="Q977" s="31" t="str">
        <f aca="false">IF($A977="","",IF(AND($L977='Invoice Builder'!$C$5,$P977='Invoice Builder'!$C$6,N($N977)&gt;0),COUNTIFS($L$5:$L977,'Invoice Builder'!$C$5,$P$5:$P977,'Invoice Builder'!$C$6,$N$5:$N977,"&gt;0"),""))</f>
        <v/>
      </c>
      <c r="R977" s="27" t="str">
        <f aca="false">IF($A977="","",IF($A977&gt;=DATE(YEAR($A977),4,6),YEAR($A977)&amp;"/"&amp;RIGHT(YEAR($A977)+1,2),YEAR($A977)-1&amp;"/"&amp;RIGHT(YEAR($A977),2)))</f>
        <v/>
      </c>
    </row>
    <row r="978" customFormat="false" ht="15" hidden="false" customHeight="false" outlineLevel="0" collapsed="false">
      <c r="A978" s="22"/>
      <c r="B978" s="23"/>
      <c r="C978" s="23"/>
      <c r="D978" s="23"/>
      <c r="E978" s="32"/>
      <c r="F978" s="25"/>
      <c r="G978" s="23"/>
      <c r="H978" s="23"/>
      <c r="I978" s="23"/>
      <c r="J978" s="23"/>
      <c r="K978" s="23"/>
      <c r="L978" s="27" t="str">
        <f aca="false">IF($B978="","",IFERROR(INDEX(Properties!$D$5:$D$104,MATCH($B978,Properties!$A$5:$A$104,0)),"-"))</f>
        <v/>
      </c>
      <c r="M978" s="28" t="str">
        <f aca="false">IF(OR($A978="",N($E978)=0),"",$F978/$E978)</f>
        <v/>
      </c>
      <c r="N978" s="28" t="str">
        <f aca="false">IF($A978="","",IF($H978="Y",$F978*(1+Settings!$B$3),0))</f>
        <v/>
      </c>
      <c r="O978" s="27" t="str">
        <f aca="false">IF($A978="","",IF(AND($H978="Y",$G978&lt;&gt;"Restock",N($M978)&gt;Settings!$B$4,$I978&lt;&gt;"Y"),"Get host OK",IF(AND($H978="Y",$F978&gt;Settings!$B$5,$I978&lt;&gt;"Y"),"Host should pay upfront",IF($J978&lt;&gt;"Y","Save receipt","OK"))))</f>
        <v/>
      </c>
      <c r="P978" s="29" t="str">
        <f aca="false">IF($A978="","",DATE(YEAR($A978),MONTH($A978),1))</f>
        <v/>
      </c>
      <c r="Q978" s="31" t="str">
        <f aca="false">IF($A978="","",IF(AND($L978='Invoice Builder'!$C$5,$P978='Invoice Builder'!$C$6,N($N978)&gt;0),COUNTIFS($L$5:$L978,'Invoice Builder'!$C$5,$P$5:$P978,'Invoice Builder'!$C$6,$N$5:$N978,"&gt;0"),""))</f>
        <v/>
      </c>
      <c r="R978" s="27" t="str">
        <f aca="false">IF($A978="","",IF($A978&gt;=DATE(YEAR($A978),4,6),YEAR($A978)&amp;"/"&amp;RIGHT(YEAR($A978)+1,2),YEAR($A978)-1&amp;"/"&amp;RIGHT(YEAR($A978),2)))</f>
        <v/>
      </c>
    </row>
    <row r="979" customFormat="false" ht="15" hidden="false" customHeight="false" outlineLevel="0" collapsed="false">
      <c r="A979" s="22"/>
      <c r="B979" s="23"/>
      <c r="C979" s="23"/>
      <c r="D979" s="23"/>
      <c r="E979" s="32"/>
      <c r="F979" s="25"/>
      <c r="G979" s="23"/>
      <c r="H979" s="23"/>
      <c r="I979" s="23"/>
      <c r="J979" s="23"/>
      <c r="K979" s="23"/>
      <c r="L979" s="27" t="str">
        <f aca="false">IF($B979="","",IFERROR(INDEX(Properties!$D$5:$D$104,MATCH($B979,Properties!$A$5:$A$104,0)),"-"))</f>
        <v/>
      </c>
      <c r="M979" s="28" t="str">
        <f aca="false">IF(OR($A979="",N($E979)=0),"",$F979/$E979)</f>
        <v/>
      </c>
      <c r="N979" s="28" t="str">
        <f aca="false">IF($A979="","",IF($H979="Y",$F979*(1+Settings!$B$3),0))</f>
        <v/>
      </c>
      <c r="O979" s="27" t="str">
        <f aca="false">IF($A979="","",IF(AND($H979="Y",$G979&lt;&gt;"Restock",N($M979)&gt;Settings!$B$4,$I979&lt;&gt;"Y"),"Get host OK",IF(AND($H979="Y",$F979&gt;Settings!$B$5,$I979&lt;&gt;"Y"),"Host should pay upfront",IF($J979&lt;&gt;"Y","Save receipt","OK"))))</f>
        <v/>
      </c>
      <c r="P979" s="29" t="str">
        <f aca="false">IF($A979="","",DATE(YEAR($A979),MONTH($A979),1))</f>
        <v/>
      </c>
      <c r="Q979" s="31" t="str">
        <f aca="false">IF($A979="","",IF(AND($L979='Invoice Builder'!$C$5,$P979='Invoice Builder'!$C$6,N($N979)&gt;0),COUNTIFS($L$5:$L979,'Invoice Builder'!$C$5,$P$5:$P979,'Invoice Builder'!$C$6,$N$5:$N979,"&gt;0"),""))</f>
        <v/>
      </c>
      <c r="R979" s="27" t="str">
        <f aca="false">IF($A979="","",IF($A979&gt;=DATE(YEAR($A979),4,6),YEAR($A979)&amp;"/"&amp;RIGHT(YEAR($A979)+1,2),YEAR($A979)-1&amp;"/"&amp;RIGHT(YEAR($A979),2)))</f>
        <v/>
      </c>
    </row>
    <row r="980" customFormat="false" ht="15" hidden="false" customHeight="false" outlineLevel="0" collapsed="false">
      <c r="A980" s="22"/>
      <c r="B980" s="23"/>
      <c r="C980" s="23"/>
      <c r="D980" s="23"/>
      <c r="E980" s="32"/>
      <c r="F980" s="25"/>
      <c r="G980" s="23"/>
      <c r="H980" s="23"/>
      <c r="I980" s="23"/>
      <c r="J980" s="23"/>
      <c r="K980" s="23"/>
      <c r="L980" s="27" t="str">
        <f aca="false">IF($B980="","",IFERROR(INDEX(Properties!$D$5:$D$104,MATCH($B980,Properties!$A$5:$A$104,0)),"-"))</f>
        <v/>
      </c>
      <c r="M980" s="28" t="str">
        <f aca="false">IF(OR($A980="",N($E980)=0),"",$F980/$E980)</f>
        <v/>
      </c>
      <c r="N980" s="28" t="str">
        <f aca="false">IF($A980="","",IF($H980="Y",$F980*(1+Settings!$B$3),0))</f>
        <v/>
      </c>
      <c r="O980" s="27" t="str">
        <f aca="false">IF($A980="","",IF(AND($H980="Y",$G980&lt;&gt;"Restock",N($M980)&gt;Settings!$B$4,$I980&lt;&gt;"Y"),"Get host OK",IF(AND($H980="Y",$F980&gt;Settings!$B$5,$I980&lt;&gt;"Y"),"Host should pay upfront",IF($J980&lt;&gt;"Y","Save receipt","OK"))))</f>
        <v/>
      </c>
      <c r="P980" s="29" t="str">
        <f aca="false">IF($A980="","",DATE(YEAR($A980),MONTH($A980),1))</f>
        <v/>
      </c>
      <c r="Q980" s="31" t="str">
        <f aca="false">IF($A980="","",IF(AND($L980='Invoice Builder'!$C$5,$P980='Invoice Builder'!$C$6,N($N980)&gt;0),COUNTIFS($L$5:$L980,'Invoice Builder'!$C$5,$P$5:$P980,'Invoice Builder'!$C$6,$N$5:$N980,"&gt;0"),""))</f>
        <v/>
      </c>
      <c r="R980" s="27" t="str">
        <f aca="false">IF($A980="","",IF($A980&gt;=DATE(YEAR($A980),4,6),YEAR($A980)&amp;"/"&amp;RIGHT(YEAR($A980)+1,2),YEAR($A980)-1&amp;"/"&amp;RIGHT(YEAR($A980),2)))</f>
        <v/>
      </c>
    </row>
    <row r="981" customFormat="false" ht="15" hidden="false" customHeight="false" outlineLevel="0" collapsed="false">
      <c r="A981" s="22"/>
      <c r="B981" s="23"/>
      <c r="C981" s="23"/>
      <c r="D981" s="23"/>
      <c r="E981" s="32"/>
      <c r="F981" s="25"/>
      <c r="G981" s="23"/>
      <c r="H981" s="23"/>
      <c r="I981" s="23"/>
      <c r="J981" s="23"/>
      <c r="K981" s="23"/>
      <c r="L981" s="27" t="str">
        <f aca="false">IF($B981="","",IFERROR(INDEX(Properties!$D$5:$D$104,MATCH($B981,Properties!$A$5:$A$104,0)),"-"))</f>
        <v/>
      </c>
      <c r="M981" s="28" t="str">
        <f aca="false">IF(OR($A981="",N($E981)=0),"",$F981/$E981)</f>
        <v/>
      </c>
      <c r="N981" s="28" t="str">
        <f aca="false">IF($A981="","",IF($H981="Y",$F981*(1+Settings!$B$3),0))</f>
        <v/>
      </c>
      <c r="O981" s="27" t="str">
        <f aca="false">IF($A981="","",IF(AND($H981="Y",$G981&lt;&gt;"Restock",N($M981)&gt;Settings!$B$4,$I981&lt;&gt;"Y"),"Get host OK",IF(AND($H981="Y",$F981&gt;Settings!$B$5,$I981&lt;&gt;"Y"),"Host should pay upfront",IF($J981&lt;&gt;"Y","Save receipt","OK"))))</f>
        <v/>
      </c>
      <c r="P981" s="29" t="str">
        <f aca="false">IF($A981="","",DATE(YEAR($A981),MONTH($A981),1))</f>
        <v/>
      </c>
      <c r="Q981" s="31" t="str">
        <f aca="false">IF($A981="","",IF(AND($L981='Invoice Builder'!$C$5,$P981='Invoice Builder'!$C$6,N($N981)&gt;0),COUNTIFS($L$5:$L981,'Invoice Builder'!$C$5,$P$5:$P981,'Invoice Builder'!$C$6,$N$5:$N981,"&gt;0"),""))</f>
        <v/>
      </c>
      <c r="R981" s="27" t="str">
        <f aca="false">IF($A981="","",IF($A981&gt;=DATE(YEAR($A981),4,6),YEAR($A981)&amp;"/"&amp;RIGHT(YEAR($A981)+1,2),YEAR($A981)-1&amp;"/"&amp;RIGHT(YEAR($A981),2)))</f>
        <v/>
      </c>
    </row>
    <row r="982" customFormat="false" ht="15" hidden="false" customHeight="false" outlineLevel="0" collapsed="false">
      <c r="A982" s="22"/>
      <c r="B982" s="23"/>
      <c r="C982" s="23"/>
      <c r="D982" s="23"/>
      <c r="E982" s="32"/>
      <c r="F982" s="25"/>
      <c r="G982" s="23"/>
      <c r="H982" s="23"/>
      <c r="I982" s="23"/>
      <c r="J982" s="23"/>
      <c r="K982" s="23"/>
      <c r="L982" s="27" t="str">
        <f aca="false">IF($B982="","",IFERROR(INDEX(Properties!$D$5:$D$104,MATCH($B982,Properties!$A$5:$A$104,0)),"-"))</f>
        <v/>
      </c>
      <c r="M982" s="28" t="str">
        <f aca="false">IF(OR($A982="",N($E982)=0),"",$F982/$E982)</f>
        <v/>
      </c>
      <c r="N982" s="28" t="str">
        <f aca="false">IF($A982="","",IF($H982="Y",$F982*(1+Settings!$B$3),0))</f>
        <v/>
      </c>
      <c r="O982" s="27" t="str">
        <f aca="false">IF($A982="","",IF(AND($H982="Y",$G982&lt;&gt;"Restock",N($M982)&gt;Settings!$B$4,$I982&lt;&gt;"Y"),"Get host OK",IF(AND($H982="Y",$F982&gt;Settings!$B$5,$I982&lt;&gt;"Y"),"Host should pay upfront",IF($J982&lt;&gt;"Y","Save receipt","OK"))))</f>
        <v/>
      </c>
      <c r="P982" s="29" t="str">
        <f aca="false">IF($A982="","",DATE(YEAR($A982),MONTH($A982),1))</f>
        <v/>
      </c>
      <c r="Q982" s="31" t="str">
        <f aca="false">IF($A982="","",IF(AND($L982='Invoice Builder'!$C$5,$P982='Invoice Builder'!$C$6,N($N982)&gt;0),COUNTIFS($L$5:$L982,'Invoice Builder'!$C$5,$P$5:$P982,'Invoice Builder'!$C$6,$N$5:$N982,"&gt;0"),""))</f>
        <v/>
      </c>
      <c r="R982" s="27" t="str">
        <f aca="false">IF($A982="","",IF($A982&gt;=DATE(YEAR($A982),4,6),YEAR($A982)&amp;"/"&amp;RIGHT(YEAR($A982)+1,2),YEAR($A982)-1&amp;"/"&amp;RIGHT(YEAR($A982),2)))</f>
        <v/>
      </c>
    </row>
    <row r="983" customFormat="false" ht="15" hidden="false" customHeight="false" outlineLevel="0" collapsed="false">
      <c r="A983" s="22"/>
      <c r="B983" s="23"/>
      <c r="C983" s="23"/>
      <c r="D983" s="23"/>
      <c r="E983" s="32"/>
      <c r="F983" s="25"/>
      <c r="G983" s="23"/>
      <c r="H983" s="23"/>
      <c r="I983" s="23"/>
      <c r="J983" s="23"/>
      <c r="K983" s="23"/>
      <c r="L983" s="27" t="str">
        <f aca="false">IF($B983="","",IFERROR(INDEX(Properties!$D$5:$D$104,MATCH($B983,Properties!$A$5:$A$104,0)),"-"))</f>
        <v/>
      </c>
      <c r="M983" s="28" t="str">
        <f aca="false">IF(OR($A983="",N($E983)=0),"",$F983/$E983)</f>
        <v/>
      </c>
      <c r="N983" s="28" t="str">
        <f aca="false">IF($A983="","",IF($H983="Y",$F983*(1+Settings!$B$3),0))</f>
        <v/>
      </c>
      <c r="O983" s="27" t="str">
        <f aca="false">IF($A983="","",IF(AND($H983="Y",$G983&lt;&gt;"Restock",N($M983)&gt;Settings!$B$4,$I983&lt;&gt;"Y"),"Get host OK",IF(AND($H983="Y",$F983&gt;Settings!$B$5,$I983&lt;&gt;"Y"),"Host should pay upfront",IF($J983&lt;&gt;"Y","Save receipt","OK"))))</f>
        <v/>
      </c>
      <c r="P983" s="29" t="str">
        <f aca="false">IF($A983="","",DATE(YEAR($A983),MONTH($A983),1))</f>
        <v/>
      </c>
      <c r="Q983" s="31" t="str">
        <f aca="false">IF($A983="","",IF(AND($L983='Invoice Builder'!$C$5,$P983='Invoice Builder'!$C$6,N($N983)&gt;0),COUNTIFS($L$5:$L983,'Invoice Builder'!$C$5,$P$5:$P983,'Invoice Builder'!$C$6,$N$5:$N983,"&gt;0"),""))</f>
        <v/>
      </c>
      <c r="R983" s="27" t="str">
        <f aca="false">IF($A983="","",IF($A983&gt;=DATE(YEAR($A983),4,6),YEAR($A983)&amp;"/"&amp;RIGHT(YEAR($A983)+1,2),YEAR($A983)-1&amp;"/"&amp;RIGHT(YEAR($A983),2)))</f>
        <v/>
      </c>
    </row>
    <row r="984" customFormat="false" ht="15" hidden="false" customHeight="false" outlineLevel="0" collapsed="false">
      <c r="A984" s="22"/>
      <c r="B984" s="23"/>
      <c r="C984" s="23"/>
      <c r="D984" s="23"/>
      <c r="E984" s="32"/>
      <c r="F984" s="25"/>
      <c r="G984" s="23"/>
      <c r="H984" s="23"/>
      <c r="I984" s="23"/>
      <c r="J984" s="23"/>
      <c r="K984" s="23"/>
      <c r="L984" s="27" t="str">
        <f aca="false">IF($B984="","",IFERROR(INDEX(Properties!$D$5:$D$104,MATCH($B984,Properties!$A$5:$A$104,0)),"-"))</f>
        <v/>
      </c>
      <c r="M984" s="28" t="str">
        <f aca="false">IF(OR($A984="",N($E984)=0),"",$F984/$E984)</f>
        <v/>
      </c>
      <c r="N984" s="28" t="str">
        <f aca="false">IF($A984="","",IF($H984="Y",$F984*(1+Settings!$B$3),0))</f>
        <v/>
      </c>
      <c r="O984" s="27" t="str">
        <f aca="false">IF($A984="","",IF(AND($H984="Y",$G984&lt;&gt;"Restock",N($M984)&gt;Settings!$B$4,$I984&lt;&gt;"Y"),"Get host OK",IF(AND($H984="Y",$F984&gt;Settings!$B$5,$I984&lt;&gt;"Y"),"Host should pay upfront",IF($J984&lt;&gt;"Y","Save receipt","OK"))))</f>
        <v/>
      </c>
      <c r="P984" s="29" t="str">
        <f aca="false">IF($A984="","",DATE(YEAR($A984),MONTH($A984),1))</f>
        <v/>
      </c>
      <c r="Q984" s="31" t="str">
        <f aca="false">IF($A984="","",IF(AND($L984='Invoice Builder'!$C$5,$P984='Invoice Builder'!$C$6,N($N984)&gt;0),COUNTIFS($L$5:$L984,'Invoice Builder'!$C$5,$P$5:$P984,'Invoice Builder'!$C$6,$N$5:$N984,"&gt;0"),""))</f>
        <v/>
      </c>
      <c r="R984" s="27" t="str">
        <f aca="false">IF($A984="","",IF($A984&gt;=DATE(YEAR($A984),4,6),YEAR($A984)&amp;"/"&amp;RIGHT(YEAR($A984)+1,2),YEAR($A984)-1&amp;"/"&amp;RIGHT(YEAR($A984),2)))</f>
        <v/>
      </c>
    </row>
    <row r="985" customFormat="false" ht="15" hidden="false" customHeight="false" outlineLevel="0" collapsed="false">
      <c r="A985" s="22"/>
      <c r="B985" s="23"/>
      <c r="C985" s="23"/>
      <c r="D985" s="23"/>
      <c r="E985" s="32"/>
      <c r="F985" s="25"/>
      <c r="G985" s="23"/>
      <c r="H985" s="23"/>
      <c r="I985" s="23"/>
      <c r="J985" s="23"/>
      <c r="K985" s="23"/>
      <c r="L985" s="27" t="str">
        <f aca="false">IF($B985="","",IFERROR(INDEX(Properties!$D$5:$D$104,MATCH($B985,Properties!$A$5:$A$104,0)),"-"))</f>
        <v/>
      </c>
      <c r="M985" s="28" t="str">
        <f aca="false">IF(OR($A985="",N($E985)=0),"",$F985/$E985)</f>
        <v/>
      </c>
      <c r="N985" s="28" t="str">
        <f aca="false">IF($A985="","",IF($H985="Y",$F985*(1+Settings!$B$3),0))</f>
        <v/>
      </c>
      <c r="O985" s="27" t="str">
        <f aca="false">IF($A985="","",IF(AND($H985="Y",$G985&lt;&gt;"Restock",N($M985)&gt;Settings!$B$4,$I985&lt;&gt;"Y"),"Get host OK",IF(AND($H985="Y",$F985&gt;Settings!$B$5,$I985&lt;&gt;"Y"),"Host should pay upfront",IF($J985&lt;&gt;"Y","Save receipt","OK"))))</f>
        <v/>
      </c>
      <c r="P985" s="29" t="str">
        <f aca="false">IF($A985="","",DATE(YEAR($A985),MONTH($A985),1))</f>
        <v/>
      </c>
      <c r="Q985" s="31" t="str">
        <f aca="false">IF($A985="","",IF(AND($L985='Invoice Builder'!$C$5,$P985='Invoice Builder'!$C$6,N($N985)&gt;0),COUNTIFS($L$5:$L985,'Invoice Builder'!$C$5,$P$5:$P985,'Invoice Builder'!$C$6,$N$5:$N985,"&gt;0"),""))</f>
        <v/>
      </c>
      <c r="R985" s="27" t="str">
        <f aca="false">IF($A985="","",IF($A985&gt;=DATE(YEAR($A985),4,6),YEAR($A985)&amp;"/"&amp;RIGHT(YEAR($A985)+1,2),YEAR($A985)-1&amp;"/"&amp;RIGHT(YEAR($A985),2)))</f>
        <v/>
      </c>
    </row>
    <row r="986" customFormat="false" ht="15" hidden="false" customHeight="false" outlineLevel="0" collapsed="false">
      <c r="A986" s="22"/>
      <c r="B986" s="23"/>
      <c r="C986" s="23"/>
      <c r="D986" s="23"/>
      <c r="E986" s="32"/>
      <c r="F986" s="25"/>
      <c r="G986" s="23"/>
      <c r="H986" s="23"/>
      <c r="I986" s="23"/>
      <c r="J986" s="23"/>
      <c r="K986" s="23"/>
      <c r="L986" s="27" t="str">
        <f aca="false">IF($B986="","",IFERROR(INDEX(Properties!$D$5:$D$104,MATCH($B986,Properties!$A$5:$A$104,0)),"-"))</f>
        <v/>
      </c>
      <c r="M986" s="28" t="str">
        <f aca="false">IF(OR($A986="",N($E986)=0),"",$F986/$E986)</f>
        <v/>
      </c>
      <c r="N986" s="28" t="str">
        <f aca="false">IF($A986="","",IF($H986="Y",$F986*(1+Settings!$B$3),0))</f>
        <v/>
      </c>
      <c r="O986" s="27" t="str">
        <f aca="false">IF($A986="","",IF(AND($H986="Y",$G986&lt;&gt;"Restock",N($M986)&gt;Settings!$B$4,$I986&lt;&gt;"Y"),"Get host OK",IF(AND($H986="Y",$F986&gt;Settings!$B$5,$I986&lt;&gt;"Y"),"Host should pay upfront",IF($J986&lt;&gt;"Y","Save receipt","OK"))))</f>
        <v/>
      </c>
      <c r="P986" s="29" t="str">
        <f aca="false">IF($A986="","",DATE(YEAR($A986),MONTH($A986),1))</f>
        <v/>
      </c>
      <c r="Q986" s="31" t="str">
        <f aca="false">IF($A986="","",IF(AND($L986='Invoice Builder'!$C$5,$P986='Invoice Builder'!$C$6,N($N986)&gt;0),COUNTIFS($L$5:$L986,'Invoice Builder'!$C$5,$P$5:$P986,'Invoice Builder'!$C$6,$N$5:$N986,"&gt;0"),""))</f>
        <v/>
      </c>
      <c r="R986" s="27" t="str">
        <f aca="false">IF($A986="","",IF($A986&gt;=DATE(YEAR($A986),4,6),YEAR($A986)&amp;"/"&amp;RIGHT(YEAR($A986)+1,2),YEAR($A986)-1&amp;"/"&amp;RIGHT(YEAR($A986),2)))</f>
        <v/>
      </c>
    </row>
    <row r="987" customFormat="false" ht="15" hidden="false" customHeight="false" outlineLevel="0" collapsed="false">
      <c r="A987" s="22"/>
      <c r="B987" s="23"/>
      <c r="C987" s="23"/>
      <c r="D987" s="23"/>
      <c r="E987" s="32"/>
      <c r="F987" s="25"/>
      <c r="G987" s="23"/>
      <c r="H987" s="23"/>
      <c r="I987" s="23"/>
      <c r="J987" s="23"/>
      <c r="K987" s="23"/>
      <c r="L987" s="27" t="str">
        <f aca="false">IF($B987="","",IFERROR(INDEX(Properties!$D$5:$D$104,MATCH($B987,Properties!$A$5:$A$104,0)),"-"))</f>
        <v/>
      </c>
      <c r="M987" s="28" t="str">
        <f aca="false">IF(OR($A987="",N($E987)=0),"",$F987/$E987)</f>
        <v/>
      </c>
      <c r="N987" s="28" t="str">
        <f aca="false">IF($A987="","",IF($H987="Y",$F987*(1+Settings!$B$3),0))</f>
        <v/>
      </c>
      <c r="O987" s="27" t="str">
        <f aca="false">IF($A987="","",IF(AND($H987="Y",$G987&lt;&gt;"Restock",N($M987)&gt;Settings!$B$4,$I987&lt;&gt;"Y"),"Get host OK",IF(AND($H987="Y",$F987&gt;Settings!$B$5,$I987&lt;&gt;"Y"),"Host should pay upfront",IF($J987&lt;&gt;"Y","Save receipt","OK"))))</f>
        <v/>
      </c>
      <c r="P987" s="29" t="str">
        <f aca="false">IF($A987="","",DATE(YEAR($A987),MONTH($A987),1))</f>
        <v/>
      </c>
      <c r="Q987" s="31" t="str">
        <f aca="false">IF($A987="","",IF(AND($L987='Invoice Builder'!$C$5,$P987='Invoice Builder'!$C$6,N($N987)&gt;0),COUNTIFS($L$5:$L987,'Invoice Builder'!$C$5,$P$5:$P987,'Invoice Builder'!$C$6,$N$5:$N987,"&gt;0"),""))</f>
        <v/>
      </c>
      <c r="R987" s="27" t="str">
        <f aca="false">IF($A987="","",IF($A987&gt;=DATE(YEAR($A987),4,6),YEAR($A987)&amp;"/"&amp;RIGHT(YEAR($A987)+1,2),YEAR($A987)-1&amp;"/"&amp;RIGHT(YEAR($A987),2)))</f>
        <v/>
      </c>
    </row>
    <row r="988" customFormat="false" ht="15" hidden="false" customHeight="false" outlineLevel="0" collapsed="false">
      <c r="A988" s="22"/>
      <c r="B988" s="23"/>
      <c r="C988" s="23"/>
      <c r="D988" s="23"/>
      <c r="E988" s="32"/>
      <c r="F988" s="25"/>
      <c r="G988" s="23"/>
      <c r="H988" s="23"/>
      <c r="I988" s="23"/>
      <c r="J988" s="23"/>
      <c r="K988" s="23"/>
      <c r="L988" s="27" t="str">
        <f aca="false">IF($B988="","",IFERROR(INDEX(Properties!$D$5:$D$104,MATCH($B988,Properties!$A$5:$A$104,0)),"-"))</f>
        <v/>
      </c>
      <c r="M988" s="28" t="str">
        <f aca="false">IF(OR($A988="",N($E988)=0),"",$F988/$E988)</f>
        <v/>
      </c>
      <c r="N988" s="28" t="str">
        <f aca="false">IF($A988="","",IF($H988="Y",$F988*(1+Settings!$B$3),0))</f>
        <v/>
      </c>
      <c r="O988" s="27" t="str">
        <f aca="false">IF($A988="","",IF(AND($H988="Y",$G988&lt;&gt;"Restock",N($M988)&gt;Settings!$B$4,$I988&lt;&gt;"Y"),"Get host OK",IF(AND($H988="Y",$F988&gt;Settings!$B$5,$I988&lt;&gt;"Y"),"Host should pay upfront",IF($J988&lt;&gt;"Y","Save receipt","OK"))))</f>
        <v/>
      </c>
      <c r="P988" s="29" t="str">
        <f aca="false">IF($A988="","",DATE(YEAR($A988),MONTH($A988),1))</f>
        <v/>
      </c>
      <c r="Q988" s="31" t="str">
        <f aca="false">IF($A988="","",IF(AND($L988='Invoice Builder'!$C$5,$P988='Invoice Builder'!$C$6,N($N988)&gt;0),COUNTIFS($L$5:$L988,'Invoice Builder'!$C$5,$P$5:$P988,'Invoice Builder'!$C$6,$N$5:$N988,"&gt;0"),""))</f>
        <v/>
      </c>
      <c r="R988" s="27" t="str">
        <f aca="false">IF($A988="","",IF($A988&gt;=DATE(YEAR($A988),4,6),YEAR($A988)&amp;"/"&amp;RIGHT(YEAR($A988)+1,2),YEAR($A988)-1&amp;"/"&amp;RIGHT(YEAR($A988),2)))</f>
        <v/>
      </c>
    </row>
    <row r="989" customFormat="false" ht="15" hidden="false" customHeight="false" outlineLevel="0" collapsed="false">
      <c r="A989" s="22"/>
      <c r="B989" s="23"/>
      <c r="C989" s="23"/>
      <c r="D989" s="23"/>
      <c r="E989" s="32"/>
      <c r="F989" s="25"/>
      <c r="G989" s="23"/>
      <c r="H989" s="23"/>
      <c r="I989" s="23"/>
      <c r="J989" s="23"/>
      <c r="K989" s="23"/>
      <c r="L989" s="27" t="str">
        <f aca="false">IF($B989="","",IFERROR(INDEX(Properties!$D$5:$D$104,MATCH($B989,Properties!$A$5:$A$104,0)),"-"))</f>
        <v/>
      </c>
      <c r="M989" s="28" t="str">
        <f aca="false">IF(OR($A989="",N($E989)=0),"",$F989/$E989)</f>
        <v/>
      </c>
      <c r="N989" s="28" t="str">
        <f aca="false">IF($A989="","",IF($H989="Y",$F989*(1+Settings!$B$3),0))</f>
        <v/>
      </c>
      <c r="O989" s="27" t="str">
        <f aca="false">IF($A989="","",IF(AND($H989="Y",$G989&lt;&gt;"Restock",N($M989)&gt;Settings!$B$4,$I989&lt;&gt;"Y"),"Get host OK",IF(AND($H989="Y",$F989&gt;Settings!$B$5,$I989&lt;&gt;"Y"),"Host should pay upfront",IF($J989&lt;&gt;"Y","Save receipt","OK"))))</f>
        <v/>
      </c>
      <c r="P989" s="29" t="str">
        <f aca="false">IF($A989="","",DATE(YEAR($A989),MONTH($A989),1))</f>
        <v/>
      </c>
      <c r="Q989" s="31" t="str">
        <f aca="false">IF($A989="","",IF(AND($L989='Invoice Builder'!$C$5,$P989='Invoice Builder'!$C$6,N($N989)&gt;0),COUNTIFS($L$5:$L989,'Invoice Builder'!$C$5,$P$5:$P989,'Invoice Builder'!$C$6,$N$5:$N989,"&gt;0"),""))</f>
        <v/>
      </c>
      <c r="R989" s="27" t="str">
        <f aca="false">IF($A989="","",IF($A989&gt;=DATE(YEAR($A989),4,6),YEAR($A989)&amp;"/"&amp;RIGHT(YEAR($A989)+1,2),YEAR($A989)-1&amp;"/"&amp;RIGHT(YEAR($A989),2)))</f>
        <v/>
      </c>
    </row>
    <row r="990" customFormat="false" ht="15" hidden="false" customHeight="false" outlineLevel="0" collapsed="false">
      <c r="A990" s="22"/>
      <c r="B990" s="23"/>
      <c r="C990" s="23"/>
      <c r="D990" s="23"/>
      <c r="E990" s="32"/>
      <c r="F990" s="25"/>
      <c r="G990" s="23"/>
      <c r="H990" s="23"/>
      <c r="I990" s="23"/>
      <c r="J990" s="23"/>
      <c r="K990" s="23"/>
      <c r="L990" s="27" t="str">
        <f aca="false">IF($B990="","",IFERROR(INDEX(Properties!$D$5:$D$104,MATCH($B990,Properties!$A$5:$A$104,0)),"-"))</f>
        <v/>
      </c>
      <c r="M990" s="28" t="str">
        <f aca="false">IF(OR($A990="",N($E990)=0),"",$F990/$E990)</f>
        <v/>
      </c>
      <c r="N990" s="28" t="str">
        <f aca="false">IF($A990="","",IF($H990="Y",$F990*(1+Settings!$B$3),0))</f>
        <v/>
      </c>
      <c r="O990" s="27" t="str">
        <f aca="false">IF($A990="","",IF(AND($H990="Y",$G990&lt;&gt;"Restock",N($M990)&gt;Settings!$B$4,$I990&lt;&gt;"Y"),"Get host OK",IF(AND($H990="Y",$F990&gt;Settings!$B$5,$I990&lt;&gt;"Y"),"Host should pay upfront",IF($J990&lt;&gt;"Y","Save receipt","OK"))))</f>
        <v/>
      </c>
      <c r="P990" s="29" t="str">
        <f aca="false">IF($A990="","",DATE(YEAR($A990),MONTH($A990),1))</f>
        <v/>
      </c>
      <c r="Q990" s="31" t="str">
        <f aca="false">IF($A990="","",IF(AND($L990='Invoice Builder'!$C$5,$P990='Invoice Builder'!$C$6,N($N990)&gt;0),COUNTIFS($L$5:$L990,'Invoice Builder'!$C$5,$P$5:$P990,'Invoice Builder'!$C$6,$N$5:$N990,"&gt;0"),""))</f>
        <v/>
      </c>
      <c r="R990" s="27" t="str">
        <f aca="false">IF($A990="","",IF($A990&gt;=DATE(YEAR($A990),4,6),YEAR($A990)&amp;"/"&amp;RIGHT(YEAR($A990)+1,2),YEAR($A990)-1&amp;"/"&amp;RIGHT(YEAR($A990),2)))</f>
        <v/>
      </c>
    </row>
    <row r="991" customFormat="false" ht="15" hidden="false" customHeight="false" outlineLevel="0" collapsed="false">
      <c r="A991" s="22"/>
      <c r="B991" s="23"/>
      <c r="C991" s="23"/>
      <c r="D991" s="23"/>
      <c r="E991" s="32"/>
      <c r="F991" s="25"/>
      <c r="G991" s="23"/>
      <c r="H991" s="23"/>
      <c r="I991" s="23"/>
      <c r="J991" s="23"/>
      <c r="K991" s="23"/>
      <c r="L991" s="27" t="str">
        <f aca="false">IF($B991="","",IFERROR(INDEX(Properties!$D$5:$D$104,MATCH($B991,Properties!$A$5:$A$104,0)),"-"))</f>
        <v/>
      </c>
      <c r="M991" s="28" t="str">
        <f aca="false">IF(OR($A991="",N($E991)=0),"",$F991/$E991)</f>
        <v/>
      </c>
      <c r="N991" s="28" t="str">
        <f aca="false">IF($A991="","",IF($H991="Y",$F991*(1+Settings!$B$3),0))</f>
        <v/>
      </c>
      <c r="O991" s="27" t="str">
        <f aca="false">IF($A991="","",IF(AND($H991="Y",$G991&lt;&gt;"Restock",N($M991)&gt;Settings!$B$4,$I991&lt;&gt;"Y"),"Get host OK",IF(AND($H991="Y",$F991&gt;Settings!$B$5,$I991&lt;&gt;"Y"),"Host should pay upfront",IF($J991&lt;&gt;"Y","Save receipt","OK"))))</f>
        <v/>
      </c>
      <c r="P991" s="29" t="str">
        <f aca="false">IF($A991="","",DATE(YEAR($A991),MONTH($A991),1))</f>
        <v/>
      </c>
      <c r="Q991" s="31" t="str">
        <f aca="false">IF($A991="","",IF(AND($L991='Invoice Builder'!$C$5,$P991='Invoice Builder'!$C$6,N($N991)&gt;0),COUNTIFS($L$5:$L991,'Invoice Builder'!$C$5,$P$5:$P991,'Invoice Builder'!$C$6,$N$5:$N991,"&gt;0"),""))</f>
        <v/>
      </c>
      <c r="R991" s="27" t="str">
        <f aca="false">IF($A991="","",IF($A991&gt;=DATE(YEAR($A991),4,6),YEAR($A991)&amp;"/"&amp;RIGHT(YEAR($A991)+1,2),YEAR($A991)-1&amp;"/"&amp;RIGHT(YEAR($A991),2)))</f>
        <v/>
      </c>
    </row>
    <row r="992" customFormat="false" ht="15" hidden="false" customHeight="false" outlineLevel="0" collapsed="false">
      <c r="A992" s="22"/>
      <c r="B992" s="23"/>
      <c r="C992" s="23"/>
      <c r="D992" s="23"/>
      <c r="E992" s="32"/>
      <c r="F992" s="25"/>
      <c r="G992" s="23"/>
      <c r="H992" s="23"/>
      <c r="I992" s="23"/>
      <c r="J992" s="23"/>
      <c r="K992" s="23"/>
      <c r="L992" s="27" t="str">
        <f aca="false">IF($B992="","",IFERROR(INDEX(Properties!$D$5:$D$104,MATCH($B992,Properties!$A$5:$A$104,0)),"-"))</f>
        <v/>
      </c>
      <c r="M992" s="28" t="str">
        <f aca="false">IF(OR($A992="",N($E992)=0),"",$F992/$E992)</f>
        <v/>
      </c>
      <c r="N992" s="28" t="str">
        <f aca="false">IF($A992="","",IF($H992="Y",$F992*(1+Settings!$B$3),0))</f>
        <v/>
      </c>
      <c r="O992" s="27" t="str">
        <f aca="false">IF($A992="","",IF(AND($H992="Y",$G992&lt;&gt;"Restock",N($M992)&gt;Settings!$B$4,$I992&lt;&gt;"Y"),"Get host OK",IF(AND($H992="Y",$F992&gt;Settings!$B$5,$I992&lt;&gt;"Y"),"Host should pay upfront",IF($J992&lt;&gt;"Y","Save receipt","OK"))))</f>
        <v/>
      </c>
      <c r="P992" s="29" t="str">
        <f aca="false">IF($A992="","",DATE(YEAR($A992),MONTH($A992),1))</f>
        <v/>
      </c>
      <c r="Q992" s="31" t="str">
        <f aca="false">IF($A992="","",IF(AND($L992='Invoice Builder'!$C$5,$P992='Invoice Builder'!$C$6,N($N992)&gt;0),COUNTIFS($L$5:$L992,'Invoice Builder'!$C$5,$P$5:$P992,'Invoice Builder'!$C$6,$N$5:$N992,"&gt;0"),""))</f>
        <v/>
      </c>
      <c r="R992" s="27" t="str">
        <f aca="false">IF($A992="","",IF($A992&gt;=DATE(YEAR($A992),4,6),YEAR($A992)&amp;"/"&amp;RIGHT(YEAR($A992)+1,2),YEAR($A992)-1&amp;"/"&amp;RIGHT(YEAR($A992),2)))</f>
        <v/>
      </c>
    </row>
    <row r="993" customFormat="false" ht="15" hidden="false" customHeight="false" outlineLevel="0" collapsed="false">
      <c r="A993" s="22"/>
      <c r="B993" s="23"/>
      <c r="C993" s="23"/>
      <c r="D993" s="23"/>
      <c r="E993" s="32"/>
      <c r="F993" s="25"/>
      <c r="G993" s="23"/>
      <c r="H993" s="23"/>
      <c r="I993" s="23"/>
      <c r="J993" s="23"/>
      <c r="K993" s="23"/>
      <c r="L993" s="27" t="str">
        <f aca="false">IF($B993="","",IFERROR(INDEX(Properties!$D$5:$D$104,MATCH($B993,Properties!$A$5:$A$104,0)),"-"))</f>
        <v/>
      </c>
      <c r="M993" s="28" t="str">
        <f aca="false">IF(OR($A993="",N($E993)=0),"",$F993/$E993)</f>
        <v/>
      </c>
      <c r="N993" s="28" t="str">
        <f aca="false">IF($A993="","",IF($H993="Y",$F993*(1+Settings!$B$3),0))</f>
        <v/>
      </c>
      <c r="O993" s="27" t="str">
        <f aca="false">IF($A993="","",IF(AND($H993="Y",$G993&lt;&gt;"Restock",N($M993)&gt;Settings!$B$4,$I993&lt;&gt;"Y"),"Get host OK",IF(AND($H993="Y",$F993&gt;Settings!$B$5,$I993&lt;&gt;"Y"),"Host should pay upfront",IF($J993&lt;&gt;"Y","Save receipt","OK"))))</f>
        <v/>
      </c>
      <c r="P993" s="29" t="str">
        <f aca="false">IF($A993="","",DATE(YEAR($A993),MONTH($A993),1))</f>
        <v/>
      </c>
      <c r="Q993" s="31" t="str">
        <f aca="false">IF($A993="","",IF(AND($L993='Invoice Builder'!$C$5,$P993='Invoice Builder'!$C$6,N($N993)&gt;0),COUNTIFS($L$5:$L993,'Invoice Builder'!$C$5,$P$5:$P993,'Invoice Builder'!$C$6,$N$5:$N993,"&gt;0"),""))</f>
        <v/>
      </c>
      <c r="R993" s="27" t="str">
        <f aca="false">IF($A993="","",IF($A993&gt;=DATE(YEAR($A993),4,6),YEAR($A993)&amp;"/"&amp;RIGHT(YEAR($A993)+1,2),YEAR($A993)-1&amp;"/"&amp;RIGHT(YEAR($A993),2)))</f>
        <v/>
      </c>
    </row>
    <row r="994" customFormat="false" ht="15" hidden="false" customHeight="false" outlineLevel="0" collapsed="false">
      <c r="A994" s="22"/>
      <c r="B994" s="23"/>
      <c r="C994" s="23"/>
      <c r="D994" s="23"/>
      <c r="E994" s="32"/>
      <c r="F994" s="25"/>
      <c r="G994" s="23"/>
      <c r="H994" s="23"/>
      <c r="I994" s="23"/>
      <c r="J994" s="23"/>
      <c r="K994" s="23"/>
      <c r="L994" s="27" t="str">
        <f aca="false">IF($B994="","",IFERROR(INDEX(Properties!$D$5:$D$104,MATCH($B994,Properties!$A$5:$A$104,0)),"-"))</f>
        <v/>
      </c>
      <c r="M994" s="28" t="str">
        <f aca="false">IF(OR($A994="",N($E994)=0),"",$F994/$E994)</f>
        <v/>
      </c>
      <c r="N994" s="28" t="str">
        <f aca="false">IF($A994="","",IF($H994="Y",$F994*(1+Settings!$B$3),0))</f>
        <v/>
      </c>
      <c r="O994" s="27" t="str">
        <f aca="false">IF($A994="","",IF(AND($H994="Y",$G994&lt;&gt;"Restock",N($M994)&gt;Settings!$B$4,$I994&lt;&gt;"Y"),"Get host OK",IF(AND($H994="Y",$F994&gt;Settings!$B$5,$I994&lt;&gt;"Y"),"Host should pay upfront",IF($J994&lt;&gt;"Y","Save receipt","OK"))))</f>
        <v/>
      </c>
      <c r="P994" s="29" t="str">
        <f aca="false">IF($A994="","",DATE(YEAR($A994),MONTH($A994),1))</f>
        <v/>
      </c>
      <c r="Q994" s="31" t="str">
        <f aca="false">IF($A994="","",IF(AND($L994='Invoice Builder'!$C$5,$P994='Invoice Builder'!$C$6,N($N994)&gt;0),COUNTIFS($L$5:$L994,'Invoice Builder'!$C$5,$P$5:$P994,'Invoice Builder'!$C$6,$N$5:$N994,"&gt;0"),""))</f>
        <v/>
      </c>
      <c r="R994" s="27" t="str">
        <f aca="false">IF($A994="","",IF($A994&gt;=DATE(YEAR($A994),4,6),YEAR($A994)&amp;"/"&amp;RIGHT(YEAR($A994)+1,2),YEAR($A994)-1&amp;"/"&amp;RIGHT(YEAR($A994),2)))</f>
        <v/>
      </c>
    </row>
    <row r="995" customFormat="false" ht="15" hidden="false" customHeight="false" outlineLevel="0" collapsed="false">
      <c r="A995" s="22"/>
      <c r="B995" s="23"/>
      <c r="C995" s="23"/>
      <c r="D995" s="23"/>
      <c r="E995" s="32"/>
      <c r="F995" s="25"/>
      <c r="G995" s="23"/>
      <c r="H995" s="23"/>
      <c r="I995" s="23"/>
      <c r="J995" s="23"/>
      <c r="K995" s="23"/>
      <c r="L995" s="27" t="str">
        <f aca="false">IF($B995="","",IFERROR(INDEX(Properties!$D$5:$D$104,MATCH($B995,Properties!$A$5:$A$104,0)),"-"))</f>
        <v/>
      </c>
      <c r="M995" s="28" t="str">
        <f aca="false">IF(OR($A995="",N($E995)=0),"",$F995/$E995)</f>
        <v/>
      </c>
      <c r="N995" s="28" t="str">
        <f aca="false">IF($A995="","",IF($H995="Y",$F995*(1+Settings!$B$3),0))</f>
        <v/>
      </c>
      <c r="O995" s="27" t="str">
        <f aca="false">IF($A995="","",IF(AND($H995="Y",$G995&lt;&gt;"Restock",N($M995)&gt;Settings!$B$4,$I995&lt;&gt;"Y"),"Get host OK",IF(AND($H995="Y",$F995&gt;Settings!$B$5,$I995&lt;&gt;"Y"),"Host should pay upfront",IF($J995&lt;&gt;"Y","Save receipt","OK"))))</f>
        <v/>
      </c>
      <c r="P995" s="29" t="str">
        <f aca="false">IF($A995="","",DATE(YEAR($A995),MONTH($A995),1))</f>
        <v/>
      </c>
      <c r="Q995" s="31" t="str">
        <f aca="false">IF($A995="","",IF(AND($L995='Invoice Builder'!$C$5,$P995='Invoice Builder'!$C$6,N($N995)&gt;0),COUNTIFS($L$5:$L995,'Invoice Builder'!$C$5,$P$5:$P995,'Invoice Builder'!$C$6,$N$5:$N995,"&gt;0"),""))</f>
        <v/>
      </c>
      <c r="R995" s="27" t="str">
        <f aca="false">IF($A995="","",IF($A995&gt;=DATE(YEAR($A995),4,6),YEAR($A995)&amp;"/"&amp;RIGHT(YEAR($A995)+1,2),YEAR($A995)-1&amp;"/"&amp;RIGHT(YEAR($A995),2)))</f>
        <v/>
      </c>
    </row>
    <row r="996" customFormat="false" ht="15" hidden="false" customHeight="false" outlineLevel="0" collapsed="false">
      <c r="A996" s="22"/>
      <c r="B996" s="23"/>
      <c r="C996" s="23"/>
      <c r="D996" s="23"/>
      <c r="E996" s="32"/>
      <c r="F996" s="25"/>
      <c r="G996" s="23"/>
      <c r="H996" s="23"/>
      <c r="I996" s="23"/>
      <c r="J996" s="23"/>
      <c r="K996" s="23"/>
      <c r="L996" s="27" t="str">
        <f aca="false">IF($B996="","",IFERROR(INDEX(Properties!$D$5:$D$104,MATCH($B996,Properties!$A$5:$A$104,0)),"-"))</f>
        <v/>
      </c>
      <c r="M996" s="28" t="str">
        <f aca="false">IF(OR($A996="",N($E996)=0),"",$F996/$E996)</f>
        <v/>
      </c>
      <c r="N996" s="28" t="str">
        <f aca="false">IF($A996="","",IF($H996="Y",$F996*(1+Settings!$B$3),0))</f>
        <v/>
      </c>
      <c r="O996" s="27" t="str">
        <f aca="false">IF($A996="","",IF(AND($H996="Y",$G996&lt;&gt;"Restock",N($M996)&gt;Settings!$B$4,$I996&lt;&gt;"Y"),"Get host OK",IF(AND($H996="Y",$F996&gt;Settings!$B$5,$I996&lt;&gt;"Y"),"Host should pay upfront",IF($J996&lt;&gt;"Y","Save receipt","OK"))))</f>
        <v/>
      </c>
      <c r="P996" s="29" t="str">
        <f aca="false">IF($A996="","",DATE(YEAR($A996),MONTH($A996),1))</f>
        <v/>
      </c>
      <c r="Q996" s="31" t="str">
        <f aca="false">IF($A996="","",IF(AND($L996='Invoice Builder'!$C$5,$P996='Invoice Builder'!$C$6,N($N996)&gt;0),COUNTIFS($L$5:$L996,'Invoice Builder'!$C$5,$P$5:$P996,'Invoice Builder'!$C$6,$N$5:$N996,"&gt;0"),""))</f>
        <v/>
      </c>
      <c r="R996" s="27" t="str">
        <f aca="false">IF($A996="","",IF($A996&gt;=DATE(YEAR($A996),4,6),YEAR($A996)&amp;"/"&amp;RIGHT(YEAR($A996)+1,2),YEAR($A996)-1&amp;"/"&amp;RIGHT(YEAR($A996),2)))</f>
        <v/>
      </c>
    </row>
    <row r="997" customFormat="false" ht="15" hidden="false" customHeight="false" outlineLevel="0" collapsed="false">
      <c r="A997" s="22"/>
      <c r="B997" s="23"/>
      <c r="C997" s="23"/>
      <c r="D997" s="23"/>
      <c r="E997" s="32"/>
      <c r="F997" s="25"/>
      <c r="G997" s="23"/>
      <c r="H997" s="23"/>
      <c r="I997" s="23"/>
      <c r="J997" s="23"/>
      <c r="K997" s="23"/>
      <c r="L997" s="27" t="str">
        <f aca="false">IF($B997="","",IFERROR(INDEX(Properties!$D$5:$D$104,MATCH($B997,Properties!$A$5:$A$104,0)),"-"))</f>
        <v/>
      </c>
      <c r="M997" s="28" t="str">
        <f aca="false">IF(OR($A997="",N($E997)=0),"",$F997/$E997)</f>
        <v/>
      </c>
      <c r="N997" s="28" t="str">
        <f aca="false">IF($A997="","",IF($H997="Y",$F997*(1+Settings!$B$3),0))</f>
        <v/>
      </c>
      <c r="O997" s="27" t="str">
        <f aca="false">IF($A997="","",IF(AND($H997="Y",$G997&lt;&gt;"Restock",N($M997)&gt;Settings!$B$4,$I997&lt;&gt;"Y"),"Get host OK",IF(AND($H997="Y",$F997&gt;Settings!$B$5,$I997&lt;&gt;"Y"),"Host should pay upfront",IF($J997&lt;&gt;"Y","Save receipt","OK"))))</f>
        <v/>
      </c>
      <c r="P997" s="29" t="str">
        <f aca="false">IF($A997="","",DATE(YEAR($A997),MONTH($A997),1))</f>
        <v/>
      </c>
      <c r="Q997" s="31" t="str">
        <f aca="false">IF($A997="","",IF(AND($L997='Invoice Builder'!$C$5,$P997='Invoice Builder'!$C$6,N($N997)&gt;0),COUNTIFS($L$5:$L997,'Invoice Builder'!$C$5,$P$5:$P997,'Invoice Builder'!$C$6,$N$5:$N997,"&gt;0"),""))</f>
        <v/>
      </c>
      <c r="R997" s="27" t="str">
        <f aca="false">IF($A997="","",IF($A997&gt;=DATE(YEAR($A997),4,6),YEAR($A997)&amp;"/"&amp;RIGHT(YEAR($A997)+1,2),YEAR($A997)-1&amp;"/"&amp;RIGHT(YEAR($A997),2)))</f>
        <v/>
      </c>
    </row>
    <row r="998" customFormat="false" ht="15" hidden="false" customHeight="false" outlineLevel="0" collapsed="false">
      <c r="A998" s="22"/>
      <c r="B998" s="23"/>
      <c r="C998" s="23"/>
      <c r="D998" s="23"/>
      <c r="E998" s="32"/>
      <c r="F998" s="25"/>
      <c r="G998" s="23"/>
      <c r="H998" s="23"/>
      <c r="I998" s="23"/>
      <c r="J998" s="23"/>
      <c r="K998" s="23"/>
      <c r="L998" s="27" t="str">
        <f aca="false">IF($B998="","",IFERROR(INDEX(Properties!$D$5:$D$104,MATCH($B998,Properties!$A$5:$A$104,0)),"-"))</f>
        <v/>
      </c>
      <c r="M998" s="28" t="str">
        <f aca="false">IF(OR($A998="",N($E998)=0),"",$F998/$E998)</f>
        <v/>
      </c>
      <c r="N998" s="28" t="str">
        <f aca="false">IF($A998="","",IF($H998="Y",$F998*(1+Settings!$B$3),0))</f>
        <v/>
      </c>
      <c r="O998" s="27" t="str">
        <f aca="false">IF($A998="","",IF(AND($H998="Y",$G998&lt;&gt;"Restock",N($M998)&gt;Settings!$B$4,$I998&lt;&gt;"Y"),"Get host OK",IF(AND($H998="Y",$F998&gt;Settings!$B$5,$I998&lt;&gt;"Y"),"Host should pay upfront",IF($J998&lt;&gt;"Y","Save receipt","OK"))))</f>
        <v/>
      </c>
      <c r="P998" s="29" t="str">
        <f aca="false">IF($A998="","",DATE(YEAR($A998),MONTH($A998),1))</f>
        <v/>
      </c>
      <c r="Q998" s="31" t="str">
        <f aca="false">IF($A998="","",IF(AND($L998='Invoice Builder'!$C$5,$P998='Invoice Builder'!$C$6,N($N998)&gt;0),COUNTIFS($L$5:$L998,'Invoice Builder'!$C$5,$P$5:$P998,'Invoice Builder'!$C$6,$N$5:$N998,"&gt;0"),""))</f>
        <v/>
      </c>
      <c r="R998" s="27" t="str">
        <f aca="false">IF($A998="","",IF($A998&gt;=DATE(YEAR($A998),4,6),YEAR($A998)&amp;"/"&amp;RIGHT(YEAR($A998)+1,2),YEAR($A998)-1&amp;"/"&amp;RIGHT(YEAR($A998),2)))</f>
        <v/>
      </c>
    </row>
    <row r="999" customFormat="false" ht="15" hidden="false" customHeight="false" outlineLevel="0" collapsed="false">
      <c r="A999" s="22"/>
      <c r="B999" s="23"/>
      <c r="C999" s="23"/>
      <c r="D999" s="23"/>
      <c r="E999" s="32"/>
      <c r="F999" s="25"/>
      <c r="G999" s="23"/>
      <c r="H999" s="23"/>
      <c r="I999" s="23"/>
      <c r="J999" s="23"/>
      <c r="K999" s="23"/>
      <c r="L999" s="27" t="str">
        <f aca="false">IF($B999="","",IFERROR(INDEX(Properties!$D$5:$D$104,MATCH($B999,Properties!$A$5:$A$104,0)),"-"))</f>
        <v/>
      </c>
      <c r="M999" s="28" t="str">
        <f aca="false">IF(OR($A999="",N($E999)=0),"",$F999/$E999)</f>
        <v/>
      </c>
      <c r="N999" s="28" t="str">
        <f aca="false">IF($A999="","",IF($H999="Y",$F999*(1+Settings!$B$3),0))</f>
        <v/>
      </c>
      <c r="O999" s="27" t="str">
        <f aca="false">IF($A999="","",IF(AND($H999="Y",$G999&lt;&gt;"Restock",N($M999)&gt;Settings!$B$4,$I999&lt;&gt;"Y"),"Get host OK",IF(AND($H999="Y",$F999&gt;Settings!$B$5,$I999&lt;&gt;"Y"),"Host should pay upfront",IF($J999&lt;&gt;"Y","Save receipt","OK"))))</f>
        <v/>
      </c>
      <c r="P999" s="29" t="str">
        <f aca="false">IF($A999="","",DATE(YEAR($A999),MONTH($A999),1))</f>
        <v/>
      </c>
      <c r="Q999" s="31" t="str">
        <f aca="false">IF($A999="","",IF(AND($L999='Invoice Builder'!$C$5,$P999='Invoice Builder'!$C$6,N($N999)&gt;0),COUNTIFS($L$5:$L999,'Invoice Builder'!$C$5,$P$5:$P999,'Invoice Builder'!$C$6,$N$5:$N999,"&gt;0"),""))</f>
        <v/>
      </c>
      <c r="R999" s="27" t="str">
        <f aca="false">IF($A999="","",IF($A999&gt;=DATE(YEAR($A999),4,6),YEAR($A999)&amp;"/"&amp;RIGHT(YEAR($A999)+1,2),YEAR($A999)-1&amp;"/"&amp;RIGHT(YEAR($A999),2)))</f>
        <v/>
      </c>
    </row>
    <row r="1000" customFormat="false" ht="15" hidden="false" customHeight="false" outlineLevel="0" collapsed="false">
      <c r="A1000" s="22"/>
      <c r="B1000" s="23"/>
      <c r="C1000" s="23"/>
      <c r="D1000" s="23"/>
      <c r="E1000" s="32"/>
      <c r="F1000" s="25"/>
      <c r="G1000" s="23"/>
      <c r="H1000" s="23"/>
      <c r="I1000" s="23"/>
      <c r="J1000" s="23"/>
      <c r="K1000" s="23"/>
      <c r="L1000" s="27" t="str">
        <f aca="false">IF($B1000="","",IFERROR(INDEX(Properties!$D$5:$D$104,MATCH($B1000,Properties!$A$5:$A$104,0)),"-"))</f>
        <v/>
      </c>
      <c r="M1000" s="28" t="str">
        <f aca="false">IF(OR($A1000="",N($E1000)=0),"",$F1000/$E1000)</f>
        <v/>
      </c>
      <c r="N1000" s="28" t="str">
        <f aca="false">IF($A1000="","",IF($H1000="Y",$F1000*(1+Settings!$B$3),0))</f>
        <v/>
      </c>
      <c r="O1000" s="27" t="str">
        <f aca="false">IF($A1000="","",IF(AND($H1000="Y",$G1000&lt;&gt;"Restock",N($M1000)&gt;Settings!$B$4,$I1000&lt;&gt;"Y"),"Get host OK",IF(AND($H1000="Y",$F1000&gt;Settings!$B$5,$I1000&lt;&gt;"Y"),"Host should pay upfront",IF($J1000&lt;&gt;"Y","Save receipt","OK"))))</f>
        <v/>
      </c>
      <c r="P1000" s="29" t="str">
        <f aca="false">IF($A1000="","",DATE(YEAR($A1000),MONTH($A1000),1))</f>
        <v/>
      </c>
      <c r="Q1000" s="31" t="str">
        <f aca="false">IF($A1000="","",IF(AND($L1000='Invoice Builder'!$C$5,$P1000='Invoice Builder'!$C$6,N($N1000)&gt;0),COUNTIFS($L$5:$L1000,'Invoice Builder'!$C$5,$P$5:$P1000,'Invoice Builder'!$C$6,$N$5:$N1000,"&gt;0"),""))</f>
        <v/>
      </c>
      <c r="R1000" s="27" t="str">
        <f aca="false">IF($A1000="","",IF($A1000&gt;=DATE(YEAR($A1000),4,6),YEAR($A1000)&amp;"/"&amp;RIGHT(YEAR($A1000)+1,2),YEAR($A1000)-1&amp;"/"&amp;RIGHT(YEAR($A1000),2)))</f>
        <v/>
      </c>
    </row>
    <row r="1001" customFormat="false" ht="15" hidden="false" customHeight="false" outlineLevel="0" collapsed="false">
      <c r="A1001" s="22"/>
      <c r="B1001" s="23"/>
      <c r="C1001" s="23"/>
      <c r="D1001" s="23"/>
      <c r="E1001" s="32"/>
      <c r="F1001" s="25"/>
      <c r="G1001" s="23"/>
      <c r="H1001" s="23"/>
      <c r="I1001" s="23"/>
      <c r="J1001" s="23"/>
      <c r="K1001" s="23"/>
      <c r="L1001" s="27" t="str">
        <f aca="false">IF($B1001="","",IFERROR(INDEX(Properties!$D$5:$D$104,MATCH($B1001,Properties!$A$5:$A$104,0)),"-"))</f>
        <v/>
      </c>
      <c r="M1001" s="28" t="str">
        <f aca="false">IF(OR($A1001="",N($E1001)=0),"",$F1001/$E1001)</f>
        <v/>
      </c>
      <c r="N1001" s="28" t="str">
        <f aca="false">IF($A1001="","",IF($H1001="Y",$F1001*(1+Settings!$B$3),0))</f>
        <v/>
      </c>
      <c r="O1001" s="27" t="str">
        <f aca="false">IF($A1001="","",IF(AND($H1001="Y",$G1001&lt;&gt;"Restock",N($M1001)&gt;Settings!$B$4,$I1001&lt;&gt;"Y"),"Get host OK",IF(AND($H1001="Y",$F1001&gt;Settings!$B$5,$I1001&lt;&gt;"Y"),"Host should pay upfront",IF($J1001&lt;&gt;"Y","Save receipt","OK"))))</f>
        <v/>
      </c>
      <c r="P1001" s="29" t="str">
        <f aca="false">IF($A1001="","",DATE(YEAR($A1001),MONTH($A1001),1))</f>
        <v/>
      </c>
      <c r="Q1001" s="31" t="str">
        <f aca="false">IF($A1001="","",IF(AND($L1001='Invoice Builder'!$C$5,$P1001='Invoice Builder'!$C$6,N($N1001)&gt;0),COUNTIFS($L$5:$L1001,'Invoice Builder'!$C$5,$P$5:$P1001,'Invoice Builder'!$C$6,$N$5:$N1001,"&gt;0"),""))</f>
        <v/>
      </c>
      <c r="R1001" s="27" t="str">
        <f aca="false">IF($A1001="","",IF($A1001&gt;=DATE(YEAR($A1001),4,6),YEAR($A1001)&amp;"/"&amp;RIGHT(YEAR($A1001)+1,2),YEAR($A1001)-1&amp;"/"&amp;RIGHT(YEAR($A1001),2)))</f>
        <v/>
      </c>
    </row>
    <row r="1002" customFormat="false" ht="15" hidden="false" customHeight="false" outlineLevel="0" collapsed="false">
      <c r="A1002" s="22"/>
      <c r="B1002" s="23"/>
      <c r="C1002" s="23"/>
      <c r="D1002" s="23"/>
      <c r="E1002" s="32"/>
      <c r="F1002" s="25"/>
      <c r="G1002" s="23"/>
      <c r="H1002" s="23"/>
      <c r="I1002" s="23"/>
      <c r="J1002" s="23"/>
      <c r="K1002" s="23"/>
      <c r="L1002" s="27" t="str">
        <f aca="false">IF($B1002="","",IFERROR(INDEX(Properties!$D$5:$D$104,MATCH($B1002,Properties!$A$5:$A$104,0)),"-"))</f>
        <v/>
      </c>
      <c r="M1002" s="28" t="str">
        <f aca="false">IF(OR($A1002="",N($E1002)=0),"",$F1002/$E1002)</f>
        <v/>
      </c>
      <c r="N1002" s="28" t="str">
        <f aca="false">IF($A1002="","",IF($H1002="Y",$F1002*(1+Settings!$B$3),0))</f>
        <v/>
      </c>
      <c r="O1002" s="27" t="str">
        <f aca="false">IF($A1002="","",IF(AND($H1002="Y",$G1002&lt;&gt;"Restock",N($M1002)&gt;Settings!$B$4,$I1002&lt;&gt;"Y"),"Get host OK",IF(AND($H1002="Y",$F1002&gt;Settings!$B$5,$I1002&lt;&gt;"Y"),"Host should pay upfront",IF($J1002&lt;&gt;"Y","Save receipt","OK"))))</f>
        <v/>
      </c>
      <c r="P1002" s="29" t="str">
        <f aca="false">IF($A1002="","",DATE(YEAR($A1002),MONTH($A1002),1))</f>
        <v/>
      </c>
      <c r="Q1002" s="31" t="str">
        <f aca="false">IF($A1002="","",IF(AND($L1002='Invoice Builder'!$C$5,$P1002='Invoice Builder'!$C$6,N($N1002)&gt;0),COUNTIFS($L$5:$L1002,'Invoice Builder'!$C$5,$P$5:$P1002,'Invoice Builder'!$C$6,$N$5:$N1002,"&gt;0"),""))</f>
        <v/>
      </c>
      <c r="R1002" s="27" t="str">
        <f aca="false">IF($A1002="","",IF($A1002&gt;=DATE(YEAR($A1002),4,6),YEAR($A1002)&amp;"/"&amp;RIGHT(YEAR($A1002)+1,2),YEAR($A1002)-1&amp;"/"&amp;RIGHT(YEAR($A1002),2)))</f>
        <v/>
      </c>
    </row>
    <row r="1003" customFormat="false" ht="15" hidden="false" customHeight="false" outlineLevel="0" collapsed="false">
      <c r="A1003" s="22"/>
      <c r="B1003" s="23"/>
      <c r="C1003" s="23"/>
      <c r="D1003" s="23"/>
      <c r="E1003" s="32"/>
      <c r="F1003" s="25"/>
      <c r="G1003" s="23"/>
      <c r="H1003" s="23"/>
      <c r="I1003" s="23"/>
      <c r="J1003" s="23"/>
      <c r="K1003" s="23"/>
      <c r="L1003" s="27" t="str">
        <f aca="false">IF($B1003="","",IFERROR(INDEX(Properties!$D$5:$D$104,MATCH($B1003,Properties!$A$5:$A$104,0)),"-"))</f>
        <v/>
      </c>
      <c r="M1003" s="28" t="str">
        <f aca="false">IF(OR($A1003="",N($E1003)=0),"",$F1003/$E1003)</f>
        <v/>
      </c>
      <c r="N1003" s="28" t="str">
        <f aca="false">IF($A1003="","",IF($H1003="Y",$F1003*(1+Settings!$B$3),0))</f>
        <v/>
      </c>
      <c r="O1003" s="27" t="str">
        <f aca="false">IF($A1003="","",IF(AND($H1003="Y",$G1003&lt;&gt;"Restock",N($M1003)&gt;Settings!$B$4,$I1003&lt;&gt;"Y"),"Get host OK",IF(AND($H1003="Y",$F1003&gt;Settings!$B$5,$I1003&lt;&gt;"Y"),"Host should pay upfront",IF($J1003&lt;&gt;"Y","Save receipt","OK"))))</f>
        <v/>
      </c>
      <c r="P1003" s="29" t="str">
        <f aca="false">IF($A1003="","",DATE(YEAR($A1003),MONTH($A1003),1))</f>
        <v/>
      </c>
      <c r="Q1003" s="31" t="str">
        <f aca="false">IF($A1003="","",IF(AND($L1003='Invoice Builder'!$C$5,$P1003='Invoice Builder'!$C$6,N($N1003)&gt;0),COUNTIFS($L$5:$L1003,'Invoice Builder'!$C$5,$P$5:$P1003,'Invoice Builder'!$C$6,$N$5:$N1003,"&gt;0"),""))</f>
        <v/>
      </c>
      <c r="R1003" s="27" t="str">
        <f aca="false">IF($A1003="","",IF($A1003&gt;=DATE(YEAR($A1003),4,6),YEAR($A1003)&amp;"/"&amp;RIGHT(YEAR($A1003)+1,2),YEAR($A1003)-1&amp;"/"&amp;RIGHT(YEAR($A1003),2)))</f>
        <v/>
      </c>
    </row>
    <row r="1004" customFormat="false" ht="15" hidden="false" customHeight="false" outlineLevel="0" collapsed="false">
      <c r="A1004" s="22"/>
      <c r="B1004" s="23"/>
      <c r="C1004" s="23"/>
      <c r="D1004" s="23"/>
      <c r="E1004" s="32"/>
      <c r="F1004" s="25"/>
      <c r="G1004" s="23"/>
      <c r="H1004" s="23"/>
      <c r="I1004" s="23"/>
      <c r="J1004" s="23"/>
      <c r="K1004" s="23"/>
      <c r="L1004" s="27" t="str">
        <f aca="false">IF($B1004="","",IFERROR(INDEX(Properties!$D$5:$D$104,MATCH($B1004,Properties!$A$5:$A$104,0)),"-"))</f>
        <v/>
      </c>
      <c r="M1004" s="28" t="str">
        <f aca="false">IF(OR($A1004="",N($E1004)=0),"",$F1004/$E1004)</f>
        <v/>
      </c>
      <c r="N1004" s="28" t="str">
        <f aca="false">IF($A1004="","",IF($H1004="Y",$F1004*(1+Settings!$B$3),0))</f>
        <v/>
      </c>
      <c r="O1004" s="27" t="str">
        <f aca="false">IF($A1004="","",IF(AND($H1004="Y",$G1004&lt;&gt;"Restock",N($M1004)&gt;Settings!$B$4,$I1004&lt;&gt;"Y"),"Get host OK",IF(AND($H1004="Y",$F1004&gt;Settings!$B$5,$I1004&lt;&gt;"Y"),"Host should pay upfront",IF($J1004&lt;&gt;"Y","Save receipt","OK"))))</f>
        <v/>
      </c>
      <c r="P1004" s="29" t="str">
        <f aca="false">IF($A1004="","",DATE(YEAR($A1004),MONTH($A1004),1))</f>
        <v/>
      </c>
      <c r="Q1004" s="31" t="str">
        <f aca="false">IF($A1004="","",IF(AND($L1004='Invoice Builder'!$C$5,$P1004='Invoice Builder'!$C$6,N($N1004)&gt;0),COUNTIFS($L$5:$L1004,'Invoice Builder'!$C$5,$P$5:$P1004,'Invoice Builder'!$C$6,$N$5:$N1004,"&gt;0"),""))</f>
        <v/>
      </c>
      <c r="R1004" s="27" t="str">
        <f aca="false">IF($A1004="","",IF($A1004&gt;=DATE(YEAR($A1004),4,6),YEAR($A1004)&amp;"/"&amp;RIGHT(YEAR($A1004)+1,2),YEAR($A1004)-1&amp;"/"&amp;RIGHT(YEAR($A1004),2)))</f>
        <v/>
      </c>
    </row>
  </sheetData>
  <conditionalFormatting sqref="O5:O1004">
    <cfRule type="expression" priority="2" aboveAverage="0" equalAverage="0" bottom="0" percent="0" rank="0" text="" dxfId="2">
      <formula>O5="Get host OK"</formula>
    </cfRule>
    <cfRule type="expression" priority="3" aboveAverage="0" equalAverage="0" bottom="0" percent="0" rank="0" text="" dxfId="2">
      <formula>O5="Host should pay upfront"</formula>
    </cfRule>
    <cfRule type="expression" priority="4" aboveAverage="0" equalAverage="0" bottom="0" percent="0" rank="0" text="" dxfId="1">
      <formula>O5="Save receipt"</formula>
    </cfRule>
    <cfRule type="expression" priority="5" aboveAverage="0" equalAverage="0" bottom="0" percent="0" rank="0" text="" dxfId="3">
      <formula>O5="OK"</formula>
    </cfRule>
  </conditionalFormatting>
  <dataValidations count="6">
    <dataValidation allowBlank="true" errorStyle="stop" operator="between" showDropDown="false" showErrorMessage="false" showInputMessage="false" sqref="B5:B1004" type="list">
      <formula1>Properties!$A$5:$A$104</formula1>
      <formula2>0</formula2>
    </dataValidation>
    <dataValidation allowBlank="true" errorStyle="stop" operator="between" showDropDown="false" showErrorMessage="false" showInputMessage="false" sqref="C5:C1004" type="list">
      <formula1>Supplies!$A$5:$A$104</formula1>
      <formula2>0</formula2>
    </dataValidation>
    <dataValidation allowBlank="true" errorStyle="stop" operator="between" showDropDown="false" showErrorMessage="false" showInputMessage="false" sqref="G5:G1004" type="list">
      <formula1>Settings!$J$22:$J$26</formula1>
      <formula2>0</formula2>
    </dataValidation>
    <dataValidation allowBlank="true" errorStyle="stop" operator="between" showDropDown="false" showErrorMessage="false" showInputMessage="false" sqref="H5:H1004" type="list">
      <formula1>Settings!$I$22:$I$23</formula1>
      <formula2>0</formula2>
    </dataValidation>
    <dataValidation allowBlank="true" errorStyle="stop" operator="between" showDropDown="false" showErrorMessage="false" showInputMessage="false" sqref="I5:I1004" type="list">
      <formula1>Settings!$I$22:$I$23</formula1>
      <formula2>0</formula2>
    </dataValidation>
    <dataValidation allowBlank="true" errorStyle="stop" operator="between" showDropDown="false" showErrorMessage="false" showInputMessage="false" sqref="J5:J1004" type="list">
      <formula1>Settings!$I$22:$I$23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N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28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16"/>
  </cols>
  <sheetData>
    <row r="1" customFormat="false" ht="19.7" hidden="false" customHeight="false" outlineLevel="0" collapsed="false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177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31.5" hidden="false" customHeight="true" outlineLevel="0" collapsed="false">
      <c r="A4" s="20" t="s">
        <v>178</v>
      </c>
      <c r="B4" s="20" t="s">
        <v>99</v>
      </c>
      <c r="C4" s="20" t="s">
        <v>179</v>
      </c>
      <c r="D4" s="20" t="s">
        <v>180</v>
      </c>
      <c r="E4" s="20" t="s">
        <v>181</v>
      </c>
      <c r="F4" s="20" t="s">
        <v>182</v>
      </c>
      <c r="G4" s="20" t="s">
        <v>183</v>
      </c>
      <c r="H4" s="20" t="s">
        <v>184</v>
      </c>
      <c r="I4" s="20" t="s">
        <v>185</v>
      </c>
      <c r="J4" s="20" t="s">
        <v>164</v>
      </c>
      <c r="K4" s="21" t="s">
        <v>110</v>
      </c>
      <c r="L4" s="21" t="s">
        <v>186</v>
      </c>
      <c r="M4" s="21" t="s">
        <v>187</v>
      </c>
      <c r="N4" s="21" t="s">
        <v>188</v>
      </c>
    </row>
    <row r="5" customFormat="false" ht="15" hidden="false" customHeight="false" outlineLevel="0" collapsed="false">
      <c r="A5" s="22" t="n">
        <v>46319</v>
      </c>
      <c r="B5" s="23" t="s">
        <v>115</v>
      </c>
      <c r="C5" s="23" t="s">
        <v>189</v>
      </c>
      <c r="D5" s="22" t="n">
        <v>46319</v>
      </c>
      <c r="E5" s="23" t="s">
        <v>190</v>
      </c>
      <c r="F5" s="23" t="s">
        <v>191</v>
      </c>
      <c r="G5" s="22" t="n">
        <v>46319</v>
      </c>
      <c r="H5" s="25" t="n">
        <v>4</v>
      </c>
      <c r="I5" s="23" t="s">
        <v>192</v>
      </c>
      <c r="J5" s="23" t="s">
        <v>120</v>
      </c>
      <c r="K5" s="27" t="str">
        <f aca="false">IF($B5="","",IFERROR(INDEX(Properties!$D$5:$D$104,MATCH($B5,Properties!$A$5:$A$104,0)),"-"))</f>
        <v>H001</v>
      </c>
      <c r="L5" s="30" t="n">
        <f aca="false">IF($D5="","",$D5+Settings!$B$16)</f>
        <v>46333</v>
      </c>
      <c r="M5" s="31" t="str">
        <f aca="true">IF(OR($L5="",$I5="Claimed",$I5="Paid",$I5="Refused",$I5="Not claiming"),"",$L5-TODAY())</f>
        <v/>
      </c>
      <c r="N5" s="27" t="str">
        <f aca="false">IF($A5="","",IF($G5="","TELL HOST",IF($M5="","",IF($M5&lt;0,"Deadline passed",IF($M5&lt;=3,"Claim soon","")))))</f>
        <v/>
      </c>
    </row>
    <row r="6" customFormat="false" ht="15" hidden="false" customHeight="false" outlineLevel="0" collapsed="false">
      <c r="A6" s="22"/>
      <c r="B6" s="23"/>
      <c r="C6" s="23"/>
      <c r="D6" s="22"/>
      <c r="E6" s="23"/>
      <c r="F6" s="23"/>
      <c r="G6" s="22"/>
      <c r="H6" s="25"/>
      <c r="I6" s="23"/>
      <c r="J6" s="23"/>
      <c r="K6" s="27" t="str">
        <f aca="false">IF($B6="","",IFERROR(INDEX(Properties!$D$5:$D$104,MATCH($B6,Properties!$A$5:$A$104,0)),"-"))</f>
        <v/>
      </c>
      <c r="L6" s="30" t="str">
        <f aca="false">IF($D6="","",$D6+Settings!$B$16)</f>
        <v/>
      </c>
      <c r="M6" s="31" t="str">
        <f aca="true">IF(OR($L6="",$I6="Claimed",$I6="Paid",$I6="Refused",$I6="Not claiming"),"",$L6-TODAY())</f>
        <v/>
      </c>
      <c r="N6" s="27" t="str">
        <f aca="false">IF($A6="","",IF($G6="","TELL HOST",IF($M6="","",IF($M6&lt;0,"Deadline passed",IF($M6&lt;=3,"Claim soon","")))))</f>
        <v/>
      </c>
    </row>
    <row r="7" customFormat="false" ht="15" hidden="false" customHeight="false" outlineLevel="0" collapsed="false">
      <c r="A7" s="22"/>
      <c r="B7" s="23"/>
      <c r="C7" s="23"/>
      <c r="D7" s="22"/>
      <c r="E7" s="23"/>
      <c r="F7" s="23"/>
      <c r="G7" s="22"/>
      <c r="H7" s="25"/>
      <c r="I7" s="23"/>
      <c r="J7" s="23"/>
      <c r="K7" s="27" t="str">
        <f aca="false">IF($B7="","",IFERROR(INDEX(Properties!$D$5:$D$104,MATCH($B7,Properties!$A$5:$A$104,0)),"-"))</f>
        <v/>
      </c>
      <c r="L7" s="30" t="str">
        <f aca="false">IF($D7="","",$D7+Settings!$B$16)</f>
        <v/>
      </c>
      <c r="M7" s="31" t="str">
        <f aca="true">IF(OR($L7="",$I7="Claimed",$I7="Paid",$I7="Refused",$I7="Not claiming"),"",$L7-TODAY())</f>
        <v/>
      </c>
      <c r="N7" s="27" t="str">
        <f aca="false">IF($A7="","",IF($G7="","TELL HOST",IF($M7="","",IF($M7&lt;0,"Deadline passed",IF($M7&lt;=3,"Claim soon","")))))</f>
        <v/>
      </c>
    </row>
    <row r="8" customFormat="false" ht="15" hidden="false" customHeight="false" outlineLevel="0" collapsed="false">
      <c r="A8" s="22"/>
      <c r="B8" s="23"/>
      <c r="C8" s="23"/>
      <c r="D8" s="22"/>
      <c r="E8" s="23"/>
      <c r="F8" s="23"/>
      <c r="G8" s="22"/>
      <c r="H8" s="25"/>
      <c r="I8" s="23"/>
      <c r="J8" s="23"/>
      <c r="K8" s="27" t="str">
        <f aca="false">IF($B8="","",IFERROR(INDEX(Properties!$D$5:$D$104,MATCH($B8,Properties!$A$5:$A$104,0)),"-"))</f>
        <v/>
      </c>
      <c r="L8" s="30" t="str">
        <f aca="false">IF($D8="","",$D8+Settings!$B$16)</f>
        <v/>
      </c>
      <c r="M8" s="31" t="str">
        <f aca="true">IF(OR($L8="",$I8="Claimed",$I8="Paid",$I8="Refused",$I8="Not claiming"),"",$L8-TODAY())</f>
        <v/>
      </c>
      <c r="N8" s="27" t="str">
        <f aca="false">IF($A8="","",IF($G8="","TELL HOST",IF($M8="","",IF($M8&lt;0,"Deadline passed",IF($M8&lt;=3,"Claim soon","")))))</f>
        <v/>
      </c>
    </row>
    <row r="9" customFormat="false" ht="15" hidden="false" customHeight="false" outlineLevel="0" collapsed="false">
      <c r="A9" s="22"/>
      <c r="B9" s="23"/>
      <c r="C9" s="23"/>
      <c r="D9" s="22"/>
      <c r="E9" s="23"/>
      <c r="F9" s="23"/>
      <c r="G9" s="22"/>
      <c r="H9" s="25"/>
      <c r="I9" s="23"/>
      <c r="J9" s="23"/>
      <c r="K9" s="27" t="str">
        <f aca="false">IF($B9="","",IFERROR(INDEX(Properties!$D$5:$D$104,MATCH($B9,Properties!$A$5:$A$104,0)),"-"))</f>
        <v/>
      </c>
      <c r="L9" s="30" t="str">
        <f aca="false">IF($D9="","",$D9+Settings!$B$16)</f>
        <v/>
      </c>
      <c r="M9" s="31" t="str">
        <f aca="true">IF(OR($L9="",$I9="Claimed",$I9="Paid",$I9="Refused",$I9="Not claiming"),"",$L9-TODAY())</f>
        <v/>
      </c>
      <c r="N9" s="27" t="str">
        <f aca="false">IF($A9="","",IF($G9="","TELL HOST",IF($M9="","",IF($M9&lt;0,"Deadline passed",IF($M9&lt;=3,"Claim soon","")))))</f>
        <v/>
      </c>
    </row>
    <row r="10" customFormat="false" ht="15" hidden="false" customHeight="false" outlineLevel="0" collapsed="false">
      <c r="A10" s="22"/>
      <c r="B10" s="23"/>
      <c r="C10" s="23"/>
      <c r="D10" s="22"/>
      <c r="E10" s="23"/>
      <c r="F10" s="23"/>
      <c r="G10" s="22"/>
      <c r="H10" s="25"/>
      <c r="I10" s="23"/>
      <c r="J10" s="23"/>
      <c r="K10" s="27" t="str">
        <f aca="false">IF($B10="","",IFERROR(INDEX(Properties!$D$5:$D$104,MATCH($B10,Properties!$A$5:$A$104,0)),"-"))</f>
        <v/>
      </c>
      <c r="L10" s="30" t="str">
        <f aca="false">IF($D10="","",$D10+Settings!$B$16)</f>
        <v/>
      </c>
      <c r="M10" s="31" t="str">
        <f aca="true">IF(OR($L10="",$I10="Claimed",$I10="Paid",$I10="Refused",$I10="Not claiming"),"",$L10-TODAY())</f>
        <v/>
      </c>
      <c r="N10" s="27" t="str">
        <f aca="false">IF($A10="","",IF($G10="","TELL HOST",IF($M10="","",IF($M10&lt;0,"Deadline passed",IF($M10&lt;=3,"Claim soon","")))))</f>
        <v/>
      </c>
    </row>
    <row r="11" customFormat="false" ht="15" hidden="false" customHeight="false" outlineLevel="0" collapsed="false">
      <c r="A11" s="22"/>
      <c r="B11" s="23"/>
      <c r="C11" s="23"/>
      <c r="D11" s="22"/>
      <c r="E11" s="23"/>
      <c r="F11" s="23"/>
      <c r="G11" s="22"/>
      <c r="H11" s="25"/>
      <c r="I11" s="23"/>
      <c r="J11" s="23"/>
      <c r="K11" s="27" t="str">
        <f aca="false">IF($B11="","",IFERROR(INDEX(Properties!$D$5:$D$104,MATCH($B11,Properties!$A$5:$A$104,0)),"-"))</f>
        <v/>
      </c>
      <c r="L11" s="30" t="str">
        <f aca="false">IF($D11="","",$D11+Settings!$B$16)</f>
        <v/>
      </c>
      <c r="M11" s="31" t="str">
        <f aca="true">IF(OR($L11="",$I11="Claimed",$I11="Paid",$I11="Refused",$I11="Not claiming"),"",$L11-TODAY())</f>
        <v/>
      </c>
      <c r="N11" s="27" t="str">
        <f aca="false">IF($A11="","",IF($G11="","TELL HOST",IF($M11="","",IF($M11&lt;0,"Deadline passed",IF($M11&lt;=3,"Claim soon","")))))</f>
        <v/>
      </c>
    </row>
    <row r="12" customFormat="false" ht="15" hidden="false" customHeight="false" outlineLevel="0" collapsed="false">
      <c r="A12" s="22"/>
      <c r="B12" s="23"/>
      <c r="C12" s="23"/>
      <c r="D12" s="22"/>
      <c r="E12" s="23"/>
      <c r="F12" s="23"/>
      <c r="G12" s="22"/>
      <c r="H12" s="25"/>
      <c r="I12" s="23"/>
      <c r="J12" s="23"/>
      <c r="K12" s="27" t="str">
        <f aca="false">IF($B12="","",IFERROR(INDEX(Properties!$D$5:$D$104,MATCH($B12,Properties!$A$5:$A$104,0)),"-"))</f>
        <v/>
      </c>
      <c r="L12" s="30" t="str">
        <f aca="false">IF($D12="","",$D12+Settings!$B$16)</f>
        <v/>
      </c>
      <c r="M12" s="31" t="str">
        <f aca="true">IF(OR($L12="",$I12="Claimed",$I12="Paid",$I12="Refused",$I12="Not claiming"),"",$L12-TODAY())</f>
        <v/>
      </c>
      <c r="N12" s="27" t="str">
        <f aca="false">IF($A12="","",IF($G12="","TELL HOST",IF($M12="","",IF($M12&lt;0,"Deadline passed",IF($M12&lt;=3,"Claim soon","")))))</f>
        <v/>
      </c>
    </row>
    <row r="13" customFormat="false" ht="15" hidden="false" customHeight="false" outlineLevel="0" collapsed="false">
      <c r="A13" s="22"/>
      <c r="B13" s="23"/>
      <c r="C13" s="23"/>
      <c r="D13" s="22"/>
      <c r="E13" s="23"/>
      <c r="F13" s="23"/>
      <c r="G13" s="22"/>
      <c r="H13" s="25"/>
      <c r="I13" s="23"/>
      <c r="J13" s="23"/>
      <c r="K13" s="27" t="str">
        <f aca="false">IF($B13="","",IFERROR(INDEX(Properties!$D$5:$D$104,MATCH($B13,Properties!$A$5:$A$104,0)),"-"))</f>
        <v/>
      </c>
      <c r="L13" s="30" t="str">
        <f aca="false">IF($D13="","",$D13+Settings!$B$16)</f>
        <v/>
      </c>
      <c r="M13" s="31" t="str">
        <f aca="true">IF(OR($L13="",$I13="Claimed",$I13="Paid",$I13="Refused",$I13="Not claiming"),"",$L13-TODAY())</f>
        <v/>
      </c>
      <c r="N13" s="27" t="str">
        <f aca="false">IF($A13="","",IF($G13="","TELL HOST",IF($M13="","",IF($M13&lt;0,"Deadline passed",IF($M13&lt;=3,"Claim soon","")))))</f>
        <v/>
      </c>
    </row>
    <row r="14" customFormat="false" ht="15" hidden="false" customHeight="false" outlineLevel="0" collapsed="false">
      <c r="A14" s="22"/>
      <c r="B14" s="23"/>
      <c r="C14" s="23"/>
      <c r="D14" s="22"/>
      <c r="E14" s="23"/>
      <c r="F14" s="23"/>
      <c r="G14" s="22"/>
      <c r="H14" s="25"/>
      <c r="I14" s="23"/>
      <c r="J14" s="23"/>
      <c r="K14" s="27" t="str">
        <f aca="false">IF($B14="","",IFERROR(INDEX(Properties!$D$5:$D$104,MATCH($B14,Properties!$A$5:$A$104,0)),"-"))</f>
        <v/>
      </c>
      <c r="L14" s="30" t="str">
        <f aca="false">IF($D14="","",$D14+Settings!$B$16)</f>
        <v/>
      </c>
      <c r="M14" s="31" t="str">
        <f aca="true">IF(OR($L14="",$I14="Claimed",$I14="Paid",$I14="Refused",$I14="Not claiming"),"",$L14-TODAY())</f>
        <v/>
      </c>
      <c r="N14" s="27" t="str">
        <f aca="false">IF($A14="","",IF($G14="","TELL HOST",IF($M14="","",IF($M14&lt;0,"Deadline passed",IF($M14&lt;=3,"Claim soon","")))))</f>
        <v/>
      </c>
    </row>
    <row r="15" customFormat="false" ht="15" hidden="false" customHeight="false" outlineLevel="0" collapsed="false">
      <c r="A15" s="22"/>
      <c r="B15" s="23"/>
      <c r="C15" s="23"/>
      <c r="D15" s="22"/>
      <c r="E15" s="23"/>
      <c r="F15" s="23"/>
      <c r="G15" s="22"/>
      <c r="H15" s="25"/>
      <c r="I15" s="23"/>
      <c r="J15" s="23"/>
      <c r="K15" s="27" t="str">
        <f aca="false">IF($B15="","",IFERROR(INDEX(Properties!$D$5:$D$104,MATCH($B15,Properties!$A$5:$A$104,0)),"-"))</f>
        <v/>
      </c>
      <c r="L15" s="30" t="str">
        <f aca="false">IF($D15="","",$D15+Settings!$B$16)</f>
        <v/>
      </c>
      <c r="M15" s="31" t="str">
        <f aca="true">IF(OR($L15="",$I15="Claimed",$I15="Paid",$I15="Refused",$I15="Not claiming"),"",$L15-TODAY())</f>
        <v/>
      </c>
      <c r="N15" s="27" t="str">
        <f aca="false">IF($A15="","",IF($G15="","TELL HOST",IF($M15="","",IF($M15&lt;0,"Deadline passed",IF($M15&lt;=3,"Claim soon","")))))</f>
        <v/>
      </c>
    </row>
    <row r="16" customFormat="false" ht="15" hidden="false" customHeight="false" outlineLevel="0" collapsed="false">
      <c r="A16" s="22"/>
      <c r="B16" s="23"/>
      <c r="C16" s="23"/>
      <c r="D16" s="22"/>
      <c r="E16" s="23"/>
      <c r="F16" s="23"/>
      <c r="G16" s="22"/>
      <c r="H16" s="25"/>
      <c r="I16" s="23"/>
      <c r="J16" s="23"/>
      <c r="K16" s="27" t="str">
        <f aca="false">IF($B16="","",IFERROR(INDEX(Properties!$D$5:$D$104,MATCH($B16,Properties!$A$5:$A$104,0)),"-"))</f>
        <v/>
      </c>
      <c r="L16" s="30" t="str">
        <f aca="false">IF($D16="","",$D16+Settings!$B$16)</f>
        <v/>
      </c>
      <c r="M16" s="31" t="str">
        <f aca="true">IF(OR($L16="",$I16="Claimed",$I16="Paid",$I16="Refused",$I16="Not claiming"),"",$L16-TODAY())</f>
        <v/>
      </c>
      <c r="N16" s="27" t="str">
        <f aca="false">IF($A16="","",IF($G16="","TELL HOST",IF($M16="","",IF($M16&lt;0,"Deadline passed",IF($M16&lt;=3,"Claim soon","")))))</f>
        <v/>
      </c>
    </row>
    <row r="17" customFormat="false" ht="15" hidden="false" customHeight="false" outlineLevel="0" collapsed="false">
      <c r="A17" s="22"/>
      <c r="B17" s="23"/>
      <c r="C17" s="23"/>
      <c r="D17" s="22"/>
      <c r="E17" s="23"/>
      <c r="F17" s="23"/>
      <c r="G17" s="22"/>
      <c r="H17" s="25"/>
      <c r="I17" s="23"/>
      <c r="J17" s="23"/>
      <c r="K17" s="27" t="str">
        <f aca="false">IF($B17="","",IFERROR(INDEX(Properties!$D$5:$D$104,MATCH($B17,Properties!$A$5:$A$104,0)),"-"))</f>
        <v/>
      </c>
      <c r="L17" s="30" t="str">
        <f aca="false">IF($D17="","",$D17+Settings!$B$16)</f>
        <v/>
      </c>
      <c r="M17" s="31" t="str">
        <f aca="true">IF(OR($L17="",$I17="Claimed",$I17="Paid",$I17="Refused",$I17="Not claiming"),"",$L17-TODAY())</f>
        <v/>
      </c>
      <c r="N17" s="27" t="str">
        <f aca="false">IF($A17="","",IF($G17="","TELL HOST",IF($M17="","",IF($M17&lt;0,"Deadline passed",IF($M17&lt;=3,"Claim soon","")))))</f>
        <v/>
      </c>
    </row>
    <row r="18" customFormat="false" ht="15" hidden="false" customHeight="false" outlineLevel="0" collapsed="false">
      <c r="A18" s="22"/>
      <c r="B18" s="23"/>
      <c r="C18" s="23"/>
      <c r="D18" s="22"/>
      <c r="E18" s="23"/>
      <c r="F18" s="23"/>
      <c r="G18" s="22"/>
      <c r="H18" s="25"/>
      <c r="I18" s="23"/>
      <c r="J18" s="23"/>
      <c r="K18" s="27" t="str">
        <f aca="false">IF($B18="","",IFERROR(INDEX(Properties!$D$5:$D$104,MATCH($B18,Properties!$A$5:$A$104,0)),"-"))</f>
        <v/>
      </c>
      <c r="L18" s="30" t="str">
        <f aca="false">IF($D18="","",$D18+Settings!$B$16)</f>
        <v/>
      </c>
      <c r="M18" s="31" t="str">
        <f aca="true">IF(OR($L18="",$I18="Claimed",$I18="Paid",$I18="Refused",$I18="Not claiming"),"",$L18-TODAY())</f>
        <v/>
      </c>
      <c r="N18" s="27" t="str">
        <f aca="false">IF($A18="","",IF($G18="","TELL HOST",IF($M18="","",IF($M18&lt;0,"Deadline passed",IF($M18&lt;=3,"Claim soon","")))))</f>
        <v/>
      </c>
    </row>
    <row r="19" customFormat="false" ht="15" hidden="false" customHeight="false" outlineLevel="0" collapsed="false">
      <c r="A19" s="22"/>
      <c r="B19" s="23"/>
      <c r="C19" s="23"/>
      <c r="D19" s="22"/>
      <c r="E19" s="23"/>
      <c r="F19" s="23"/>
      <c r="G19" s="22"/>
      <c r="H19" s="25"/>
      <c r="I19" s="23"/>
      <c r="J19" s="23"/>
      <c r="K19" s="27" t="str">
        <f aca="false">IF($B19="","",IFERROR(INDEX(Properties!$D$5:$D$104,MATCH($B19,Properties!$A$5:$A$104,0)),"-"))</f>
        <v/>
      </c>
      <c r="L19" s="30" t="str">
        <f aca="false">IF($D19="","",$D19+Settings!$B$16)</f>
        <v/>
      </c>
      <c r="M19" s="31" t="str">
        <f aca="true">IF(OR($L19="",$I19="Claimed",$I19="Paid",$I19="Refused",$I19="Not claiming"),"",$L19-TODAY())</f>
        <v/>
      </c>
      <c r="N19" s="27" t="str">
        <f aca="false">IF($A19="","",IF($G19="","TELL HOST",IF($M19="","",IF($M19&lt;0,"Deadline passed",IF($M19&lt;=3,"Claim soon","")))))</f>
        <v/>
      </c>
    </row>
    <row r="20" customFormat="false" ht="15" hidden="false" customHeight="false" outlineLevel="0" collapsed="false">
      <c r="A20" s="22"/>
      <c r="B20" s="23"/>
      <c r="C20" s="23"/>
      <c r="D20" s="22"/>
      <c r="E20" s="23"/>
      <c r="F20" s="23"/>
      <c r="G20" s="22"/>
      <c r="H20" s="25"/>
      <c r="I20" s="23"/>
      <c r="J20" s="23"/>
      <c r="K20" s="27" t="str">
        <f aca="false">IF($B20="","",IFERROR(INDEX(Properties!$D$5:$D$104,MATCH($B20,Properties!$A$5:$A$104,0)),"-"))</f>
        <v/>
      </c>
      <c r="L20" s="30" t="str">
        <f aca="false">IF($D20="","",$D20+Settings!$B$16)</f>
        <v/>
      </c>
      <c r="M20" s="31" t="str">
        <f aca="true">IF(OR($L20="",$I20="Claimed",$I20="Paid",$I20="Refused",$I20="Not claiming"),"",$L20-TODAY())</f>
        <v/>
      </c>
      <c r="N20" s="27" t="str">
        <f aca="false">IF($A20="","",IF($G20="","TELL HOST",IF($M20="","",IF($M20&lt;0,"Deadline passed",IF($M20&lt;=3,"Claim soon","")))))</f>
        <v/>
      </c>
    </row>
    <row r="21" customFormat="false" ht="15" hidden="false" customHeight="false" outlineLevel="0" collapsed="false">
      <c r="A21" s="22"/>
      <c r="B21" s="23"/>
      <c r="C21" s="23"/>
      <c r="D21" s="22"/>
      <c r="E21" s="23"/>
      <c r="F21" s="23"/>
      <c r="G21" s="22"/>
      <c r="H21" s="25"/>
      <c r="I21" s="23"/>
      <c r="J21" s="23"/>
      <c r="K21" s="27" t="str">
        <f aca="false">IF($B21="","",IFERROR(INDEX(Properties!$D$5:$D$104,MATCH($B21,Properties!$A$5:$A$104,0)),"-"))</f>
        <v/>
      </c>
      <c r="L21" s="30" t="str">
        <f aca="false">IF($D21="","",$D21+Settings!$B$16)</f>
        <v/>
      </c>
      <c r="M21" s="31" t="str">
        <f aca="true">IF(OR($L21="",$I21="Claimed",$I21="Paid",$I21="Refused",$I21="Not claiming"),"",$L21-TODAY())</f>
        <v/>
      </c>
      <c r="N21" s="27" t="str">
        <f aca="false">IF($A21="","",IF($G21="","TELL HOST",IF($M21="","",IF($M21&lt;0,"Deadline passed",IF($M21&lt;=3,"Claim soon","")))))</f>
        <v/>
      </c>
    </row>
    <row r="22" customFormat="false" ht="15" hidden="false" customHeight="false" outlineLevel="0" collapsed="false">
      <c r="A22" s="22"/>
      <c r="B22" s="23"/>
      <c r="C22" s="23"/>
      <c r="D22" s="22"/>
      <c r="E22" s="23"/>
      <c r="F22" s="23"/>
      <c r="G22" s="22"/>
      <c r="H22" s="25"/>
      <c r="I22" s="23"/>
      <c r="J22" s="23"/>
      <c r="K22" s="27" t="str">
        <f aca="false">IF($B22="","",IFERROR(INDEX(Properties!$D$5:$D$104,MATCH($B22,Properties!$A$5:$A$104,0)),"-"))</f>
        <v/>
      </c>
      <c r="L22" s="30" t="str">
        <f aca="false">IF($D22="","",$D22+Settings!$B$16)</f>
        <v/>
      </c>
      <c r="M22" s="31" t="str">
        <f aca="true">IF(OR($L22="",$I22="Claimed",$I22="Paid",$I22="Refused",$I22="Not claiming"),"",$L22-TODAY())</f>
        <v/>
      </c>
      <c r="N22" s="27" t="str">
        <f aca="false">IF($A22="","",IF($G22="","TELL HOST",IF($M22="","",IF($M22&lt;0,"Deadline passed",IF($M22&lt;=3,"Claim soon","")))))</f>
        <v/>
      </c>
    </row>
    <row r="23" customFormat="false" ht="15" hidden="false" customHeight="false" outlineLevel="0" collapsed="false">
      <c r="A23" s="22"/>
      <c r="B23" s="23"/>
      <c r="C23" s="23"/>
      <c r="D23" s="22"/>
      <c r="E23" s="23"/>
      <c r="F23" s="23"/>
      <c r="G23" s="22"/>
      <c r="H23" s="25"/>
      <c r="I23" s="23"/>
      <c r="J23" s="23"/>
      <c r="K23" s="27" t="str">
        <f aca="false">IF($B23="","",IFERROR(INDEX(Properties!$D$5:$D$104,MATCH($B23,Properties!$A$5:$A$104,0)),"-"))</f>
        <v/>
      </c>
      <c r="L23" s="30" t="str">
        <f aca="false">IF($D23="","",$D23+Settings!$B$16)</f>
        <v/>
      </c>
      <c r="M23" s="31" t="str">
        <f aca="true">IF(OR($L23="",$I23="Claimed",$I23="Paid",$I23="Refused",$I23="Not claiming"),"",$L23-TODAY())</f>
        <v/>
      </c>
      <c r="N23" s="27" t="str">
        <f aca="false">IF($A23="","",IF($G23="","TELL HOST",IF($M23="","",IF($M23&lt;0,"Deadline passed",IF($M23&lt;=3,"Claim soon","")))))</f>
        <v/>
      </c>
    </row>
    <row r="24" customFormat="false" ht="15" hidden="false" customHeight="false" outlineLevel="0" collapsed="false">
      <c r="A24" s="22"/>
      <c r="B24" s="23"/>
      <c r="C24" s="23"/>
      <c r="D24" s="22"/>
      <c r="E24" s="23"/>
      <c r="F24" s="23"/>
      <c r="G24" s="22"/>
      <c r="H24" s="25"/>
      <c r="I24" s="23"/>
      <c r="J24" s="23"/>
      <c r="K24" s="27" t="str">
        <f aca="false">IF($B24="","",IFERROR(INDEX(Properties!$D$5:$D$104,MATCH($B24,Properties!$A$5:$A$104,0)),"-"))</f>
        <v/>
      </c>
      <c r="L24" s="30" t="str">
        <f aca="false">IF($D24="","",$D24+Settings!$B$16)</f>
        <v/>
      </c>
      <c r="M24" s="31" t="str">
        <f aca="true">IF(OR($L24="",$I24="Claimed",$I24="Paid",$I24="Refused",$I24="Not claiming"),"",$L24-TODAY())</f>
        <v/>
      </c>
      <c r="N24" s="27" t="str">
        <f aca="false">IF($A24="","",IF($G24="","TELL HOST",IF($M24="","",IF($M24&lt;0,"Deadline passed",IF($M24&lt;=3,"Claim soon","")))))</f>
        <v/>
      </c>
    </row>
    <row r="25" customFormat="false" ht="15" hidden="false" customHeight="false" outlineLevel="0" collapsed="false">
      <c r="A25" s="22"/>
      <c r="B25" s="23"/>
      <c r="C25" s="23"/>
      <c r="D25" s="22"/>
      <c r="E25" s="23"/>
      <c r="F25" s="23"/>
      <c r="G25" s="22"/>
      <c r="H25" s="25"/>
      <c r="I25" s="23"/>
      <c r="J25" s="23"/>
      <c r="K25" s="27" t="str">
        <f aca="false">IF($B25="","",IFERROR(INDEX(Properties!$D$5:$D$104,MATCH($B25,Properties!$A$5:$A$104,0)),"-"))</f>
        <v/>
      </c>
      <c r="L25" s="30" t="str">
        <f aca="false">IF($D25="","",$D25+Settings!$B$16)</f>
        <v/>
      </c>
      <c r="M25" s="31" t="str">
        <f aca="true">IF(OR($L25="",$I25="Claimed",$I25="Paid",$I25="Refused",$I25="Not claiming"),"",$L25-TODAY())</f>
        <v/>
      </c>
      <c r="N25" s="27" t="str">
        <f aca="false">IF($A25="","",IF($G25="","TELL HOST",IF($M25="","",IF($M25&lt;0,"Deadline passed",IF($M25&lt;=3,"Claim soon","")))))</f>
        <v/>
      </c>
    </row>
    <row r="26" customFormat="false" ht="15" hidden="false" customHeight="false" outlineLevel="0" collapsed="false">
      <c r="A26" s="22"/>
      <c r="B26" s="23"/>
      <c r="C26" s="23"/>
      <c r="D26" s="22"/>
      <c r="E26" s="23"/>
      <c r="F26" s="23"/>
      <c r="G26" s="22"/>
      <c r="H26" s="25"/>
      <c r="I26" s="23"/>
      <c r="J26" s="23"/>
      <c r="K26" s="27" t="str">
        <f aca="false">IF($B26="","",IFERROR(INDEX(Properties!$D$5:$D$104,MATCH($B26,Properties!$A$5:$A$104,0)),"-"))</f>
        <v/>
      </c>
      <c r="L26" s="30" t="str">
        <f aca="false">IF($D26="","",$D26+Settings!$B$16)</f>
        <v/>
      </c>
      <c r="M26" s="31" t="str">
        <f aca="true">IF(OR($L26="",$I26="Claimed",$I26="Paid",$I26="Refused",$I26="Not claiming"),"",$L26-TODAY())</f>
        <v/>
      </c>
      <c r="N26" s="27" t="str">
        <f aca="false">IF($A26="","",IF($G26="","TELL HOST",IF($M26="","",IF($M26&lt;0,"Deadline passed",IF($M26&lt;=3,"Claim soon","")))))</f>
        <v/>
      </c>
    </row>
    <row r="27" customFormat="false" ht="15" hidden="false" customHeight="false" outlineLevel="0" collapsed="false">
      <c r="A27" s="22"/>
      <c r="B27" s="23"/>
      <c r="C27" s="23"/>
      <c r="D27" s="22"/>
      <c r="E27" s="23"/>
      <c r="F27" s="23"/>
      <c r="G27" s="22"/>
      <c r="H27" s="25"/>
      <c r="I27" s="23"/>
      <c r="J27" s="23"/>
      <c r="K27" s="27" t="str">
        <f aca="false">IF($B27="","",IFERROR(INDEX(Properties!$D$5:$D$104,MATCH($B27,Properties!$A$5:$A$104,0)),"-"))</f>
        <v/>
      </c>
      <c r="L27" s="30" t="str">
        <f aca="false">IF($D27="","",$D27+Settings!$B$16)</f>
        <v/>
      </c>
      <c r="M27" s="31" t="str">
        <f aca="true">IF(OR($L27="",$I27="Claimed",$I27="Paid",$I27="Refused",$I27="Not claiming"),"",$L27-TODAY())</f>
        <v/>
      </c>
      <c r="N27" s="27" t="str">
        <f aca="false">IF($A27="","",IF($G27="","TELL HOST",IF($M27="","",IF($M27&lt;0,"Deadline passed",IF($M27&lt;=3,"Claim soon","")))))</f>
        <v/>
      </c>
    </row>
    <row r="28" customFormat="false" ht="15" hidden="false" customHeight="false" outlineLevel="0" collapsed="false">
      <c r="A28" s="22"/>
      <c r="B28" s="23"/>
      <c r="C28" s="23"/>
      <c r="D28" s="22"/>
      <c r="E28" s="23"/>
      <c r="F28" s="23"/>
      <c r="G28" s="22"/>
      <c r="H28" s="25"/>
      <c r="I28" s="23"/>
      <c r="J28" s="23"/>
      <c r="K28" s="27" t="str">
        <f aca="false">IF($B28="","",IFERROR(INDEX(Properties!$D$5:$D$104,MATCH($B28,Properties!$A$5:$A$104,0)),"-"))</f>
        <v/>
      </c>
      <c r="L28" s="30" t="str">
        <f aca="false">IF($D28="","",$D28+Settings!$B$16)</f>
        <v/>
      </c>
      <c r="M28" s="31" t="str">
        <f aca="true">IF(OR($L28="",$I28="Claimed",$I28="Paid",$I28="Refused",$I28="Not claiming"),"",$L28-TODAY())</f>
        <v/>
      </c>
      <c r="N28" s="27" t="str">
        <f aca="false">IF($A28="","",IF($G28="","TELL HOST",IF($M28="","",IF($M28&lt;0,"Deadline passed",IF($M28&lt;=3,"Claim soon","")))))</f>
        <v/>
      </c>
    </row>
    <row r="29" customFormat="false" ht="15" hidden="false" customHeight="false" outlineLevel="0" collapsed="false">
      <c r="A29" s="22"/>
      <c r="B29" s="23"/>
      <c r="C29" s="23"/>
      <c r="D29" s="22"/>
      <c r="E29" s="23"/>
      <c r="F29" s="23"/>
      <c r="G29" s="22"/>
      <c r="H29" s="25"/>
      <c r="I29" s="23"/>
      <c r="J29" s="23"/>
      <c r="K29" s="27" t="str">
        <f aca="false">IF($B29="","",IFERROR(INDEX(Properties!$D$5:$D$104,MATCH($B29,Properties!$A$5:$A$104,0)),"-"))</f>
        <v/>
      </c>
      <c r="L29" s="30" t="str">
        <f aca="false">IF($D29="","",$D29+Settings!$B$16)</f>
        <v/>
      </c>
      <c r="M29" s="31" t="str">
        <f aca="true">IF(OR($L29="",$I29="Claimed",$I29="Paid",$I29="Refused",$I29="Not claiming"),"",$L29-TODAY())</f>
        <v/>
      </c>
      <c r="N29" s="27" t="str">
        <f aca="false">IF($A29="","",IF($G29="","TELL HOST",IF($M29="","",IF($M29&lt;0,"Deadline passed",IF($M29&lt;=3,"Claim soon","")))))</f>
        <v/>
      </c>
    </row>
    <row r="30" customFormat="false" ht="15" hidden="false" customHeight="false" outlineLevel="0" collapsed="false">
      <c r="A30" s="22"/>
      <c r="B30" s="23"/>
      <c r="C30" s="23"/>
      <c r="D30" s="22"/>
      <c r="E30" s="23"/>
      <c r="F30" s="23"/>
      <c r="G30" s="22"/>
      <c r="H30" s="25"/>
      <c r="I30" s="23"/>
      <c r="J30" s="23"/>
      <c r="K30" s="27" t="str">
        <f aca="false">IF($B30="","",IFERROR(INDEX(Properties!$D$5:$D$104,MATCH($B30,Properties!$A$5:$A$104,0)),"-"))</f>
        <v/>
      </c>
      <c r="L30" s="30" t="str">
        <f aca="false">IF($D30="","",$D30+Settings!$B$16)</f>
        <v/>
      </c>
      <c r="M30" s="31" t="str">
        <f aca="true">IF(OR($L30="",$I30="Claimed",$I30="Paid",$I30="Refused",$I30="Not claiming"),"",$L30-TODAY())</f>
        <v/>
      </c>
      <c r="N30" s="27" t="str">
        <f aca="false">IF($A30="","",IF($G30="","TELL HOST",IF($M30="","",IF($M30&lt;0,"Deadline passed",IF($M30&lt;=3,"Claim soon","")))))</f>
        <v/>
      </c>
    </row>
    <row r="31" customFormat="false" ht="15" hidden="false" customHeight="false" outlineLevel="0" collapsed="false">
      <c r="A31" s="22"/>
      <c r="B31" s="23"/>
      <c r="C31" s="23"/>
      <c r="D31" s="22"/>
      <c r="E31" s="23"/>
      <c r="F31" s="23"/>
      <c r="G31" s="22"/>
      <c r="H31" s="25"/>
      <c r="I31" s="23"/>
      <c r="J31" s="23"/>
      <c r="K31" s="27" t="str">
        <f aca="false">IF($B31="","",IFERROR(INDEX(Properties!$D$5:$D$104,MATCH($B31,Properties!$A$5:$A$104,0)),"-"))</f>
        <v/>
      </c>
      <c r="L31" s="30" t="str">
        <f aca="false">IF($D31="","",$D31+Settings!$B$16)</f>
        <v/>
      </c>
      <c r="M31" s="31" t="str">
        <f aca="true">IF(OR($L31="",$I31="Claimed",$I31="Paid",$I31="Refused",$I31="Not claiming"),"",$L31-TODAY())</f>
        <v/>
      </c>
      <c r="N31" s="27" t="str">
        <f aca="false">IF($A31="","",IF($G31="","TELL HOST",IF($M31="","",IF($M31&lt;0,"Deadline passed",IF($M31&lt;=3,"Claim soon","")))))</f>
        <v/>
      </c>
    </row>
    <row r="32" customFormat="false" ht="15" hidden="false" customHeight="false" outlineLevel="0" collapsed="false">
      <c r="A32" s="22"/>
      <c r="B32" s="23"/>
      <c r="C32" s="23"/>
      <c r="D32" s="22"/>
      <c r="E32" s="23"/>
      <c r="F32" s="23"/>
      <c r="G32" s="22"/>
      <c r="H32" s="25"/>
      <c r="I32" s="23"/>
      <c r="J32" s="23"/>
      <c r="K32" s="27" t="str">
        <f aca="false">IF($B32="","",IFERROR(INDEX(Properties!$D$5:$D$104,MATCH($B32,Properties!$A$5:$A$104,0)),"-"))</f>
        <v/>
      </c>
      <c r="L32" s="30" t="str">
        <f aca="false">IF($D32="","",$D32+Settings!$B$16)</f>
        <v/>
      </c>
      <c r="M32" s="31" t="str">
        <f aca="true">IF(OR($L32="",$I32="Claimed",$I32="Paid",$I32="Refused",$I32="Not claiming"),"",$L32-TODAY())</f>
        <v/>
      </c>
      <c r="N32" s="27" t="str">
        <f aca="false">IF($A32="","",IF($G32="","TELL HOST",IF($M32="","",IF($M32&lt;0,"Deadline passed",IF($M32&lt;=3,"Claim soon","")))))</f>
        <v/>
      </c>
    </row>
    <row r="33" customFormat="false" ht="15" hidden="false" customHeight="false" outlineLevel="0" collapsed="false">
      <c r="A33" s="22"/>
      <c r="B33" s="23"/>
      <c r="C33" s="23"/>
      <c r="D33" s="22"/>
      <c r="E33" s="23"/>
      <c r="F33" s="23"/>
      <c r="G33" s="22"/>
      <c r="H33" s="25"/>
      <c r="I33" s="23"/>
      <c r="J33" s="23"/>
      <c r="K33" s="27" t="str">
        <f aca="false">IF($B33="","",IFERROR(INDEX(Properties!$D$5:$D$104,MATCH($B33,Properties!$A$5:$A$104,0)),"-"))</f>
        <v/>
      </c>
      <c r="L33" s="30" t="str">
        <f aca="false">IF($D33="","",$D33+Settings!$B$16)</f>
        <v/>
      </c>
      <c r="M33" s="31" t="str">
        <f aca="true">IF(OR($L33="",$I33="Claimed",$I33="Paid",$I33="Refused",$I33="Not claiming"),"",$L33-TODAY())</f>
        <v/>
      </c>
      <c r="N33" s="27" t="str">
        <f aca="false">IF($A33="","",IF($G33="","TELL HOST",IF($M33="","",IF($M33&lt;0,"Deadline passed",IF($M33&lt;=3,"Claim soon","")))))</f>
        <v/>
      </c>
    </row>
    <row r="34" customFormat="false" ht="15" hidden="false" customHeight="false" outlineLevel="0" collapsed="false">
      <c r="A34" s="22"/>
      <c r="B34" s="23"/>
      <c r="C34" s="23"/>
      <c r="D34" s="22"/>
      <c r="E34" s="23"/>
      <c r="F34" s="23"/>
      <c r="G34" s="22"/>
      <c r="H34" s="25"/>
      <c r="I34" s="23"/>
      <c r="J34" s="23"/>
      <c r="K34" s="27" t="str">
        <f aca="false">IF($B34="","",IFERROR(INDEX(Properties!$D$5:$D$104,MATCH($B34,Properties!$A$5:$A$104,0)),"-"))</f>
        <v/>
      </c>
      <c r="L34" s="30" t="str">
        <f aca="false">IF($D34="","",$D34+Settings!$B$16)</f>
        <v/>
      </c>
      <c r="M34" s="31" t="str">
        <f aca="true">IF(OR($L34="",$I34="Claimed",$I34="Paid",$I34="Refused",$I34="Not claiming"),"",$L34-TODAY())</f>
        <v/>
      </c>
      <c r="N34" s="27" t="str">
        <f aca="false">IF($A34="","",IF($G34="","TELL HOST",IF($M34="","",IF($M34&lt;0,"Deadline passed",IF($M34&lt;=3,"Claim soon","")))))</f>
        <v/>
      </c>
    </row>
    <row r="35" customFormat="false" ht="15" hidden="false" customHeight="false" outlineLevel="0" collapsed="false">
      <c r="A35" s="22"/>
      <c r="B35" s="23"/>
      <c r="C35" s="23"/>
      <c r="D35" s="22"/>
      <c r="E35" s="23"/>
      <c r="F35" s="23"/>
      <c r="G35" s="22"/>
      <c r="H35" s="25"/>
      <c r="I35" s="23"/>
      <c r="J35" s="23"/>
      <c r="K35" s="27" t="str">
        <f aca="false">IF($B35="","",IFERROR(INDEX(Properties!$D$5:$D$104,MATCH($B35,Properties!$A$5:$A$104,0)),"-"))</f>
        <v/>
      </c>
      <c r="L35" s="30" t="str">
        <f aca="false">IF($D35="","",$D35+Settings!$B$16)</f>
        <v/>
      </c>
      <c r="M35" s="31" t="str">
        <f aca="true">IF(OR($L35="",$I35="Claimed",$I35="Paid",$I35="Refused",$I35="Not claiming"),"",$L35-TODAY())</f>
        <v/>
      </c>
      <c r="N35" s="27" t="str">
        <f aca="false">IF($A35="","",IF($G35="","TELL HOST",IF($M35="","",IF($M35&lt;0,"Deadline passed",IF($M35&lt;=3,"Claim soon","")))))</f>
        <v/>
      </c>
    </row>
    <row r="36" customFormat="false" ht="15" hidden="false" customHeight="false" outlineLevel="0" collapsed="false">
      <c r="A36" s="22"/>
      <c r="B36" s="23"/>
      <c r="C36" s="23"/>
      <c r="D36" s="22"/>
      <c r="E36" s="23"/>
      <c r="F36" s="23"/>
      <c r="G36" s="22"/>
      <c r="H36" s="25"/>
      <c r="I36" s="23"/>
      <c r="J36" s="23"/>
      <c r="K36" s="27" t="str">
        <f aca="false">IF($B36="","",IFERROR(INDEX(Properties!$D$5:$D$104,MATCH($B36,Properties!$A$5:$A$104,0)),"-"))</f>
        <v/>
      </c>
      <c r="L36" s="30" t="str">
        <f aca="false">IF($D36="","",$D36+Settings!$B$16)</f>
        <v/>
      </c>
      <c r="M36" s="31" t="str">
        <f aca="true">IF(OR($L36="",$I36="Claimed",$I36="Paid",$I36="Refused",$I36="Not claiming"),"",$L36-TODAY())</f>
        <v/>
      </c>
      <c r="N36" s="27" t="str">
        <f aca="false">IF($A36="","",IF($G36="","TELL HOST",IF($M36="","",IF($M36&lt;0,"Deadline passed",IF($M36&lt;=3,"Claim soon","")))))</f>
        <v/>
      </c>
    </row>
    <row r="37" customFormat="false" ht="15" hidden="false" customHeight="false" outlineLevel="0" collapsed="false">
      <c r="A37" s="22"/>
      <c r="B37" s="23"/>
      <c r="C37" s="23"/>
      <c r="D37" s="22"/>
      <c r="E37" s="23"/>
      <c r="F37" s="23"/>
      <c r="G37" s="22"/>
      <c r="H37" s="25"/>
      <c r="I37" s="23"/>
      <c r="J37" s="23"/>
      <c r="K37" s="27" t="str">
        <f aca="false">IF($B37="","",IFERROR(INDEX(Properties!$D$5:$D$104,MATCH($B37,Properties!$A$5:$A$104,0)),"-"))</f>
        <v/>
      </c>
      <c r="L37" s="30" t="str">
        <f aca="false">IF($D37="","",$D37+Settings!$B$16)</f>
        <v/>
      </c>
      <c r="M37" s="31" t="str">
        <f aca="true">IF(OR($L37="",$I37="Claimed",$I37="Paid",$I37="Refused",$I37="Not claiming"),"",$L37-TODAY())</f>
        <v/>
      </c>
      <c r="N37" s="27" t="str">
        <f aca="false">IF($A37="","",IF($G37="","TELL HOST",IF($M37="","",IF($M37&lt;0,"Deadline passed",IF($M37&lt;=3,"Claim soon","")))))</f>
        <v/>
      </c>
    </row>
    <row r="38" customFormat="false" ht="15" hidden="false" customHeight="false" outlineLevel="0" collapsed="false">
      <c r="A38" s="22"/>
      <c r="B38" s="23"/>
      <c r="C38" s="23"/>
      <c r="D38" s="22"/>
      <c r="E38" s="23"/>
      <c r="F38" s="23"/>
      <c r="G38" s="22"/>
      <c r="H38" s="25"/>
      <c r="I38" s="23"/>
      <c r="J38" s="23"/>
      <c r="K38" s="27" t="str">
        <f aca="false">IF($B38="","",IFERROR(INDEX(Properties!$D$5:$D$104,MATCH($B38,Properties!$A$5:$A$104,0)),"-"))</f>
        <v/>
      </c>
      <c r="L38" s="30" t="str">
        <f aca="false">IF($D38="","",$D38+Settings!$B$16)</f>
        <v/>
      </c>
      <c r="M38" s="31" t="str">
        <f aca="true">IF(OR($L38="",$I38="Claimed",$I38="Paid",$I38="Refused",$I38="Not claiming"),"",$L38-TODAY())</f>
        <v/>
      </c>
      <c r="N38" s="27" t="str">
        <f aca="false">IF($A38="","",IF($G38="","TELL HOST",IF($M38="","",IF($M38&lt;0,"Deadline passed",IF($M38&lt;=3,"Claim soon","")))))</f>
        <v/>
      </c>
    </row>
    <row r="39" customFormat="false" ht="15" hidden="false" customHeight="false" outlineLevel="0" collapsed="false">
      <c r="A39" s="22"/>
      <c r="B39" s="23"/>
      <c r="C39" s="23"/>
      <c r="D39" s="22"/>
      <c r="E39" s="23"/>
      <c r="F39" s="23"/>
      <c r="G39" s="22"/>
      <c r="H39" s="25"/>
      <c r="I39" s="23"/>
      <c r="J39" s="23"/>
      <c r="K39" s="27" t="str">
        <f aca="false">IF($B39="","",IFERROR(INDEX(Properties!$D$5:$D$104,MATCH($B39,Properties!$A$5:$A$104,0)),"-"))</f>
        <v/>
      </c>
      <c r="L39" s="30" t="str">
        <f aca="false">IF($D39="","",$D39+Settings!$B$16)</f>
        <v/>
      </c>
      <c r="M39" s="31" t="str">
        <f aca="true">IF(OR($L39="",$I39="Claimed",$I39="Paid",$I39="Refused",$I39="Not claiming"),"",$L39-TODAY())</f>
        <v/>
      </c>
      <c r="N39" s="27" t="str">
        <f aca="false">IF($A39="","",IF($G39="","TELL HOST",IF($M39="","",IF($M39&lt;0,"Deadline passed",IF($M39&lt;=3,"Claim soon","")))))</f>
        <v/>
      </c>
    </row>
    <row r="40" customFormat="false" ht="15" hidden="false" customHeight="false" outlineLevel="0" collapsed="false">
      <c r="A40" s="22"/>
      <c r="B40" s="23"/>
      <c r="C40" s="23"/>
      <c r="D40" s="22"/>
      <c r="E40" s="23"/>
      <c r="F40" s="23"/>
      <c r="G40" s="22"/>
      <c r="H40" s="25"/>
      <c r="I40" s="23"/>
      <c r="J40" s="23"/>
      <c r="K40" s="27" t="str">
        <f aca="false">IF($B40="","",IFERROR(INDEX(Properties!$D$5:$D$104,MATCH($B40,Properties!$A$5:$A$104,0)),"-"))</f>
        <v/>
      </c>
      <c r="L40" s="30" t="str">
        <f aca="false">IF($D40="","",$D40+Settings!$B$16)</f>
        <v/>
      </c>
      <c r="M40" s="31" t="str">
        <f aca="true">IF(OR($L40="",$I40="Claimed",$I40="Paid",$I40="Refused",$I40="Not claiming"),"",$L40-TODAY())</f>
        <v/>
      </c>
      <c r="N40" s="27" t="str">
        <f aca="false">IF($A40="","",IF($G40="","TELL HOST",IF($M40="","",IF($M40&lt;0,"Deadline passed",IF($M40&lt;=3,"Claim soon","")))))</f>
        <v/>
      </c>
    </row>
    <row r="41" customFormat="false" ht="15" hidden="false" customHeight="false" outlineLevel="0" collapsed="false">
      <c r="A41" s="22"/>
      <c r="B41" s="23"/>
      <c r="C41" s="23"/>
      <c r="D41" s="22"/>
      <c r="E41" s="23"/>
      <c r="F41" s="23"/>
      <c r="G41" s="22"/>
      <c r="H41" s="25"/>
      <c r="I41" s="23"/>
      <c r="J41" s="23"/>
      <c r="K41" s="27" t="str">
        <f aca="false">IF($B41="","",IFERROR(INDEX(Properties!$D$5:$D$104,MATCH($B41,Properties!$A$5:$A$104,0)),"-"))</f>
        <v/>
      </c>
      <c r="L41" s="30" t="str">
        <f aca="false">IF($D41="","",$D41+Settings!$B$16)</f>
        <v/>
      </c>
      <c r="M41" s="31" t="str">
        <f aca="true">IF(OR($L41="",$I41="Claimed",$I41="Paid",$I41="Refused",$I41="Not claiming"),"",$L41-TODAY())</f>
        <v/>
      </c>
      <c r="N41" s="27" t="str">
        <f aca="false">IF($A41="","",IF($G41="","TELL HOST",IF($M41="","",IF($M41&lt;0,"Deadline passed",IF($M41&lt;=3,"Claim soon","")))))</f>
        <v/>
      </c>
    </row>
    <row r="42" customFormat="false" ht="15" hidden="false" customHeight="false" outlineLevel="0" collapsed="false">
      <c r="A42" s="22"/>
      <c r="B42" s="23"/>
      <c r="C42" s="23"/>
      <c r="D42" s="22"/>
      <c r="E42" s="23"/>
      <c r="F42" s="23"/>
      <c r="G42" s="22"/>
      <c r="H42" s="25"/>
      <c r="I42" s="23"/>
      <c r="J42" s="23"/>
      <c r="K42" s="27" t="str">
        <f aca="false">IF($B42="","",IFERROR(INDEX(Properties!$D$5:$D$104,MATCH($B42,Properties!$A$5:$A$104,0)),"-"))</f>
        <v/>
      </c>
      <c r="L42" s="30" t="str">
        <f aca="false">IF($D42="","",$D42+Settings!$B$16)</f>
        <v/>
      </c>
      <c r="M42" s="31" t="str">
        <f aca="true">IF(OR($L42="",$I42="Claimed",$I42="Paid",$I42="Refused",$I42="Not claiming"),"",$L42-TODAY())</f>
        <v/>
      </c>
      <c r="N42" s="27" t="str">
        <f aca="false">IF($A42="","",IF($G42="","TELL HOST",IF($M42="","",IF($M42&lt;0,"Deadline passed",IF($M42&lt;=3,"Claim soon","")))))</f>
        <v/>
      </c>
    </row>
    <row r="43" customFormat="false" ht="15" hidden="false" customHeight="false" outlineLevel="0" collapsed="false">
      <c r="A43" s="22"/>
      <c r="B43" s="23"/>
      <c r="C43" s="23"/>
      <c r="D43" s="22"/>
      <c r="E43" s="23"/>
      <c r="F43" s="23"/>
      <c r="G43" s="22"/>
      <c r="H43" s="25"/>
      <c r="I43" s="23"/>
      <c r="J43" s="23"/>
      <c r="K43" s="27" t="str">
        <f aca="false">IF($B43="","",IFERROR(INDEX(Properties!$D$5:$D$104,MATCH($B43,Properties!$A$5:$A$104,0)),"-"))</f>
        <v/>
      </c>
      <c r="L43" s="30" t="str">
        <f aca="false">IF($D43="","",$D43+Settings!$B$16)</f>
        <v/>
      </c>
      <c r="M43" s="31" t="str">
        <f aca="true">IF(OR($L43="",$I43="Claimed",$I43="Paid",$I43="Refused",$I43="Not claiming"),"",$L43-TODAY())</f>
        <v/>
      </c>
      <c r="N43" s="27" t="str">
        <f aca="false">IF($A43="","",IF($G43="","TELL HOST",IF($M43="","",IF($M43&lt;0,"Deadline passed",IF($M43&lt;=3,"Claim soon","")))))</f>
        <v/>
      </c>
    </row>
    <row r="44" customFormat="false" ht="15" hidden="false" customHeight="false" outlineLevel="0" collapsed="false">
      <c r="A44" s="22"/>
      <c r="B44" s="23"/>
      <c r="C44" s="23"/>
      <c r="D44" s="22"/>
      <c r="E44" s="23"/>
      <c r="F44" s="23"/>
      <c r="G44" s="22"/>
      <c r="H44" s="25"/>
      <c r="I44" s="23"/>
      <c r="J44" s="23"/>
      <c r="K44" s="27" t="str">
        <f aca="false">IF($B44="","",IFERROR(INDEX(Properties!$D$5:$D$104,MATCH($B44,Properties!$A$5:$A$104,0)),"-"))</f>
        <v/>
      </c>
      <c r="L44" s="30" t="str">
        <f aca="false">IF($D44="","",$D44+Settings!$B$16)</f>
        <v/>
      </c>
      <c r="M44" s="31" t="str">
        <f aca="true">IF(OR($L44="",$I44="Claimed",$I44="Paid",$I44="Refused",$I44="Not claiming"),"",$L44-TODAY())</f>
        <v/>
      </c>
      <c r="N44" s="27" t="str">
        <f aca="false">IF($A44="","",IF($G44="","TELL HOST",IF($M44="","",IF($M44&lt;0,"Deadline passed",IF($M44&lt;=3,"Claim soon","")))))</f>
        <v/>
      </c>
    </row>
    <row r="45" customFormat="false" ht="15" hidden="false" customHeight="false" outlineLevel="0" collapsed="false">
      <c r="A45" s="22"/>
      <c r="B45" s="23"/>
      <c r="C45" s="23"/>
      <c r="D45" s="22"/>
      <c r="E45" s="23"/>
      <c r="F45" s="23"/>
      <c r="G45" s="22"/>
      <c r="H45" s="25"/>
      <c r="I45" s="23"/>
      <c r="J45" s="23"/>
      <c r="K45" s="27" t="str">
        <f aca="false">IF($B45="","",IFERROR(INDEX(Properties!$D$5:$D$104,MATCH($B45,Properties!$A$5:$A$104,0)),"-"))</f>
        <v/>
      </c>
      <c r="L45" s="30" t="str">
        <f aca="false">IF($D45="","",$D45+Settings!$B$16)</f>
        <v/>
      </c>
      <c r="M45" s="31" t="str">
        <f aca="true">IF(OR($L45="",$I45="Claimed",$I45="Paid",$I45="Refused",$I45="Not claiming"),"",$L45-TODAY())</f>
        <v/>
      </c>
      <c r="N45" s="27" t="str">
        <f aca="false">IF($A45="","",IF($G45="","TELL HOST",IF($M45="","",IF($M45&lt;0,"Deadline passed",IF($M45&lt;=3,"Claim soon","")))))</f>
        <v/>
      </c>
    </row>
    <row r="46" customFormat="false" ht="15" hidden="false" customHeight="false" outlineLevel="0" collapsed="false">
      <c r="A46" s="22"/>
      <c r="B46" s="23"/>
      <c r="C46" s="23"/>
      <c r="D46" s="22"/>
      <c r="E46" s="23"/>
      <c r="F46" s="23"/>
      <c r="G46" s="22"/>
      <c r="H46" s="25"/>
      <c r="I46" s="23"/>
      <c r="J46" s="23"/>
      <c r="K46" s="27" t="str">
        <f aca="false">IF($B46="","",IFERROR(INDEX(Properties!$D$5:$D$104,MATCH($B46,Properties!$A$5:$A$104,0)),"-"))</f>
        <v/>
      </c>
      <c r="L46" s="30" t="str">
        <f aca="false">IF($D46="","",$D46+Settings!$B$16)</f>
        <v/>
      </c>
      <c r="M46" s="31" t="str">
        <f aca="true">IF(OR($L46="",$I46="Claimed",$I46="Paid",$I46="Refused",$I46="Not claiming"),"",$L46-TODAY())</f>
        <v/>
      </c>
      <c r="N46" s="27" t="str">
        <f aca="false">IF($A46="","",IF($G46="","TELL HOST",IF($M46="","",IF($M46&lt;0,"Deadline passed",IF($M46&lt;=3,"Claim soon","")))))</f>
        <v/>
      </c>
    </row>
    <row r="47" customFormat="false" ht="15" hidden="false" customHeight="false" outlineLevel="0" collapsed="false">
      <c r="A47" s="22"/>
      <c r="B47" s="23"/>
      <c r="C47" s="23"/>
      <c r="D47" s="22"/>
      <c r="E47" s="23"/>
      <c r="F47" s="23"/>
      <c r="G47" s="22"/>
      <c r="H47" s="25"/>
      <c r="I47" s="23"/>
      <c r="J47" s="23"/>
      <c r="K47" s="27" t="str">
        <f aca="false">IF($B47="","",IFERROR(INDEX(Properties!$D$5:$D$104,MATCH($B47,Properties!$A$5:$A$104,0)),"-"))</f>
        <v/>
      </c>
      <c r="L47" s="30" t="str">
        <f aca="false">IF($D47="","",$D47+Settings!$B$16)</f>
        <v/>
      </c>
      <c r="M47" s="31" t="str">
        <f aca="true">IF(OR($L47="",$I47="Claimed",$I47="Paid",$I47="Refused",$I47="Not claiming"),"",$L47-TODAY())</f>
        <v/>
      </c>
      <c r="N47" s="27" t="str">
        <f aca="false">IF($A47="","",IF($G47="","TELL HOST",IF($M47="","",IF($M47&lt;0,"Deadline passed",IF($M47&lt;=3,"Claim soon","")))))</f>
        <v/>
      </c>
    </row>
    <row r="48" customFormat="false" ht="15" hidden="false" customHeight="false" outlineLevel="0" collapsed="false">
      <c r="A48" s="22"/>
      <c r="B48" s="23"/>
      <c r="C48" s="23"/>
      <c r="D48" s="22"/>
      <c r="E48" s="23"/>
      <c r="F48" s="23"/>
      <c r="G48" s="22"/>
      <c r="H48" s="25"/>
      <c r="I48" s="23"/>
      <c r="J48" s="23"/>
      <c r="K48" s="27" t="str">
        <f aca="false">IF($B48="","",IFERROR(INDEX(Properties!$D$5:$D$104,MATCH($B48,Properties!$A$5:$A$104,0)),"-"))</f>
        <v/>
      </c>
      <c r="L48" s="30" t="str">
        <f aca="false">IF($D48="","",$D48+Settings!$B$16)</f>
        <v/>
      </c>
      <c r="M48" s="31" t="str">
        <f aca="true">IF(OR($L48="",$I48="Claimed",$I48="Paid",$I48="Refused",$I48="Not claiming"),"",$L48-TODAY())</f>
        <v/>
      </c>
      <c r="N48" s="27" t="str">
        <f aca="false">IF($A48="","",IF($G48="","TELL HOST",IF($M48="","",IF($M48&lt;0,"Deadline passed",IF($M48&lt;=3,"Claim soon","")))))</f>
        <v/>
      </c>
    </row>
    <row r="49" customFormat="false" ht="15" hidden="false" customHeight="false" outlineLevel="0" collapsed="false">
      <c r="A49" s="22"/>
      <c r="B49" s="23"/>
      <c r="C49" s="23"/>
      <c r="D49" s="22"/>
      <c r="E49" s="23"/>
      <c r="F49" s="23"/>
      <c r="G49" s="22"/>
      <c r="H49" s="25"/>
      <c r="I49" s="23"/>
      <c r="J49" s="23"/>
      <c r="K49" s="27" t="str">
        <f aca="false">IF($B49="","",IFERROR(INDEX(Properties!$D$5:$D$104,MATCH($B49,Properties!$A$5:$A$104,0)),"-"))</f>
        <v/>
      </c>
      <c r="L49" s="30" t="str">
        <f aca="false">IF($D49="","",$D49+Settings!$B$16)</f>
        <v/>
      </c>
      <c r="M49" s="31" t="str">
        <f aca="true">IF(OR($L49="",$I49="Claimed",$I49="Paid",$I49="Refused",$I49="Not claiming"),"",$L49-TODAY())</f>
        <v/>
      </c>
      <c r="N49" s="27" t="str">
        <f aca="false">IF($A49="","",IF($G49="","TELL HOST",IF($M49="","",IF($M49&lt;0,"Deadline passed",IF($M49&lt;=3,"Claim soon","")))))</f>
        <v/>
      </c>
    </row>
    <row r="50" customFormat="false" ht="15" hidden="false" customHeight="false" outlineLevel="0" collapsed="false">
      <c r="A50" s="22"/>
      <c r="B50" s="23"/>
      <c r="C50" s="23"/>
      <c r="D50" s="22"/>
      <c r="E50" s="23"/>
      <c r="F50" s="23"/>
      <c r="G50" s="22"/>
      <c r="H50" s="25"/>
      <c r="I50" s="23"/>
      <c r="J50" s="23"/>
      <c r="K50" s="27" t="str">
        <f aca="false">IF($B50="","",IFERROR(INDEX(Properties!$D$5:$D$104,MATCH($B50,Properties!$A$5:$A$104,0)),"-"))</f>
        <v/>
      </c>
      <c r="L50" s="30" t="str">
        <f aca="false">IF($D50="","",$D50+Settings!$B$16)</f>
        <v/>
      </c>
      <c r="M50" s="31" t="str">
        <f aca="true">IF(OR($L50="",$I50="Claimed",$I50="Paid",$I50="Refused",$I50="Not claiming"),"",$L50-TODAY())</f>
        <v/>
      </c>
      <c r="N50" s="27" t="str">
        <f aca="false">IF($A50="","",IF($G50="","TELL HOST",IF($M50="","",IF($M50&lt;0,"Deadline passed",IF($M50&lt;=3,"Claim soon","")))))</f>
        <v/>
      </c>
    </row>
    <row r="51" customFormat="false" ht="15" hidden="false" customHeight="false" outlineLevel="0" collapsed="false">
      <c r="A51" s="22"/>
      <c r="B51" s="23"/>
      <c r="C51" s="23"/>
      <c r="D51" s="22"/>
      <c r="E51" s="23"/>
      <c r="F51" s="23"/>
      <c r="G51" s="22"/>
      <c r="H51" s="25"/>
      <c r="I51" s="23"/>
      <c r="J51" s="23"/>
      <c r="K51" s="27" t="str">
        <f aca="false">IF($B51="","",IFERROR(INDEX(Properties!$D$5:$D$104,MATCH($B51,Properties!$A$5:$A$104,0)),"-"))</f>
        <v/>
      </c>
      <c r="L51" s="30" t="str">
        <f aca="false">IF($D51="","",$D51+Settings!$B$16)</f>
        <v/>
      </c>
      <c r="M51" s="31" t="str">
        <f aca="true">IF(OR($L51="",$I51="Claimed",$I51="Paid",$I51="Refused",$I51="Not claiming"),"",$L51-TODAY())</f>
        <v/>
      </c>
      <c r="N51" s="27" t="str">
        <f aca="false">IF($A51="","",IF($G51="","TELL HOST",IF($M51="","",IF($M51&lt;0,"Deadline passed",IF($M51&lt;=3,"Claim soon","")))))</f>
        <v/>
      </c>
    </row>
    <row r="52" customFormat="false" ht="15" hidden="false" customHeight="false" outlineLevel="0" collapsed="false">
      <c r="A52" s="22"/>
      <c r="B52" s="23"/>
      <c r="C52" s="23"/>
      <c r="D52" s="22"/>
      <c r="E52" s="23"/>
      <c r="F52" s="23"/>
      <c r="G52" s="22"/>
      <c r="H52" s="25"/>
      <c r="I52" s="23"/>
      <c r="J52" s="23"/>
      <c r="K52" s="27" t="str">
        <f aca="false">IF($B52="","",IFERROR(INDEX(Properties!$D$5:$D$104,MATCH($B52,Properties!$A$5:$A$104,0)),"-"))</f>
        <v/>
      </c>
      <c r="L52" s="30" t="str">
        <f aca="false">IF($D52="","",$D52+Settings!$B$16)</f>
        <v/>
      </c>
      <c r="M52" s="31" t="str">
        <f aca="true">IF(OR($L52="",$I52="Claimed",$I52="Paid",$I52="Refused",$I52="Not claiming"),"",$L52-TODAY())</f>
        <v/>
      </c>
      <c r="N52" s="27" t="str">
        <f aca="false">IF($A52="","",IF($G52="","TELL HOST",IF($M52="","",IF($M52&lt;0,"Deadline passed",IF($M52&lt;=3,"Claim soon","")))))</f>
        <v/>
      </c>
    </row>
    <row r="53" customFormat="false" ht="15" hidden="false" customHeight="false" outlineLevel="0" collapsed="false">
      <c r="A53" s="22"/>
      <c r="B53" s="23"/>
      <c r="C53" s="23"/>
      <c r="D53" s="22"/>
      <c r="E53" s="23"/>
      <c r="F53" s="23"/>
      <c r="G53" s="22"/>
      <c r="H53" s="25"/>
      <c r="I53" s="23"/>
      <c r="J53" s="23"/>
      <c r="K53" s="27" t="str">
        <f aca="false">IF($B53="","",IFERROR(INDEX(Properties!$D$5:$D$104,MATCH($B53,Properties!$A$5:$A$104,0)),"-"))</f>
        <v/>
      </c>
      <c r="L53" s="30" t="str">
        <f aca="false">IF($D53="","",$D53+Settings!$B$16)</f>
        <v/>
      </c>
      <c r="M53" s="31" t="str">
        <f aca="true">IF(OR($L53="",$I53="Claimed",$I53="Paid",$I53="Refused",$I53="Not claiming"),"",$L53-TODAY())</f>
        <v/>
      </c>
      <c r="N53" s="27" t="str">
        <f aca="false">IF($A53="","",IF($G53="","TELL HOST",IF($M53="","",IF($M53&lt;0,"Deadline passed",IF($M53&lt;=3,"Claim soon","")))))</f>
        <v/>
      </c>
    </row>
    <row r="54" customFormat="false" ht="15" hidden="false" customHeight="false" outlineLevel="0" collapsed="false">
      <c r="A54" s="22"/>
      <c r="B54" s="23"/>
      <c r="C54" s="23"/>
      <c r="D54" s="22"/>
      <c r="E54" s="23"/>
      <c r="F54" s="23"/>
      <c r="G54" s="22"/>
      <c r="H54" s="25"/>
      <c r="I54" s="23"/>
      <c r="J54" s="23"/>
      <c r="K54" s="27" t="str">
        <f aca="false">IF($B54="","",IFERROR(INDEX(Properties!$D$5:$D$104,MATCH($B54,Properties!$A$5:$A$104,0)),"-"))</f>
        <v/>
      </c>
      <c r="L54" s="30" t="str">
        <f aca="false">IF($D54="","",$D54+Settings!$B$16)</f>
        <v/>
      </c>
      <c r="M54" s="31" t="str">
        <f aca="true">IF(OR($L54="",$I54="Claimed",$I54="Paid",$I54="Refused",$I54="Not claiming"),"",$L54-TODAY())</f>
        <v/>
      </c>
      <c r="N54" s="27" t="str">
        <f aca="false">IF($A54="","",IF($G54="","TELL HOST",IF($M54="","",IF($M54&lt;0,"Deadline passed",IF($M54&lt;=3,"Claim soon","")))))</f>
        <v/>
      </c>
    </row>
    <row r="55" customFormat="false" ht="15" hidden="false" customHeight="false" outlineLevel="0" collapsed="false">
      <c r="A55" s="22"/>
      <c r="B55" s="23"/>
      <c r="C55" s="23"/>
      <c r="D55" s="22"/>
      <c r="E55" s="23"/>
      <c r="F55" s="23"/>
      <c r="G55" s="22"/>
      <c r="H55" s="25"/>
      <c r="I55" s="23"/>
      <c r="J55" s="23"/>
      <c r="K55" s="27" t="str">
        <f aca="false">IF($B55="","",IFERROR(INDEX(Properties!$D$5:$D$104,MATCH($B55,Properties!$A$5:$A$104,0)),"-"))</f>
        <v/>
      </c>
      <c r="L55" s="30" t="str">
        <f aca="false">IF($D55="","",$D55+Settings!$B$16)</f>
        <v/>
      </c>
      <c r="M55" s="31" t="str">
        <f aca="true">IF(OR($L55="",$I55="Claimed",$I55="Paid",$I55="Refused",$I55="Not claiming"),"",$L55-TODAY())</f>
        <v/>
      </c>
      <c r="N55" s="27" t="str">
        <f aca="false">IF($A55="","",IF($G55="","TELL HOST",IF($M55="","",IF($M55&lt;0,"Deadline passed",IF($M55&lt;=3,"Claim soon","")))))</f>
        <v/>
      </c>
    </row>
    <row r="56" customFormat="false" ht="15" hidden="false" customHeight="false" outlineLevel="0" collapsed="false">
      <c r="A56" s="22"/>
      <c r="B56" s="23"/>
      <c r="C56" s="23"/>
      <c r="D56" s="22"/>
      <c r="E56" s="23"/>
      <c r="F56" s="23"/>
      <c r="G56" s="22"/>
      <c r="H56" s="25"/>
      <c r="I56" s="23"/>
      <c r="J56" s="23"/>
      <c r="K56" s="27" t="str">
        <f aca="false">IF($B56="","",IFERROR(INDEX(Properties!$D$5:$D$104,MATCH($B56,Properties!$A$5:$A$104,0)),"-"))</f>
        <v/>
      </c>
      <c r="L56" s="30" t="str">
        <f aca="false">IF($D56="","",$D56+Settings!$B$16)</f>
        <v/>
      </c>
      <c r="M56" s="31" t="str">
        <f aca="true">IF(OR($L56="",$I56="Claimed",$I56="Paid",$I56="Refused",$I56="Not claiming"),"",$L56-TODAY())</f>
        <v/>
      </c>
      <c r="N56" s="27" t="str">
        <f aca="false">IF($A56="","",IF($G56="","TELL HOST",IF($M56="","",IF($M56&lt;0,"Deadline passed",IF($M56&lt;=3,"Claim soon","")))))</f>
        <v/>
      </c>
    </row>
    <row r="57" customFormat="false" ht="15" hidden="false" customHeight="false" outlineLevel="0" collapsed="false">
      <c r="A57" s="22"/>
      <c r="B57" s="23"/>
      <c r="C57" s="23"/>
      <c r="D57" s="22"/>
      <c r="E57" s="23"/>
      <c r="F57" s="23"/>
      <c r="G57" s="22"/>
      <c r="H57" s="25"/>
      <c r="I57" s="23"/>
      <c r="J57" s="23"/>
      <c r="K57" s="27" t="str">
        <f aca="false">IF($B57="","",IFERROR(INDEX(Properties!$D$5:$D$104,MATCH($B57,Properties!$A$5:$A$104,0)),"-"))</f>
        <v/>
      </c>
      <c r="L57" s="30" t="str">
        <f aca="false">IF($D57="","",$D57+Settings!$B$16)</f>
        <v/>
      </c>
      <c r="M57" s="31" t="str">
        <f aca="true">IF(OR($L57="",$I57="Claimed",$I57="Paid",$I57="Refused",$I57="Not claiming"),"",$L57-TODAY())</f>
        <v/>
      </c>
      <c r="N57" s="27" t="str">
        <f aca="false">IF($A57="","",IF($G57="","TELL HOST",IF($M57="","",IF($M57&lt;0,"Deadline passed",IF($M57&lt;=3,"Claim soon","")))))</f>
        <v/>
      </c>
    </row>
    <row r="58" customFormat="false" ht="15" hidden="false" customHeight="false" outlineLevel="0" collapsed="false">
      <c r="A58" s="22"/>
      <c r="B58" s="23"/>
      <c r="C58" s="23"/>
      <c r="D58" s="22"/>
      <c r="E58" s="23"/>
      <c r="F58" s="23"/>
      <c r="G58" s="22"/>
      <c r="H58" s="25"/>
      <c r="I58" s="23"/>
      <c r="J58" s="23"/>
      <c r="K58" s="27" t="str">
        <f aca="false">IF($B58="","",IFERROR(INDEX(Properties!$D$5:$D$104,MATCH($B58,Properties!$A$5:$A$104,0)),"-"))</f>
        <v/>
      </c>
      <c r="L58" s="30" t="str">
        <f aca="false">IF($D58="","",$D58+Settings!$B$16)</f>
        <v/>
      </c>
      <c r="M58" s="31" t="str">
        <f aca="true">IF(OR($L58="",$I58="Claimed",$I58="Paid",$I58="Refused",$I58="Not claiming"),"",$L58-TODAY())</f>
        <v/>
      </c>
      <c r="N58" s="27" t="str">
        <f aca="false">IF($A58="","",IF($G58="","TELL HOST",IF($M58="","",IF($M58&lt;0,"Deadline passed",IF($M58&lt;=3,"Claim soon","")))))</f>
        <v/>
      </c>
    </row>
    <row r="59" customFormat="false" ht="15" hidden="false" customHeight="false" outlineLevel="0" collapsed="false">
      <c r="A59" s="22"/>
      <c r="B59" s="23"/>
      <c r="C59" s="23"/>
      <c r="D59" s="22"/>
      <c r="E59" s="23"/>
      <c r="F59" s="23"/>
      <c r="G59" s="22"/>
      <c r="H59" s="25"/>
      <c r="I59" s="23"/>
      <c r="J59" s="23"/>
      <c r="K59" s="27" t="str">
        <f aca="false">IF($B59="","",IFERROR(INDEX(Properties!$D$5:$D$104,MATCH($B59,Properties!$A$5:$A$104,0)),"-"))</f>
        <v/>
      </c>
      <c r="L59" s="30" t="str">
        <f aca="false">IF($D59="","",$D59+Settings!$B$16)</f>
        <v/>
      </c>
      <c r="M59" s="31" t="str">
        <f aca="true">IF(OR($L59="",$I59="Claimed",$I59="Paid",$I59="Refused",$I59="Not claiming"),"",$L59-TODAY())</f>
        <v/>
      </c>
      <c r="N59" s="27" t="str">
        <f aca="false">IF($A59="","",IF($G59="","TELL HOST",IF($M59="","",IF($M59&lt;0,"Deadline passed",IF($M59&lt;=3,"Claim soon","")))))</f>
        <v/>
      </c>
    </row>
    <row r="60" customFormat="false" ht="15" hidden="false" customHeight="false" outlineLevel="0" collapsed="false">
      <c r="A60" s="22"/>
      <c r="B60" s="23"/>
      <c r="C60" s="23"/>
      <c r="D60" s="22"/>
      <c r="E60" s="23"/>
      <c r="F60" s="23"/>
      <c r="G60" s="22"/>
      <c r="H60" s="25"/>
      <c r="I60" s="23"/>
      <c r="J60" s="23"/>
      <c r="K60" s="27" t="str">
        <f aca="false">IF($B60="","",IFERROR(INDEX(Properties!$D$5:$D$104,MATCH($B60,Properties!$A$5:$A$104,0)),"-"))</f>
        <v/>
      </c>
      <c r="L60" s="30" t="str">
        <f aca="false">IF($D60="","",$D60+Settings!$B$16)</f>
        <v/>
      </c>
      <c r="M60" s="31" t="str">
        <f aca="true">IF(OR($L60="",$I60="Claimed",$I60="Paid",$I60="Refused",$I60="Not claiming"),"",$L60-TODAY())</f>
        <v/>
      </c>
      <c r="N60" s="27" t="str">
        <f aca="false">IF($A60="","",IF($G60="","TELL HOST",IF($M60="","",IF($M60&lt;0,"Deadline passed",IF($M60&lt;=3,"Claim soon","")))))</f>
        <v/>
      </c>
    </row>
    <row r="61" customFormat="false" ht="15" hidden="false" customHeight="false" outlineLevel="0" collapsed="false">
      <c r="A61" s="22"/>
      <c r="B61" s="23"/>
      <c r="C61" s="23"/>
      <c r="D61" s="22"/>
      <c r="E61" s="23"/>
      <c r="F61" s="23"/>
      <c r="G61" s="22"/>
      <c r="H61" s="25"/>
      <c r="I61" s="23"/>
      <c r="J61" s="23"/>
      <c r="K61" s="27" t="str">
        <f aca="false">IF($B61="","",IFERROR(INDEX(Properties!$D$5:$D$104,MATCH($B61,Properties!$A$5:$A$104,0)),"-"))</f>
        <v/>
      </c>
      <c r="L61" s="30" t="str">
        <f aca="false">IF($D61="","",$D61+Settings!$B$16)</f>
        <v/>
      </c>
      <c r="M61" s="31" t="str">
        <f aca="true">IF(OR($L61="",$I61="Claimed",$I61="Paid",$I61="Refused",$I61="Not claiming"),"",$L61-TODAY())</f>
        <v/>
      </c>
      <c r="N61" s="27" t="str">
        <f aca="false">IF($A61="","",IF($G61="","TELL HOST",IF($M61="","",IF($M61&lt;0,"Deadline passed",IF($M61&lt;=3,"Claim soon","")))))</f>
        <v/>
      </c>
    </row>
    <row r="62" customFormat="false" ht="15" hidden="false" customHeight="false" outlineLevel="0" collapsed="false">
      <c r="A62" s="22"/>
      <c r="B62" s="23"/>
      <c r="C62" s="23"/>
      <c r="D62" s="22"/>
      <c r="E62" s="23"/>
      <c r="F62" s="23"/>
      <c r="G62" s="22"/>
      <c r="H62" s="25"/>
      <c r="I62" s="23"/>
      <c r="J62" s="23"/>
      <c r="K62" s="27" t="str">
        <f aca="false">IF($B62="","",IFERROR(INDEX(Properties!$D$5:$D$104,MATCH($B62,Properties!$A$5:$A$104,0)),"-"))</f>
        <v/>
      </c>
      <c r="L62" s="30" t="str">
        <f aca="false">IF($D62="","",$D62+Settings!$B$16)</f>
        <v/>
      </c>
      <c r="M62" s="31" t="str">
        <f aca="true">IF(OR($L62="",$I62="Claimed",$I62="Paid",$I62="Refused",$I62="Not claiming"),"",$L62-TODAY())</f>
        <v/>
      </c>
      <c r="N62" s="27" t="str">
        <f aca="false">IF($A62="","",IF($G62="","TELL HOST",IF($M62="","",IF($M62&lt;0,"Deadline passed",IF($M62&lt;=3,"Claim soon","")))))</f>
        <v/>
      </c>
    </row>
    <row r="63" customFormat="false" ht="15" hidden="false" customHeight="false" outlineLevel="0" collapsed="false">
      <c r="A63" s="22"/>
      <c r="B63" s="23"/>
      <c r="C63" s="23"/>
      <c r="D63" s="22"/>
      <c r="E63" s="23"/>
      <c r="F63" s="23"/>
      <c r="G63" s="22"/>
      <c r="H63" s="25"/>
      <c r="I63" s="23"/>
      <c r="J63" s="23"/>
      <c r="K63" s="27" t="str">
        <f aca="false">IF($B63="","",IFERROR(INDEX(Properties!$D$5:$D$104,MATCH($B63,Properties!$A$5:$A$104,0)),"-"))</f>
        <v/>
      </c>
      <c r="L63" s="30" t="str">
        <f aca="false">IF($D63="","",$D63+Settings!$B$16)</f>
        <v/>
      </c>
      <c r="M63" s="31" t="str">
        <f aca="true">IF(OR($L63="",$I63="Claimed",$I63="Paid",$I63="Refused",$I63="Not claiming"),"",$L63-TODAY())</f>
        <v/>
      </c>
      <c r="N63" s="27" t="str">
        <f aca="false">IF($A63="","",IF($G63="","TELL HOST",IF($M63="","",IF($M63&lt;0,"Deadline passed",IF($M63&lt;=3,"Claim soon","")))))</f>
        <v/>
      </c>
    </row>
    <row r="64" customFormat="false" ht="15" hidden="false" customHeight="false" outlineLevel="0" collapsed="false">
      <c r="A64" s="22"/>
      <c r="B64" s="23"/>
      <c r="C64" s="23"/>
      <c r="D64" s="22"/>
      <c r="E64" s="23"/>
      <c r="F64" s="23"/>
      <c r="G64" s="22"/>
      <c r="H64" s="25"/>
      <c r="I64" s="23"/>
      <c r="J64" s="23"/>
      <c r="K64" s="27" t="str">
        <f aca="false">IF($B64="","",IFERROR(INDEX(Properties!$D$5:$D$104,MATCH($B64,Properties!$A$5:$A$104,0)),"-"))</f>
        <v/>
      </c>
      <c r="L64" s="30" t="str">
        <f aca="false">IF($D64="","",$D64+Settings!$B$16)</f>
        <v/>
      </c>
      <c r="M64" s="31" t="str">
        <f aca="true">IF(OR($L64="",$I64="Claimed",$I64="Paid",$I64="Refused",$I64="Not claiming"),"",$L64-TODAY())</f>
        <v/>
      </c>
      <c r="N64" s="27" t="str">
        <f aca="false">IF($A64="","",IF($G64="","TELL HOST",IF($M64="","",IF($M64&lt;0,"Deadline passed",IF($M64&lt;=3,"Claim soon","")))))</f>
        <v/>
      </c>
    </row>
    <row r="65" customFormat="false" ht="15" hidden="false" customHeight="false" outlineLevel="0" collapsed="false">
      <c r="A65" s="22"/>
      <c r="B65" s="23"/>
      <c r="C65" s="23"/>
      <c r="D65" s="22"/>
      <c r="E65" s="23"/>
      <c r="F65" s="23"/>
      <c r="G65" s="22"/>
      <c r="H65" s="25"/>
      <c r="I65" s="23"/>
      <c r="J65" s="23"/>
      <c r="K65" s="27" t="str">
        <f aca="false">IF($B65="","",IFERROR(INDEX(Properties!$D$5:$D$104,MATCH($B65,Properties!$A$5:$A$104,0)),"-"))</f>
        <v/>
      </c>
      <c r="L65" s="30" t="str">
        <f aca="false">IF($D65="","",$D65+Settings!$B$16)</f>
        <v/>
      </c>
      <c r="M65" s="31" t="str">
        <f aca="true">IF(OR($L65="",$I65="Claimed",$I65="Paid",$I65="Refused",$I65="Not claiming"),"",$L65-TODAY())</f>
        <v/>
      </c>
      <c r="N65" s="27" t="str">
        <f aca="false">IF($A65="","",IF($G65="","TELL HOST",IF($M65="","",IF($M65&lt;0,"Deadline passed",IF($M65&lt;=3,"Claim soon","")))))</f>
        <v/>
      </c>
    </row>
    <row r="66" customFormat="false" ht="15" hidden="false" customHeight="false" outlineLevel="0" collapsed="false">
      <c r="A66" s="22"/>
      <c r="B66" s="23"/>
      <c r="C66" s="23"/>
      <c r="D66" s="22"/>
      <c r="E66" s="23"/>
      <c r="F66" s="23"/>
      <c r="G66" s="22"/>
      <c r="H66" s="25"/>
      <c r="I66" s="23"/>
      <c r="J66" s="23"/>
      <c r="K66" s="27" t="str">
        <f aca="false">IF($B66="","",IFERROR(INDEX(Properties!$D$5:$D$104,MATCH($B66,Properties!$A$5:$A$104,0)),"-"))</f>
        <v/>
      </c>
      <c r="L66" s="30" t="str">
        <f aca="false">IF($D66="","",$D66+Settings!$B$16)</f>
        <v/>
      </c>
      <c r="M66" s="31" t="str">
        <f aca="true">IF(OR($L66="",$I66="Claimed",$I66="Paid",$I66="Refused",$I66="Not claiming"),"",$L66-TODAY())</f>
        <v/>
      </c>
      <c r="N66" s="27" t="str">
        <f aca="false">IF($A66="","",IF($G66="","TELL HOST",IF($M66="","",IF($M66&lt;0,"Deadline passed",IF($M66&lt;=3,"Claim soon","")))))</f>
        <v/>
      </c>
    </row>
    <row r="67" customFormat="false" ht="15" hidden="false" customHeight="false" outlineLevel="0" collapsed="false">
      <c r="A67" s="22"/>
      <c r="B67" s="23"/>
      <c r="C67" s="23"/>
      <c r="D67" s="22"/>
      <c r="E67" s="23"/>
      <c r="F67" s="23"/>
      <c r="G67" s="22"/>
      <c r="H67" s="25"/>
      <c r="I67" s="23"/>
      <c r="J67" s="23"/>
      <c r="K67" s="27" t="str">
        <f aca="false">IF($B67="","",IFERROR(INDEX(Properties!$D$5:$D$104,MATCH($B67,Properties!$A$5:$A$104,0)),"-"))</f>
        <v/>
      </c>
      <c r="L67" s="30" t="str">
        <f aca="false">IF($D67="","",$D67+Settings!$B$16)</f>
        <v/>
      </c>
      <c r="M67" s="31" t="str">
        <f aca="true">IF(OR($L67="",$I67="Claimed",$I67="Paid",$I67="Refused",$I67="Not claiming"),"",$L67-TODAY())</f>
        <v/>
      </c>
      <c r="N67" s="27" t="str">
        <f aca="false">IF($A67="","",IF($G67="","TELL HOST",IF($M67="","",IF($M67&lt;0,"Deadline passed",IF($M67&lt;=3,"Claim soon","")))))</f>
        <v/>
      </c>
    </row>
    <row r="68" customFormat="false" ht="15" hidden="false" customHeight="false" outlineLevel="0" collapsed="false">
      <c r="A68" s="22"/>
      <c r="B68" s="23"/>
      <c r="C68" s="23"/>
      <c r="D68" s="22"/>
      <c r="E68" s="23"/>
      <c r="F68" s="23"/>
      <c r="G68" s="22"/>
      <c r="H68" s="25"/>
      <c r="I68" s="23"/>
      <c r="J68" s="23"/>
      <c r="K68" s="27" t="str">
        <f aca="false">IF($B68="","",IFERROR(INDEX(Properties!$D$5:$D$104,MATCH($B68,Properties!$A$5:$A$104,0)),"-"))</f>
        <v/>
      </c>
      <c r="L68" s="30" t="str">
        <f aca="false">IF($D68="","",$D68+Settings!$B$16)</f>
        <v/>
      </c>
      <c r="M68" s="31" t="str">
        <f aca="true">IF(OR($L68="",$I68="Claimed",$I68="Paid",$I68="Refused",$I68="Not claiming"),"",$L68-TODAY())</f>
        <v/>
      </c>
      <c r="N68" s="27" t="str">
        <f aca="false">IF($A68="","",IF($G68="","TELL HOST",IF($M68="","",IF($M68&lt;0,"Deadline passed",IF($M68&lt;=3,"Claim soon","")))))</f>
        <v/>
      </c>
    </row>
    <row r="69" customFormat="false" ht="15" hidden="false" customHeight="false" outlineLevel="0" collapsed="false">
      <c r="A69" s="22"/>
      <c r="B69" s="23"/>
      <c r="C69" s="23"/>
      <c r="D69" s="22"/>
      <c r="E69" s="23"/>
      <c r="F69" s="23"/>
      <c r="G69" s="22"/>
      <c r="H69" s="25"/>
      <c r="I69" s="23"/>
      <c r="J69" s="23"/>
      <c r="K69" s="27" t="str">
        <f aca="false">IF($B69="","",IFERROR(INDEX(Properties!$D$5:$D$104,MATCH($B69,Properties!$A$5:$A$104,0)),"-"))</f>
        <v/>
      </c>
      <c r="L69" s="30" t="str">
        <f aca="false">IF($D69="","",$D69+Settings!$B$16)</f>
        <v/>
      </c>
      <c r="M69" s="31" t="str">
        <f aca="true">IF(OR($L69="",$I69="Claimed",$I69="Paid",$I69="Refused",$I69="Not claiming"),"",$L69-TODAY())</f>
        <v/>
      </c>
      <c r="N69" s="27" t="str">
        <f aca="false">IF($A69="","",IF($G69="","TELL HOST",IF($M69="","",IF($M69&lt;0,"Deadline passed",IF($M69&lt;=3,"Claim soon","")))))</f>
        <v/>
      </c>
    </row>
    <row r="70" customFormat="false" ht="15" hidden="false" customHeight="false" outlineLevel="0" collapsed="false">
      <c r="A70" s="22"/>
      <c r="B70" s="23"/>
      <c r="C70" s="23"/>
      <c r="D70" s="22"/>
      <c r="E70" s="23"/>
      <c r="F70" s="23"/>
      <c r="G70" s="22"/>
      <c r="H70" s="25"/>
      <c r="I70" s="23"/>
      <c r="J70" s="23"/>
      <c r="K70" s="27" t="str">
        <f aca="false">IF($B70="","",IFERROR(INDEX(Properties!$D$5:$D$104,MATCH($B70,Properties!$A$5:$A$104,0)),"-"))</f>
        <v/>
      </c>
      <c r="L70" s="30" t="str">
        <f aca="false">IF($D70="","",$D70+Settings!$B$16)</f>
        <v/>
      </c>
      <c r="M70" s="31" t="str">
        <f aca="true">IF(OR($L70="",$I70="Claimed",$I70="Paid",$I70="Refused",$I70="Not claiming"),"",$L70-TODAY())</f>
        <v/>
      </c>
      <c r="N70" s="27" t="str">
        <f aca="false">IF($A70="","",IF($G70="","TELL HOST",IF($M70="","",IF($M70&lt;0,"Deadline passed",IF($M70&lt;=3,"Claim soon","")))))</f>
        <v/>
      </c>
    </row>
    <row r="71" customFormat="false" ht="15" hidden="false" customHeight="false" outlineLevel="0" collapsed="false">
      <c r="A71" s="22"/>
      <c r="B71" s="23"/>
      <c r="C71" s="23"/>
      <c r="D71" s="22"/>
      <c r="E71" s="23"/>
      <c r="F71" s="23"/>
      <c r="G71" s="22"/>
      <c r="H71" s="25"/>
      <c r="I71" s="23"/>
      <c r="J71" s="23"/>
      <c r="K71" s="27" t="str">
        <f aca="false">IF($B71="","",IFERROR(INDEX(Properties!$D$5:$D$104,MATCH($B71,Properties!$A$5:$A$104,0)),"-"))</f>
        <v/>
      </c>
      <c r="L71" s="30" t="str">
        <f aca="false">IF($D71="","",$D71+Settings!$B$16)</f>
        <v/>
      </c>
      <c r="M71" s="31" t="str">
        <f aca="true">IF(OR($L71="",$I71="Claimed",$I71="Paid",$I71="Refused",$I71="Not claiming"),"",$L71-TODAY())</f>
        <v/>
      </c>
      <c r="N71" s="27" t="str">
        <f aca="false">IF($A71="","",IF($G71="","TELL HOST",IF($M71="","",IF($M71&lt;0,"Deadline passed",IF($M71&lt;=3,"Claim soon","")))))</f>
        <v/>
      </c>
    </row>
    <row r="72" customFormat="false" ht="15" hidden="false" customHeight="false" outlineLevel="0" collapsed="false">
      <c r="A72" s="22"/>
      <c r="B72" s="23"/>
      <c r="C72" s="23"/>
      <c r="D72" s="22"/>
      <c r="E72" s="23"/>
      <c r="F72" s="23"/>
      <c r="G72" s="22"/>
      <c r="H72" s="25"/>
      <c r="I72" s="23"/>
      <c r="J72" s="23"/>
      <c r="K72" s="27" t="str">
        <f aca="false">IF($B72="","",IFERROR(INDEX(Properties!$D$5:$D$104,MATCH($B72,Properties!$A$5:$A$104,0)),"-"))</f>
        <v/>
      </c>
      <c r="L72" s="30" t="str">
        <f aca="false">IF($D72="","",$D72+Settings!$B$16)</f>
        <v/>
      </c>
      <c r="M72" s="31" t="str">
        <f aca="true">IF(OR($L72="",$I72="Claimed",$I72="Paid",$I72="Refused",$I72="Not claiming"),"",$L72-TODAY())</f>
        <v/>
      </c>
      <c r="N72" s="27" t="str">
        <f aca="false">IF($A72="","",IF($G72="","TELL HOST",IF($M72="","",IF($M72&lt;0,"Deadline passed",IF($M72&lt;=3,"Claim soon","")))))</f>
        <v/>
      </c>
    </row>
    <row r="73" customFormat="false" ht="15" hidden="false" customHeight="false" outlineLevel="0" collapsed="false">
      <c r="A73" s="22"/>
      <c r="B73" s="23"/>
      <c r="C73" s="23"/>
      <c r="D73" s="22"/>
      <c r="E73" s="23"/>
      <c r="F73" s="23"/>
      <c r="G73" s="22"/>
      <c r="H73" s="25"/>
      <c r="I73" s="23"/>
      <c r="J73" s="23"/>
      <c r="K73" s="27" t="str">
        <f aca="false">IF($B73="","",IFERROR(INDEX(Properties!$D$5:$D$104,MATCH($B73,Properties!$A$5:$A$104,0)),"-"))</f>
        <v/>
      </c>
      <c r="L73" s="30" t="str">
        <f aca="false">IF($D73="","",$D73+Settings!$B$16)</f>
        <v/>
      </c>
      <c r="M73" s="31" t="str">
        <f aca="true">IF(OR($L73="",$I73="Claimed",$I73="Paid",$I73="Refused",$I73="Not claiming"),"",$L73-TODAY())</f>
        <v/>
      </c>
      <c r="N73" s="27" t="str">
        <f aca="false">IF($A73="","",IF($G73="","TELL HOST",IF($M73="","",IF($M73&lt;0,"Deadline passed",IF($M73&lt;=3,"Claim soon","")))))</f>
        <v/>
      </c>
    </row>
    <row r="74" customFormat="false" ht="15" hidden="false" customHeight="false" outlineLevel="0" collapsed="false">
      <c r="A74" s="22"/>
      <c r="B74" s="23"/>
      <c r="C74" s="23"/>
      <c r="D74" s="22"/>
      <c r="E74" s="23"/>
      <c r="F74" s="23"/>
      <c r="G74" s="22"/>
      <c r="H74" s="25"/>
      <c r="I74" s="23"/>
      <c r="J74" s="23"/>
      <c r="K74" s="27" t="str">
        <f aca="false">IF($B74="","",IFERROR(INDEX(Properties!$D$5:$D$104,MATCH($B74,Properties!$A$5:$A$104,0)),"-"))</f>
        <v/>
      </c>
      <c r="L74" s="30" t="str">
        <f aca="false">IF($D74="","",$D74+Settings!$B$16)</f>
        <v/>
      </c>
      <c r="M74" s="31" t="str">
        <f aca="true">IF(OR($L74="",$I74="Claimed",$I74="Paid",$I74="Refused",$I74="Not claiming"),"",$L74-TODAY())</f>
        <v/>
      </c>
      <c r="N74" s="27" t="str">
        <f aca="false">IF($A74="","",IF($G74="","TELL HOST",IF($M74="","",IF($M74&lt;0,"Deadline passed",IF($M74&lt;=3,"Claim soon","")))))</f>
        <v/>
      </c>
    </row>
    <row r="75" customFormat="false" ht="15" hidden="false" customHeight="false" outlineLevel="0" collapsed="false">
      <c r="A75" s="22"/>
      <c r="B75" s="23"/>
      <c r="C75" s="23"/>
      <c r="D75" s="22"/>
      <c r="E75" s="23"/>
      <c r="F75" s="23"/>
      <c r="G75" s="22"/>
      <c r="H75" s="25"/>
      <c r="I75" s="23"/>
      <c r="J75" s="23"/>
      <c r="K75" s="27" t="str">
        <f aca="false">IF($B75="","",IFERROR(INDEX(Properties!$D$5:$D$104,MATCH($B75,Properties!$A$5:$A$104,0)),"-"))</f>
        <v/>
      </c>
      <c r="L75" s="30" t="str">
        <f aca="false">IF($D75="","",$D75+Settings!$B$16)</f>
        <v/>
      </c>
      <c r="M75" s="31" t="str">
        <f aca="true">IF(OR($L75="",$I75="Claimed",$I75="Paid",$I75="Refused",$I75="Not claiming"),"",$L75-TODAY())</f>
        <v/>
      </c>
      <c r="N75" s="27" t="str">
        <f aca="false">IF($A75="","",IF($G75="","TELL HOST",IF($M75="","",IF($M75&lt;0,"Deadline passed",IF($M75&lt;=3,"Claim soon","")))))</f>
        <v/>
      </c>
    </row>
    <row r="76" customFormat="false" ht="15" hidden="false" customHeight="false" outlineLevel="0" collapsed="false">
      <c r="A76" s="22"/>
      <c r="B76" s="23"/>
      <c r="C76" s="23"/>
      <c r="D76" s="22"/>
      <c r="E76" s="23"/>
      <c r="F76" s="23"/>
      <c r="G76" s="22"/>
      <c r="H76" s="25"/>
      <c r="I76" s="23"/>
      <c r="J76" s="23"/>
      <c r="K76" s="27" t="str">
        <f aca="false">IF($B76="","",IFERROR(INDEX(Properties!$D$5:$D$104,MATCH($B76,Properties!$A$5:$A$104,0)),"-"))</f>
        <v/>
      </c>
      <c r="L76" s="30" t="str">
        <f aca="false">IF($D76="","",$D76+Settings!$B$16)</f>
        <v/>
      </c>
      <c r="M76" s="31" t="str">
        <f aca="true">IF(OR($L76="",$I76="Claimed",$I76="Paid",$I76="Refused",$I76="Not claiming"),"",$L76-TODAY())</f>
        <v/>
      </c>
      <c r="N76" s="27" t="str">
        <f aca="false">IF($A76="","",IF($G76="","TELL HOST",IF($M76="","",IF($M76&lt;0,"Deadline passed",IF($M76&lt;=3,"Claim soon","")))))</f>
        <v/>
      </c>
    </row>
    <row r="77" customFormat="false" ht="15" hidden="false" customHeight="false" outlineLevel="0" collapsed="false">
      <c r="A77" s="22"/>
      <c r="B77" s="23"/>
      <c r="C77" s="23"/>
      <c r="D77" s="22"/>
      <c r="E77" s="23"/>
      <c r="F77" s="23"/>
      <c r="G77" s="22"/>
      <c r="H77" s="25"/>
      <c r="I77" s="23"/>
      <c r="J77" s="23"/>
      <c r="K77" s="27" t="str">
        <f aca="false">IF($B77="","",IFERROR(INDEX(Properties!$D$5:$D$104,MATCH($B77,Properties!$A$5:$A$104,0)),"-"))</f>
        <v/>
      </c>
      <c r="L77" s="30" t="str">
        <f aca="false">IF($D77="","",$D77+Settings!$B$16)</f>
        <v/>
      </c>
      <c r="M77" s="31" t="str">
        <f aca="true">IF(OR($L77="",$I77="Claimed",$I77="Paid",$I77="Refused",$I77="Not claiming"),"",$L77-TODAY())</f>
        <v/>
      </c>
      <c r="N77" s="27" t="str">
        <f aca="false">IF($A77="","",IF($G77="","TELL HOST",IF($M77="","",IF($M77&lt;0,"Deadline passed",IF($M77&lt;=3,"Claim soon","")))))</f>
        <v/>
      </c>
    </row>
    <row r="78" customFormat="false" ht="15" hidden="false" customHeight="false" outlineLevel="0" collapsed="false">
      <c r="A78" s="22"/>
      <c r="B78" s="23"/>
      <c r="C78" s="23"/>
      <c r="D78" s="22"/>
      <c r="E78" s="23"/>
      <c r="F78" s="23"/>
      <c r="G78" s="22"/>
      <c r="H78" s="25"/>
      <c r="I78" s="23"/>
      <c r="J78" s="23"/>
      <c r="K78" s="27" t="str">
        <f aca="false">IF($B78="","",IFERROR(INDEX(Properties!$D$5:$D$104,MATCH($B78,Properties!$A$5:$A$104,0)),"-"))</f>
        <v/>
      </c>
      <c r="L78" s="30" t="str">
        <f aca="false">IF($D78="","",$D78+Settings!$B$16)</f>
        <v/>
      </c>
      <c r="M78" s="31" t="str">
        <f aca="true">IF(OR($L78="",$I78="Claimed",$I78="Paid",$I78="Refused",$I78="Not claiming"),"",$L78-TODAY())</f>
        <v/>
      </c>
      <c r="N78" s="27" t="str">
        <f aca="false">IF($A78="","",IF($G78="","TELL HOST",IF($M78="","",IF($M78&lt;0,"Deadline passed",IF($M78&lt;=3,"Claim soon","")))))</f>
        <v/>
      </c>
    </row>
    <row r="79" customFormat="false" ht="15" hidden="false" customHeight="false" outlineLevel="0" collapsed="false">
      <c r="A79" s="22"/>
      <c r="B79" s="23"/>
      <c r="C79" s="23"/>
      <c r="D79" s="22"/>
      <c r="E79" s="23"/>
      <c r="F79" s="23"/>
      <c r="G79" s="22"/>
      <c r="H79" s="25"/>
      <c r="I79" s="23"/>
      <c r="J79" s="23"/>
      <c r="K79" s="27" t="str">
        <f aca="false">IF($B79="","",IFERROR(INDEX(Properties!$D$5:$D$104,MATCH($B79,Properties!$A$5:$A$104,0)),"-"))</f>
        <v/>
      </c>
      <c r="L79" s="30" t="str">
        <f aca="false">IF($D79="","",$D79+Settings!$B$16)</f>
        <v/>
      </c>
      <c r="M79" s="31" t="str">
        <f aca="true">IF(OR($L79="",$I79="Claimed",$I79="Paid",$I79="Refused",$I79="Not claiming"),"",$L79-TODAY())</f>
        <v/>
      </c>
      <c r="N79" s="27" t="str">
        <f aca="false">IF($A79="","",IF($G79="","TELL HOST",IF($M79="","",IF($M79&lt;0,"Deadline passed",IF($M79&lt;=3,"Claim soon","")))))</f>
        <v/>
      </c>
    </row>
    <row r="80" customFormat="false" ht="15" hidden="false" customHeight="false" outlineLevel="0" collapsed="false">
      <c r="A80" s="22"/>
      <c r="B80" s="23"/>
      <c r="C80" s="23"/>
      <c r="D80" s="22"/>
      <c r="E80" s="23"/>
      <c r="F80" s="23"/>
      <c r="G80" s="22"/>
      <c r="H80" s="25"/>
      <c r="I80" s="23"/>
      <c r="J80" s="23"/>
      <c r="K80" s="27" t="str">
        <f aca="false">IF($B80="","",IFERROR(INDEX(Properties!$D$5:$D$104,MATCH($B80,Properties!$A$5:$A$104,0)),"-"))</f>
        <v/>
      </c>
      <c r="L80" s="30" t="str">
        <f aca="false">IF($D80="","",$D80+Settings!$B$16)</f>
        <v/>
      </c>
      <c r="M80" s="31" t="str">
        <f aca="true">IF(OR($L80="",$I80="Claimed",$I80="Paid",$I80="Refused",$I80="Not claiming"),"",$L80-TODAY())</f>
        <v/>
      </c>
      <c r="N80" s="27" t="str">
        <f aca="false">IF($A80="","",IF($G80="","TELL HOST",IF($M80="","",IF($M80&lt;0,"Deadline passed",IF($M80&lt;=3,"Claim soon","")))))</f>
        <v/>
      </c>
    </row>
    <row r="81" customFormat="false" ht="15" hidden="false" customHeight="false" outlineLevel="0" collapsed="false">
      <c r="A81" s="22"/>
      <c r="B81" s="23"/>
      <c r="C81" s="23"/>
      <c r="D81" s="22"/>
      <c r="E81" s="23"/>
      <c r="F81" s="23"/>
      <c r="G81" s="22"/>
      <c r="H81" s="25"/>
      <c r="I81" s="23"/>
      <c r="J81" s="23"/>
      <c r="K81" s="27" t="str">
        <f aca="false">IF($B81="","",IFERROR(INDEX(Properties!$D$5:$D$104,MATCH($B81,Properties!$A$5:$A$104,0)),"-"))</f>
        <v/>
      </c>
      <c r="L81" s="30" t="str">
        <f aca="false">IF($D81="","",$D81+Settings!$B$16)</f>
        <v/>
      </c>
      <c r="M81" s="31" t="str">
        <f aca="true">IF(OR($L81="",$I81="Claimed",$I81="Paid",$I81="Refused",$I81="Not claiming"),"",$L81-TODAY())</f>
        <v/>
      </c>
      <c r="N81" s="27" t="str">
        <f aca="false">IF($A81="","",IF($G81="","TELL HOST",IF($M81="","",IF($M81&lt;0,"Deadline passed",IF($M81&lt;=3,"Claim soon","")))))</f>
        <v/>
      </c>
    </row>
    <row r="82" customFormat="false" ht="15" hidden="false" customHeight="false" outlineLevel="0" collapsed="false">
      <c r="A82" s="22"/>
      <c r="B82" s="23"/>
      <c r="C82" s="23"/>
      <c r="D82" s="22"/>
      <c r="E82" s="23"/>
      <c r="F82" s="23"/>
      <c r="G82" s="22"/>
      <c r="H82" s="25"/>
      <c r="I82" s="23"/>
      <c r="J82" s="23"/>
      <c r="K82" s="27" t="str">
        <f aca="false">IF($B82="","",IFERROR(INDEX(Properties!$D$5:$D$104,MATCH($B82,Properties!$A$5:$A$104,0)),"-"))</f>
        <v/>
      </c>
      <c r="L82" s="30" t="str">
        <f aca="false">IF($D82="","",$D82+Settings!$B$16)</f>
        <v/>
      </c>
      <c r="M82" s="31" t="str">
        <f aca="true">IF(OR($L82="",$I82="Claimed",$I82="Paid",$I82="Refused",$I82="Not claiming"),"",$L82-TODAY())</f>
        <v/>
      </c>
      <c r="N82" s="27" t="str">
        <f aca="false">IF($A82="","",IF($G82="","TELL HOST",IF($M82="","",IF($M82&lt;0,"Deadline passed",IF($M82&lt;=3,"Claim soon","")))))</f>
        <v/>
      </c>
    </row>
    <row r="83" customFormat="false" ht="15" hidden="false" customHeight="false" outlineLevel="0" collapsed="false">
      <c r="A83" s="22"/>
      <c r="B83" s="23"/>
      <c r="C83" s="23"/>
      <c r="D83" s="22"/>
      <c r="E83" s="23"/>
      <c r="F83" s="23"/>
      <c r="G83" s="22"/>
      <c r="H83" s="25"/>
      <c r="I83" s="23"/>
      <c r="J83" s="23"/>
      <c r="K83" s="27" t="str">
        <f aca="false">IF($B83="","",IFERROR(INDEX(Properties!$D$5:$D$104,MATCH($B83,Properties!$A$5:$A$104,0)),"-"))</f>
        <v/>
      </c>
      <c r="L83" s="30" t="str">
        <f aca="false">IF($D83="","",$D83+Settings!$B$16)</f>
        <v/>
      </c>
      <c r="M83" s="31" t="str">
        <f aca="true">IF(OR($L83="",$I83="Claimed",$I83="Paid",$I83="Refused",$I83="Not claiming"),"",$L83-TODAY())</f>
        <v/>
      </c>
      <c r="N83" s="27" t="str">
        <f aca="false">IF($A83="","",IF($G83="","TELL HOST",IF($M83="","",IF($M83&lt;0,"Deadline passed",IF($M83&lt;=3,"Claim soon","")))))</f>
        <v/>
      </c>
    </row>
    <row r="84" customFormat="false" ht="15" hidden="false" customHeight="false" outlineLevel="0" collapsed="false">
      <c r="A84" s="22"/>
      <c r="B84" s="23"/>
      <c r="C84" s="23"/>
      <c r="D84" s="22"/>
      <c r="E84" s="23"/>
      <c r="F84" s="23"/>
      <c r="G84" s="22"/>
      <c r="H84" s="25"/>
      <c r="I84" s="23"/>
      <c r="J84" s="23"/>
      <c r="K84" s="27" t="str">
        <f aca="false">IF($B84="","",IFERROR(INDEX(Properties!$D$5:$D$104,MATCH($B84,Properties!$A$5:$A$104,0)),"-"))</f>
        <v/>
      </c>
      <c r="L84" s="30" t="str">
        <f aca="false">IF($D84="","",$D84+Settings!$B$16)</f>
        <v/>
      </c>
      <c r="M84" s="31" t="str">
        <f aca="true">IF(OR($L84="",$I84="Claimed",$I84="Paid",$I84="Refused",$I84="Not claiming"),"",$L84-TODAY())</f>
        <v/>
      </c>
      <c r="N84" s="27" t="str">
        <f aca="false">IF($A84="","",IF($G84="","TELL HOST",IF($M84="","",IF($M84&lt;0,"Deadline passed",IF($M84&lt;=3,"Claim soon","")))))</f>
        <v/>
      </c>
    </row>
    <row r="85" customFormat="false" ht="15" hidden="false" customHeight="false" outlineLevel="0" collapsed="false">
      <c r="A85" s="22"/>
      <c r="B85" s="23"/>
      <c r="C85" s="23"/>
      <c r="D85" s="22"/>
      <c r="E85" s="23"/>
      <c r="F85" s="23"/>
      <c r="G85" s="22"/>
      <c r="H85" s="25"/>
      <c r="I85" s="23"/>
      <c r="J85" s="23"/>
      <c r="K85" s="27" t="str">
        <f aca="false">IF($B85="","",IFERROR(INDEX(Properties!$D$5:$D$104,MATCH($B85,Properties!$A$5:$A$104,0)),"-"))</f>
        <v/>
      </c>
      <c r="L85" s="30" t="str">
        <f aca="false">IF($D85="","",$D85+Settings!$B$16)</f>
        <v/>
      </c>
      <c r="M85" s="31" t="str">
        <f aca="true">IF(OR($L85="",$I85="Claimed",$I85="Paid",$I85="Refused",$I85="Not claiming"),"",$L85-TODAY())</f>
        <v/>
      </c>
      <c r="N85" s="27" t="str">
        <f aca="false">IF($A85="","",IF($G85="","TELL HOST",IF($M85="","",IF($M85&lt;0,"Deadline passed",IF($M85&lt;=3,"Claim soon","")))))</f>
        <v/>
      </c>
    </row>
    <row r="86" customFormat="false" ht="15" hidden="false" customHeight="false" outlineLevel="0" collapsed="false">
      <c r="A86" s="22"/>
      <c r="B86" s="23"/>
      <c r="C86" s="23"/>
      <c r="D86" s="22"/>
      <c r="E86" s="23"/>
      <c r="F86" s="23"/>
      <c r="G86" s="22"/>
      <c r="H86" s="25"/>
      <c r="I86" s="23"/>
      <c r="J86" s="23"/>
      <c r="K86" s="27" t="str">
        <f aca="false">IF($B86="","",IFERROR(INDEX(Properties!$D$5:$D$104,MATCH($B86,Properties!$A$5:$A$104,0)),"-"))</f>
        <v/>
      </c>
      <c r="L86" s="30" t="str">
        <f aca="false">IF($D86="","",$D86+Settings!$B$16)</f>
        <v/>
      </c>
      <c r="M86" s="31" t="str">
        <f aca="true">IF(OR($L86="",$I86="Claimed",$I86="Paid",$I86="Refused",$I86="Not claiming"),"",$L86-TODAY())</f>
        <v/>
      </c>
      <c r="N86" s="27" t="str">
        <f aca="false">IF($A86="","",IF($G86="","TELL HOST",IF($M86="","",IF($M86&lt;0,"Deadline passed",IF($M86&lt;=3,"Claim soon","")))))</f>
        <v/>
      </c>
    </row>
    <row r="87" customFormat="false" ht="15" hidden="false" customHeight="false" outlineLevel="0" collapsed="false">
      <c r="A87" s="22"/>
      <c r="B87" s="23"/>
      <c r="C87" s="23"/>
      <c r="D87" s="22"/>
      <c r="E87" s="23"/>
      <c r="F87" s="23"/>
      <c r="G87" s="22"/>
      <c r="H87" s="25"/>
      <c r="I87" s="23"/>
      <c r="J87" s="23"/>
      <c r="K87" s="27" t="str">
        <f aca="false">IF($B87="","",IFERROR(INDEX(Properties!$D$5:$D$104,MATCH($B87,Properties!$A$5:$A$104,0)),"-"))</f>
        <v/>
      </c>
      <c r="L87" s="30" t="str">
        <f aca="false">IF($D87="","",$D87+Settings!$B$16)</f>
        <v/>
      </c>
      <c r="M87" s="31" t="str">
        <f aca="true">IF(OR($L87="",$I87="Claimed",$I87="Paid",$I87="Refused",$I87="Not claiming"),"",$L87-TODAY())</f>
        <v/>
      </c>
      <c r="N87" s="27" t="str">
        <f aca="false">IF($A87="","",IF($G87="","TELL HOST",IF($M87="","",IF($M87&lt;0,"Deadline passed",IF($M87&lt;=3,"Claim soon","")))))</f>
        <v/>
      </c>
    </row>
    <row r="88" customFormat="false" ht="15" hidden="false" customHeight="false" outlineLevel="0" collapsed="false">
      <c r="A88" s="22"/>
      <c r="B88" s="23"/>
      <c r="C88" s="23"/>
      <c r="D88" s="22"/>
      <c r="E88" s="23"/>
      <c r="F88" s="23"/>
      <c r="G88" s="22"/>
      <c r="H88" s="25"/>
      <c r="I88" s="23"/>
      <c r="J88" s="23"/>
      <c r="K88" s="27" t="str">
        <f aca="false">IF($B88="","",IFERROR(INDEX(Properties!$D$5:$D$104,MATCH($B88,Properties!$A$5:$A$104,0)),"-"))</f>
        <v/>
      </c>
      <c r="L88" s="30" t="str">
        <f aca="false">IF($D88="","",$D88+Settings!$B$16)</f>
        <v/>
      </c>
      <c r="M88" s="31" t="str">
        <f aca="true">IF(OR($L88="",$I88="Claimed",$I88="Paid",$I88="Refused",$I88="Not claiming"),"",$L88-TODAY())</f>
        <v/>
      </c>
      <c r="N88" s="27" t="str">
        <f aca="false">IF($A88="","",IF($G88="","TELL HOST",IF($M88="","",IF($M88&lt;0,"Deadline passed",IF($M88&lt;=3,"Claim soon","")))))</f>
        <v/>
      </c>
    </row>
    <row r="89" customFormat="false" ht="15" hidden="false" customHeight="false" outlineLevel="0" collapsed="false">
      <c r="A89" s="22"/>
      <c r="B89" s="23"/>
      <c r="C89" s="23"/>
      <c r="D89" s="22"/>
      <c r="E89" s="23"/>
      <c r="F89" s="23"/>
      <c r="G89" s="22"/>
      <c r="H89" s="25"/>
      <c r="I89" s="23"/>
      <c r="J89" s="23"/>
      <c r="K89" s="27" t="str">
        <f aca="false">IF($B89="","",IFERROR(INDEX(Properties!$D$5:$D$104,MATCH($B89,Properties!$A$5:$A$104,0)),"-"))</f>
        <v/>
      </c>
      <c r="L89" s="30" t="str">
        <f aca="false">IF($D89="","",$D89+Settings!$B$16)</f>
        <v/>
      </c>
      <c r="M89" s="31" t="str">
        <f aca="true">IF(OR($L89="",$I89="Claimed",$I89="Paid",$I89="Refused",$I89="Not claiming"),"",$L89-TODAY())</f>
        <v/>
      </c>
      <c r="N89" s="27" t="str">
        <f aca="false">IF($A89="","",IF($G89="","TELL HOST",IF($M89="","",IF($M89&lt;0,"Deadline passed",IF($M89&lt;=3,"Claim soon","")))))</f>
        <v/>
      </c>
    </row>
    <row r="90" customFormat="false" ht="15" hidden="false" customHeight="false" outlineLevel="0" collapsed="false">
      <c r="A90" s="22"/>
      <c r="B90" s="23"/>
      <c r="C90" s="23"/>
      <c r="D90" s="22"/>
      <c r="E90" s="23"/>
      <c r="F90" s="23"/>
      <c r="G90" s="22"/>
      <c r="H90" s="25"/>
      <c r="I90" s="23"/>
      <c r="J90" s="23"/>
      <c r="K90" s="27" t="str">
        <f aca="false">IF($B90="","",IFERROR(INDEX(Properties!$D$5:$D$104,MATCH($B90,Properties!$A$5:$A$104,0)),"-"))</f>
        <v/>
      </c>
      <c r="L90" s="30" t="str">
        <f aca="false">IF($D90="","",$D90+Settings!$B$16)</f>
        <v/>
      </c>
      <c r="M90" s="31" t="str">
        <f aca="true">IF(OR($L90="",$I90="Claimed",$I90="Paid",$I90="Refused",$I90="Not claiming"),"",$L90-TODAY())</f>
        <v/>
      </c>
      <c r="N90" s="27" t="str">
        <f aca="false">IF($A90="","",IF($G90="","TELL HOST",IF($M90="","",IF($M90&lt;0,"Deadline passed",IF($M90&lt;=3,"Claim soon","")))))</f>
        <v/>
      </c>
    </row>
    <row r="91" customFormat="false" ht="15" hidden="false" customHeight="false" outlineLevel="0" collapsed="false">
      <c r="A91" s="22"/>
      <c r="B91" s="23"/>
      <c r="C91" s="23"/>
      <c r="D91" s="22"/>
      <c r="E91" s="23"/>
      <c r="F91" s="23"/>
      <c r="G91" s="22"/>
      <c r="H91" s="25"/>
      <c r="I91" s="23"/>
      <c r="J91" s="23"/>
      <c r="K91" s="27" t="str">
        <f aca="false">IF($B91="","",IFERROR(INDEX(Properties!$D$5:$D$104,MATCH($B91,Properties!$A$5:$A$104,0)),"-"))</f>
        <v/>
      </c>
      <c r="L91" s="30" t="str">
        <f aca="false">IF($D91="","",$D91+Settings!$B$16)</f>
        <v/>
      </c>
      <c r="M91" s="31" t="str">
        <f aca="true">IF(OR($L91="",$I91="Claimed",$I91="Paid",$I91="Refused",$I91="Not claiming"),"",$L91-TODAY())</f>
        <v/>
      </c>
      <c r="N91" s="27" t="str">
        <f aca="false">IF($A91="","",IF($G91="","TELL HOST",IF($M91="","",IF($M91&lt;0,"Deadline passed",IF($M91&lt;=3,"Claim soon","")))))</f>
        <v/>
      </c>
    </row>
    <row r="92" customFormat="false" ht="15" hidden="false" customHeight="false" outlineLevel="0" collapsed="false">
      <c r="A92" s="22"/>
      <c r="B92" s="23"/>
      <c r="C92" s="23"/>
      <c r="D92" s="22"/>
      <c r="E92" s="23"/>
      <c r="F92" s="23"/>
      <c r="G92" s="22"/>
      <c r="H92" s="25"/>
      <c r="I92" s="23"/>
      <c r="J92" s="23"/>
      <c r="K92" s="27" t="str">
        <f aca="false">IF($B92="","",IFERROR(INDEX(Properties!$D$5:$D$104,MATCH($B92,Properties!$A$5:$A$104,0)),"-"))</f>
        <v/>
      </c>
      <c r="L92" s="30" t="str">
        <f aca="false">IF($D92="","",$D92+Settings!$B$16)</f>
        <v/>
      </c>
      <c r="M92" s="31" t="str">
        <f aca="true">IF(OR($L92="",$I92="Claimed",$I92="Paid",$I92="Refused",$I92="Not claiming"),"",$L92-TODAY())</f>
        <v/>
      </c>
      <c r="N92" s="27" t="str">
        <f aca="false">IF($A92="","",IF($G92="","TELL HOST",IF($M92="","",IF($M92&lt;0,"Deadline passed",IF($M92&lt;=3,"Claim soon","")))))</f>
        <v/>
      </c>
    </row>
    <row r="93" customFormat="false" ht="15" hidden="false" customHeight="false" outlineLevel="0" collapsed="false">
      <c r="A93" s="22"/>
      <c r="B93" s="23"/>
      <c r="C93" s="23"/>
      <c r="D93" s="22"/>
      <c r="E93" s="23"/>
      <c r="F93" s="23"/>
      <c r="G93" s="22"/>
      <c r="H93" s="25"/>
      <c r="I93" s="23"/>
      <c r="J93" s="23"/>
      <c r="K93" s="27" t="str">
        <f aca="false">IF($B93="","",IFERROR(INDEX(Properties!$D$5:$D$104,MATCH($B93,Properties!$A$5:$A$104,0)),"-"))</f>
        <v/>
      </c>
      <c r="L93" s="30" t="str">
        <f aca="false">IF($D93="","",$D93+Settings!$B$16)</f>
        <v/>
      </c>
      <c r="M93" s="31" t="str">
        <f aca="true">IF(OR($L93="",$I93="Claimed",$I93="Paid",$I93="Refused",$I93="Not claiming"),"",$L93-TODAY())</f>
        <v/>
      </c>
      <c r="N93" s="27" t="str">
        <f aca="false">IF($A93="","",IF($G93="","TELL HOST",IF($M93="","",IF($M93&lt;0,"Deadline passed",IF($M93&lt;=3,"Claim soon","")))))</f>
        <v/>
      </c>
    </row>
    <row r="94" customFormat="false" ht="15" hidden="false" customHeight="false" outlineLevel="0" collapsed="false">
      <c r="A94" s="22"/>
      <c r="B94" s="23"/>
      <c r="C94" s="23"/>
      <c r="D94" s="22"/>
      <c r="E94" s="23"/>
      <c r="F94" s="23"/>
      <c r="G94" s="22"/>
      <c r="H94" s="25"/>
      <c r="I94" s="23"/>
      <c r="J94" s="23"/>
      <c r="K94" s="27" t="str">
        <f aca="false">IF($B94="","",IFERROR(INDEX(Properties!$D$5:$D$104,MATCH($B94,Properties!$A$5:$A$104,0)),"-"))</f>
        <v/>
      </c>
      <c r="L94" s="30" t="str">
        <f aca="false">IF($D94="","",$D94+Settings!$B$16)</f>
        <v/>
      </c>
      <c r="M94" s="31" t="str">
        <f aca="true">IF(OR($L94="",$I94="Claimed",$I94="Paid",$I94="Refused",$I94="Not claiming"),"",$L94-TODAY())</f>
        <v/>
      </c>
      <c r="N94" s="27" t="str">
        <f aca="false">IF($A94="","",IF($G94="","TELL HOST",IF($M94="","",IF($M94&lt;0,"Deadline passed",IF($M94&lt;=3,"Claim soon","")))))</f>
        <v/>
      </c>
    </row>
    <row r="95" customFormat="false" ht="15" hidden="false" customHeight="false" outlineLevel="0" collapsed="false">
      <c r="A95" s="22"/>
      <c r="B95" s="23"/>
      <c r="C95" s="23"/>
      <c r="D95" s="22"/>
      <c r="E95" s="23"/>
      <c r="F95" s="23"/>
      <c r="G95" s="22"/>
      <c r="H95" s="25"/>
      <c r="I95" s="23"/>
      <c r="J95" s="23"/>
      <c r="K95" s="27" t="str">
        <f aca="false">IF($B95="","",IFERROR(INDEX(Properties!$D$5:$D$104,MATCH($B95,Properties!$A$5:$A$104,0)),"-"))</f>
        <v/>
      </c>
      <c r="L95" s="30" t="str">
        <f aca="false">IF($D95="","",$D95+Settings!$B$16)</f>
        <v/>
      </c>
      <c r="M95" s="31" t="str">
        <f aca="true">IF(OR($L95="",$I95="Claimed",$I95="Paid",$I95="Refused",$I95="Not claiming"),"",$L95-TODAY())</f>
        <v/>
      </c>
      <c r="N95" s="27" t="str">
        <f aca="false">IF($A95="","",IF($G95="","TELL HOST",IF($M95="","",IF($M95&lt;0,"Deadline passed",IF($M95&lt;=3,"Claim soon","")))))</f>
        <v/>
      </c>
    </row>
    <row r="96" customFormat="false" ht="15" hidden="false" customHeight="false" outlineLevel="0" collapsed="false">
      <c r="A96" s="22"/>
      <c r="B96" s="23"/>
      <c r="C96" s="23"/>
      <c r="D96" s="22"/>
      <c r="E96" s="23"/>
      <c r="F96" s="23"/>
      <c r="G96" s="22"/>
      <c r="H96" s="25"/>
      <c r="I96" s="23"/>
      <c r="J96" s="23"/>
      <c r="K96" s="27" t="str">
        <f aca="false">IF($B96="","",IFERROR(INDEX(Properties!$D$5:$D$104,MATCH($B96,Properties!$A$5:$A$104,0)),"-"))</f>
        <v/>
      </c>
      <c r="L96" s="30" t="str">
        <f aca="false">IF($D96="","",$D96+Settings!$B$16)</f>
        <v/>
      </c>
      <c r="M96" s="31" t="str">
        <f aca="true">IF(OR($L96="",$I96="Claimed",$I96="Paid",$I96="Refused",$I96="Not claiming"),"",$L96-TODAY())</f>
        <v/>
      </c>
      <c r="N96" s="27" t="str">
        <f aca="false">IF($A96="","",IF($G96="","TELL HOST",IF($M96="","",IF($M96&lt;0,"Deadline passed",IF($M96&lt;=3,"Claim soon","")))))</f>
        <v/>
      </c>
    </row>
    <row r="97" customFormat="false" ht="15" hidden="false" customHeight="false" outlineLevel="0" collapsed="false">
      <c r="A97" s="22"/>
      <c r="B97" s="23"/>
      <c r="C97" s="23"/>
      <c r="D97" s="22"/>
      <c r="E97" s="23"/>
      <c r="F97" s="23"/>
      <c r="G97" s="22"/>
      <c r="H97" s="25"/>
      <c r="I97" s="23"/>
      <c r="J97" s="23"/>
      <c r="K97" s="27" t="str">
        <f aca="false">IF($B97="","",IFERROR(INDEX(Properties!$D$5:$D$104,MATCH($B97,Properties!$A$5:$A$104,0)),"-"))</f>
        <v/>
      </c>
      <c r="L97" s="30" t="str">
        <f aca="false">IF($D97="","",$D97+Settings!$B$16)</f>
        <v/>
      </c>
      <c r="M97" s="31" t="str">
        <f aca="true">IF(OR($L97="",$I97="Claimed",$I97="Paid",$I97="Refused",$I97="Not claiming"),"",$L97-TODAY())</f>
        <v/>
      </c>
      <c r="N97" s="27" t="str">
        <f aca="false">IF($A97="","",IF($G97="","TELL HOST",IF($M97="","",IF($M97&lt;0,"Deadline passed",IF($M97&lt;=3,"Claim soon","")))))</f>
        <v/>
      </c>
    </row>
    <row r="98" customFormat="false" ht="15" hidden="false" customHeight="false" outlineLevel="0" collapsed="false">
      <c r="A98" s="22"/>
      <c r="B98" s="23"/>
      <c r="C98" s="23"/>
      <c r="D98" s="22"/>
      <c r="E98" s="23"/>
      <c r="F98" s="23"/>
      <c r="G98" s="22"/>
      <c r="H98" s="25"/>
      <c r="I98" s="23"/>
      <c r="J98" s="23"/>
      <c r="K98" s="27" t="str">
        <f aca="false">IF($B98="","",IFERROR(INDEX(Properties!$D$5:$D$104,MATCH($B98,Properties!$A$5:$A$104,0)),"-"))</f>
        <v/>
      </c>
      <c r="L98" s="30" t="str">
        <f aca="false">IF($D98="","",$D98+Settings!$B$16)</f>
        <v/>
      </c>
      <c r="M98" s="31" t="str">
        <f aca="true">IF(OR($L98="",$I98="Claimed",$I98="Paid",$I98="Refused",$I98="Not claiming"),"",$L98-TODAY())</f>
        <v/>
      </c>
      <c r="N98" s="27" t="str">
        <f aca="false">IF($A98="","",IF($G98="","TELL HOST",IF($M98="","",IF($M98&lt;0,"Deadline passed",IF($M98&lt;=3,"Claim soon","")))))</f>
        <v/>
      </c>
    </row>
    <row r="99" customFormat="false" ht="15" hidden="false" customHeight="false" outlineLevel="0" collapsed="false">
      <c r="A99" s="22"/>
      <c r="B99" s="23"/>
      <c r="C99" s="23"/>
      <c r="D99" s="22"/>
      <c r="E99" s="23"/>
      <c r="F99" s="23"/>
      <c r="G99" s="22"/>
      <c r="H99" s="25"/>
      <c r="I99" s="23"/>
      <c r="J99" s="23"/>
      <c r="K99" s="27" t="str">
        <f aca="false">IF($B99="","",IFERROR(INDEX(Properties!$D$5:$D$104,MATCH($B99,Properties!$A$5:$A$104,0)),"-"))</f>
        <v/>
      </c>
      <c r="L99" s="30" t="str">
        <f aca="false">IF($D99="","",$D99+Settings!$B$16)</f>
        <v/>
      </c>
      <c r="M99" s="31" t="str">
        <f aca="true">IF(OR($L99="",$I99="Claimed",$I99="Paid",$I99="Refused",$I99="Not claiming"),"",$L99-TODAY())</f>
        <v/>
      </c>
      <c r="N99" s="27" t="str">
        <f aca="false">IF($A99="","",IF($G99="","TELL HOST",IF($M99="","",IF($M99&lt;0,"Deadline passed",IF($M99&lt;=3,"Claim soon","")))))</f>
        <v/>
      </c>
    </row>
    <row r="100" customFormat="false" ht="15" hidden="false" customHeight="false" outlineLevel="0" collapsed="false">
      <c r="A100" s="22"/>
      <c r="B100" s="23"/>
      <c r="C100" s="23"/>
      <c r="D100" s="22"/>
      <c r="E100" s="23"/>
      <c r="F100" s="23"/>
      <c r="G100" s="22"/>
      <c r="H100" s="25"/>
      <c r="I100" s="23"/>
      <c r="J100" s="23"/>
      <c r="K100" s="27" t="str">
        <f aca="false">IF($B100="","",IFERROR(INDEX(Properties!$D$5:$D$104,MATCH($B100,Properties!$A$5:$A$104,0)),"-"))</f>
        <v/>
      </c>
      <c r="L100" s="30" t="str">
        <f aca="false">IF($D100="","",$D100+Settings!$B$16)</f>
        <v/>
      </c>
      <c r="M100" s="31" t="str">
        <f aca="true">IF(OR($L100="",$I100="Claimed",$I100="Paid",$I100="Refused",$I100="Not claiming"),"",$L100-TODAY())</f>
        <v/>
      </c>
      <c r="N100" s="27" t="str">
        <f aca="false">IF($A100="","",IF($G100="","TELL HOST",IF($M100="","",IF($M100&lt;0,"Deadline passed",IF($M100&lt;=3,"Claim soon","")))))</f>
        <v/>
      </c>
    </row>
    <row r="101" customFormat="false" ht="15" hidden="false" customHeight="false" outlineLevel="0" collapsed="false">
      <c r="A101" s="22"/>
      <c r="B101" s="23"/>
      <c r="C101" s="23"/>
      <c r="D101" s="22"/>
      <c r="E101" s="23"/>
      <c r="F101" s="23"/>
      <c r="G101" s="22"/>
      <c r="H101" s="25"/>
      <c r="I101" s="23"/>
      <c r="J101" s="23"/>
      <c r="K101" s="27" t="str">
        <f aca="false">IF($B101="","",IFERROR(INDEX(Properties!$D$5:$D$104,MATCH($B101,Properties!$A$5:$A$104,0)),"-"))</f>
        <v/>
      </c>
      <c r="L101" s="30" t="str">
        <f aca="false">IF($D101="","",$D101+Settings!$B$16)</f>
        <v/>
      </c>
      <c r="M101" s="31" t="str">
        <f aca="true">IF(OR($L101="",$I101="Claimed",$I101="Paid",$I101="Refused",$I101="Not claiming"),"",$L101-TODAY())</f>
        <v/>
      </c>
      <c r="N101" s="27" t="str">
        <f aca="false">IF($A101="","",IF($G101="","TELL HOST",IF($M101="","",IF($M101&lt;0,"Deadline passed",IF($M101&lt;=3,"Claim soon","")))))</f>
        <v/>
      </c>
    </row>
    <row r="102" customFormat="false" ht="15" hidden="false" customHeight="false" outlineLevel="0" collapsed="false">
      <c r="A102" s="22"/>
      <c r="B102" s="23"/>
      <c r="C102" s="23"/>
      <c r="D102" s="22"/>
      <c r="E102" s="23"/>
      <c r="F102" s="23"/>
      <c r="G102" s="22"/>
      <c r="H102" s="25"/>
      <c r="I102" s="23"/>
      <c r="J102" s="23"/>
      <c r="K102" s="27" t="str">
        <f aca="false">IF($B102="","",IFERROR(INDEX(Properties!$D$5:$D$104,MATCH($B102,Properties!$A$5:$A$104,0)),"-"))</f>
        <v/>
      </c>
      <c r="L102" s="30" t="str">
        <f aca="false">IF($D102="","",$D102+Settings!$B$16)</f>
        <v/>
      </c>
      <c r="M102" s="31" t="str">
        <f aca="true">IF(OR($L102="",$I102="Claimed",$I102="Paid",$I102="Refused",$I102="Not claiming"),"",$L102-TODAY())</f>
        <v/>
      </c>
      <c r="N102" s="27" t="str">
        <f aca="false">IF($A102="","",IF($G102="","TELL HOST",IF($M102="","",IF($M102&lt;0,"Deadline passed",IF($M102&lt;=3,"Claim soon","")))))</f>
        <v/>
      </c>
    </row>
    <row r="103" customFormat="false" ht="15" hidden="false" customHeight="false" outlineLevel="0" collapsed="false">
      <c r="A103" s="22"/>
      <c r="B103" s="23"/>
      <c r="C103" s="23"/>
      <c r="D103" s="22"/>
      <c r="E103" s="23"/>
      <c r="F103" s="23"/>
      <c r="G103" s="22"/>
      <c r="H103" s="25"/>
      <c r="I103" s="23"/>
      <c r="J103" s="23"/>
      <c r="K103" s="27" t="str">
        <f aca="false">IF($B103="","",IFERROR(INDEX(Properties!$D$5:$D$104,MATCH($B103,Properties!$A$5:$A$104,0)),"-"))</f>
        <v/>
      </c>
      <c r="L103" s="30" t="str">
        <f aca="false">IF($D103="","",$D103+Settings!$B$16)</f>
        <v/>
      </c>
      <c r="M103" s="31" t="str">
        <f aca="true">IF(OR($L103="",$I103="Claimed",$I103="Paid",$I103="Refused",$I103="Not claiming"),"",$L103-TODAY())</f>
        <v/>
      </c>
      <c r="N103" s="27" t="str">
        <f aca="false">IF($A103="","",IF($G103="","TELL HOST",IF($M103="","",IF($M103&lt;0,"Deadline passed",IF($M103&lt;=3,"Claim soon","")))))</f>
        <v/>
      </c>
    </row>
    <row r="104" customFormat="false" ht="15" hidden="false" customHeight="false" outlineLevel="0" collapsed="false">
      <c r="A104" s="22"/>
      <c r="B104" s="23"/>
      <c r="C104" s="23"/>
      <c r="D104" s="22"/>
      <c r="E104" s="23"/>
      <c r="F104" s="23"/>
      <c r="G104" s="22"/>
      <c r="H104" s="25"/>
      <c r="I104" s="23"/>
      <c r="J104" s="23"/>
      <c r="K104" s="27" t="str">
        <f aca="false">IF($B104="","",IFERROR(INDEX(Properties!$D$5:$D$104,MATCH($B104,Properties!$A$5:$A$104,0)),"-"))</f>
        <v/>
      </c>
      <c r="L104" s="30" t="str">
        <f aca="false">IF($D104="","",$D104+Settings!$B$16)</f>
        <v/>
      </c>
      <c r="M104" s="31" t="str">
        <f aca="true">IF(OR($L104="",$I104="Claimed",$I104="Paid",$I104="Refused",$I104="Not claiming"),"",$L104-TODAY())</f>
        <v/>
      </c>
      <c r="N104" s="27" t="str">
        <f aca="false">IF($A104="","",IF($G104="","TELL HOST",IF($M104="","",IF($M104&lt;0,"Deadline passed",IF($M104&lt;=3,"Claim soon","")))))</f>
        <v/>
      </c>
    </row>
    <row r="105" customFormat="false" ht="15" hidden="false" customHeight="false" outlineLevel="0" collapsed="false">
      <c r="A105" s="22"/>
      <c r="B105" s="23"/>
      <c r="C105" s="23"/>
      <c r="D105" s="22"/>
      <c r="E105" s="23"/>
      <c r="F105" s="23"/>
      <c r="G105" s="22"/>
      <c r="H105" s="25"/>
      <c r="I105" s="23"/>
      <c r="J105" s="23"/>
      <c r="K105" s="27" t="str">
        <f aca="false">IF($B105="","",IFERROR(INDEX(Properties!$D$5:$D$104,MATCH($B105,Properties!$A$5:$A$104,0)),"-"))</f>
        <v/>
      </c>
      <c r="L105" s="30" t="str">
        <f aca="false">IF($D105="","",$D105+Settings!$B$16)</f>
        <v/>
      </c>
      <c r="M105" s="31" t="str">
        <f aca="true">IF(OR($L105="",$I105="Claimed",$I105="Paid",$I105="Refused",$I105="Not claiming"),"",$L105-TODAY())</f>
        <v/>
      </c>
      <c r="N105" s="27" t="str">
        <f aca="false">IF($A105="","",IF($G105="","TELL HOST",IF($M105="","",IF($M105&lt;0,"Deadline passed",IF($M105&lt;=3,"Claim soon","")))))</f>
        <v/>
      </c>
    </row>
    <row r="106" customFormat="false" ht="15" hidden="false" customHeight="false" outlineLevel="0" collapsed="false">
      <c r="A106" s="22"/>
      <c r="B106" s="23"/>
      <c r="C106" s="23"/>
      <c r="D106" s="22"/>
      <c r="E106" s="23"/>
      <c r="F106" s="23"/>
      <c r="G106" s="22"/>
      <c r="H106" s="25"/>
      <c r="I106" s="23"/>
      <c r="J106" s="23"/>
      <c r="K106" s="27" t="str">
        <f aca="false">IF($B106="","",IFERROR(INDEX(Properties!$D$5:$D$104,MATCH($B106,Properties!$A$5:$A$104,0)),"-"))</f>
        <v/>
      </c>
      <c r="L106" s="30" t="str">
        <f aca="false">IF($D106="","",$D106+Settings!$B$16)</f>
        <v/>
      </c>
      <c r="M106" s="31" t="str">
        <f aca="true">IF(OR($L106="",$I106="Claimed",$I106="Paid",$I106="Refused",$I106="Not claiming"),"",$L106-TODAY())</f>
        <v/>
      </c>
      <c r="N106" s="27" t="str">
        <f aca="false">IF($A106="","",IF($G106="","TELL HOST",IF($M106="","",IF($M106&lt;0,"Deadline passed",IF($M106&lt;=3,"Claim soon","")))))</f>
        <v/>
      </c>
    </row>
    <row r="107" customFormat="false" ht="15" hidden="false" customHeight="false" outlineLevel="0" collapsed="false">
      <c r="A107" s="22"/>
      <c r="B107" s="23"/>
      <c r="C107" s="23"/>
      <c r="D107" s="22"/>
      <c r="E107" s="23"/>
      <c r="F107" s="23"/>
      <c r="G107" s="22"/>
      <c r="H107" s="25"/>
      <c r="I107" s="23"/>
      <c r="J107" s="23"/>
      <c r="K107" s="27" t="str">
        <f aca="false">IF($B107="","",IFERROR(INDEX(Properties!$D$5:$D$104,MATCH($B107,Properties!$A$5:$A$104,0)),"-"))</f>
        <v/>
      </c>
      <c r="L107" s="30" t="str">
        <f aca="false">IF($D107="","",$D107+Settings!$B$16)</f>
        <v/>
      </c>
      <c r="M107" s="31" t="str">
        <f aca="true">IF(OR($L107="",$I107="Claimed",$I107="Paid",$I107="Refused",$I107="Not claiming"),"",$L107-TODAY())</f>
        <v/>
      </c>
      <c r="N107" s="27" t="str">
        <f aca="false">IF($A107="","",IF($G107="","TELL HOST",IF($M107="","",IF($M107&lt;0,"Deadline passed",IF($M107&lt;=3,"Claim soon","")))))</f>
        <v/>
      </c>
    </row>
    <row r="108" customFormat="false" ht="15" hidden="false" customHeight="false" outlineLevel="0" collapsed="false">
      <c r="A108" s="22"/>
      <c r="B108" s="23"/>
      <c r="C108" s="23"/>
      <c r="D108" s="22"/>
      <c r="E108" s="23"/>
      <c r="F108" s="23"/>
      <c r="G108" s="22"/>
      <c r="H108" s="25"/>
      <c r="I108" s="23"/>
      <c r="J108" s="23"/>
      <c r="K108" s="27" t="str">
        <f aca="false">IF($B108="","",IFERROR(INDEX(Properties!$D$5:$D$104,MATCH($B108,Properties!$A$5:$A$104,0)),"-"))</f>
        <v/>
      </c>
      <c r="L108" s="30" t="str">
        <f aca="false">IF($D108="","",$D108+Settings!$B$16)</f>
        <v/>
      </c>
      <c r="M108" s="31" t="str">
        <f aca="true">IF(OR($L108="",$I108="Claimed",$I108="Paid",$I108="Refused",$I108="Not claiming"),"",$L108-TODAY())</f>
        <v/>
      </c>
      <c r="N108" s="27" t="str">
        <f aca="false">IF($A108="","",IF($G108="","TELL HOST",IF($M108="","",IF($M108&lt;0,"Deadline passed",IF($M108&lt;=3,"Claim soon","")))))</f>
        <v/>
      </c>
    </row>
    <row r="109" customFormat="false" ht="15" hidden="false" customHeight="false" outlineLevel="0" collapsed="false">
      <c r="A109" s="22"/>
      <c r="B109" s="23"/>
      <c r="C109" s="23"/>
      <c r="D109" s="22"/>
      <c r="E109" s="23"/>
      <c r="F109" s="23"/>
      <c r="G109" s="22"/>
      <c r="H109" s="25"/>
      <c r="I109" s="23"/>
      <c r="J109" s="23"/>
      <c r="K109" s="27" t="str">
        <f aca="false">IF($B109="","",IFERROR(INDEX(Properties!$D$5:$D$104,MATCH($B109,Properties!$A$5:$A$104,0)),"-"))</f>
        <v/>
      </c>
      <c r="L109" s="30" t="str">
        <f aca="false">IF($D109="","",$D109+Settings!$B$16)</f>
        <v/>
      </c>
      <c r="M109" s="31" t="str">
        <f aca="true">IF(OR($L109="",$I109="Claimed",$I109="Paid",$I109="Refused",$I109="Not claiming"),"",$L109-TODAY())</f>
        <v/>
      </c>
      <c r="N109" s="27" t="str">
        <f aca="false">IF($A109="","",IF($G109="","TELL HOST",IF($M109="","",IF($M109&lt;0,"Deadline passed",IF($M109&lt;=3,"Claim soon","")))))</f>
        <v/>
      </c>
    </row>
    <row r="110" customFormat="false" ht="15" hidden="false" customHeight="false" outlineLevel="0" collapsed="false">
      <c r="A110" s="22"/>
      <c r="B110" s="23"/>
      <c r="C110" s="23"/>
      <c r="D110" s="22"/>
      <c r="E110" s="23"/>
      <c r="F110" s="23"/>
      <c r="G110" s="22"/>
      <c r="H110" s="25"/>
      <c r="I110" s="23"/>
      <c r="J110" s="23"/>
      <c r="K110" s="27" t="str">
        <f aca="false">IF($B110="","",IFERROR(INDEX(Properties!$D$5:$D$104,MATCH($B110,Properties!$A$5:$A$104,0)),"-"))</f>
        <v/>
      </c>
      <c r="L110" s="30" t="str">
        <f aca="false">IF($D110="","",$D110+Settings!$B$16)</f>
        <v/>
      </c>
      <c r="M110" s="31" t="str">
        <f aca="true">IF(OR($L110="",$I110="Claimed",$I110="Paid",$I110="Refused",$I110="Not claiming"),"",$L110-TODAY())</f>
        <v/>
      </c>
      <c r="N110" s="27" t="str">
        <f aca="false">IF($A110="","",IF($G110="","TELL HOST",IF($M110="","",IF($M110&lt;0,"Deadline passed",IF($M110&lt;=3,"Claim soon","")))))</f>
        <v/>
      </c>
    </row>
    <row r="111" customFormat="false" ht="15" hidden="false" customHeight="false" outlineLevel="0" collapsed="false">
      <c r="A111" s="22"/>
      <c r="B111" s="23"/>
      <c r="C111" s="23"/>
      <c r="D111" s="22"/>
      <c r="E111" s="23"/>
      <c r="F111" s="23"/>
      <c r="G111" s="22"/>
      <c r="H111" s="25"/>
      <c r="I111" s="23"/>
      <c r="J111" s="23"/>
      <c r="K111" s="27" t="str">
        <f aca="false">IF($B111="","",IFERROR(INDEX(Properties!$D$5:$D$104,MATCH($B111,Properties!$A$5:$A$104,0)),"-"))</f>
        <v/>
      </c>
      <c r="L111" s="30" t="str">
        <f aca="false">IF($D111="","",$D111+Settings!$B$16)</f>
        <v/>
      </c>
      <c r="M111" s="31" t="str">
        <f aca="true">IF(OR($L111="",$I111="Claimed",$I111="Paid",$I111="Refused",$I111="Not claiming"),"",$L111-TODAY())</f>
        <v/>
      </c>
      <c r="N111" s="27" t="str">
        <f aca="false">IF($A111="","",IF($G111="","TELL HOST",IF($M111="","",IF($M111&lt;0,"Deadline passed",IF($M111&lt;=3,"Claim soon","")))))</f>
        <v/>
      </c>
    </row>
    <row r="112" customFormat="false" ht="15" hidden="false" customHeight="false" outlineLevel="0" collapsed="false">
      <c r="A112" s="22"/>
      <c r="B112" s="23"/>
      <c r="C112" s="23"/>
      <c r="D112" s="22"/>
      <c r="E112" s="23"/>
      <c r="F112" s="23"/>
      <c r="G112" s="22"/>
      <c r="H112" s="25"/>
      <c r="I112" s="23"/>
      <c r="J112" s="23"/>
      <c r="K112" s="27" t="str">
        <f aca="false">IF($B112="","",IFERROR(INDEX(Properties!$D$5:$D$104,MATCH($B112,Properties!$A$5:$A$104,0)),"-"))</f>
        <v/>
      </c>
      <c r="L112" s="30" t="str">
        <f aca="false">IF($D112="","",$D112+Settings!$B$16)</f>
        <v/>
      </c>
      <c r="M112" s="31" t="str">
        <f aca="true">IF(OR($L112="",$I112="Claimed",$I112="Paid",$I112="Refused",$I112="Not claiming"),"",$L112-TODAY())</f>
        <v/>
      </c>
      <c r="N112" s="27" t="str">
        <f aca="false">IF($A112="","",IF($G112="","TELL HOST",IF($M112="","",IF($M112&lt;0,"Deadline passed",IF($M112&lt;=3,"Claim soon","")))))</f>
        <v/>
      </c>
    </row>
    <row r="113" customFormat="false" ht="15" hidden="false" customHeight="false" outlineLevel="0" collapsed="false">
      <c r="A113" s="22"/>
      <c r="B113" s="23"/>
      <c r="C113" s="23"/>
      <c r="D113" s="22"/>
      <c r="E113" s="23"/>
      <c r="F113" s="23"/>
      <c r="G113" s="22"/>
      <c r="H113" s="25"/>
      <c r="I113" s="23"/>
      <c r="J113" s="23"/>
      <c r="K113" s="27" t="str">
        <f aca="false">IF($B113="","",IFERROR(INDEX(Properties!$D$5:$D$104,MATCH($B113,Properties!$A$5:$A$104,0)),"-"))</f>
        <v/>
      </c>
      <c r="L113" s="30" t="str">
        <f aca="false">IF($D113="","",$D113+Settings!$B$16)</f>
        <v/>
      </c>
      <c r="M113" s="31" t="str">
        <f aca="true">IF(OR($L113="",$I113="Claimed",$I113="Paid",$I113="Refused",$I113="Not claiming"),"",$L113-TODAY())</f>
        <v/>
      </c>
      <c r="N113" s="27" t="str">
        <f aca="false">IF($A113="","",IF($G113="","TELL HOST",IF($M113="","",IF($M113&lt;0,"Deadline passed",IF($M113&lt;=3,"Claim soon","")))))</f>
        <v/>
      </c>
    </row>
    <row r="114" customFormat="false" ht="15" hidden="false" customHeight="false" outlineLevel="0" collapsed="false">
      <c r="A114" s="22"/>
      <c r="B114" s="23"/>
      <c r="C114" s="23"/>
      <c r="D114" s="22"/>
      <c r="E114" s="23"/>
      <c r="F114" s="23"/>
      <c r="G114" s="22"/>
      <c r="H114" s="25"/>
      <c r="I114" s="23"/>
      <c r="J114" s="23"/>
      <c r="K114" s="27" t="str">
        <f aca="false">IF($B114="","",IFERROR(INDEX(Properties!$D$5:$D$104,MATCH($B114,Properties!$A$5:$A$104,0)),"-"))</f>
        <v/>
      </c>
      <c r="L114" s="30" t="str">
        <f aca="false">IF($D114="","",$D114+Settings!$B$16)</f>
        <v/>
      </c>
      <c r="M114" s="31" t="str">
        <f aca="true">IF(OR($L114="",$I114="Claimed",$I114="Paid",$I114="Refused",$I114="Not claiming"),"",$L114-TODAY())</f>
        <v/>
      </c>
      <c r="N114" s="27" t="str">
        <f aca="false">IF($A114="","",IF($G114="","TELL HOST",IF($M114="","",IF($M114&lt;0,"Deadline passed",IF($M114&lt;=3,"Claim soon","")))))</f>
        <v/>
      </c>
    </row>
    <row r="115" customFormat="false" ht="15" hidden="false" customHeight="false" outlineLevel="0" collapsed="false">
      <c r="A115" s="22"/>
      <c r="B115" s="23"/>
      <c r="C115" s="23"/>
      <c r="D115" s="22"/>
      <c r="E115" s="23"/>
      <c r="F115" s="23"/>
      <c r="G115" s="22"/>
      <c r="H115" s="25"/>
      <c r="I115" s="23"/>
      <c r="J115" s="23"/>
      <c r="K115" s="27" t="str">
        <f aca="false">IF($B115="","",IFERROR(INDEX(Properties!$D$5:$D$104,MATCH($B115,Properties!$A$5:$A$104,0)),"-"))</f>
        <v/>
      </c>
      <c r="L115" s="30" t="str">
        <f aca="false">IF($D115="","",$D115+Settings!$B$16)</f>
        <v/>
      </c>
      <c r="M115" s="31" t="str">
        <f aca="true">IF(OR($L115="",$I115="Claimed",$I115="Paid",$I115="Refused",$I115="Not claiming"),"",$L115-TODAY())</f>
        <v/>
      </c>
      <c r="N115" s="27" t="str">
        <f aca="false">IF($A115="","",IF($G115="","TELL HOST",IF($M115="","",IF($M115&lt;0,"Deadline passed",IF($M115&lt;=3,"Claim soon","")))))</f>
        <v/>
      </c>
    </row>
    <row r="116" customFormat="false" ht="15" hidden="false" customHeight="false" outlineLevel="0" collapsed="false">
      <c r="A116" s="22"/>
      <c r="B116" s="23"/>
      <c r="C116" s="23"/>
      <c r="D116" s="22"/>
      <c r="E116" s="23"/>
      <c r="F116" s="23"/>
      <c r="G116" s="22"/>
      <c r="H116" s="25"/>
      <c r="I116" s="23"/>
      <c r="J116" s="23"/>
      <c r="K116" s="27" t="str">
        <f aca="false">IF($B116="","",IFERROR(INDEX(Properties!$D$5:$D$104,MATCH($B116,Properties!$A$5:$A$104,0)),"-"))</f>
        <v/>
      </c>
      <c r="L116" s="30" t="str">
        <f aca="false">IF($D116="","",$D116+Settings!$B$16)</f>
        <v/>
      </c>
      <c r="M116" s="31" t="str">
        <f aca="true">IF(OR($L116="",$I116="Claimed",$I116="Paid",$I116="Refused",$I116="Not claiming"),"",$L116-TODAY())</f>
        <v/>
      </c>
      <c r="N116" s="27" t="str">
        <f aca="false">IF($A116="","",IF($G116="","TELL HOST",IF($M116="","",IF($M116&lt;0,"Deadline passed",IF($M116&lt;=3,"Claim soon","")))))</f>
        <v/>
      </c>
    </row>
    <row r="117" customFormat="false" ht="15" hidden="false" customHeight="false" outlineLevel="0" collapsed="false">
      <c r="A117" s="22"/>
      <c r="B117" s="23"/>
      <c r="C117" s="23"/>
      <c r="D117" s="22"/>
      <c r="E117" s="23"/>
      <c r="F117" s="23"/>
      <c r="G117" s="22"/>
      <c r="H117" s="25"/>
      <c r="I117" s="23"/>
      <c r="J117" s="23"/>
      <c r="K117" s="27" t="str">
        <f aca="false">IF($B117="","",IFERROR(INDEX(Properties!$D$5:$D$104,MATCH($B117,Properties!$A$5:$A$104,0)),"-"))</f>
        <v/>
      </c>
      <c r="L117" s="30" t="str">
        <f aca="false">IF($D117="","",$D117+Settings!$B$16)</f>
        <v/>
      </c>
      <c r="M117" s="31" t="str">
        <f aca="true">IF(OR($L117="",$I117="Claimed",$I117="Paid",$I117="Refused",$I117="Not claiming"),"",$L117-TODAY())</f>
        <v/>
      </c>
      <c r="N117" s="27" t="str">
        <f aca="false">IF($A117="","",IF($G117="","TELL HOST",IF($M117="","",IF($M117&lt;0,"Deadline passed",IF($M117&lt;=3,"Claim soon","")))))</f>
        <v/>
      </c>
    </row>
    <row r="118" customFormat="false" ht="15" hidden="false" customHeight="false" outlineLevel="0" collapsed="false">
      <c r="A118" s="22"/>
      <c r="B118" s="23"/>
      <c r="C118" s="23"/>
      <c r="D118" s="22"/>
      <c r="E118" s="23"/>
      <c r="F118" s="23"/>
      <c r="G118" s="22"/>
      <c r="H118" s="25"/>
      <c r="I118" s="23"/>
      <c r="J118" s="23"/>
      <c r="K118" s="27" t="str">
        <f aca="false">IF($B118="","",IFERROR(INDEX(Properties!$D$5:$D$104,MATCH($B118,Properties!$A$5:$A$104,0)),"-"))</f>
        <v/>
      </c>
      <c r="L118" s="30" t="str">
        <f aca="false">IF($D118="","",$D118+Settings!$B$16)</f>
        <v/>
      </c>
      <c r="M118" s="31" t="str">
        <f aca="true">IF(OR($L118="",$I118="Claimed",$I118="Paid",$I118="Refused",$I118="Not claiming"),"",$L118-TODAY())</f>
        <v/>
      </c>
      <c r="N118" s="27" t="str">
        <f aca="false">IF($A118="","",IF($G118="","TELL HOST",IF($M118="","",IF($M118&lt;0,"Deadline passed",IF($M118&lt;=3,"Claim soon","")))))</f>
        <v/>
      </c>
    </row>
    <row r="119" customFormat="false" ht="15" hidden="false" customHeight="false" outlineLevel="0" collapsed="false">
      <c r="A119" s="22"/>
      <c r="B119" s="23"/>
      <c r="C119" s="23"/>
      <c r="D119" s="22"/>
      <c r="E119" s="23"/>
      <c r="F119" s="23"/>
      <c r="G119" s="22"/>
      <c r="H119" s="25"/>
      <c r="I119" s="23"/>
      <c r="J119" s="23"/>
      <c r="K119" s="27" t="str">
        <f aca="false">IF($B119="","",IFERROR(INDEX(Properties!$D$5:$D$104,MATCH($B119,Properties!$A$5:$A$104,0)),"-"))</f>
        <v/>
      </c>
      <c r="L119" s="30" t="str">
        <f aca="false">IF($D119="","",$D119+Settings!$B$16)</f>
        <v/>
      </c>
      <c r="M119" s="31" t="str">
        <f aca="true">IF(OR($L119="",$I119="Claimed",$I119="Paid",$I119="Refused",$I119="Not claiming"),"",$L119-TODAY())</f>
        <v/>
      </c>
      <c r="N119" s="27" t="str">
        <f aca="false">IF($A119="","",IF($G119="","TELL HOST",IF($M119="","",IF($M119&lt;0,"Deadline passed",IF($M119&lt;=3,"Claim soon","")))))</f>
        <v/>
      </c>
    </row>
    <row r="120" customFormat="false" ht="15" hidden="false" customHeight="false" outlineLevel="0" collapsed="false">
      <c r="A120" s="22"/>
      <c r="B120" s="23"/>
      <c r="C120" s="23"/>
      <c r="D120" s="22"/>
      <c r="E120" s="23"/>
      <c r="F120" s="23"/>
      <c r="G120" s="22"/>
      <c r="H120" s="25"/>
      <c r="I120" s="23"/>
      <c r="J120" s="23"/>
      <c r="K120" s="27" t="str">
        <f aca="false">IF($B120="","",IFERROR(INDEX(Properties!$D$5:$D$104,MATCH($B120,Properties!$A$5:$A$104,0)),"-"))</f>
        <v/>
      </c>
      <c r="L120" s="30" t="str">
        <f aca="false">IF($D120="","",$D120+Settings!$B$16)</f>
        <v/>
      </c>
      <c r="M120" s="31" t="str">
        <f aca="true">IF(OR($L120="",$I120="Claimed",$I120="Paid",$I120="Refused",$I120="Not claiming"),"",$L120-TODAY())</f>
        <v/>
      </c>
      <c r="N120" s="27" t="str">
        <f aca="false">IF($A120="","",IF($G120="","TELL HOST",IF($M120="","",IF($M120&lt;0,"Deadline passed",IF($M120&lt;=3,"Claim soon","")))))</f>
        <v/>
      </c>
    </row>
    <row r="121" customFormat="false" ht="15" hidden="false" customHeight="false" outlineLevel="0" collapsed="false">
      <c r="A121" s="22"/>
      <c r="B121" s="23"/>
      <c r="C121" s="23"/>
      <c r="D121" s="22"/>
      <c r="E121" s="23"/>
      <c r="F121" s="23"/>
      <c r="G121" s="22"/>
      <c r="H121" s="25"/>
      <c r="I121" s="23"/>
      <c r="J121" s="23"/>
      <c r="K121" s="27" t="str">
        <f aca="false">IF($B121="","",IFERROR(INDEX(Properties!$D$5:$D$104,MATCH($B121,Properties!$A$5:$A$104,0)),"-"))</f>
        <v/>
      </c>
      <c r="L121" s="30" t="str">
        <f aca="false">IF($D121="","",$D121+Settings!$B$16)</f>
        <v/>
      </c>
      <c r="M121" s="31" t="str">
        <f aca="true">IF(OR($L121="",$I121="Claimed",$I121="Paid",$I121="Refused",$I121="Not claiming"),"",$L121-TODAY())</f>
        <v/>
      </c>
      <c r="N121" s="27" t="str">
        <f aca="false">IF($A121="","",IF($G121="","TELL HOST",IF($M121="","",IF($M121&lt;0,"Deadline passed",IF($M121&lt;=3,"Claim soon","")))))</f>
        <v/>
      </c>
    </row>
    <row r="122" customFormat="false" ht="15" hidden="false" customHeight="false" outlineLevel="0" collapsed="false">
      <c r="A122" s="22"/>
      <c r="B122" s="23"/>
      <c r="C122" s="23"/>
      <c r="D122" s="22"/>
      <c r="E122" s="23"/>
      <c r="F122" s="23"/>
      <c r="G122" s="22"/>
      <c r="H122" s="25"/>
      <c r="I122" s="23"/>
      <c r="J122" s="23"/>
      <c r="K122" s="27" t="str">
        <f aca="false">IF($B122="","",IFERROR(INDEX(Properties!$D$5:$D$104,MATCH($B122,Properties!$A$5:$A$104,0)),"-"))</f>
        <v/>
      </c>
      <c r="L122" s="30" t="str">
        <f aca="false">IF($D122="","",$D122+Settings!$B$16)</f>
        <v/>
      </c>
      <c r="M122" s="31" t="str">
        <f aca="true">IF(OR($L122="",$I122="Claimed",$I122="Paid",$I122="Refused",$I122="Not claiming"),"",$L122-TODAY())</f>
        <v/>
      </c>
      <c r="N122" s="27" t="str">
        <f aca="false">IF($A122="","",IF($G122="","TELL HOST",IF($M122="","",IF($M122&lt;0,"Deadline passed",IF($M122&lt;=3,"Claim soon","")))))</f>
        <v/>
      </c>
    </row>
    <row r="123" customFormat="false" ht="15" hidden="false" customHeight="false" outlineLevel="0" collapsed="false">
      <c r="A123" s="22"/>
      <c r="B123" s="23"/>
      <c r="C123" s="23"/>
      <c r="D123" s="22"/>
      <c r="E123" s="23"/>
      <c r="F123" s="23"/>
      <c r="G123" s="22"/>
      <c r="H123" s="25"/>
      <c r="I123" s="23"/>
      <c r="J123" s="23"/>
      <c r="K123" s="27" t="str">
        <f aca="false">IF($B123="","",IFERROR(INDEX(Properties!$D$5:$D$104,MATCH($B123,Properties!$A$5:$A$104,0)),"-"))</f>
        <v/>
      </c>
      <c r="L123" s="30" t="str">
        <f aca="false">IF($D123="","",$D123+Settings!$B$16)</f>
        <v/>
      </c>
      <c r="M123" s="31" t="str">
        <f aca="true">IF(OR($L123="",$I123="Claimed",$I123="Paid",$I123="Refused",$I123="Not claiming"),"",$L123-TODAY())</f>
        <v/>
      </c>
      <c r="N123" s="27" t="str">
        <f aca="false">IF($A123="","",IF($G123="","TELL HOST",IF($M123="","",IF($M123&lt;0,"Deadline passed",IF($M123&lt;=3,"Claim soon","")))))</f>
        <v/>
      </c>
    </row>
    <row r="124" customFormat="false" ht="15" hidden="false" customHeight="false" outlineLevel="0" collapsed="false">
      <c r="A124" s="22"/>
      <c r="B124" s="23"/>
      <c r="C124" s="23"/>
      <c r="D124" s="22"/>
      <c r="E124" s="23"/>
      <c r="F124" s="23"/>
      <c r="G124" s="22"/>
      <c r="H124" s="25"/>
      <c r="I124" s="23"/>
      <c r="J124" s="23"/>
      <c r="K124" s="27" t="str">
        <f aca="false">IF($B124="","",IFERROR(INDEX(Properties!$D$5:$D$104,MATCH($B124,Properties!$A$5:$A$104,0)),"-"))</f>
        <v/>
      </c>
      <c r="L124" s="30" t="str">
        <f aca="false">IF($D124="","",$D124+Settings!$B$16)</f>
        <v/>
      </c>
      <c r="M124" s="31" t="str">
        <f aca="true">IF(OR($L124="",$I124="Claimed",$I124="Paid",$I124="Refused",$I124="Not claiming"),"",$L124-TODAY())</f>
        <v/>
      </c>
      <c r="N124" s="27" t="str">
        <f aca="false">IF($A124="","",IF($G124="","TELL HOST",IF($M124="","",IF($M124&lt;0,"Deadline passed",IF($M124&lt;=3,"Claim soon","")))))</f>
        <v/>
      </c>
    </row>
    <row r="125" customFormat="false" ht="15" hidden="false" customHeight="false" outlineLevel="0" collapsed="false">
      <c r="A125" s="22"/>
      <c r="B125" s="23"/>
      <c r="C125" s="23"/>
      <c r="D125" s="22"/>
      <c r="E125" s="23"/>
      <c r="F125" s="23"/>
      <c r="G125" s="22"/>
      <c r="H125" s="25"/>
      <c r="I125" s="23"/>
      <c r="J125" s="23"/>
      <c r="K125" s="27" t="str">
        <f aca="false">IF($B125="","",IFERROR(INDEX(Properties!$D$5:$D$104,MATCH($B125,Properties!$A$5:$A$104,0)),"-"))</f>
        <v/>
      </c>
      <c r="L125" s="30" t="str">
        <f aca="false">IF($D125="","",$D125+Settings!$B$16)</f>
        <v/>
      </c>
      <c r="M125" s="31" t="str">
        <f aca="true">IF(OR($L125="",$I125="Claimed",$I125="Paid",$I125="Refused",$I125="Not claiming"),"",$L125-TODAY())</f>
        <v/>
      </c>
      <c r="N125" s="27" t="str">
        <f aca="false">IF($A125="","",IF($G125="","TELL HOST",IF($M125="","",IF($M125&lt;0,"Deadline passed",IF($M125&lt;=3,"Claim soon","")))))</f>
        <v/>
      </c>
    </row>
    <row r="126" customFormat="false" ht="15" hidden="false" customHeight="false" outlineLevel="0" collapsed="false">
      <c r="A126" s="22"/>
      <c r="B126" s="23"/>
      <c r="C126" s="23"/>
      <c r="D126" s="22"/>
      <c r="E126" s="23"/>
      <c r="F126" s="23"/>
      <c r="G126" s="22"/>
      <c r="H126" s="25"/>
      <c r="I126" s="23"/>
      <c r="J126" s="23"/>
      <c r="K126" s="27" t="str">
        <f aca="false">IF($B126="","",IFERROR(INDEX(Properties!$D$5:$D$104,MATCH($B126,Properties!$A$5:$A$104,0)),"-"))</f>
        <v/>
      </c>
      <c r="L126" s="30" t="str">
        <f aca="false">IF($D126="","",$D126+Settings!$B$16)</f>
        <v/>
      </c>
      <c r="M126" s="31" t="str">
        <f aca="true">IF(OR($L126="",$I126="Claimed",$I126="Paid",$I126="Refused",$I126="Not claiming"),"",$L126-TODAY())</f>
        <v/>
      </c>
      <c r="N126" s="27" t="str">
        <f aca="false">IF($A126="","",IF($G126="","TELL HOST",IF($M126="","",IF($M126&lt;0,"Deadline passed",IF($M126&lt;=3,"Claim soon","")))))</f>
        <v/>
      </c>
    </row>
    <row r="127" customFormat="false" ht="15" hidden="false" customHeight="false" outlineLevel="0" collapsed="false">
      <c r="A127" s="22"/>
      <c r="B127" s="23"/>
      <c r="C127" s="23"/>
      <c r="D127" s="22"/>
      <c r="E127" s="23"/>
      <c r="F127" s="23"/>
      <c r="G127" s="22"/>
      <c r="H127" s="25"/>
      <c r="I127" s="23"/>
      <c r="J127" s="23"/>
      <c r="K127" s="27" t="str">
        <f aca="false">IF($B127="","",IFERROR(INDEX(Properties!$D$5:$D$104,MATCH($B127,Properties!$A$5:$A$104,0)),"-"))</f>
        <v/>
      </c>
      <c r="L127" s="30" t="str">
        <f aca="false">IF($D127="","",$D127+Settings!$B$16)</f>
        <v/>
      </c>
      <c r="M127" s="31" t="str">
        <f aca="true">IF(OR($L127="",$I127="Claimed",$I127="Paid",$I127="Refused",$I127="Not claiming"),"",$L127-TODAY())</f>
        <v/>
      </c>
      <c r="N127" s="27" t="str">
        <f aca="false">IF($A127="","",IF($G127="","TELL HOST",IF($M127="","",IF($M127&lt;0,"Deadline passed",IF($M127&lt;=3,"Claim soon","")))))</f>
        <v/>
      </c>
    </row>
    <row r="128" customFormat="false" ht="15" hidden="false" customHeight="false" outlineLevel="0" collapsed="false">
      <c r="A128" s="22"/>
      <c r="B128" s="23"/>
      <c r="C128" s="23"/>
      <c r="D128" s="22"/>
      <c r="E128" s="23"/>
      <c r="F128" s="23"/>
      <c r="G128" s="22"/>
      <c r="H128" s="25"/>
      <c r="I128" s="23"/>
      <c r="J128" s="23"/>
      <c r="K128" s="27" t="str">
        <f aca="false">IF($B128="","",IFERROR(INDEX(Properties!$D$5:$D$104,MATCH($B128,Properties!$A$5:$A$104,0)),"-"))</f>
        <v/>
      </c>
      <c r="L128" s="30" t="str">
        <f aca="false">IF($D128="","",$D128+Settings!$B$16)</f>
        <v/>
      </c>
      <c r="M128" s="31" t="str">
        <f aca="true">IF(OR($L128="",$I128="Claimed",$I128="Paid",$I128="Refused",$I128="Not claiming"),"",$L128-TODAY())</f>
        <v/>
      </c>
      <c r="N128" s="27" t="str">
        <f aca="false">IF($A128="","",IF($G128="","TELL HOST",IF($M128="","",IF($M128&lt;0,"Deadline passed",IF($M128&lt;=3,"Claim soon","")))))</f>
        <v/>
      </c>
    </row>
    <row r="129" customFormat="false" ht="15" hidden="false" customHeight="false" outlineLevel="0" collapsed="false">
      <c r="A129" s="22"/>
      <c r="B129" s="23"/>
      <c r="C129" s="23"/>
      <c r="D129" s="22"/>
      <c r="E129" s="23"/>
      <c r="F129" s="23"/>
      <c r="G129" s="22"/>
      <c r="H129" s="25"/>
      <c r="I129" s="23"/>
      <c r="J129" s="23"/>
      <c r="K129" s="27" t="str">
        <f aca="false">IF($B129="","",IFERROR(INDEX(Properties!$D$5:$D$104,MATCH($B129,Properties!$A$5:$A$104,0)),"-"))</f>
        <v/>
      </c>
      <c r="L129" s="30" t="str">
        <f aca="false">IF($D129="","",$D129+Settings!$B$16)</f>
        <v/>
      </c>
      <c r="M129" s="31" t="str">
        <f aca="true">IF(OR($L129="",$I129="Claimed",$I129="Paid",$I129="Refused",$I129="Not claiming"),"",$L129-TODAY())</f>
        <v/>
      </c>
      <c r="N129" s="27" t="str">
        <f aca="false">IF($A129="","",IF($G129="","TELL HOST",IF($M129="","",IF($M129&lt;0,"Deadline passed",IF($M129&lt;=3,"Claim soon","")))))</f>
        <v/>
      </c>
    </row>
    <row r="130" customFormat="false" ht="15" hidden="false" customHeight="false" outlineLevel="0" collapsed="false">
      <c r="A130" s="22"/>
      <c r="B130" s="23"/>
      <c r="C130" s="23"/>
      <c r="D130" s="22"/>
      <c r="E130" s="23"/>
      <c r="F130" s="23"/>
      <c r="G130" s="22"/>
      <c r="H130" s="25"/>
      <c r="I130" s="23"/>
      <c r="J130" s="23"/>
      <c r="K130" s="27" t="str">
        <f aca="false">IF($B130="","",IFERROR(INDEX(Properties!$D$5:$D$104,MATCH($B130,Properties!$A$5:$A$104,0)),"-"))</f>
        <v/>
      </c>
      <c r="L130" s="30" t="str">
        <f aca="false">IF($D130="","",$D130+Settings!$B$16)</f>
        <v/>
      </c>
      <c r="M130" s="31" t="str">
        <f aca="true">IF(OR($L130="",$I130="Claimed",$I130="Paid",$I130="Refused",$I130="Not claiming"),"",$L130-TODAY())</f>
        <v/>
      </c>
      <c r="N130" s="27" t="str">
        <f aca="false">IF($A130="","",IF($G130="","TELL HOST",IF($M130="","",IF($M130&lt;0,"Deadline passed",IF($M130&lt;=3,"Claim soon","")))))</f>
        <v/>
      </c>
    </row>
    <row r="131" customFormat="false" ht="15" hidden="false" customHeight="false" outlineLevel="0" collapsed="false">
      <c r="A131" s="22"/>
      <c r="B131" s="23"/>
      <c r="C131" s="23"/>
      <c r="D131" s="22"/>
      <c r="E131" s="23"/>
      <c r="F131" s="23"/>
      <c r="G131" s="22"/>
      <c r="H131" s="25"/>
      <c r="I131" s="23"/>
      <c r="J131" s="23"/>
      <c r="K131" s="27" t="str">
        <f aca="false">IF($B131="","",IFERROR(INDEX(Properties!$D$5:$D$104,MATCH($B131,Properties!$A$5:$A$104,0)),"-"))</f>
        <v/>
      </c>
      <c r="L131" s="30" t="str">
        <f aca="false">IF($D131="","",$D131+Settings!$B$16)</f>
        <v/>
      </c>
      <c r="M131" s="31" t="str">
        <f aca="true">IF(OR($L131="",$I131="Claimed",$I131="Paid",$I131="Refused",$I131="Not claiming"),"",$L131-TODAY())</f>
        <v/>
      </c>
      <c r="N131" s="27" t="str">
        <f aca="false">IF($A131="","",IF($G131="","TELL HOST",IF($M131="","",IF($M131&lt;0,"Deadline passed",IF($M131&lt;=3,"Claim soon","")))))</f>
        <v/>
      </c>
    </row>
    <row r="132" customFormat="false" ht="15" hidden="false" customHeight="false" outlineLevel="0" collapsed="false">
      <c r="A132" s="22"/>
      <c r="B132" s="23"/>
      <c r="C132" s="23"/>
      <c r="D132" s="22"/>
      <c r="E132" s="23"/>
      <c r="F132" s="23"/>
      <c r="G132" s="22"/>
      <c r="H132" s="25"/>
      <c r="I132" s="23"/>
      <c r="J132" s="23"/>
      <c r="K132" s="27" t="str">
        <f aca="false">IF($B132="","",IFERROR(INDEX(Properties!$D$5:$D$104,MATCH($B132,Properties!$A$5:$A$104,0)),"-"))</f>
        <v/>
      </c>
      <c r="L132" s="30" t="str">
        <f aca="false">IF($D132="","",$D132+Settings!$B$16)</f>
        <v/>
      </c>
      <c r="M132" s="31" t="str">
        <f aca="true">IF(OR($L132="",$I132="Claimed",$I132="Paid",$I132="Refused",$I132="Not claiming"),"",$L132-TODAY())</f>
        <v/>
      </c>
      <c r="N132" s="27" t="str">
        <f aca="false">IF($A132="","",IF($G132="","TELL HOST",IF($M132="","",IF($M132&lt;0,"Deadline passed",IF($M132&lt;=3,"Claim soon","")))))</f>
        <v/>
      </c>
    </row>
    <row r="133" customFormat="false" ht="15" hidden="false" customHeight="false" outlineLevel="0" collapsed="false">
      <c r="A133" s="22"/>
      <c r="B133" s="23"/>
      <c r="C133" s="23"/>
      <c r="D133" s="22"/>
      <c r="E133" s="23"/>
      <c r="F133" s="23"/>
      <c r="G133" s="22"/>
      <c r="H133" s="25"/>
      <c r="I133" s="23"/>
      <c r="J133" s="23"/>
      <c r="K133" s="27" t="str">
        <f aca="false">IF($B133="","",IFERROR(INDEX(Properties!$D$5:$D$104,MATCH($B133,Properties!$A$5:$A$104,0)),"-"))</f>
        <v/>
      </c>
      <c r="L133" s="30" t="str">
        <f aca="false">IF($D133="","",$D133+Settings!$B$16)</f>
        <v/>
      </c>
      <c r="M133" s="31" t="str">
        <f aca="true">IF(OR($L133="",$I133="Claimed",$I133="Paid",$I133="Refused",$I133="Not claiming"),"",$L133-TODAY())</f>
        <v/>
      </c>
      <c r="N133" s="27" t="str">
        <f aca="false">IF($A133="","",IF($G133="","TELL HOST",IF($M133="","",IF($M133&lt;0,"Deadline passed",IF($M133&lt;=3,"Claim soon","")))))</f>
        <v/>
      </c>
    </row>
    <row r="134" customFormat="false" ht="15" hidden="false" customHeight="false" outlineLevel="0" collapsed="false">
      <c r="A134" s="22"/>
      <c r="B134" s="23"/>
      <c r="C134" s="23"/>
      <c r="D134" s="22"/>
      <c r="E134" s="23"/>
      <c r="F134" s="23"/>
      <c r="G134" s="22"/>
      <c r="H134" s="25"/>
      <c r="I134" s="23"/>
      <c r="J134" s="23"/>
      <c r="K134" s="27" t="str">
        <f aca="false">IF($B134="","",IFERROR(INDEX(Properties!$D$5:$D$104,MATCH($B134,Properties!$A$5:$A$104,0)),"-"))</f>
        <v/>
      </c>
      <c r="L134" s="30" t="str">
        <f aca="false">IF($D134="","",$D134+Settings!$B$16)</f>
        <v/>
      </c>
      <c r="M134" s="31" t="str">
        <f aca="true">IF(OR($L134="",$I134="Claimed",$I134="Paid",$I134="Refused",$I134="Not claiming"),"",$L134-TODAY())</f>
        <v/>
      </c>
      <c r="N134" s="27" t="str">
        <f aca="false">IF($A134="","",IF($G134="","TELL HOST",IF($M134="","",IF($M134&lt;0,"Deadline passed",IF($M134&lt;=3,"Claim soon","")))))</f>
        <v/>
      </c>
    </row>
    <row r="135" customFormat="false" ht="15" hidden="false" customHeight="false" outlineLevel="0" collapsed="false">
      <c r="A135" s="22"/>
      <c r="B135" s="23"/>
      <c r="C135" s="23"/>
      <c r="D135" s="22"/>
      <c r="E135" s="23"/>
      <c r="F135" s="23"/>
      <c r="G135" s="22"/>
      <c r="H135" s="25"/>
      <c r="I135" s="23"/>
      <c r="J135" s="23"/>
      <c r="K135" s="27" t="str">
        <f aca="false">IF($B135="","",IFERROR(INDEX(Properties!$D$5:$D$104,MATCH($B135,Properties!$A$5:$A$104,0)),"-"))</f>
        <v/>
      </c>
      <c r="L135" s="30" t="str">
        <f aca="false">IF($D135="","",$D135+Settings!$B$16)</f>
        <v/>
      </c>
      <c r="M135" s="31" t="str">
        <f aca="true">IF(OR($L135="",$I135="Claimed",$I135="Paid",$I135="Refused",$I135="Not claiming"),"",$L135-TODAY())</f>
        <v/>
      </c>
      <c r="N135" s="27" t="str">
        <f aca="false">IF($A135="","",IF($G135="","TELL HOST",IF($M135="","",IF($M135&lt;0,"Deadline passed",IF($M135&lt;=3,"Claim soon","")))))</f>
        <v/>
      </c>
    </row>
    <row r="136" customFormat="false" ht="15" hidden="false" customHeight="false" outlineLevel="0" collapsed="false">
      <c r="A136" s="22"/>
      <c r="B136" s="23"/>
      <c r="C136" s="23"/>
      <c r="D136" s="22"/>
      <c r="E136" s="23"/>
      <c r="F136" s="23"/>
      <c r="G136" s="22"/>
      <c r="H136" s="25"/>
      <c r="I136" s="23"/>
      <c r="J136" s="23"/>
      <c r="K136" s="27" t="str">
        <f aca="false">IF($B136="","",IFERROR(INDEX(Properties!$D$5:$D$104,MATCH($B136,Properties!$A$5:$A$104,0)),"-"))</f>
        <v/>
      </c>
      <c r="L136" s="30" t="str">
        <f aca="false">IF($D136="","",$D136+Settings!$B$16)</f>
        <v/>
      </c>
      <c r="M136" s="31" t="str">
        <f aca="true">IF(OR($L136="",$I136="Claimed",$I136="Paid",$I136="Refused",$I136="Not claiming"),"",$L136-TODAY())</f>
        <v/>
      </c>
      <c r="N136" s="27" t="str">
        <f aca="false">IF($A136="","",IF($G136="","TELL HOST",IF($M136="","",IF($M136&lt;0,"Deadline passed",IF($M136&lt;=3,"Claim soon","")))))</f>
        <v/>
      </c>
    </row>
    <row r="137" customFormat="false" ht="15" hidden="false" customHeight="false" outlineLevel="0" collapsed="false">
      <c r="A137" s="22"/>
      <c r="B137" s="23"/>
      <c r="C137" s="23"/>
      <c r="D137" s="22"/>
      <c r="E137" s="23"/>
      <c r="F137" s="23"/>
      <c r="G137" s="22"/>
      <c r="H137" s="25"/>
      <c r="I137" s="23"/>
      <c r="J137" s="23"/>
      <c r="K137" s="27" t="str">
        <f aca="false">IF($B137="","",IFERROR(INDEX(Properties!$D$5:$D$104,MATCH($B137,Properties!$A$5:$A$104,0)),"-"))</f>
        <v/>
      </c>
      <c r="L137" s="30" t="str">
        <f aca="false">IF($D137="","",$D137+Settings!$B$16)</f>
        <v/>
      </c>
      <c r="M137" s="31" t="str">
        <f aca="true">IF(OR($L137="",$I137="Claimed",$I137="Paid",$I137="Refused",$I137="Not claiming"),"",$L137-TODAY())</f>
        <v/>
      </c>
      <c r="N137" s="27" t="str">
        <f aca="false">IF($A137="","",IF($G137="","TELL HOST",IF($M137="","",IF($M137&lt;0,"Deadline passed",IF($M137&lt;=3,"Claim soon","")))))</f>
        <v/>
      </c>
    </row>
    <row r="138" customFormat="false" ht="15" hidden="false" customHeight="false" outlineLevel="0" collapsed="false">
      <c r="A138" s="22"/>
      <c r="B138" s="23"/>
      <c r="C138" s="23"/>
      <c r="D138" s="22"/>
      <c r="E138" s="23"/>
      <c r="F138" s="23"/>
      <c r="G138" s="22"/>
      <c r="H138" s="25"/>
      <c r="I138" s="23"/>
      <c r="J138" s="23"/>
      <c r="K138" s="27" t="str">
        <f aca="false">IF($B138="","",IFERROR(INDEX(Properties!$D$5:$D$104,MATCH($B138,Properties!$A$5:$A$104,0)),"-"))</f>
        <v/>
      </c>
      <c r="L138" s="30" t="str">
        <f aca="false">IF($D138="","",$D138+Settings!$B$16)</f>
        <v/>
      </c>
      <c r="M138" s="31" t="str">
        <f aca="true">IF(OR($L138="",$I138="Claimed",$I138="Paid",$I138="Refused",$I138="Not claiming"),"",$L138-TODAY())</f>
        <v/>
      </c>
      <c r="N138" s="27" t="str">
        <f aca="false">IF($A138="","",IF($G138="","TELL HOST",IF($M138="","",IF($M138&lt;0,"Deadline passed",IF($M138&lt;=3,"Claim soon","")))))</f>
        <v/>
      </c>
    </row>
    <row r="139" customFormat="false" ht="15" hidden="false" customHeight="false" outlineLevel="0" collapsed="false">
      <c r="A139" s="22"/>
      <c r="B139" s="23"/>
      <c r="C139" s="23"/>
      <c r="D139" s="22"/>
      <c r="E139" s="23"/>
      <c r="F139" s="23"/>
      <c r="G139" s="22"/>
      <c r="H139" s="25"/>
      <c r="I139" s="23"/>
      <c r="J139" s="23"/>
      <c r="K139" s="27" t="str">
        <f aca="false">IF($B139="","",IFERROR(INDEX(Properties!$D$5:$D$104,MATCH($B139,Properties!$A$5:$A$104,0)),"-"))</f>
        <v/>
      </c>
      <c r="L139" s="30" t="str">
        <f aca="false">IF($D139="","",$D139+Settings!$B$16)</f>
        <v/>
      </c>
      <c r="M139" s="31" t="str">
        <f aca="true">IF(OR($L139="",$I139="Claimed",$I139="Paid",$I139="Refused",$I139="Not claiming"),"",$L139-TODAY())</f>
        <v/>
      </c>
      <c r="N139" s="27" t="str">
        <f aca="false">IF($A139="","",IF($G139="","TELL HOST",IF($M139="","",IF($M139&lt;0,"Deadline passed",IF($M139&lt;=3,"Claim soon","")))))</f>
        <v/>
      </c>
    </row>
    <row r="140" customFormat="false" ht="15" hidden="false" customHeight="false" outlineLevel="0" collapsed="false">
      <c r="A140" s="22"/>
      <c r="B140" s="23"/>
      <c r="C140" s="23"/>
      <c r="D140" s="22"/>
      <c r="E140" s="23"/>
      <c r="F140" s="23"/>
      <c r="G140" s="22"/>
      <c r="H140" s="25"/>
      <c r="I140" s="23"/>
      <c r="J140" s="23"/>
      <c r="K140" s="27" t="str">
        <f aca="false">IF($B140="","",IFERROR(INDEX(Properties!$D$5:$D$104,MATCH($B140,Properties!$A$5:$A$104,0)),"-"))</f>
        <v/>
      </c>
      <c r="L140" s="30" t="str">
        <f aca="false">IF($D140="","",$D140+Settings!$B$16)</f>
        <v/>
      </c>
      <c r="M140" s="31" t="str">
        <f aca="true">IF(OR($L140="",$I140="Claimed",$I140="Paid",$I140="Refused",$I140="Not claiming"),"",$L140-TODAY())</f>
        <v/>
      </c>
      <c r="N140" s="27" t="str">
        <f aca="false">IF($A140="","",IF($G140="","TELL HOST",IF($M140="","",IF($M140&lt;0,"Deadline passed",IF($M140&lt;=3,"Claim soon","")))))</f>
        <v/>
      </c>
    </row>
    <row r="141" customFormat="false" ht="15" hidden="false" customHeight="false" outlineLevel="0" collapsed="false">
      <c r="A141" s="22"/>
      <c r="B141" s="23"/>
      <c r="C141" s="23"/>
      <c r="D141" s="22"/>
      <c r="E141" s="23"/>
      <c r="F141" s="23"/>
      <c r="G141" s="22"/>
      <c r="H141" s="25"/>
      <c r="I141" s="23"/>
      <c r="J141" s="23"/>
      <c r="K141" s="27" t="str">
        <f aca="false">IF($B141="","",IFERROR(INDEX(Properties!$D$5:$D$104,MATCH($B141,Properties!$A$5:$A$104,0)),"-"))</f>
        <v/>
      </c>
      <c r="L141" s="30" t="str">
        <f aca="false">IF($D141="","",$D141+Settings!$B$16)</f>
        <v/>
      </c>
      <c r="M141" s="31" t="str">
        <f aca="true">IF(OR($L141="",$I141="Claimed",$I141="Paid",$I141="Refused",$I141="Not claiming"),"",$L141-TODAY())</f>
        <v/>
      </c>
      <c r="N141" s="27" t="str">
        <f aca="false">IF($A141="","",IF($G141="","TELL HOST",IF($M141="","",IF($M141&lt;0,"Deadline passed",IF($M141&lt;=3,"Claim soon","")))))</f>
        <v/>
      </c>
    </row>
    <row r="142" customFormat="false" ht="15" hidden="false" customHeight="false" outlineLevel="0" collapsed="false">
      <c r="A142" s="22"/>
      <c r="B142" s="23"/>
      <c r="C142" s="23"/>
      <c r="D142" s="22"/>
      <c r="E142" s="23"/>
      <c r="F142" s="23"/>
      <c r="G142" s="22"/>
      <c r="H142" s="25"/>
      <c r="I142" s="23"/>
      <c r="J142" s="23"/>
      <c r="K142" s="27" t="str">
        <f aca="false">IF($B142="","",IFERROR(INDEX(Properties!$D$5:$D$104,MATCH($B142,Properties!$A$5:$A$104,0)),"-"))</f>
        <v/>
      </c>
      <c r="L142" s="30" t="str">
        <f aca="false">IF($D142="","",$D142+Settings!$B$16)</f>
        <v/>
      </c>
      <c r="M142" s="31" t="str">
        <f aca="true">IF(OR($L142="",$I142="Claimed",$I142="Paid",$I142="Refused",$I142="Not claiming"),"",$L142-TODAY())</f>
        <v/>
      </c>
      <c r="N142" s="27" t="str">
        <f aca="false">IF($A142="","",IF($G142="","TELL HOST",IF($M142="","",IF($M142&lt;0,"Deadline passed",IF($M142&lt;=3,"Claim soon","")))))</f>
        <v/>
      </c>
    </row>
    <row r="143" customFormat="false" ht="15" hidden="false" customHeight="false" outlineLevel="0" collapsed="false">
      <c r="A143" s="22"/>
      <c r="B143" s="23"/>
      <c r="C143" s="23"/>
      <c r="D143" s="22"/>
      <c r="E143" s="23"/>
      <c r="F143" s="23"/>
      <c r="G143" s="22"/>
      <c r="H143" s="25"/>
      <c r="I143" s="23"/>
      <c r="J143" s="23"/>
      <c r="K143" s="27" t="str">
        <f aca="false">IF($B143="","",IFERROR(INDEX(Properties!$D$5:$D$104,MATCH($B143,Properties!$A$5:$A$104,0)),"-"))</f>
        <v/>
      </c>
      <c r="L143" s="30" t="str">
        <f aca="false">IF($D143="","",$D143+Settings!$B$16)</f>
        <v/>
      </c>
      <c r="M143" s="31" t="str">
        <f aca="true">IF(OR($L143="",$I143="Claimed",$I143="Paid",$I143="Refused",$I143="Not claiming"),"",$L143-TODAY())</f>
        <v/>
      </c>
      <c r="N143" s="27" t="str">
        <f aca="false">IF($A143="","",IF($G143="","TELL HOST",IF($M143="","",IF($M143&lt;0,"Deadline passed",IF($M143&lt;=3,"Claim soon","")))))</f>
        <v/>
      </c>
    </row>
    <row r="144" customFormat="false" ht="15" hidden="false" customHeight="false" outlineLevel="0" collapsed="false">
      <c r="A144" s="22"/>
      <c r="B144" s="23"/>
      <c r="C144" s="23"/>
      <c r="D144" s="22"/>
      <c r="E144" s="23"/>
      <c r="F144" s="23"/>
      <c r="G144" s="22"/>
      <c r="H144" s="25"/>
      <c r="I144" s="23"/>
      <c r="J144" s="23"/>
      <c r="K144" s="27" t="str">
        <f aca="false">IF($B144="","",IFERROR(INDEX(Properties!$D$5:$D$104,MATCH($B144,Properties!$A$5:$A$104,0)),"-"))</f>
        <v/>
      </c>
      <c r="L144" s="30" t="str">
        <f aca="false">IF($D144="","",$D144+Settings!$B$16)</f>
        <v/>
      </c>
      <c r="M144" s="31" t="str">
        <f aca="true">IF(OR($L144="",$I144="Claimed",$I144="Paid",$I144="Refused",$I144="Not claiming"),"",$L144-TODAY())</f>
        <v/>
      </c>
      <c r="N144" s="27" t="str">
        <f aca="false">IF($A144="","",IF($G144="","TELL HOST",IF($M144="","",IF($M144&lt;0,"Deadline passed",IF($M144&lt;=3,"Claim soon","")))))</f>
        <v/>
      </c>
    </row>
    <row r="145" customFormat="false" ht="15" hidden="false" customHeight="false" outlineLevel="0" collapsed="false">
      <c r="A145" s="22"/>
      <c r="B145" s="23"/>
      <c r="C145" s="23"/>
      <c r="D145" s="22"/>
      <c r="E145" s="23"/>
      <c r="F145" s="23"/>
      <c r="G145" s="22"/>
      <c r="H145" s="25"/>
      <c r="I145" s="23"/>
      <c r="J145" s="23"/>
      <c r="K145" s="27" t="str">
        <f aca="false">IF($B145="","",IFERROR(INDEX(Properties!$D$5:$D$104,MATCH($B145,Properties!$A$5:$A$104,0)),"-"))</f>
        <v/>
      </c>
      <c r="L145" s="30" t="str">
        <f aca="false">IF($D145="","",$D145+Settings!$B$16)</f>
        <v/>
      </c>
      <c r="M145" s="31" t="str">
        <f aca="true">IF(OR($L145="",$I145="Claimed",$I145="Paid",$I145="Refused",$I145="Not claiming"),"",$L145-TODAY())</f>
        <v/>
      </c>
      <c r="N145" s="27" t="str">
        <f aca="false">IF($A145="","",IF($G145="","TELL HOST",IF($M145="","",IF($M145&lt;0,"Deadline passed",IF($M145&lt;=3,"Claim soon","")))))</f>
        <v/>
      </c>
    </row>
    <row r="146" customFormat="false" ht="15" hidden="false" customHeight="false" outlineLevel="0" collapsed="false">
      <c r="A146" s="22"/>
      <c r="B146" s="23"/>
      <c r="C146" s="23"/>
      <c r="D146" s="22"/>
      <c r="E146" s="23"/>
      <c r="F146" s="23"/>
      <c r="G146" s="22"/>
      <c r="H146" s="25"/>
      <c r="I146" s="23"/>
      <c r="J146" s="23"/>
      <c r="K146" s="27" t="str">
        <f aca="false">IF($B146="","",IFERROR(INDEX(Properties!$D$5:$D$104,MATCH($B146,Properties!$A$5:$A$104,0)),"-"))</f>
        <v/>
      </c>
      <c r="L146" s="30" t="str">
        <f aca="false">IF($D146="","",$D146+Settings!$B$16)</f>
        <v/>
      </c>
      <c r="M146" s="31" t="str">
        <f aca="true">IF(OR($L146="",$I146="Claimed",$I146="Paid",$I146="Refused",$I146="Not claiming"),"",$L146-TODAY())</f>
        <v/>
      </c>
      <c r="N146" s="27" t="str">
        <f aca="false">IF($A146="","",IF($G146="","TELL HOST",IF($M146="","",IF($M146&lt;0,"Deadline passed",IF($M146&lt;=3,"Claim soon","")))))</f>
        <v/>
      </c>
    </row>
    <row r="147" customFormat="false" ht="15" hidden="false" customHeight="false" outlineLevel="0" collapsed="false">
      <c r="A147" s="22"/>
      <c r="B147" s="23"/>
      <c r="C147" s="23"/>
      <c r="D147" s="22"/>
      <c r="E147" s="23"/>
      <c r="F147" s="23"/>
      <c r="G147" s="22"/>
      <c r="H147" s="25"/>
      <c r="I147" s="23"/>
      <c r="J147" s="23"/>
      <c r="K147" s="27" t="str">
        <f aca="false">IF($B147="","",IFERROR(INDEX(Properties!$D$5:$D$104,MATCH($B147,Properties!$A$5:$A$104,0)),"-"))</f>
        <v/>
      </c>
      <c r="L147" s="30" t="str">
        <f aca="false">IF($D147="","",$D147+Settings!$B$16)</f>
        <v/>
      </c>
      <c r="M147" s="31" t="str">
        <f aca="true">IF(OR($L147="",$I147="Claimed",$I147="Paid",$I147="Refused",$I147="Not claiming"),"",$L147-TODAY())</f>
        <v/>
      </c>
      <c r="N147" s="27" t="str">
        <f aca="false">IF($A147="","",IF($G147="","TELL HOST",IF($M147="","",IF($M147&lt;0,"Deadline passed",IF($M147&lt;=3,"Claim soon","")))))</f>
        <v/>
      </c>
    </row>
    <row r="148" customFormat="false" ht="15" hidden="false" customHeight="false" outlineLevel="0" collapsed="false">
      <c r="A148" s="22"/>
      <c r="B148" s="23"/>
      <c r="C148" s="23"/>
      <c r="D148" s="22"/>
      <c r="E148" s="23"/>
      <c r="F148" s="23"/>
      <c r="G148" s="22"/>
      <c r="H148" s="25"/>
      <c r="I148" s="23"/>
      <c r="J148" s="23"/>
      <c r="K148" s="27" t="str">
        <f aca="false">IF($B148="","",IFERROR(INDEX(Properties!$D$5:$D$104,MATCH($B148,Properties!$A$5:$A$104,0)),"-"))</f>
        <v/>
      </c>
      <c r="L148" s="30" t="str">
        <f aca="false">IF($D148="","",$D148+Settings!$B$16)</f>
        <v/>
      </c>
      <c r="M148" s="31" t="str">
        <f aca="true">IF(OR($L148="",$I148="Claimed",$I148="Paid",$I148="Refused",$I148="Not claiming"),"",$L148-TODAY())</f>
        <v/>
      </c>
      <c r="N148" s="27" t="str">
        <f aca="false">IF($A148="","",IF($G148="","TELL HOST",IF($M148="","",IF($M148&lt;0,"Deadline passed",IF($M148&lt;=3,"Claim soon","")))))</f>
        <v/>
      </c>
    </row>
    <row r="149" customFormat="false" ht="15" hidden="false" customHeight="false" outlineLevel="0" collapsed="false">
      <c r="A149" s="22"/>
      <c r="B149" s="23"/>
      <c r="C149" s="23"/>
      <c r="D149" s="22"/>
      <c r="E149" s="23"/>
      <c r="F149" s="23"/>
      <c r="G149" s="22"/>
      <c r="H149" s="25"/>
      <c r="I149" s="23"/>
      <c r="J149" s="23"/>
      <c r="K149" s="27" t="str">
        <f aca="false">IF($B149="","",IFERROR(INDEX(Properties!$D$5:$D$104,MATCH($B149,Properties!$A$5:$A$104,0)),"-"))</f>
        <v/>
      </c>
      <c r="L149" s="30" t="str">
        <f aca="false">IF($D149="","",$D149+Settings!$B$16)</f>
        <v/>
      </c>
      <c r="M149" s="31" t="str">
        <f aca="true">IF(OR($L149="",$I149="Claimed",$I149="Paid",$I149="Refused",$I149="Not claiming"),"",$L149-TODAY())</f>
        <v/>
      </c>
      <c r="N149" s="27" t="str">
        <f aca="false">IF($A149="","",IF($G149="","TELL HOST",IF($M149="","",IF($M149&lt;0,"Deadline passed",IF($M149&lt;=3,"Claim soon","")))))</f>
        <v/>
      </c>
    </row>
    <row r="150" customFormat="false" ht="15" hidden="false" customHeight="false" outlineLevel="0" collapsed="false">
      <c r="A150" s="22"/>
      <c r="B150" s="23"/>
      <c r="C150" s="23"/>
      <c r="D150" s="22"/>
      <c r="E150" s="23"/>
      <c r="F150" s="23"/>
      <c r="G150" s="22"/>
      <c r="H150" s="25"/>
      <c r="I150" s="23"/>
      <c r="J150" s="23"/>
      <c r="K150" s="27" t="str">
        <f aca="false">IF($B150="","",IFERROR(INDEX(Properties!$D$5:$D$104,MATCH($B150,Properties!$A$5:$A$104,0)),"-"))</f>
        <v/>
      </c>
      <c r="L150" s="30" t="str">
        <f aca="false">IF($D150="","",$D150+Settings!$B$16)</f>
        <v/>
      </c>
      <c r="M150" s="31" t="str">
        <f aca="true">IF(OR($L150="",$I150="Claimed",$I150="Paid",$I150="Refused",$I150="Not claiming"),"",$L150-TODAY())</f>
        <v/>
      </c>
      <c r="N150" s="27" t="str">
        <f aca="false">IF($A150="","",IF($G150="","TELL HOST",IF($M150="","",IF($M150&lt;0,"Deadline passed",IF($M150&lt;=3,"Claim soon","")))))</f>
        <v/>
      </c>
    </row>
    <row r="151" customFormat="false" ht="15" hidden="false" customHeight="false" outlineLevel="0" collapsed="false">
      <c r="A151" s="22"/>
      <c r="B151" s="23"/>
      <c r="C151" s="23"/>
      <c r="D151" s="22"/>
      <c r="E151" s="23"/>
      <c r="F151" s="23"/>
      <c r="G151" s="22"/>
      <c r="H151" s="25"/>
      <c r="I151" s="23"/>
      <c r="J151" s="23"/>
      <c r="K151" s="27" t="str">
        <f aca="false">IF($B151="","",IFERROR(INDEX(Properties!$D$5:$D$104,MATCH($B151,Properties!$A$5:$A$104,0)),"-"))</f>
        <v/>
      </c>
      <c r="L151" s="30" t="str">
        <f aca="false">IF($D151="","",$D151+Settings!$B$16)</f>
        <v/>
      </c>
      <c r="M151" s="31" t="str">
        <f aca="true">IF(OR($L151="",$I151="Claimed",$I151="Paid",$I151="Refused",$I151="Not claiming"),"",$L151-TODAY())</f>
        <v/>
      </c>
      <c r="N151" s="27" t="str">
        <f aca="false">IF($A151="","",IF($G151="","TELL HOST",IF($M151="","",IF($M151&lt;0,"Deadline passed",IF($M151&lt;=3,"Claim soon","")))))</f>
        <v/>
      </c>
    </row>
    <row r="152" customFormat="false" ht="15" hidden="false" customHeight="false" outlineLevel="0" collapsed="false">
      <c r="A152" s="22"/>
      <c r="B152" s="23"/>
      <c r="C152" s="23"/>
      <c r="D152" s="22"/>
      <c r="E152" s="23"/>
      <c r="F152" s="23"/>
      <c r="G152" s="22"/>
      <c r="H152" s="25"/>
      <c r="I152" s="23"/>
      <c r="J152" s="23"/>
      <c r="K152" s="27" t="str">
        <f aca="false">IF($B152="","",IFERROR(INDEX(Properties!$D$5:$D$104,MATCH($B152,Properties!$A$5:$A$104,0)),"-"))</f>
        <v/>
      </c>
      <c r="L152" s="30" t="str">
        <f aca="false">IF($D152="","",$D152+Settings!$B$16)</f>
        <v/>
      </c>
      <c r="M152" s="31" t="str">
        <f aca="true">IF(OR($L152="",$I152="Claimed",$I152="Paid",$I152="Refused",$I152="Not claiming"),"",$L152-TODAY())</f>
        <v/>
      </c>
      <c r="N152" s="27" t="str">
        <f aca="false">IF($A152="","",IF($G152="","TELL HOST",IF($M152="","",IF($M152&lt;0,"Deadline passed",IF($M152&lt;=3,"Claim soon","")))))</f>
        <v/>
      </c>
    </row>
    <row r="153" customFormat="false" ht="15" hidden="false" customHeight="false" outlineLevel="0" collapsed="false">
      <c r="A153" s="22"/>
      <c r="B153" s="23"/>
      <c r="C153" s="23"/>
      <c r="D153" s="22"/>
      <c r="E153" s="23"/>
      <c r="F153" s="23"/>
      <c r="G153" s="22"/>
      <c r="H153" s="25"/>
      <c r="I153" s="23"/>
      <c r="J153" s="23"/>
      <c r="K153" s="27" t="str">
        <f aca="false">IF($B153="","",IFERROR(INDEX(Properties!$D$5:$D$104,MATCH($B153,Properties!$A$5:$A$104,0)),"-"))</f>
        <v/>
      </c>
      <c r="L153" s="30" t="str">
        <f aca="false">IF($D153="","",$D153+Settings!$B$16)</f>
        <v/>
      </c>
      <c r="M153" s="31" t="str">
        <f aca="true">IF(OR($L153="",$I153="Claimed",$I153="Paid",$I153="Refused",$I153="Not claiming"),"",$L153-TODAY())</f>
        <v/>
      </c>
      <c r="N153" s="27" t="str">
        <f aca="false">IF($A153="","",IF($G153="","TELL HOST",IF($M153="","",IF($M153&lt;0,"Deadline passed",IF($M153&lt;=3,"Claim soon","")))))</f>
        <v/>
      </c>
    </row>
    <row r="154" customFormat="false" ht="15" hidden="false" customHeight="false" outlineLevel="0" collapsed="false">
      <c r="A154" s="22"/>
      <c r="B154" s="23"/>
      <c r="C154" s="23"/>
      <c r="D154" s="22"/>
      <c r="E154" s="23"/>
      <c r="F154" s="23"/>
      <c r="G154" s="22"/>
      <c r="H154" s="25"/>
      <c r="I154" s="23"/>
      <c r="J154" s="23"/>
      <c r="K154" s="27" t="str">
        <f aca="false">IF($B154="","",IFERROR(INDEX(Properties!$D$5:$D$104,MATCH($B154,Properties!$A$5:$A$104,0)),"-"))</f>
        <v/>
      </c>
      <c r="L154" s="30" t="str">
        <f aca="false">IF($D154="","",$D154+Settings!$B$16)</f>
        <v/>
      </c>
      <c r="M154" s="31" t="str">
        <f aca="true">IF(OR($L154="",$I154="Claimed",$I154="Paid",$I154="Refused",$I154="Not claiming"),"",$L154-TODAY())</f>
        <v/>
      </c>
      <c r="N154" s="27" t="str">
        <f aca="false">IF($A154="","",IF($G154="","TELL HOST",IF($M154="","",IF($M154&lt;0,"Deadline passed",IF($M154&lt;=3,"Claim soon","")))))</f>
        <v/>
      </c>
    </row>
    <row r="155" customFormat="false" ht="15" hidden="false" customHeight="false" outlineLevel="0" collapsed="false">
      <c r="A155" s="22"/>
      <c r="B155" s="23"/>
      <c r="C155" s="23"/>
      <c r="D155" s="22"/>
      <c r="E155" s="23"/>
      <c r="F155" s="23"/>
      <c r="G155" s="22"/>
      <c r="H155" s="25"/>
      <c r="I155" s="23"/>
      <c r="J155" s="23"/>
      <c r="K155" s="27" t="str">
        <f aca="false">IF($B155="","",IFERROR(INDEX(Properties!$D$5:$D$104,MATCH($B155,Properties!$A$5:$A$104,0)),"-"))</f>
        <v/>
      </c>
      <c r="L155" s="30" t="str">
        <f aca="false">IF($D155="","",$D155+Settings!$B$16)</f>
        <v/>
      </c>
      <c r="M155" s="31" t="str">
        <f aca="true">IF(OR($L155="",$I155="Claimed",$I155="Paid",$I155="Refused",$I155="Not claiming"),"",$L155-TODAY())</f>
        <v/>
      </c>
      <c r="N155" s="27" t="str">
        <f aca="false">IF($A155="","",IF($G155="","TELL HOST",IF($M155="","",IF($M155&lt;0,"Deadline passed",IF($M155&lt;=3,"Claim soon","")))))</f>
        <v/>
      </c>
    </row>
    <row r="156" customFormat="false" ht="15" hidden="false" customHeight="false" outlineLevel="0" collapsed="false">
      <c r="A156" s="22"/>
      <c r="B156" s="23"/>
      <c r="C156" s="23"/>
      <c r="D156" s="22"/>
      <c r="E156" s="23"/>
      <c r="F156" s="23"/>
      <c r="G156" s="22"/>
      <c r="H156" s="25"/>
      <c r="I156" s="23"/>
      <c r="J156" s="23"/>
      <c r="K156" s="27" t="str">
        <f aca="false">IF($B156="","",IFERROR(INDEX(Properties!$D$5:$D$104,MATCH($B156,Properties!$A$5:$A$104,0)),"-"))</f>
        <v/>
      </c>
      <c r="L156" s="30" t="str">
        <f aca="false">IF($D156="","",$D156+Settings!$B$16)</f>
        <v/>
      </c>
      <c r="M156" s="31" t="str">
        <f aca="true">IF(OR($L156="",$I156="Claimed",$I156="Paid",$I156="Refused",$I156="Not claiming"),"",$L156-TODAY())</f>
        <v/>
      </c>
      <c r="N156" s="27" t="str">
        <f aca="false">IF($A156="","",IF($G156="","TELL HOST",IF($M156="","",IF($M156&lt;0,"Deadline passed",IF($M156&lt;=3,"Claim soon","")))))</f>
        <v/>
      </c>
    </row>
    <row r="157" customFormat="false" ht="15" hidden="false" customHeight="false" outlineLevel="0" collapsed="false">
      <c r="A157" s="22"/>
      <c r="B157" s="23"/>
      <c r="C157" s="23"/>
      <c r="D157" s="22"/>
      <c r="E157" s="23"/>
      <c r="F157" s="23"/>
      <c r="G157" s="22"/>
      <c r="H157" s="25"/>
      <c r="I157" s="23"/>
      <c r="J157" s="23"/>
      <c r="K157" s="27" t="str">
        <f aca="false">IF($B157="","",IFERROR(INDEX(Properties!$D$5:$D$104,MATCH($B157,Properties!$A$5:$A$104,0)),"-"))</f>
        <v/>
      </c>
      <c r="L157" s="30" t="str">
        <f aca="false">IF($D157="","",$D157+Settings!$B$16)</f>
        <v/>
      </c>
      <c r="M157" s="31" t="str">
        <f aca="true">IF(OR($L157="",$I157="Claimed",$I157="Paid",$I157="Refused",$I157="Not claiming"),"",$L157-TODAY())</f>
        <v/>
      </c>
      <c r="N157" s="27" t="str">
        <f aca="false">IF($A157="","",IF($G157="","TELL HOST",IF($M157="","",IF($M157&lt;0,"Deadline passed",IF($M157&lt;=3,"Claim soon","")))))</f>
        <v/>
      </c>
    </row>
    <row r="158" customFormat="false" ht="15" hidden="false" customHeight="false" outlineLevel="0" collapsed="false">
      <c r="A158" s="22"/>
      <c r="B158" s="23"/>
      <c r="C158" s="23"/>
      <c r="D158" s="22"/>
      <c r="E158" s="23"/>
      <c r="F158" s="23"/>
      <c r="G158" s="22"/>
      <c r="H158" s="25"/>
      <c r="I158" s="23"/>
      <c r="J158" s="23"/>
      <c r="K158" s="27" t="str">
        <f aca="false">IF($B158="","",IFERROR(INDEX(Properties!$D$5:$D$104,MATCH($B158,Properties!$A$5:$A$104,0)),"-"))</f>
        <v/>
      </c>
      <c r="L158" s="30" t="str">
        <f aca="false">IF($D158="","",$D158+Settings!$B$16)</f>
        <v/>
      </c>
      <c r="M158" s="31" t="str">
        <f aca="true">IF(OR($L158="",$I158="Claimed",$I158="Paid",$I158="Refused",$I158="Not claiming"),"",$L158-TODAY())</f>
        <v/>
      </c>
      <c r="N158" s="27" t="str">
        <f aca="false">IF($A158="","",IF($G158="","TELL HOST",IF($M158="","",IF($M158&lt;0,"Deadline passed",IF($M158&lt;=3,"Claim soon","")))))</f>
        <v/>
      </c>
    </row>
    <row r="159" customFormat="false" ht="15" hidden="false" customHeight="false" outlineLevel="0" collapsed="false">
      <c r="A159" s="22"/>
      <c r="B159" s="23"/>
      <c r="C159" s="23"/>
      <c r="D159" s="22"/>
      <c r="E159" s="23"/>
      <c r="F159" s="23"/>
      <c r="G159" s="22"/>
      <c r="H159" s="25"/>
      <c r="I159" s="23"/>
      <c r="J159" s="23"/>
      <c r="K159" s="27" t="str">
        <f aca="false">IF($B159="","",IFERROR(INDEX(Properties!$D$5:$D$104,MATCH($B159,Properties!$A$5:$A$104,0)),"-"))</f>
        <v/>
      </c>
      <c r="L159" s="30" t="str">
        <f aca="false">IF($D159="","",$D159+Settings!$B$16)</f>
        <v/>
      </c>
      <c r="M159" s="31" t="str">
        <f aca="true">IF(OR($L159="",$I159="Claimed",$I159="Paid",$I159="Refused",$I159="Not claiming"),"",$L159-TODAY())</f>
        <v/>
      </c>
      <c r="N159" s="27" t="str">
        <f aca="false">IF($A159="","",IF($G159="","TELL HOST",IF($M159="","",IF($M159&lt;0,"Deadline passed",IF($M159&lt;=3,"Claim soon","")))))</f>
        <v/>
      </c>
    </row>
    <row r="160" customFormat="false" ht="15" hidden="false" customHeight="false" outlineLevel="0" collapsed="false">
      <c r="A160" s="22"/>
      <c r="B160" s="23"/>
      <c r="C160" s="23"/>
      <c r="D160" s="22"/>
      <c r="E160" s="23"/>
      <c r="F160" s="23"/>
      <c r="G160" s="22"/>
      <c r="H160" s="25"/>
      <c r="I160" s="23"/>
      <c r="J160" s="23"/>
      <c r="K160" s="27" t="str">
        <f aca="false">IF($B160="","",IFERROR(INDEX(Properties!$D$5:$D$104,MATCH($B160,Properties!$A$5:$A$104,0)),"-"))</f>
        <v/>
      </c>
      <c r="L160" s="30" t="str">
        <f aca="false">IF($D160="","",$D160+Settings!$B$16)</f>
        <v/>
      </c>
      <c r="M160" s="31" t="str">
        <f aca="true">IF(OR($L160="",$I160="Claimed",$I160="Paid",$I160="Refused",$I160="Not claiming"),"",$L160-TODAY())</f>
        <v/>
      </c>
      <c r="N160" s="27" t="str">
        <f aca="false">IF($A160="","",IF($G160="","TELL HOST",IF($M160="","",IF($M160&lt;0,"Deadline passed",IF($M160&lt;=3,"Claim soon","")))))</f>
        <v/>
      </c>
    </row>
    <row r="161" customFormat="false" ht="15" hidden="false" customHeight="false" outlineLevel="0" collapsed="false">
      <c r="A161" s="22"/>
      <c r="B161" s="23"/>
      <c r="C161" s="23"/>
      <c r="D161" s="22"/>
      <c r="E161" s="23"/>
      <c r="F161" s="23"/>
      <c r="G161" s="22"/>
      <c r="H161" s="25"/>
      <c r="I161" s="23"/>
      <c r="J161" s="23"/>
      <c r="K161" s="27" t="str">
        <f aca="false">IF($B161="","",IFERROR(INDEX(Properties!$D$5:$D$104,MATCH($B161,Properties!$A$5:$A$104,0)),"-"))</f>
        <v/>
      </c>
      <c r="L161" s="30" t="str">
        <f aca="false">IF($D161="","",$D161+Settings!$B$16)</f>
        <v/>
      </c>
      <c r="M161" s="31" t="str">
        <f aca="true">IF(OR($L161="",$I161="Claimed",$I161="Paid",$I161="Refused",$I161="Not claiming"),"",$L161-TODAY())</f>
        <v/>
      </c>
      <c r="N161" s="27" t="str">
        <f aca="false">IF($A161="","",IF($G161="","TELL HOST",IF($M161="","",IF($M161&lt;0,"Deadline passed",IF($M161&lt;=3,"Claim soon","")))))</f>
        <v/>
      </c>
    </row>
    <row r="162" customFormat="false" ht="15" hidden="false" customHeight="false" outlineLevel="0" collapsed="false">
      <c r="A162" s="22"/>
      <c r="B162" s="23"/>
      <c r="C162" s="23"/>
      <c r="D162" s="22"/>
      <c r="E162" s="23"/>
      <c r="F162" s="23"/>
      <c r="G162" s="22"/>
      <c r="H162" s="25"/>
      <c r="I162" s="23"/>
      <c r="J162" s="23"/>
      <c r="K162" s="27" t="str">
        <f aca="false">IF($B162="","",IFERROR(INDEX(Properties!$D$5:$D$104,MATCH($B162,Properties!$A$5:$A$104,0)),"-"))</f>
        <v/>
      </c>
      <c r="L162" s="30" t="str">
        <f aca="false">IF($D162="","",$D162+Settings!$B$16)</f>
        <v/>
      </c>
      <c r="M162" s="31" t="str">
        <f aca="true">IF(OR($L162="",$I162="Claimed",$I162="Paid",$I162="Refused",$I162="Not claiming"),"",$L162-TODAY())</f>
        <v/>
      </c>
      <c r="N162" s="27" t="str">
        <f aca="false">IF($A162="","",IF($G162="","TELL HOST",IF($M162="","",IF($M162&lt;0,"Deadline passed",IF($M162&lt;=3,"Claim soon","")))))</f>
        <v/>
      </c>
    </row>
    <row r="163" customFormat="false" ht="15" hidden="false" customHeight="false" outlineLevel="0" collapsed="false">
      <c r="A163" s="22"/>
      <c r="B163" s="23"/>
      <c r="C163" s="23"/>
      <c r="D163" s="22"/>
      <c r="E163" s="23"/>
      <c r="F163" s="23"/>
      <c r="G163" s="22"/>
      <c r="H163" s="25"/>
      <c r="I163" s="23"/>
      <c r="J163" s="23"/>
      <c r="K163" s="27" t="str">
        <f aca="false">IF($B163="","",IFERROR(INDEX(Properties!$D$5:$D$104,MATCH($B163,Properties!$A$5:$A$104,0)),"-"))</f>
        <v/>
      </c>
      <c r="L163" s="30" t="str">
        <f aca="false">IF($D163="","",$D163+Settings!$B$16)</f>
        <v/>
      </c>
      <c r="M163" s="31" t="str">
        <f aca="true">IF(OR($L163="",$I163="Claimed",$I163="Paid",$I163="Refused",$I163="Not claiming"),"",$L163-TODAY())</f>
        <v/>
      </c>
      <c r="N163" s="27" t="str">
        <f aca="false">IF($A163="","",IF($G163="","TELL HOST",IF($M163="","",IF($M163&lt;0,"Deadline passed",IF($M163&lt;=3,"Claim soon","")))))</f>
        <v/>
      </c>
    </row>
    <row r="164" customFormat="false" ht="15" hidden="false" customHeight="false" outlineLevel="0" collapsed="false">
      <c r="A164" s="22"/>
      <c r="B164" s="23"/>
      <c r="C164" s="23"/>
      <c r="D164" s="22"/>
      <c r="E164" s="23"/>
      <c r="F164" s="23"/>
      <c r="G164" s="22"/>
      <c r="H164" s="25"/>
      <c r="I164" s="23"/>
      <c r="J164" s="23"/>
      <c r="K164" s="27" t="str">
        <f aca="false">IF($B164="","",IFERROR(INDEX(Properties!$D$5:$D$104,MATCH($B164,Properties!$A$5:$A$104,0)),"-"))</f>
        <v/>
      </c>
      <c r="L164" s="30" t="str">
        <f aca="false">IF($D164="","",$D164+Settings!$B$16)</f>
        <v/>
      </c>
      <c r="M164" s="31" t="str">
        <f aca="true">IF(OR($L164="",$I164="Claimed",$I164="Paid",$I164="Refused",$I164="Not claiming"),"",$L164-TODAY())</f>
        <v/>
      </c>
      <c r="N164" s="27" t="str">
        <f aca="false">IF($A164="","",IF($G164="","TELL HOST",IF($M164="","",IF($M164&lt;0,"Deadline passed",IF($M164&lt;=3,"Claim soon","")))))</f>
        <v/>
      </c>
    </row>
    <row r="165" customFormat="false" ht="15" hidden="false" customHeight="false" outlineLevel="0" collapsed="false">
      <c r="A165" s="22"/>
      <c r="B165" s="23"/>
      <c r="C165" s="23"/>
      <c r="D165" s="22"/>
      <c r="E165" s="23"/>
      <c r="F165" s="23"/>
      <c r="G165" s="22"/>
      <c r="H165" s="25"/>
      <c r="I165" s="23"/>
      <c r="J165" s="23"/>
      <c r="K165" s="27" t="str">
        <f aca="false">IF($B165="","",IFERROR(INDEX(Properties!$D$5:$D$104,MATCH($B165,Properties!$A$5:$A$104,0)),"-"))</f>
        <v/>
      </c>
      <c r="L165" s="30" t="str">
        <f aca="false">IF($D165="","",$D165+Settings!$B$16)</f>
        <v/>
      </c>
      <c r="M165" s="31" t="str">
        <f aca="true">IF(OR($L165="",$I165="Claimed",$I165="Paid",$I165="Refused",$I165="Not claiming"),"",$L165-TODAY())</f>
        <v/>
      </c>
      <c r="N165" s="27" t="str">
        <f aca="false">IF($A165="","",IF($G165="","TELL HOST",IF($M165="","",IF($M165&lt;0,"Deadline passed",IF($M165&lt;=3,"Claim soon","")))))</f>
        <v/>
      </c>
    </row>
    <row r="166" customFormat="false" ht="15" hidden="false" customHeight="false" outlineLevel="0" collapsed="false">
      <c r="A166" s="22"/>
      <c r="B166" s="23"/>
      <c r="C166" s="23"/>
      <c r="D166" s="22"/>
      <c r="E166" s="23"/>
      <c r="F166" s="23"/>
      <c r="G166" s="22"/>
      <c r="H166" s="25"/>
      <c r="I166" s="23"/>
      <c r="J166" s="23"/>
      <c r="K166" s="27" t="str">
        <f aca="false">IF($B166="","",IFERROR(INDEX(Properties!$D$5:$D$104,MATCH($B166,Properties!$A$5:$A$104,0)),"-"))</f>
        <v/>
      </c>
      <c r="L166" s="30" t="str">
        <f aca="false">IF($D166="","",$D166+Settings!$B$16)</f>
        <v/>
      </c>
      <c r="M166" s="31" t="str">
        <f aca="true">IF(OR($L166="",$I166="Claimed",$I166="Paid",$I166="Refused",$I166="Not claiming"),"",$L166-TODAY())</f>
        <v/>
      </c>
      <c r="N166" s="27" t="str">
        <f aca="false">IF($A166="","",IF($G166="","TELL HOST",IF($M166="","",IF($M166&lt;0,"Deadline passed",IF($M166&lt;=3,"Claim soon","")))))</f>
        <v/>
      </c>
    </row>
    <row r="167" customFormat="false" ht="15" hidden="false" customHeight="false" outlineLevel="0" collapsed="false">
      <c r="A167" s="22"/>
      <c r="B167" s="23"/>
      <c r="C167" s="23"/>
      <c r="D167" s="22"/>
      <c r="E167" s="23"/>
      <c r="F167" s="23"/>
      <c r="G167" s="22"/>
      <c r="H167" s="25"/>
      <c r="I167" s="23"/>
      <c r="J167" s="23"/>
      <c r="K167" s="27" t="str">
        <f aca="false">IF($B167="","",IFERROR(INDEX(Properties!$D$5:$D$104,MATCH($B167,Properties!$A$5:$A$104,0)),"-"))</f>
        <v/>
      </c>
      <c r="L167" s="30" t="str">
        <f aca="false">IF($D167="","",$D167+Settings!$B$16)</f>
        <v/>
      </c>
      <c r="M167" s="31" t="str">
        <f aca="true">IF(OR($L167="",$I167="Claimed",$I167="Paid",$I167="Refused",$I167="Not claiming"),"",$L167-TODAY())</f>
        <v/>
      </c>
      <c r="N167" s="27" t="str">
        <f aca="false">IF($A167="","",IF($G167="","TELL HOST",IF($M167="","",IF($M167&lt;0,"Deadline passed",IF($M167&lt;=3,"Claim soon","")))))</f>
        <v/>
      </c>
    </row>
    <row r="168" customFormat="false" ht="15" hidden="false" customHeight="false" outlineLevel="0" collapsed="false">
      <c r="A168" s="22"/>
      <c r="B168" s="23"/>
      <c r="C168" s="23"/>
      <c r="D168" s="22"/>
      <c r="E168" s="23"/>
      <c r="F168" s="23"/>
      <c r="G168" s="22"/>
      <c r="H168" s="25"/>
      <c r="I168" s="23"/>
      <c r="J168" s="23"/>
      <c r="K168" s="27" t="str">
        <f aca="false">IF($B168="","",IFERROR(INDEX(Properties!$D$5:$D$104,MATCH($B168,Properties!$A$5:$A$104,0)),"-"))</f>
        <v/>
      </c>
      <c r="L168" s="30" t="str">
        <f aca="false">IF($D168="","",$D168+Settings!$B$16)</f>
        <v/>
      </c>
      <c r="M168" s="31" t="str">
        <f aca="true">IF(OR($L168="",$I168="Claimed",$I168="Paid",$I168="Refused",$I168="Not claiming"),"",$L168-TODAY())</f>
        <v/>
      </c>
      <c r="N168" s="27" t="str">
        <f aca="false">IF($A168="","",IF($G168="","TELL HOST",IF($M168="","",IF($M168&lt;0,"Deadline passed",IF($M168&lt;=3,"Claim soon","")))))</f>
        <v/>
      </c>
    </row>
    <row r="169" customFormat="false" ht="15" hidden="false" customHeight="false" outlineLevel="0" collapsed="false">
      <c r="A169" s="22"/>
      <c r="B169" s="23"/>
      <c r="C169" s="23"/>
      <c r="D169" s="22"/>
      <c r="E169" s="23"/>
      <c r="F169" s="23"/>
      <c r="G169" s="22"/>
      <c r="H169" s="25"/>
      <c r="I169" s="23"/>
      <c r="J169" s="23"/>
      <c r="K169" s="27" t="str">
        <f aca="false">IF($B169="","",IFERROR(INDEX(Properties!$D$5:$D$104,MATCH($B169,Properties!$A$5:$A$104,0)),"-"))</f>
        <v/>
      </c>
      <c r="L169" s="30" t="str">
        <f aca="false">IF($D169="","",$D169+Settings!$B$16)</f>
        <v/>
      </c>
      <c r="M169" s="31" t="str">
        <f aca="true">IF(OR($L169="",$I169="Claimed",$I169="Paid",$I169="Refused",$I169="Not claiming"),"",$L169-TODAY())</f>
        <v/>
      </c>
      <c r="N169" s="27" t="str">
        <f aca="false">IF($A169="","",IF($G169="","TELL HOST",IF($M169="","",IF($M169&lt;0,"Deadline passed",IF($M169&lt;=3,"Claim soon","")))))</f>
        <v/>
      </c>
    </row>
    <row r="170" customFormat="false" ht="15" hidden="false" customHeight="false" outlineLevel="0" collapsed="false">
      <c r="A170" s="22"/>
      <c r="B170" s="23"/>
      <c r="C170" s="23"/>
      <c r="D170" s="22"/>
      <c r="E170" s="23"/>
      <c r="F170" s="23"/>
      <c r="G170" s="22"/>
      <c r="H170" s="25"/>
      <c r="I170" s="23"/>
      <c r="J170" s="23"/>
      <c r="K170" s="27" t="str">
        <f aca="false">IF($B170="","",IFERROR(INDEX(Properties!$D$5:$D$104,MATCH($B170,Properties!$A$5:$A$104,0)),"-"))</f>
        <v/>
      </c>
      <c r="L170" s="30" t="str">
        <f aca="false">IF($D170="","",$D170+Settings!$B$16)</f>
        <v/>
      </c>
      <c r="M170" s="31" t="str">
        <f aca="true">IF(OR($L170="",$I170="Claimed",$I170="Paid",$I170="Refused",$I170="Not claiming"),"",$L170-TODAY())</f>
        <v/>
      </c>
      <c r="N170" s="27" t="str">
        <f aca="false">IF($A170="","",IF($G170="","TELL HOST",IF($M170="","",IF($M170&lt;0,"Deadline passed",IF($M170&lt;=3,"Claim soon","")))))</f>
        <v/>
      </c>
    </row>
    <row r="171" customFormat="false" ht="15" hidden="false" customHeight="false" outlineLevel="0" collapsed="false">
      <c r="A171" s="22"/>
      <c r="B171" s="23"/>
      <c r="C171" s="23"/>
      <c r="D171" s="22"/>
      <c r="E171" s="23"/>
      <c r="F171" s="23"/>
      <c r="G171" s="22"/>
      <c r="H171" s="25"/>
      <c r="I171" s="23"/>
      <c r="J171" s="23"/>
      <c r="K171" s="27" t="str">
        <f aca="false">IF($B171="","",IFERROR(INDEX(Properties!$D$5:$D$104,MATCH($B171,Properties!$A$5:$A$104,0)),"-"))</f>
        <v/>
      </c>
      <c r="L171" s="30" t="str">
        <f aca="false">IF($D171="","",$D171+Settings!$B$16)</f>
        <v/>
      </c>
      <c r="M171" s="31" t="str">
        <f aca="true">IF(OR($L171="",$I171="Claimed",$I171="Paid",$I171="Refused",$I171="Not claiming"),"",$L171-TODAY())</f>
        <v/>
      </c>
      <c r="N171" s="27" t="str">
        <f aca="false">IF($A171="","",IF($G171="","TELL HOST",IF($M171="","",IF($M171&lt;0,"Deadline passed",IF($M171&lt;=3,"Claim soon","")))))</f>
        <v/>
      </c>
    </row>
    <row r="172" customFormat="false" ht="15" hidden="false" customHeight="false" outlineLevel="0" collapsed="false">
      <c r="A172" s="22"/>
      <c r="B172" s="23"/>
      <c r="C172" s="23"/>
      <c r="D172" s="22"/>
      <c r="E172" s="23"/>
      <c r="F172" s="23"/>
      <c r="G172" s="22"/>
      <c r="H172" s="25"/>
      <c r="I172" s="23"/>
      <c r="J172" s="23"/>
      <c r="K172" s="27" t="str">
        <f aca="false">IF($B172="","",IFERROR(INDEX(Properties!$D$5:$D$104,MATCH($B172,Properties!$A$5:$A$104,0)),"-"))</f>
        <v/>
      </c>
      <c r="L172" s="30" t="str">
        <f aca="false">IF($D172="","",$D172+Settings!$B$16)</f>
        <v/>
      </c>
      <c r="M172" s="31" t="str">
        <f aca="true">IF(OR($L172="",$I172="Claimed",$I172="Paid",$I172="Refused",$I172="Not claiming"),"",$L172-TODAY())</f>
        <v/>
      </c>
      <c r="N172" s="27" t="str">
        <f aca="false">IF($A172="","",IF($G172="","TELL HOST",IF($M172="","",IF($M172&lt;0,"Deadline passed",IF($M172&lt;=3,"Claim soon","")))))</f>
        <v/>
      </c>
    </row>
    <row r="173" customFormat="false" ht="15" hidden="false" customHeight="false" outlineLevel="0" collapsed="false">
      <c r="A173" s="22"/>
      <c r="B173" s="23"/>
      <c r="C173" s="23"/>
      <c r="D173" s="22"/>
      <c r="E173" s="23"/>
      <c r="F173" s="23"/>
      <c r="G173" s="22"/>
      <c r="H173" s="25"/>
      <c r="I173" s="23"/>
      <c r="J173" s="23"/>
      <c r="K173" s="27" t="str">
        <f aca="false">IF($B173="","",IFERROR(INDEX(Properties!$D$5:$D$104,MATCH($B173,Properties!$A$5:$A$104,0)),"-"))</f>
        <v/>
      </c>
      <c r="L173" s="30" t="str">
        <f aca="false">IF($D173="","",$D173+Settings!$B$16)</f>
        <v/>
      </c>
      <c r="M173" s="31" t="str">
        <f aca="true">IF(OR($L173="",$I173="Claimed",$I173="Paid",$I173="Refused",$I173="Not claiming"),"",$L173-TODAY())</f>
        <v/>
      </c>
      <c r="N173" s="27" t="str">
        <f aca="false">IF($A173="","",IF($G173="","TELL HOST",IF($M173="","",IF($M173&lt;0,"Deadline passed",IF($M173&lt;=3,"Claim soon","")))))</f>
        <v/>
      </c>
    </row>
    <row r="174" customFormat="false" ht="15" hidden="false" customHeight="false" outlineLevel="0" collapsed="false">
      <c r="A174" s="22"/>
      <c r="B174" s="23"/>
      <c r="C174" s="23"/>
      <c r="D174" s="22"/>
      <c r="E174" s="23"/>
      <c r="F174" s="23"/>
      <c r="G174" s="22"/>
      <c r="H174" s="25"/>
      <c r="I174" s="23"/>
      <c r="J174" s="23"/>
      <c r="K174" s="27" t="str">
        <f aca="false">IF($B174="","",IFERROR(INDEX(Properties!$D$5:$D$104,MATCH($B174,Properties!$A$5:$A$104,0)),"-"))</f>
        <v/>
      </c>
      <c r="L174" s="30" t="str">
        <f aca="false">IF($D174="","",$D174+Settings!$B$16)</f>
        <v/>
      </c>
      <c r="M174" s="31" t="str">
        <f aca="true">IF(OR($L174="",$I174="Claimed",$I174="Paid",$I174="Refused",$I174="Not claiming"),"",$L174-TODAY())</f>
        <v/>
      </c>
      <c r="N174" s="27" t="str">
        <f aca="false">IF($A174="","",IF($G174="","TELL HOST",IF($M174="","",IF($M174&lt;0,"Deadline passed",IF($M174&lt;=3,"Claim soon","")))))</f>
        <v/>
      </c>
    </row>
    <row r="175" customFormat="false" ht="15" hidden="false" customHeight="false" outlineLevel="0" collapsed="false">
      <c r="A175" s="22"/>
      <c r="B175" s="23"/>
      <c r="C175" s="23"/>
      <c r="D175" s="22"/>
      <c r="E175" s="23"/>
      <c r="F175" s="23"/>
      <c r="G175" s="22"/>
      <c r="H175" s="25"/>
      <c r="I175" s="23"/>
      <c r="J175" s="23"/>
      <c r="K175" s="27" t="str">
        <f aca="false">IF($B175="","",IFERROR(INDEX(Properties!$D$5:$D$104,MATCH($B175,Properties!$A$5:$A$104,0)),"-"))</f>
        <v/>
      </c>
      <c r="L175" s="30" t="str">
        <f aca="false">IF($D175="","",$D175+Settings!$B$16)</f>
        <v/>
      </c>
      <c r="M175" s="31" t="str">
        <f aca="true">IF(OR($L175="",$I175="Claimed",$I175="Paid",$I175="Refused",$I175="Not claiming"),"",$L175-TODAY())</f>
        <v/>
      </c>
      <c r="N175" s="27" t="str">
        <f aca="false">IF($A175="","",IF($G175="","TELL HOST",IF($M175="","",IF($M175&lt;0,"Deadline passed",IF($M175&lt;=3,"Claim soon","")))))</f>
        <v/>
      </c>
    </row>
    <row r="176" customFormat="false" ht="15" hidden="false" customHeight="false" outlineLevel="0" collapsed="false">
      <c r="A176" s="22"/>
      <c r="B176" s="23"/>
      <c r="C176" s="23"/>
      <c r="D176" s="22"/>
      <c r="E176" s="23"/>
      <c r="F176" s="23"/>
      <c r="G176" s="22"/>
      <c r="H176" s="25"/>
      <c r="I176" s="23"/>
      <c r="J176" s="23"/>
      <c r="K176" s="27" t="str">
        <f aca="false">IF($B176="","",IFERROR(INDEX(Properties!$D$5:$D$104,MATCH($B176,Properties!$A$5:$A$104,0)),"-"))</f>
        <v/>
      </c>
      <c r="L176" s="30" t="str">
        <f aca="false">IF($D176="","",$D176+Settings!$B$16)</f>
        <v/>
      </c>
      <c r="M176" s="31" t="str">
        <f aca="true">IF(OR($L176="",$I176="Claimed",$I176="Paid",$I176="Refused",$I176="Not claiming"),"",$L176-TODAY())</f>
        <v/>
      </c>
      <c r="N176" s="27" t="str">
        <f aca="false">IF($A176="","",IF($G176="","TELL HOST",IF($M176="","",IF($M176&lt;0,"Deadline passed",IF($M176&lt;=3,"Claim soon","")))))</f>
        <v/>
      </c>
    </row>
    <row r="177" customFormat="false" ht="15" hidden="false" customHeight="false" outlineLevel="0" collapsed="false">
      <c r="A177" s="22"/>
      <c r="B177" s="23"/>
      <c r="C177" s="23"/>
      <c r="D177" s="22"/>
      <c r="E177" s="23"/>
      <c r="F177" s="23"/>
      <c r="G177" s="22"/>
      <c r="H177" s="25"/>
      <c r="I177" s="23"/>
      <c r="J177" s="23"/>
      <c r="K177" s="27" t="str">
        <f aca="false">IF($B177="","",IFERROR(INDEX(Properties!$D$5:$D$104,MATCH($B177,Properties!$A$5:$A$104,0)),"-"))</f>
        <v/>
      </c>
      <c r="L177" s="30" t="str">
        <f aca="false">IF($D177="","",$D177+Settings!$B$16)</f>
        <v/>
      </c>
      <c r="M177" s="31" t="str">
        <f aca="true">IF(OR($L177="",$I177="Claimed",$I177="Paid",$I177="Refused",$I177="Not claiming"),"",$L177-TODAY())</f>
        <v/>
      </c>
      <c r="N177" s="27" t="str">
        <f aca="false">IF($A177="","",IF($G177="","TELL HOST",IF($M177="","",IF($M177&lt;0,"Deadline passed",IF($M177&lt;=3,"Claim soon","")))))</f>
        <v/>
      </c>
    </row>
    <row r="178" customFormat="false" ht="15" hidden="false" customHeight="false" outlineLevel="0" collapsed="false">
      <c r="A178" s="22"/>
      <c r="B178" s="23"/>
      <c r="C178" s="23"/>
      <c r="D178" s="22"/>
      <c r="E178" s="23"/>
      <c r="F178" s="23"/>
      <c r="G178" s="22"/>
      <c r="H178" s="25"/>
      <c r="I178" s="23"/>
      <c r="J178" s="23"/>
      <c r="K178" s="27" t="str">
        <f aca="false">IF($B178="","",IFERROR(INDEX(Properties!$D$5:$D$104,MATCH($B178,Properties!$A$5:$A$104,0)),"-"))</f>
        <v/>
      </c>
      <c r="L178" s="30" t="str">
        <f aca="false">IF($D178="","",$D178+Settings!$B$16)</f>
        <v/>
      </c>
      <c r="M178" s="31" t="str">
        <f aca="true">IF(OR($L178="",$I178="Claimed",$I178="Paid",$I178="Refused",$I178="Not claiming"),"",$L178-TODAY())</f>
        <v/>
      </c>
      <c r="N178" s="27" t="str">
        <f aca="false">IF($A178="","",IF($G178="","TELL HOST",IF($M178="","",IF($M178&lt;0,"Deadline passed",IF($M178&lt;=3,"Claim soon","")))))</f>
        <v/>
      </c>
    </row>
    <row r="179" customFormat="false" ht="15" hidden="false" customHeight="false" outlineLevel="0" collapsed="false">
      <c r="A179" s="22"/>
      <c r="B179" s="23"/>
      <c r="C179" s="23"/>
      <c r="D179" s="22"/>
      <c r="E179" s="23"/>
      <c r="F179" s="23"/>
      <c r="G179" s="22"/>
      <c r="H179" s="25"/>
      <c r="I179" s="23"/>
      <c r="J179" s="23"/>
      <c r="K179" s="27" t="str">
        <f aca="false">IF($B179="","",IFERROR(INDEX(Properties!$D$5:$D$104,MATCH($B179,Properties!$A$5:$A$104,0)),"-"))</f>
        <v/>
      </c>
      <c r="L179" s="30" t="str">
        <f aca="false">IF($D179="","",$D179+Settings!$B$16)</f>
        <v/>
      </c>
      <c r="M179" s="31" t="str">
        <f aca="true">IF(OR($L179="",$I179="Claimed",$I179="Paid",$I179="Refused",$I179="Not claiming"),"",$L179-TODAY())</f>
        <v/>
      </c>
      <c r="N179" s="27" t="str">
        <f aca="false">IF($A179="","",IF($G179="","TELL HOST",IF($M179="","",IF($M179&lt;0,"Deadline passed",IF($M179&lt;=3,"Claim soon","")))))</f>
        <v/>
      </c>
    </row>
    <row r="180" customFormat="false" ht="15" hidden="false" customHeight="false" outlineLevel="0" collapsed="false">
      <c r="A180" s="22"/>
      <c r="B180" s="23"/>
      <c r="C180" s="23"/>
      <c r="D180" s="22"/>
      <c r="E180" s="23"/>
      <c r="F180" s="23"/>
      <c r="G180" s="22"/>
      <c r="H180" s="25"/>
      <c r="I180" s="23"/>
      <c r="J180" s="23"/>
      <c r="K180" s="27" t="str">
        <f aca="false">IF($B180="","",IFERROR(INDEX(Properties!$D$5:$D$104,MATCH($B180,Properties!$A$5:$A$104,0)),"-"))</f>
        <v/>
      </c>
      <c r="L180" s="30" t="str">
        <f aca="false">IF($D180="","",$D180+Settings!$B$16)</f>
        <v/>
      </c>
      <c r="M180" s="31" t="str">
        <f aca="true">IF(OR($L180="",$I180="Claimed",$I180="Paid",$I180="Refused",$I180="Not claiming"),"",$L180-TODAY())</f>
        <v/>
      </c>
      <c r="N180" s="27" t="str">
        <f aca="false">IF($A180="","",IF($G180="","TELL HOST",IF($M180="","",IF($M180&lt;0,"Deadline passed",IF($M180&lt;=3,"Claim soon","")))))</f>
        <v/>
      </c>
    </row>
    <row r="181" customFormat="false" ht="15" hidden="false" customHeight="false" outlineLevel="0" collapsed="false">
      <c r="A181" s="22"/>
      <c r="B181" s="23"/>
      <c r="C181" s="23"/>
      <c r="D181" s="22"/>
      <c r="E181" s="23"/>
      <c r="F181" s="23"/>
      <c r="G181" s="22"/>
      <c r="H181" s="25"/>
      <c r="I181" s="23"/>
      <c r="J181" s="23"/>
      <c r="K181" s="27" t="str">
        <f aca="false">IF($B181="","",IFERROR(INDEX(Properties!$D$5:$D$104,MATCH($B181,Properties!$A$5:$A$104,0)),"-"))</f>
        <v/>
      </c>
      <c r="L181" s="30" t="str">
        <f aca="false">IF($D181="","",$D181+Settings!$B$16)</f>
        <v/>
      </c>
      <c r="M181" s="31" t="str">
        <f aca="true">IF(OR($L181="",$I181="Claimed",$I181="Paid",$I181="Refused",$I181="Not claiming"),"",$L181-TODAY())</f>
        <v/>
      </c>
      <c r="N181" s="27" t="str">
        <f aca="false">IF($A181="","",IF($G181="","TELL HOST",IF($M181="","",IF($M181&lt;0,"Deadline passed",IF($M181&lt;=3,"Claim soon","")))))</f>
        <v/>
      </c>
    </row>
    <row r="182" customFormat="false" ht="15" hidden="false" customHeight="false" outlineLevel="0" collapsed="false">
      <c r="A182" s="22"/>
      <c r="B182" s="23"/>
      <c r="C182" s="23"/>
      <c r="D182" s="22"/>
      <c r="E182" s="23"/>
      <c r="F182" s="23"/>
      <c r="G182" s="22"/>
      <c r="H182" s="25"/>
      <c r="I182" s="23"/>
      <c r="J182" s="23"/>
      <c r="K182" s="27" t="str">
        <f aca="false">IF($B182="","",IFERROR(INDEX(Properties!$D$5:$D$104,MATCH($B182,Properties!$A$5:$A$104,0)),"-"))</f>
        <v/>
      </c>
      <c r="L182" s="30" t="str">
        <f aca="false">IF($D182="","",$D182+Settings!$B$16)</f>
        <v/>
      </c>
      <c r="M182" s="31" t="str">
        <f aca="true">IF(OR($L182="",$I182="Claimed",$I182="Paid",$I182="Refused",$I182="Not claiming"),"",$L182-TODAY())</f>
        <v/>
      </c>
      <c r="N182" s="27" t="str">
        <f aca="false">IF($A182="","",IF($G182="","TELL HOST",IF($M182="","",IF($M182&lt;0,"Deadline passed",IF($M182&lt;=3,"Claim soon","")))))</f>
        <v/>
      </c>
    </row>
    <row r="183" customFormat="false" ht="15" hidden="false" customHeight="false" outlineLevel="0" collapsed="false">
      <c r="A183" s="22"/>
      <c r="B183" s="23"/>
      <c r="C183" s="23"/>
      <c r="D183" s="22"/>
      <c r="E183" s="23"/>
      <c r="F183" s="23"/>
      <c r="G183" s="22"/>
      <c r="H183" s="25"/>
      <c r="I183" s="23"/>
      <c r="J183" s="23"/>
      <c r="K183" s="27" t="str">
        <f aca="false">IF($B183="","",IFERROR(INDEX(Properties!$D$5:$D$104,MATCH($B183,Properties!$A$5:$A$104,0)),"-"))</f>
        <v/>
      </c>
      <c r="L183" s="30" t="str">
        <f aca="false">IF($D183="","",$D183+Settings!$B$16)</f>
        <v/>
      </c>
      <c r="M183" s="31" t="str">
        <f aca="true">IF(OR($L183="",$I183="Claimed",$I183="Paid",$I183="Refused",$I183="Not claiming"),"",$L183-TODAY())</f>
        <v/>
      </c>
      <c r="N183" s="27" t="str">
        <f aca="false">IF($A183="","",IF($G183="","TELL HOST",IF($M183="","",IF($M183&lt;0,"Deadline passed",IF($M183&lt;=3,"Claim soon","")))))</f>
        <v/>
      </c>
    </row>
    <row r="184" customFormat="false" ht="15" hidden="false" customHeight="false" outlineLevel="0" collapsed="false">
      <c r="A184" s="22"/>
      <c r="B184" s="23"/>
      <c r="C184" s="23"/>
      <c r="D184" s="22"/>
      <c r="E184" s="23"/>
      <c r="F184" s="23"/>
      <c r="G184" s="22"/>
      <c r="H184" s="25"/>
      <c r="I184" s="23"/>
      <c r="J184" s="23"/>
      <c r="K184" s="27" t="str">
        <f aca="false">IF($B184="","",IFERROR(INDEX(Properties!$D$5:$D$104,MATCH($B184,Properties!$A$5:$A$104,0)),"-"))</f>
        <v/>
      </c>
      <c r="L184" s="30" t="str">
        <f aca="false">IF($D184="","",$D184+Settings!$B$16)</f>
        <v/>
      </c>
      <c r="M184" s="31" t="str">
        <f aca="true">IF(OR($L184="",$I184="Claimed",$I184="Paid",$I184="Refused",$I184="Not claiming"),"",$L184-TODAY())</f>
        <v/>
      </c>
      <c r="N184" s="27" t="str">
        <f aca="false">IF($A184="","",IF($G184="","TELL HOST",IF($M184="","",IF($M184&lt;0,"Deadline passed",IF($M184&lt;=3,"Claim soon","")))))</f>
        <v/>
      </c>
    </row>
    <row r="185" customFormat="false" ht="15" hidden="false" customHeight="false" outlineLevel="0" collapsed="false">
      <c r="A185" s="22"/>
      <c r="B185" s="23"/>
      <c r="C185" s="23"/>
      <c r="D185" s="22"/>
      <c r="E185" s="23"/>
      <c r="F185" s="23"/>
      <c r="G185" s="22"/>
      <c r="H185" s="25"/>
      <c r="I185" s="23"/>
      <c r="J185" s="23"/>
      <c r="K185" s="27" t="str">
        <f aca="false">IF($B185="","",IFERROR(INDEX(Properties!$D$5:$D$104,MATCH($B185,Properties!$A$5:$A$104,0)),"-"))</f>
        <v/>
      </c>
      <c r="L185" s="30" t="str">
        <f aca="false">IF($D185="","",$D185+Settings!$B$16)</f>
        <v/>
      </c>
      <c r="M185" s="31" t="str">
        <f aca="true">IF(OR($L185="",$I185="Claimed",$I185="Paid",$I185="Refused",$I185="Not claiming"),"",$L185-TODAY())</f>
        <v/>
      </c>
      <c r="N185" s="27" t="str">
        <f aca="false">IF($A185="","",IF($G185="","TELL HOST",IF($M185="","",IF($M185&lt;0,"Deadline passed",IF($M185&lt;=3,"Claim soon","")))))</f>
        <v/>
      </c>
    </row>
    <row r="186" customFormat="false" ht="15" hidden="false" customHeight="false" outlineLevel="0" collapsed="false">
      <c r="A186" s="22"/>
      <c r="B186" s="23"/>
      <c r="C186" s="23"/>
      <c r="D186" s="22"/>
      <c r="E186" s="23"/>
      <c r="F186" s="23"/>
      <c r="G186" s="22"/>
      <c r="H186" s="25"/>
      <c r="I186" s="23"/>
      <c r="J186" s="23"/>
      <c r="K186" s="27" t="str">
        <f aca="false">IF($B186="","",IFERROR(INDEX(Properties!$D$5:$D$104,MATCH($B186,Properties!$A$5:$A$104,0)),"-"))</f>
        <v/>
      </c>
      <c r="L186" s="30" t="str">
        <f aca="false">IF($D186="","",$D186+Settings!$B$16)</f>
        <v/>
      </c>
      <c r="M186" s="31" t="str">
        <f aca="true">IF(OR($L186="",$I186="Claimed",$I186="Paid",$I186="Refused",$I186="Not claiming"),"",$L186-TODAY())</f>
        <v/>
      </c>
      <c r="N186" s="27" t="str">
        <f aca="false">IF($A186="","",IF($G186="","TELL HOST",IF($M186="","",IF($M186&lt;0,"Deadline passed",IF($M186&lt;=3,"Claim soon","")))))</f>
        <v/>
      </c>
    </row>
    <row r="187" customFormat="false" ht="15" hidden="false" customHeight="false" outlineLevel="0" collapsed="false">
      <c r="A187" s="22"/>
      <c r="B187" s="23"/>
      <c r="C187" s="23"/>
      <c r="D187" s="22"/>
      <c r="E187" s="23"/>
      <c r="F187" s="23"/>
      <c r="G187" s="22"/>
      <c r="H187" s="25"/>
      <c r="I187" s="23"/>
      <c r="J187" s="23"/>
      <c r="K187" s="27" t="str">
        <f aca="false">IF($B187="","",IFERROR(INDEX(Properties!$D$5:$D$104,MATCH($B187,Properties!$A$5:$A$104,0)),"-"))</f>
        <v/>
      </c>
      <c r="L187" s="30" t="str">
        <f aca="false">IF($D187="","",$D187+Settings!$B$16)</f>
        <v/>
      </c>
      <c r="M187" s="31" t="str">
        <f aca="true">IF(OR($L187="",$I187="Claimed",$I187="Paid",$I187="Refused",$I187="Not claiming"),"",$L187-TODAY())</f>
        <v/>
      </c>
      <c r="N187" s="27" t="str">
        <f aca="false">IF($A187="","",IF($G187="","TELL HOST",IF($M187="","",IF($M187&lt;0,"Deadline passed",IF($M187&lt;=3,"Claim soon","")))))</f>
        <v/>
      </c>
    </row>
    <row r="188" customFormat="false" ht="15" hidden="false" customHeight="false" outlineLevel="0" collapsed="false">
      <c r="A188" s="22"/>
      <c r="B188" s="23"/>
      <c r="C188" s="23"/>
      <c r="D188" s="22"/>
      <c r="E188" s="23"/>
      <c r="F188" s="23"/>
      <c r="G188" s="22"/>
      <c r="H188" s="25"/>
      <c r="I188" s="23"/>
      <c r="J188" s="23"/>
      <c r="K188" s="27" t="str">
        <f aca="false">IF($B188="","",IFERROR(INDEX(Properties!$D$5:$D$104,MATCH($B188,Properties!$A$5:$A$104,0)),"-"))</f>
        <v/>
      </c>
      <c r="L188" s="30" t="str">
        <f aca="false">IF($D188="","",$D188+Settings!$B$16)</f>
        <v/>
      </c>
      <c r="M188" s="31" t="str">
        <f aca="true">IF(OR($L188="",$I188="Claimed",$I188="Paid",$I188="Refused",$I188="Not claiming"),"",$L188-TODAY())</f>
        <v/>
      </c>
      <c r="N188" s="27" t="str">
        <f aca="false">IF($A188="","",IF($G188="","TELL HOST",IF($M188="","",IF($M188&lt;0,"Deadline passed",IF($M188&lt;=3,"Claim soon","")))))</f>
        <v/>
      </c>
    </row>
    <row r="189" customFormat="false" ht="15" hidden="false" customHeight="false" outlineLevel="0" collapsed="false">
      <c r="A189" s="22"/>
      <c r="B189" s="23"/>
      <c r="C189" s="23"/>
      <c r="D189" s="22"/>
      <c r="E189" s="23"/>
      <c r="F189" s="23"/>
      <c r="G189" s="22"/>
      <c r="H189" s="25"/>
      <c r="I189" s="23"/>
      <c r="J189" s="23"/>
      <c r="K189" s="27" t="str">
        <f aca="false">IF($B189="","",IFERROR(INDEX(Properties!$D$5:$D$104,MATCH($B189,Properties!$A$5:$A$104,0)),"-"))</f>
        <v/>
      </c>
      <c r="L189" s="30" t="str">
        <f aca="false">IF($D189="","",$D189+Settings!$B$16)</f>
        <v/>
      </c>
      <c r="M189" s="31" t="str">
        <f aca="true">IF(OR($L189="",$I189="Claimed",$I189="Paid",$I189="Refused",$I189="Not claiming"),"",$L189-TODAY())</f>
        <v/>
      </c>
      <c r="N189" s="27" t="str">
        <f aca="false">IF($A189="","",IF($G189="","TELL HOST",IF($M189="","",IF($M189&lt;0,"Deadline passed",IF($M189&lt;=3,"Claim soon","")))))</f>
        <v/>
      </c>
    </row>
    <row r="190" customFormat="false" ht="15" hidden="false" customHeight="false" outlineLevel="0" collapsed="false">
      <c r="A190" s="22"/>
      <c r="B190" s="23"/>
      <c r="C190" s="23"/>
      <c r="D190" s="22"/>
      <c r="E190" s="23"/>
      <c r="F190" s="23"/>
      <c r="G190" s="22"/>
      <c r="H190" s="25"/>
      <c r="I190" s="23"/>
      <c r="J190" s="23"/>
      <c r="K190" s="27" t="str">
        <f aca="false">IF($B190="","",IFERROR(INDEX(Properties!$D$5:$D$104,MATCH($B190,Properties!$A$5:$A$104,0)),"-"))</f>
        <v/>
      </c>
      <c r="L190" s="30" t="str">
        <f aca="false">IF($D190="","",$D190+Settings!$B$16)</f>
        <v/>
      </c>
      <c r="M190" s="31" t="str">
        <f aca="true">IF(OR($L190="",$I190="Claimed",$I190="Paid",$I190="Refused",$I190="Not claiming"),"",$L190-TODAY())</f>
        <v/>
      </c>
      <c r="N190" s="27" t="str">
        <f aca="false">IF($A190="","",IF($G190="","TELL HOST",IF($M190="","",IF($M190&lt;0,"Deadline passed",IF($M190&lt;=3,"Claim soon","")))))</f>
        <v/>
      </c>
    </row>
    <row r="191" customFormat="false" ht="15" hidden="false" customHeight="false" outlineLevel="0" collapsed="false">
      <c r="A191" s="22"/>
      <c r="B191" s="23"/>
      <c r="C191" s="23"/>
      <c r="D191" s="22"/>
      <c r="E191" s="23"/>
      <c r="F191" s="23"/>
      <c r="G191" s="22"/>
      <c r="H191" s="25"/>
      <c r="I191" s="23"/>
      <c r="J191" s="23"/>
      <c r="K191" s="27" t="str">
        <f aca="false">IF($B191="","",IFERROR(INDEX(Properties!$D$5:$D$104,MATCH($B191,Properties!$A$5:$A$104,0)),"-"))</f>
        <v/>
      </c>
      <c r="L191" s="30" t="str">
        <f aca="false">IF($D191="","",$D191+Settings!$B$16)</f>
        <v/>
      </c>
      <c r="M191" s="31" t="str">
        <f aca="true">IF(OR($L191="",$I191="Claimed",$I191="Paid",$I191="Refused",$I191="Not claiming"),"",$L191-TODAY())</f>
        <v/>
      </c>
      <c r="N191" s="27" t="str">
        <f aca="false">IF($A191="","",IF($G191="","TELL HOST",IF($M191="","",IF($M191&lt;0,"Deadline passed",IF($M191&lt;=3,"Claim soon","")))))</f>
        <v/>
      </c>
    </row>
    <row r="192" customFormat="false" ht="15" hidden="false" customHeight="false" outlineLevel="0" collapsed="false">
      <c r="A192" s="22"/>
      <c r="B192" s="23"/>
      <c r="C192" s="23"/>
      <c r="D192" s="22"/>
      <c r="E192" s="23"/>
      <c r="F192" s="23"/>
      <c r="G192" s="22"/>
      <c r="H192" s="25"/>
      <c r="I192" s="23"/>
      <c r="J192" s="23"/>
      <c r="K192" s="27" t="str">
        <f aca="false">IF($B192="","",IFERROR(INDEX(Properties!$D$5:$D$104,MATCH($B192,Properties!$A$5:$A$104,0)),"-"))</f>
        <v/>
      </c>
      <c r="L192" s="30" t="str">
        <f aca="false">IF($D192="","",$D192+Settings!$B$16)</f>
        <v/>
      </c>
      <c r="M192" s="31" t="str">
        <f aca="true">IF(OR($L192="",$I192="Claimed",$I192="Paid",$I192="Refused",$I192="Not claiming"),"",$L192-TODAY())</f>
        <v/>
      </c>
      <c r="N192" s="27" t="str">
        <f aca="false">IF($A192="","",IF($G192="","TELL HOST",IF($M192="","",IF($M192&lt;0,"Deadline passed",IF($M192&lt;=3,"Claim soon","")))))</f>
        <v/>
      </c>
    </row>
    <row r="193" customFormat="false" ht="15" hidden="false" customHeight="false" outlineLevel="0" collapsed="false">
      <c r="A193" s="22"/>
      <c r="B193" s="23"/>
      <c r="C193" s="23"/>
      <c r="D193" s="22"/>
      <c r="E193" s="23"/>
      <c r="F193" s="23"/>
      <c r="G193" s="22"/>
      <c r="H193" s="25"/>
      <c r="I193" s="23"/>
      <c r="J193" s="23"/>
      <c r="K193" s="27" t="str">
        <f aca="false">IF($B193="","",IFERROR(INDEX(Properties!$D$5:$D$104,MATCH($B193,Properties!$A$5:$A$104,0)),"-"))</f>
        <v/>
      </c>
      <c r="L193" s="30" t="str">
        <f aca="false">IF($D193="","",$D193+Settings!$B$16)</f>
        <v/>
      </c>
      <c r="M193" s="31" t="str">
        <f aca="true">IF(OR($L193="",$I193="Claimed",$I193="Paid",$I193="Refused",$I193="Not claiming"),"",$L193-TODAY())</f>
        <v/>
      </c>
      <c r="N193" s="27" t="str">
        <f aca="false">IF($A193="","",IF($G193="","TELL HOST",IF($M193="","",IF($M193&lt;0,"Deadline passed",IF($M193&lt;=3,"Claim soon","")))))</f>
        <v/>
      </c>
    </row>
    <row r="194" customFormat="false" ht="15" hidden="false" customHeight="false" outlineLevel="0" collapsed="false">
      <c r="A194" s="22"/>
      <c r="B194" s="23"/>
      <c r="C194" s="23"/>
      <c r="D194" s="22"/>
      <c r="E194" s="23"/>
      <c r="F194" s="23"/>
      <c r="G194" s="22"/>
      <c r="H194" s="25"/>
      <c r="I194" s="23"/>
      <c r="J194" s="23"/>
      <c r="K194" s="27" t="str">
        <f aca="false">IF($B194="","",IFERROR(INDEX(Properties!$D$5:$D$104,MATCH($B194,Properties!$A$5:$A$104,0)),"-"))</f>
        <v/>
      </c>
      <c r="L194" s="30" t="str">
        <f aca="false">IF($D194="","",$D194+Settings!$B$16)</f>
        <v/>
      </c>
      <c r="M194" s="31" t="str">
        <f aca="true">IF(OR($L194="",$I194="Claimed",$I194="Paid",$I194="Refused",$I194="Not claiming"),"",$L194-TODAY())</f>
        <v/>
      </c>
      <c r="N194" s="27" t="str">
        <f aca="false">IF($A194="","",IF($G194="","TELL HOST",IF($M194="","",IF($M194&lt;0,"Deadline passed",IF($M194&lt;=3,"Claim soon","")))))</f>
        <v/>
      </c>
    </row>
    <row r="195" customFormat="false" ht="15" hidden="false" customHeight="false" outlineLevel="0" collapsed="false">
      <c r="A195" s="22"/>
      <c r="B195" s="23"/>
      <c r="C195" s="23"/>
      <c r="D195" s="22"/>
      <c r="E195" s="23"/>
      <c r="F195" s="23"/>
      <c r="G195" s="22"/>
      <c r="H195" s="25"/>
      <c r="I195" s="23"/>
      <c r="J195" s="23"/>
      <c r="K195" s="27" t="str">
        <f aca="false">IF($B195="","",IFERROR(INDEX(Properties!$D$5:$D$104,MATCH($B195,Properties!$A$5:$A$104,0)),"-"))</f>
        <v/>
      </c>
      <c r="L195" s="30" t="str">
        <f aca="false">IF($D195="","",$D195+Settings!$B$16)</f>
        <v/>
      </c>
      <c r="M195" s="31" t="str">
        <f aca="true">IF(OR($L195="",$I195="Claimed",$I195="Paid",$I195="Refused",$I195="Not claiming"),"",$L195-TODAY())</f>
        <v/>
      </c>
      <c r="N195" s="27" t="str">
        <f aca="false">IF($A195="","",IF($G195="","TELL HOST",IF($M195="","",IF($M195&lt;0,"Deadline passed",IF($M195&lt;=3,"Claim soon","")))))</f>
        <v/>
      </c>
    </row>
    <row r="196" customFormat="false" ht="15" hidden="false" customHeight="false" outlineLevel="0" collapsed="false">
      <c r="A196" s="22"/>
      <c r="B196" s="23"/>
      <c r="C196" s="23"/>
      <c r="D196" s="22"/>
      <c r="E196" s="23"/>
      <c r="F196" s="23"/>
      <c r="G196" s="22"/>
      <c r="H196" s="25"/>
      <c r="I196" s="23"/>
      <c r="J196" s="23"/>
      <c r="K196" s="27" t="str">
        <f aca="false">IF($B196="","",IFERROR(INDEX(Properties!$D$5:$D$104,MATCH($B196,Properties!$A$5:$A$104,0)),"-"))</f>
        <v/>
      </c>
      <c r="L196" s="30" t="str">
        <f aca="false">IF($D196="","",$D196+Settings!$B$16)</f>
        <v/>
      </c>
      <c r="M196" s="31" t="str">
        <f aca="true">IF(OR($L196="",$I196="Claimed",$I196="Paid",$I196="Refused",$I196="Not claiming"),"",$L196-TODAY())</f>
        <v/>
      </c>
      <c r="N196" s="27" t="str">
        <f aca="false">IF($A196="","",IF($G196="","TELL HOST",IF($M196="","",IF($M196&lt;0,"Deadline passed",IF($M196&lt;=3,"Claim soon","")))))</f>
        <v/>
      </c>
    </row>
    <row r="197" customFormat="false" ht="15" hidden="false" customHeight="false" outlineLevel="0" collapsed="false">
      <c r="A197" s="22"/>
      <c r="B197" s="23"/>
      <c r="C197" s="23"/>
      <c r="D197" s="22"/>
      <c r="E197" s="23"/>
      <c r="F197" s="23"/>
      <c r="G197" s="22"/>
      <c r="H197" s="25"/>
      <c r="I197" s="23"/>
      <c r="J197" s="23"/>
      <c r="K197" s="27" t="str">
        <f aca="false">IF($B197="","",IFERROR(INDEX(Properties!$D$5:$D$104,MATCH($B197,Properties!$A$5:$A$104,0)),"-"))</f>
        <v/>
      </c>
      <c r="L197" s="30" t="str">
        <f aca="false">IF($D197="","",$D197+Settings!$B$16)</f>
        <v/>
      </c>
      <c r="M197" s="31" t="str">
        <f aca="true">IF(OR($L197="",$I197="Claimed",$I197="Paid",$I197="Refused",$I197="Not claiming"),"",$L197-TODAY())</f>
        <v/>
      </c>
      <c r="N197" s="27" t="str">
        <f aca="false">IF($A197="","",IF($G197="","TELL HOST",IF($M197="","",IF($M197&lt;0,"Deadline passed",IF($M197&lt;=3,"Claim soon","")))))</f>
        <v/>
      </c>
    </row>
    <row r="198" customFormat="false" ht="15" hidden="false" customHeight="false" outlineLevel="0" collapsed="false">
      <c r="A198" s="22"/>
      <c r="B198" s="23"/>
      <c r="C198" s="23"/>
      <c r="D198" s="22"/>
      <c r="E198" s="23"/>
      <c r="F198" s="23"/>
      <c r="G198" s="22"/>
      <c r="H198" s="25"/>
      <c r="I198" s="23"/>
      <c r="J198" s="23"/>
      <c r="K198" s="27" t="str">
        <f aca="false">IF($B198="","",IFERROR(INDEX(Properties!$D$5:$D$104,MATCH($B198,Properties!$A$5:$A$104,0)),"-"))</f>
        <v/>
      </c>
      <c r="L198" s="30" t="str">
        <f aca="false">IF($D198="","",$D198+Settings!$B$16)</f>
        <v/>
      </c>
      <c r="M198" s="31" t="str">
        <f aca="true">IF(OR($L198="",$I198="Claimed",$I198="Paid",$I198="Refused",$I198="Not claiming"),"",$L198-TODAY())</f>
        <v/>
      </c>
      <c r="N198" s="27" t="str">
        <f aca="false">IF($A198="","",IF($G198="","TELL HOST",IF($M198="","",IF($M198&lt;0,"Deadline passed",IF($M198&lt;=3,"Claim soon","")))))</f>
        <v/>
      </c>
    </row>
    <row r="199" customFormat="false" ht="15" hidden="false" customHeight="false" outlineLevel="0" collapsed="false">
      <c r="A199" s="22"/>
      <c r="B199" s="23"/>
      <c r="C199" s="23"/>
      <c r="D199" s="22"/>
      <c r="E199" s="23"/>
      <c r="F199" s="23"/>
      <c r="G199" s="22"/>
      <c r="H199" s="25"/>
      <c r="I199" s="23"/>
      <c r="J199" s="23"/>
      <c r="K199" s="27" t="str">
        <f aca="false">IF($B199="","",IFERROR(INDEX(Properties!$D$5:$D$104,MATCH($B199,Properties!$A$5:$A$104,0)),"-"))</f>
        <v/>
      </c>
      <c r="L199" s="30" t="str">
        <f aca="false">IF($D199="","",$D199+Settings!$B$16)</f>
        <v/>
      </c>
      <c r="M199" s="31" t="str">
        <f aca="true">IF(OR($L199="",$I199="Claimed",$I199="Paid",$I199="Refused",$I199="Not claiming"),"",$L199-TODAY())</f>
        <v/>
      </c>
      <c r="N199" s="27" t="str">
        <f aca="false">IF($A199="","",IF($G199="","TELL HOST",IF($M199="","",IF($M199&lt;0,"Deadline passed",IF($M199&lt;=3,"Claim soon","")))))</f>
        <v/>
      </c>
    </row>
    <row r="200" customFormat="false" ht="15" hidden="false" customHeight="false" outlineLevel="0" collapsed="false">
      <c r="A200" s="22"/>
      <c r="B200" s="23"/>
      <c r="C200" s="23"/>
      <c r="D200" s="22"/>
      <c r="E200" s="23"/>
      <c r="F200" s="23"/>
      <c r="G200" s="22"/>
      <c r="H200" s="25"/>
      <c r="I200" s="23"/>
      <c r="J200" s="23"/>
      <c r="K200" s="27" t="str">
        <f aca="false">IF($B200="","",IFERROR(INDEX(Properties!$D$5:$D$104,MATCH($B200,Properties!$A$5:$A$104,0)),"-"))</f>
        <v/>
      </c>
      <c r="L200" s="30" t="str">
        <f aca="false">IF($D200="","",$D200+Settings!$B$16)</f>
        <v/>
      </c>
      <c r="M200" s="31" t="str">
        <f aca="true">IF(OR($L200="",$I200="Claimed",$I200="Paid",$I200="Refused",$I200="Not claiming"),"",$L200-TODAY())</f>
        <v/>
      </c>
      <c r="N200" s="27" t="str">
        <f aca="false">IF($A200="","",IF($G200="","TELL HOST",IF($M200="","",IF($M200&lt;0,"Deadline passed",IF($M200&lt;=3,"Claim soon","")))))</f>
        <v/>
      </c>
    </row>
    <row r="201" customFormat="false" ht="15" hidden="false" customHeight="false" outlineLevel="0" collapsed="false">
      <c r="A201" s="22"/>
      <c r="B201" s="23"/>
      <c r="C201" s="23"/>
      <c r="D201" s="22"/>
      <c r="E201" s="23"/>
      <c r="F201" s="23"/>
      <c r="G201" s="22"/>
      <c r="H201" s="25"/>
      <c r="I201" s="23"/>
      <c r="J201" s="23"/>
      <c r="K201" s="27" t="str">
        <f aca="false">IF($B201="","",IFERROR(INDEX(Properties!$D$5:$D$104,MATCH($B201,Properties!$A$5:$A$104,0)),"-"))</f>
        <v/>
      </c>
      <c r="L201" s="30" t="str">
        <f aca="false">IF($D201="","",$D201+Settings!$B$16)</f>
        <v/>
      </c>
      <c r="M201" s="31" t="str">
        <f aca="true">IF(OR($L201="",$I201="Claimed",$I201="Paid",$I201="Refused",$I201="Not claiming"),"",$L201-TODAY())</f>
        <v/>
      </c>
      <c r="N201" s="27" t="str">
        <f aca="false">IF($A201="","",IF($G201="","TELL HOST",IF($M201="","",IF($M201&lt;0,"Deadline passed",IF($M201&lt;=3,"Claim soon","")))))</f>
        <v/>
      </c>
    </row>
    <row r="202" customFormat="false" ht="15" hidden="false" customHeight="false" outlineLevel="0" collapsed="false">
      <c r="A202" s="22"/>
      <c r="B202" s="23"/>
      <c r="C202" s="23"/>
      <c r="D202" s="22"/>
      <c r="E202" s="23"/>
      <c r="F202" s="23"/>
      <c r="G202" s="22"/>
      <c r="H202" s="25"/>
      <c r="I202" s="23"/>
      <c r="J202" s="23"/>
      <c r="K202" s="27" t="str">
        <f aca="false">IF($B202="","",IFERROR(INDEX(Properties!$D$5:$D$104,MATCH($B202,Properties!$A$5:$A$104,0)),"-"))</f>
        <v/>
      </c>
      <c r="L202" s="30" t="str">
        <f aca="false">IF($D202="","",$D202+Settings!$B$16)</f>
        <v/>
      </c>
      <c r="M202" s="31" t="str">
        <f aca="true">IF(OR($L202="",$I202="Claimed",$I202="Paid",$I202="Refused",$I202="Not claiming"),"",$L202-TODAY())</f>
        <v/>
      </c>
      <c r="N202" s="27" t="str">
        <f aca="false">IF($A202="","",IF($G202="","TELL HOST",IF($M202="","",IF($M202&lt;0,"Deadline passed",IF($M202&lt;=3,"Claim soon","")))))</f>
        <v/>
      </c>
    </row>
    <row r="203" customFormat="false" ht="15" hidden="false" customHeight="false" outlineLevel="0" collapsed="false">
      <c r="A203" s="22"/>
      <c r="B203" s="23"/>
      <c r="C203" s="23"/>
      <c r="D203" s="22"/>
      <c r="E203" s="23"/>
      <c r="F203" s="23"/>
      <c r="G203" s="22"/>
      <c r="H203" s="25"/>
      <c r="I203" s="23"/>
      <c r="J203" s="23"/>
      <c r="K203" s="27" t="str">
        <f aca="false">IF($B203="","",IFERROR(INDEX(Properties!$D$5:$D$104,MATCH($B203,Properties!$A$5:$A$104,0)),"-"))</f>
        <v/>
      </c>
      <c r="L203" s="30" t="str">
        <f aca="false">IF($D203="","",$D203+Settings!$B$16)</f>
        <v/>
      </c>
      <c r="M203" s="31" t="str">
        <f aca="true">IF(OR($L203="",$I203="Claimed",$I203="Paid",$I203="Refused",$I203="Not claiming"),"",$L203-TODAY())</f>
        <v/>
      </c>
      <c r="N203" s="27" t="str">
        <f aca="false">IF($A203="","",IF($G203="","TELL HOST",IF($M203="","",IF($M203&lt;0,"Deadline passed",IF($M203&lt;=3,"Claim soon","")))))</f>
        <v/>
      </c>
    </row>
    <row r="204" customFormat="false" ht="15" hidden="false" customHeight="false" outlineLevel="0" collapsed="false">
      <c r="A204" s="22"/>
      <c r="B204" s="23"/>
      <c r="C204" s="23"/>
      <c r="D204" s="22"/>
      <c r="E204" s="23"/>
      <c r="F204" s="23"/>
      <c r="G204" s="22"/>
      <c r="H204" s="25"/>
      <c r="I204" s="23"/>
      <c r="J204" s="23"/>
      <c r="K204" s="27" t="str">
        <f aca="false">IF($B204="","",IFERROR(INDEX(Properties!$D$5:$D$104,MATCH($B204,Properties!$A$5:$A$104,0)),"-"))</f>
        <v/>
      </c>
      <c r="L204" s="30" t="str">
        <f aca="false">IF($D204="","",$D204+Settings!$B$16)</f>
        <v/>
      </c>
      <c r="M204" s="31" t="str">
        <f aca="true">IF(OR($L204="",$I204="Claimed",$I204="Paid",$I204="Refused",$I204="Not claiming"),"",$L204-TODAY())</f>
        <v/>
      </c>
      <c r="N204" s="27" t="str">
        <f aca="false">IF($A204="","",IF($G204="","TELL HOST",IF($M204="","",IF($M204&lt;0,"Deadline passed",IF($M204&lt;=3,"Claim soon","")))))</f>
        <v/>
      </c>
    </row>
    <row r="205" customFormat="false" ht="15" hidden="false" customHeight="false" outlineLevel="0" collapsed="false">
      <c r="A205" s="22"/>
      <c r="B205" s="23"/>
      <c r="C205" s="23"/>
      <c r="D205" s="22"/>
      <c r="E205" s="23"/>
      <c r="F205" s="23"/>
      <c r="G205" s="22"/>
      <c r="H205" s="25"/>
      <c r="I205" s="23"/>
      <c r="J205" s="23"/>
      <c r="K205" s="27" t="str">
        <f aca="false">IF($B205="","",IFERROR(INDEX(Properties!$D$5:$D$104,MATCH($B205,Properties!$A$5:$A$104,0)),"-"))</f>
        <v/>
      </c>
      <c r="L205" s="30" t="str">
        <f aca="false">IF($D205="","",$D205+Settings!$B$16)</f>
        <v/>
      </c>
      <c r="M205" s="31" t="str">
        <f aca="true">IF(OR($L205="",$I205="Claimed",$I205="Paid",$I205="Refused",$I205="Not claiming"),"",$L205-TODAY())</f>
        <v/>
      </c>
      <c r="N205" s="27" t="str">
        <f aca="false">IF($A205="","",IF($G205="","TELL HOST",IF($M205="","",IF($M205&lt;0,"Deadline passed",IF($M205&lt;=3,"Claim soon","")))))</f>
        <v/>
      </c>
    </row>
    <row r="206" customFormat="false" ht="15" hidden="false" customHeight="false" outlineLevel="0" collapsed="false">
      <c r="A206" s="22"/>
      <c r="B206" s="23"/>
      <c r="C206" s="23"/>
      <c r="D206" s="22"/>
      <c r="E206" s="23"/>
      <c r="F206" s="23"/>
      <c r="G206" s="22"/>
      <c r="H206" s="25"/>
      <c r="I206" s="23"/>
      <c r="J206" s="23"/>
      <c r="K206" s="27" t="str">
        <f aca="false">IF($B206="","",IFERROR(INDEX(Properties!$D$5:$D$104,MATCH($B206,Properties!$A$5:$A$104,0)),"-"))</f>
        <v/>
      </c>
      <c r="L206" s="30" t="str">
        <f aca="false">IF($D206="","",$D206+Settings!$B$16)</f>
        <v/>
      </c>
      <c r="M206" s="31" t="str">
        <f aca="true">IF(OR($L206="",$I206="Claimed",$I206="Paid",$I206="Refused",$I206="Not claiming"),"",$L206-TODAY())</f>
        <v/>
      </c>
      <c r="N206" s="27" t="str">
        <f aca="false">IF($A206="","",IF($G206="","TELL HOST",IF($M206="","",IF($M206&lt;0,"Deadline passed",IF($M206&lt;=3,"Claim soon","")))))</f>
        <v/>
      </c>
    </row>
    <row r="207" customFormat="false" ht="15" hidden="false" customHeight="false" outlineLevel="0" collapsed="false">
      <c r="A207" s="22"/>
      <c r="B207" s="23"/>
      <c r="C207" s="23"/>
      <c r="D207" s="22"/>
      <c r="E207" s="23"/>
      <c r="F207" s="23"/>
      <c r="G207" s="22"/>
      <c r="H207" s="25"/>
      <c r="I207" s="23"/>
      <c r="J207" s="23"/>
      <c r="K207" s="27" t="str">
        <f aca="false">IF($B207="","",IFERROR(INDEX(Properties!$D$5:$D$104,MATCH($B207,Properties!$A$5:$A$104,0)),"-"))</f>
        <v/>
      </c>
      <c r="L207" s="30" t="str">
        <f aca="false">IF($D207="","",$D207+Settings!$B$16)</f>
        <v/>
      </c>
      <c r="M207" s="31" t="str">
        <f aca="true">IF(OR($L207="",$I207="Claimed",$I207="Paid",$I207="Refused",$I207="Not claiming"),"",$L207-TODAY())</f>
        <v/>
      </c>
      <c r="N207" s="27" t="str">
        <f aca="false">IF($A207="","",IF($G207="","TELL HOST",IF($M207="","",IF($M207&lt;0,"Deadline passed",IF($M207&lt;=3,"Claim soon","")))))</f>
        <v/>
      </c>
    </row>
    <row r="208" customFormat="false" ht="15" hidden="false" customHeight="false" outlineLevel="0" collapsed="false">
      <c r="A208" s="22"/>
      <c r="B208" s="23"/>
      <c r="C208" s="23"/>
      <c r="D208" s="22"/>
      <c r="E208" s="23"/>
      <c r="F208" s="23"/>
      <c r="G208" s="22"/>
      <c r="H208" s="25"/>
      <c r="I208" s="23"/>
      <c r="J208" s="23"/>
      <c r="K208" s="27" t="str">
        <f aca="false">IF($B208="","",IFERROR(INDEX(Properties!$D$5:$D$104,MATCH($B208,Properties!$A$5:$A$104,0)),"-"))</f>
        <v/>
      </c>
      <c r="L208" s="30" t="str">
        <f aca="false">IF($D208="","",$D208+Settings!$B$16)</f>
        <v/>
      </c>
      <c r="M208" s="31" t="str">
        <f aca="true">IF(OR($L208="",$I208="Claimed",$I208="Paid",$I208="Refused",$I208="Not claiming"),"",$L208-TODAY())</f>
        <v/>
      </c>
      <c r="N208" s="27" t="str">
        <f aca="false">IF($A208="","",IF($G208="","TELL HOST",IF($M208="","",IF($M208&lt;0,"Deadline passed",IF($M208&lt;=3,"Claim soon","")))))</f>
        <v/>
      </c>
    </row>
    <row r="209" customFormat="false" ht="15" hidden="false" customHeight="false" outlineLevel="0" collapsed="false">
      <c r="A209" s="22"/>
      <c r="B209" s="23"/>
      <c r="C209" s="23"/>
      <c r="D209" s="22"/>
      <c r="E209" s="23"/>
      <c r="F209" s="23"/>
      <c r="G209" s="22"/>
      <c r="H209" s="25"/>
      <c r="I209" s="23"/>
      <c r="J209" s="23"/>
      <c r="K209" s="27" t="str">
        <f aca="false">IF($B209="","",IFERROR(INDEX(Properties!$D$5:$D$104,MATCH($B209,Properties!$A$5:$A$104,0)),"-"))</f>
        <v/>
      </c>
      <c r="L209" s="30" t="str">
        <f aca="false">IF($D209="","",$D209+Settings!$B$16)</f>
        <v/>
      </c>
      <c r="M209" s="31" t="str">
        <f aca="true">IF(OR($L209="",$I209="Claimed",$I209="Paid",$I209="Refused",$I209="Not claiming"),"",$L209-TODAY())</f>
        <v/>
      </c>
      <c r="N209" s="27" t="str">
        <f aca="false">IF($A209="","",IF($G209="","TELL HOST",IF($M209="","",IF($M209&lt;0,"Deadline passed",IF($M209&lt;=3,"Claim soon","")))))</f>
        <v/>
      </c>
    </row>
    <row r="210" customFormat="false" ht="15" hidden="false" customHeight="false" outlineLevel="0" collapsed="false">
      <c r="A210" s="22"/>
      <c r="B210" s="23"/>
      <c r="C210" s="23"/>
      <c r="D210" s="22"/>
      <c r="E210" s="23"/>
      <c r="F210" s="23"/>
      <c r="G210" s="22"/>
      <c r="H210" s="25"/>
      <c r="I210" s="23"/>
      <c r="J210" s="23"/>
      <c r="K210" s="27" t="str">
        <f aca="false">IF($B210="","",IFERROR(INDEX(Properties!$D$5:$D$104,MATCH($B210,Properties!$A$5:$A$104,0)),"-"))</f>
        <v/>
      </c>
      <c r="L210" s="30" t="str">
        <f aca="false">IF($D210="","",$D210+Settings!$B$16)</f>
        <v/>
      </c>
      <c r="M210" s="31" t="str">
        <f aca="true">IF(OR($L210="",$I210="Claimed",$I210="Paid",$I210="Refused",$I210="Not claiming"),"",$L210-TODAY())</f>
        <v/>
      </c>
      <c r="N210" s="27" t="str">
        <f aca="false">IF($A210="","",IF($G210="","TELL HOST",IF($M210="","",IF($M210&lt;0,"Deadline passed",IF($M210&lt;=3,"Claim soon","")))))</f>
        <v/>
      </c>
    </row>
    <row r="211" customFormat="false" ht="15" hidden="false" customHeight="false" outlineLevel="0" collapsed="false">
      <c r="A211" s="22"/>
      <c r="B211" s="23"/>
      <c r="C211" s="23"/>
      <c r="D211" s="22"/>
      <c r="E211" s="23"/>
      <c r="F211" s="23"/>
      <c r="G211" s="22"/>
      <c r="H211" s="25"/>
      <c r="I211" s="23"/>
      <c r="J211" s="23"/>
      <c r="K211" s="27" t="str">
        <f aca="false">IF($B211="","",IFERROR(INDEX(Properties!$D$5:$D$104,MATCH($B211,Properties!$A$5:$A$104,0)),"-"))</f>
        <v/>
      </c>
      <c r="L211" s="30" t="str">
        <f aca="false">IF($D211="","",$D211+Settings!$B$16)</f>
        <v/>
      </c>
      <c r="M211" s="31" t="str">
        <f aca="true">IF(OR($L211="",$I211="Claimed",$I211="Paid",$I211="Refused",$I211="Not claiming"),"",$L211-TODAY())</f>
        <v/>
      </c>
      <c r="N211" s="27" t="str">
        <f aca="false">IF($A211="","",IF($G211="","TELL HOST",IF($M211="","",IF($M211&lt;0,"Deadline passed",IF($M211&lt;=3,"Claim soon","")))))</f>
        <v/>
      </c>
    </row>
    <row r="212" customFormat="false" ht="15" hidden="false" customHeight="false" outlineLevel="0" collapsed="false">
      <c r="A212" s="22"/>
      <c r="B212" s="23"/>
      <c r="C212" s="23"/>
      <c r="D212" s="22"/>
      <c r="E212" s="23"/>
      <c r="F212" s="23"/>
      <c r="G212" s="22"/>
      <c r="H212" s="25"/>
      <c r="I212" s="23"/>
      <c r="J212" s="23"/>
      <c r="K212" s="27" t="str">
        <f aca="false">IF($B212="","",IFERROR(INDEX(Properties!$D$5:$D$104,MATCH($B212,Properties!$A$5:$A$104,0)),"-"))</f>
        <v/>
      </c>
      <c r="L212" s="30" t="str">
        <f aca="false">IF($D212="","",$D212+Settings!$B$16)</f>
        <v/>
      </c>
      <c r="M212" s="31" t="str">
        <f aca="true">IF(OR($L212="",$I212="Claimed",$I212="Paid",$I212="Refused",$I212="Not claiming"),"",$L212-TODAY())</f>
        <v/>
      </c>
      <c r="N212" s="27" t="str">
        <f aca="false">IF($A212="","",IF($G212="","TELL HOST",IF($M212="","",IF($M212&lt;0,"Deadline passed",IF($M212&lt;=3,"Claim soon","")))))</f>
        <v/>
      </c>
    </row>
    <row r="213" customFormat="false" ht="15" hidden="false" customHeight="false" outlineLevel="0" collapsed="false">
      <c r="A213" s="22"/>
      <c r="B213" s="23"/>
      <c r="C213" s="23"/>
      <c r="D213" s="22"/>
      <c r="E213" s="23"/>
      <c r="F213" s="23"/>
      <c r="G213" s="22"/>
      <c r="H213" s="25"/>
      <c r="I213" s="23"/>
      <c r="J213" s="23"/>
      <c r="K213" s="27" t="str">
        <f aca="false">IF($B213="","",IFERROR(INDEX(Properties!$D$5:$D$104,MATCH($B213,Properties!$A$5:$A$104,0)),"-"))</f>
        <v/>
      </c>
      <c r="L213" s="30" t="str">
        <f aca="false">IF($D213="","",$D213+Settings!$B$16)</f>
        <v/>
      </c>
      <c r="M213" s="31" t="str">
        <f aca="true">IF(OR($L213="",$I213="Claimed",$I213="Paid",$I213="Refused",$I213="Not claiming"),"",$L213-TODAY())</f>
        <v/>
      </c>
      <c r="N213" s="27" t="str">
        <f aca="false">IF($A213="","",IF($G213="","TELL HOST",IF($M213="","",IF($M213&lt;0,"Deadline passed",IF($M213&lt;=3,"Claim soon","")))))</f>
        <v/>
      </c>
    </row>
    <row r="214" customFormat="false" ht="15" hidden="false" customHeight="false" outlineLevel="0" collapsed="false">
      <c r="A214" s="22"/>
      <c r="B214" s="23"/>
      <c r="C214" s="23"/>
      <c r="D214" s="22"/>
      <c r="E214" s="23"/>
      <c r="F214" s="23"/>
      <c r="G214" s="22"/>
      <c r="H214" s="25"/>
      <c r="I214" s="23"/>
      <c r="J214" s="23"/>
      <c r="K214" s="27" t="str">
        <f aca="false">IF($B214="","",IFERROR(INDEX(Properties!$D$5:$D$104,MATCH($B214,Properties!$A$5:$A$104,0)),"-"))</f>
        <v/>
      </c>
      <c r="L214" s="30" t="str">
        <f aca="false">IF($D214="","",$D214+Settings!$B$16)</f>
        <v/>
      </c>
      <c r="M214" s="31" t="str">
        <f aca="true">IF(OR($L214="",$I214="Claimed",$I214="Paid",$I214="Refused",$I214="Not claiming"),"",$L214-TODAY())</f>
        <v/>
      </c>
      <c r="N214" s="27" t="str">
        <f aca="false">IF($A214="","",IF($G214="","TELL HOST",IF($M214="","",IF($M214&lt;0,"Deadline passed",IF($M214&lt;=3,"Claim soon","")))))</f>
        <v/>
      </c>
    </row>
    <row r="215" customFormat="false" ht="15" hidden="false" customHeight="false" outlineLevel="0" collapsed="false">
      <c r="A215" s="22"/>
      <c r="B215" s="23"/>
      <c r="C215" s="23"/>
      <c r="D215" s="22"/>
      <c r="E215" s="23"/>
      <c r="F215" s="23"/>
      <c r="G215" s="22"/>
      <c r="H215" s="25"/>
      <c r="I215" s="23"/>
      <c r="J215" s="23"/>
      <c r="K215" s="27" t="str">
        <f aca="false">IF($B215="","",IFERROR(INDEX(Properties!$D$5:$D$104,MATCH($B215,Properties!$A$5:$A$104,0)),"-"))</f>
        <v/>
      </c>
      <c r="L215" s="30" t="str">
        <f aca="false">IF($D215="","",$D215+Settings!$B$16)</f>
        <v/>
      </c>
      <c r="M215" s="31" t="str">
        <f aca="true">IF(OR($L215="",$I215="Claimed",$I215="Paid",$I215="Refused",$I215="Not claiming"),"",$L215-TODAY())</f>
        <v/>
      </c>
      <c r="N215" s="27" t="str">
        <f aca="false">IF($A215="","",IF($G215="","TELL HOST",IF($M215="","",IF($M215&lt;0,"Deadline passed",IF($M215&lt;=3,"Claim soon","")))))</f>
        <v/>
      </c>
    </row>
    <row r="216" customFormat="false" ht="15" hidden="false" customHeight="false" outlineLevel="0" collapsed="false">
      <c r="A216" s="22"/>
      <c r="B216" s="23"/>
      <c r="C216" s="23"/>
      <c r="D216" s="22"/>
      <c r="E216" s="23"/>
      <c r="F216" s="23"/>
      <c r="G216" s="22"/>
      <c r="H216" s="25"/>
      <c r="I216" s="23"/>
      <c r="J216" s="23"/>
      <c r="K216" s="27" t="str">
        <f aca="false">IF($B216="","",IFERROR(INDEX(Properties!$D$5:$D$104,MATCH($B216,Properties!$A$5:$A$104,0)),"-"))</f>
        <v/>
      </c>
      <c r="L216" s="30" t="str">
        <f aca="false">IF($D216="","",$D216+Settings!$B$16)</f>
        <v/>
      </c>
      <c r="M216" s="31" t="str">
        <f aca="true">IF(OR($L216="",$I216="Claimed",$I216="Paid",$I216="Refused",$I216="Not claiming"),"",$L216-TODAY())</f>
        <v/>
      </c>
      <c r="N216" s="27" t="str">
        <f aca="false">IF($A216="","",IF($G216="","TELL HOST",IF($M216="","",IF($M216&lt;0,"Deadline passed",IF($M216&lt;=3,"Claim soon","")))))</f>
        <v/>
      </c>
    </row>
    <row r="217" customFormat="false" ht="15" hidden="false" customHeight="false" outlineLevel="0" collapsed="false">
      <c r="A217" s="22"/>
      <c r="B217" s="23"/>
      <c r="C217" s="23"/>
      <c r="D217" s="22"/>
      <c r="E217" s="23"/>
      <c r="F217" s="23"/>
      <c r="G217" s="22"/>
      <c r="H217" s="25"/>
      <c r="I217" s="23"/>
      <c r="J217" s="23"/>
      <c r="K217" s="27" t="str">
        <f aca="false">IF($B217="","",IFERROR(INDEX(Properties!$D$5:$D$104,MATCH($B217,Properties!$A$5:$A$104,0)),"-"))</f>
        <v/>
      </c>
      <c r="L217" s="30" t="str">
        <f aca="false">IF($D217="","",$D217+Settings!$B$16)</f>
        <v/>
      </c>
      <c r="M217" s="31" t="str">
        <f aca="true">IF(OR($L217="",$I217="Claimed",$I217="Paid",$I217="Refused",$I217="Not claiming"),"",$L217-TODAY())</f>
        <v/>
      </c>
      <c r="N217" s="27" t="str">
        <f aca="false">IF($A217="","",IF($G217="","TELL HOST",IF($M217="","",IF($M217&lt;0,"Deadline passed",IF($M217&lt;=3,"Claim soon","")))))</f>
        <v/>
      </c>
    </row>
    <row r="218" customFormat="false" ht="15" hidden="false" customHeight="false" outlineLevel="0" collapsed="false">
      <c r="A218" s="22"/>
      <c r="B218" s="23"/>
      <c r="C218" s="23"/>
      <c r="D218" s="22"/>
      <c r="E218" s="23"/>
      <c r="F218" s="23"/>
      <c r="G218" s="22"/>
      <c r="H218" s="25"/>
      <c r="I218" s="23"/>
      <c r="J218" s="23"/>
      <c r="K218" s="27" t="str">
        <f aca="false">IF($B218="","",IFERROR(INDEX(Properties!$D$5:$D$104,MATCH($B218,Properties!$A$5:$A$104,0)),"-"))</f>
        <v/>
      </c>
      <c r="L218" s="30" t="str">
        <f aca="false">IF($D218="","",$D218+Settings!$B$16)</f>
        <v/>
      </c>
      <c r="M218" s="31" t="str">
        <f aca="true">IF(OR($L218="",$I218="Claimed",$I218="Paid",$I218="Refused",$I218="Not claiming"),"",$L218-TODAY())</f>
        <v/>
      </c>
      <c r="N218" s="27" t="str">
        <f aca="false">IF($A218="","",IF($G218="","TELL HOST",IF($M218="","",IF($M218&lt;0,"Deadline passed",IF($M218&lt;=3,"Claim soon","")))))</f>
        <v/>
      </c>
    </row>
    <row r="219" customFormat="false" ht="15" hidden="false" customHeight="false" outlineLevel="0" collapsed="false">
      <c r="A219" s="22"/>
      <c r="B219" s="23"/>
      <c r="C219" s="23"/>
      <c r="D219" s="22"/>
      <c r="E219" s="23"/>
      <c r="F219" s="23"/>
      <c r="G219" s="22"/>
      <c r="H219" s="25"/>
      <c r="I219" s="23"/>
      <c r="J219" s="23"/>
      <c r="K219" s="27" t="str">
        <f aca="false">IF($B219="","",IFERROR(INDEX(Properties!$D$5:$D$104,MATCH($B219,Properties!$A$5:$A$104,0)),"-"))</f>
        <v/>
      </c>
      <c r="L219" s="30" t="str">
        <f aca="false">IF($D219="","",$D219+Settings!$B$16)</f>
        <v/>
      </c>
      <c r="M219" s="31" t="str">
        <f aca="true">IF(OR($L219="",$I219="Claimed",$I219="Paid",$I219="Refused",$I219="Not claiming"),"",$L219-TODAY())</f>
        <v/>
      </c>
      <c r="N219" s="27" t="str">
        <f aca="false">IF($A219="","",IF($G219="","TELL HOST",IF($M219="","",IF($M219&lt;0,"Deadline passed",IF($M219&lt;=3,"Claim soon","")))))</f>
        <v/>
      </c>
    </row>
    <row r="220" customFormat="false" ht="15" hidden="false" customHeight="false" outlineLevel="0" collapsed="false">
      <c r="A220" s="22"/>
      <c r="B220" s="23"/>
      <c r="C220" s="23"/>
      <c r="D220" s="22"/>
      <c r="E220" s="23"/>
      <c r="F220" s="23"/>
      <c r="G220" s="22"/>
      <c r="H220" s="25"/>
      <c r="I220" s="23"/>
      <c r="J220" s="23"/>
      <c r="K220" s="27" t="str">
        <f aca="false">IF($B220="","",IFERROR(INDEX(Properties!$D$5:$D$104,MATCH($B220,Properties!$A$5:$A$104,0)),"-"))</f>
        <v/>
      </c>
      <c r="L220" s="30" t="str">
        <f aca="false">IF($D220="","",$D220+Settings!$B$16)</f>
        <v/>
      </c>
      <c r="M220" s="31" t="str">
        <f aca="true">IF(OR($L220="",$I220="Claimed",$I220="Paid",$I220="Refused",$I220="Not claiming"),"",$L220-TODAY())</f>
        <v/>
      </c>
      <c r="N220" s="27" t="str">
        <f aca="false">IF($A220="","",IF($G220="","TELL HOST",IF($M220="","",IF($M220&lt;0,"Deadline passed",IF($M220&lt;=3,"Claim soon","")))))</f>
        <v/>
      </c>
    </row>
    <row r="221" customFormat="false" ht="15" hidden="false" customHeight="false" outlineLevel="0" collapsed="false">
      <c r="A221" s="22"/>
      <c r="B221" s="23"/>
      <c r="C221" s="23"/>
      <c r="D221" s="22"/>
      <c r="E221" s="23"/>
      <c r="F221" s="23"/>
      <c r="G221" s="22"/>
      <c r="H221" s="25"/>
      <c r="I221" s="23"/>
      <c r="J221" s="23"/>
      <c r="K221" s="27" t="str">
        <f aca="false">IF($B221="","",IFERROR(INDEX(Properties!$D$5:$D$104,MATCH($B221,Properties!$A$5:$A$104,0)),"-"))</f>
        <v/>
      </c>
      <c r="L221" s="30" t="str">
        <f aca="false">IF($D221="","",$D221+Settings!$B$16)</f>
        <v/>
      </c>
      <c r="M221" s="31" t="str">
        <f aca="true">IF(OR($L221="",$I221="Claimed",$I221="Paid",$I221="Refused",$I221="Not claiming"),"",$L221-TODAY())</f>
        <v/>
      </c>
      <c r="N221" s="27" t="str">
        <f aca="false">IF($A221="","",IF($G221="","TELL HOST",IF($M221="","",IF($M221&lt;0,"Deadline passed",IF($M221&lt;=3,"Claim soon","")))))</f>
        <v/>
      </c>
    </row>
    <row r="222" customFormat="false" ht="15" hidden="false" customHeight="false" outlineLevel="0" collapsed="false">
      <c r="A222" s="22"/>
      <c r="B222" s="23"/>
      <c r="C222" s="23"/>
      <c r="D222" s="22"/>
      <c r="E222" s="23"/>
      <c r="F222" s="23"/>
      <c r="G222" s="22"/>
      <c r="H222" s="25"/>
      <c r="I222" s="23"/>
      <c r="J222" s="23"/>
      <c r="K222" s="27" t="str">
        <f aca="false">IF($B222="","",IFERROR(INDEX(Properties!$D$5:$D$104,MATCH($B222,Properties!$A$5:$A$104,0)),"-"))</f>
        <v/>
      </c>
      <c r="L222" s="30" t="str">
        <f aca="false">IF($D222="","",$D222+Settings!$B$16)</f>
        <v/>
      </c>
      <c r="M222" s="31" t="str">
        <f aca="true">IF(OR($L222="",$I222="Claimed",$I222="Paid",$I222="Refused",$I222="Not claiming"),"",$L222-TODAY())</f>
        <v/>
      </c>
      <c r="N222" s="27" t="str">
        <f aca="false">IF($A222="","",IF($G222="","TELL HOST",IF($M222="","",IF($M222&lt;0,"Deadline passed",IF($M222&lt;=3,"Claim soon","")))))</f>
        <v/>
      </c>
    </row>
    <row r="223" customFormat="false" ht="15" hidden="false" customHeight="false" outlineLevel="0" collapsed="false">
      <c r="A223" s="22"/>
      <c r="B223" s="23"/>
      <c r="C223" s="23"/>
      <c r="D223" s="22"/>
      <c r="E223" s="23"/>
      <c r="F223" s="23"/>
      <c r="G223" s="22"/>
      <c r="H223" s="25"/>
      <c r="I223" s="23"/>
      <c r="J223" s="23"/>
      <c r="K223" s="27" t="str">
        <f aca="false">IF($B223="","",IFERROR(INDEX(Properties!$D$5:$D$104,MATCH($B223,Properties!$A$5:$A$104,0)),"-"))</f>
        <v/>
      </c>
      <c r="L223" s="30" t="str">
        <f aca="false">IF($D223="","",$D223+Settings!$B$16)</f>
        <v/>
      </c>
      <c r="M223" s="31" t="str">
        <f aca="true">IF(OR($L223="",$I223="Claimed",$I223="Paid",$I223="Refused",$I223="Not claiming"),"",$L223-TODAY())</f>
        <v/>
      </c>
      <c r="N223" s="27" t="str">
        <f aca="false">IF($A223="","",IF($G223="","TELL HOST",IF($M223="","",IF($M223&lt;0,"Deadline passed",IF($M223&lt;=3,"Claim soon","")))))</f>
        <v/>
      </c>
    </row>
    <row r="224" customFormat="false" ht="15" hidden="false" customHeight="false" outlineLevel="0" collapsed="false">
      <c r="A224" s="22"/>
      <c r="B224" s="23"/>
      <c r="C224" s="23"/>
      <c r="D224" s="22"/>
      <c r="E224" s="23"/>
      <c r="F224" s="23"/>
      <c r="G224" s="22"/>
      <c r="H224" s="25"/>
      <c r="I224" s="23"/>
      <c r="J224" s="23"/>
      <c r="K224" s="27" t="str">
        <f aca="false">IF($B224="","",IFERROR(INDEX(Properties!$D$5:$D$104,MATCH($B224,Properties!$A$5:$A$104,0)),"-"))</f>
        <v/>
      </c>
      <c r="L224" s="30" t="str">
        <f aca="false">IF($D224="","",$D224+Settings!$B$16)</f>
        <v/>
      </c>
      <c r="M224" s="31" t="str">
        <f aca="true">IF(OR($L224="",$I224="Claimed",$I224="Paid",$I224="Refused",$I224="Not claiming"),"",$L224-TODAY())</f>
        <v/>
      </c>
      <c r="N224" s="27" t="str">
        <f aca="false">IF($A224="","",IF($G224="","TELL HOST",IF($M224="","",IF($M224&lt;0,"Deadline passed",IF($M224&lt;=3,"Claim soon","")))))</f>
        <v/>
      </c>
    </row>
    <row r="225" customFormat="false" ht="15" hidden="false" customHeight="false" outlineLevel="0" collapsed="false">
      <c r="A225" s="22"/>
      <c r="B225" s="23"/>
      <c r="C225" s="23"/>
      <c r="D225" s="22"/>
      <c r="E225" s="23"/>
      <c r="F225" s="23"/>
      <c r="G225" s="22"/>
      <c r="H225" s="25"/>
      <c r="I225" s="23"/>
      <c r="J225" s="23"/>
      <c r="K225" s="27" t="str">
        <f aca="false">IF($B225="","",IFERROR(INDEX(Properties!$D$5:$D$104,MATCH($B225,Properties!$A$5:$A$104,0)),"-"))</f>
        <v/>
      </c>
      <c r="L225" s="30" t="str">
        <f aca="false">IF($D225="","",$D225+Settings!$B$16)</f>
        <v/>
      </c>
      <c r="M225" s="31" t="str">
        <f aca="true">IF(OR($L225="",$I225="Claimed",$I225="Paid",$I225="Refused",$I225="Not claiming"),"",$L225-TODAY())</f>
        <v/>
      </c>
      <c r="N225" s="27" t="str">
        <f aca="false">IF($A225="","",IF($G225="","TELL HOST",IF($M225="","",IF($M225&lt;0,"Deadline passed",IF($M225&lt;=3,"Claim soon","")))))</f>
        <v/>
      </c>
    </row>
    <row r="226" customFormat="false" ht="15" hidden="false" customHeight="false" outlineLevel="0" collapsed="false">
      <c r="A226" s="22"/>
      <c r="B226" s="23"/>
      <c r="C226" s="23"/>
      <c r="D226" s="22"/>
      <c r="E226" s="23"/>
      <c r="F226" s="23"/>
      <c r="G226" s="22"/>
      <c r="H226" s="25"/>
      <c r="I226" s="23"/>
      <c r="J226" s="23"/>
      <c r="K226" s="27" t="str">
        <f aca="false">IF($B226="","",IFERROR(INDEX(Properties!$D$5:$D$104,MATCH($B226,Properties!$A$5:$A$104,0)),"-"))</f>
        <v/>
      </c>
      <c r="L226" s="30" t="str">
        <f aca="false">IF($D226="","",$D226+Settings!$B$16)</f>
        <v/>
      </c>
      <c r="M226" s="31" t="str">
        <f aca="true">IF(OR($L226="",$I226="Claimed",$I226="Paid",$I226="Refused",$I226="Not claiming"),"",$L226-TODAY())</f>
        <v/>
      </c>
      <c r="N226" s="27" t="str">
        <f aca="false">IF($A226="","",IF($G226="","TELL HOST",IF($M226="","",IF($M226&lt;0,"Deadline passed",IF($M226&lt;=3,"Claim soon","")))))</f>
        <v/>
      </c>
    </row>
    <row r="227" customFormat="false" ht="15" hidden="false" customHeight="false" outlineLevel="0" collapsed="false">
      <c r="A227" s="22"/>
      <c r="B227" s="23"/>
      <c r="C227" s="23"/>
      <c r="D227" s="22"/>
      <c r="E227" s="23"/>
      <c r="F227" s="23"/>
      <c r="G227" s="22"/>
      <c r="H227" s="25"/>
      <c r="I227" s="23"/>
      <c r="J227" s="23"/>
      <c r="K227" s="27" t="str">
        <f aca="false">IF($B227="","",IFERROR(INDEX(Properties!$D$5:$D$104,MATCH($B227,Properties!$A$5:$A$104,0)),"-"))</f>
        <v/>
      </c>
      <c r="L227" s="30" t="str">
        <f aca="false">IF($D227="","",$D227+Settings!$B$16)</f>
        <v/>
      </c>
      <c r="M227" s="31" t="str">
        <f aca="true">IF(OR($L227="",$I227="Claimed",$I227="Paid",$I227="Refused",$I227="Not claiming"),"",$L227-TODAY())</f>
        <v/>
      </c>
      <c r="N227" s="27" t="str">
        <f aca="false">IF($A227="","",IF($G227="","TELL HOST",IF($M227="","",IF($M227&lt;0,"Deadline passed",IF($M227&lt;=3,"Claim soon","")))))</f>
        <v/>
      </c>
    </row>
    <row r="228" customFormat="false" ht="15" hidden="false" customHeight="false" outlineLevel="0" collapsed="false">
      <c r="A228" s="22"/>
      <c r="B228" s="23"/>
      <c r="C228" s="23"/>
      <c r="D228" s="22"/>
      <c r="E228" s="23"/>
      <c r="F228" s="23"/>
      <c r="G228" s="22"/>
      <c r="H228" s="25"/>
      <c r="I228" s="23"/>
      <c r="J228" s="23"/>
      <c r="K228" s="27" t="str">
        <f aca="false">IF($B228="","",IFERROR(INDEX(Properties!$D$5:$D$104,MATCH($B228,Properties!$A$5:$A$104,0)),"-"))</f>
        <v/>
      </c>
      <c r="L228" s="30" t="str">
        <f aca="false">IF($D228="","",$D228+Settings!$B$16)</f>
        <v/>
      </c>
      <c r="M228" s="31" t="str">
        <f aca="true">IF(OR($L228="",$I228="Claimed",$I228="Paid",$I228="Refused",$I228="Not claiming"),"",$L228-TODAY())</f>
        <v/>
      </c>
      <c r="N228" s="27" t="str">
        <f aca="false">IF($A228="","",IF($G228="","TELL HOST",IF($M228="","",IF($M228&lt;0,"Deadline passed",IF($M228&lt;=3,"Claim soon","")))))</f>
        <v/>
      </c>
    </row>
    <row r="229" customFormat="false" ht="15" hidden="false" customHeight="false" outlineLevel="0" collapsed="false">
      <c r="A229" s="22"/>
      <c r="B229" s="23"/>
      <c r="C229" s="23"/>
      <c r="D229" s="22"/>
      <c r="E229" s="23"/>
      <c r="F229" s="23"/>
      <c r="G229" s="22"/>
      <c r="H229" s="25"/>
      <c r="I229" s="23"/>
      <c r="J229" s="23"/>
      <c r="K229" s="27" t="str">
        <f aca="false">IF($B229="","",IFERROR(INDEX(Properties!$D$5:$D$104,MATCH($B229,Properties!$A$5:$A$104,0)),"-"))</f>
        <v/>
      </c>
      <c r="L229" s="30" t="str">
        <f aca="false">IF($D229="","",$D229+Settings!$B$16)</f>
        <v/>
      </c>
      <c r="M229" s="31" t="str">
        <f aca="true">IF(OR($L229="",$I229="Claimed",$I229="Paid",$I229="Refused",$I229="Not claiming"),"",$L229-TODAY())</f>
        <v/>
      </c>
      <c r="N229" s="27" t="str">
        <f aca="false">IF($A229="","",IF($G229="","TELL HOST",IF($M229="","",IF($M229&lt;0,"Deadline passed",IF($M229&lt;=3,"Claim soon","")))))</f>
        <v/>
      </c>
    </row>
    <row r="230" customFormat="false" ht="15" hidden="false" customHeight="false" outlineLevel="0" collapsed="false">
      <c r="A230" s="22"/>
      <c r="B230" s="23"/>
      <c r="C230" s="23"/>
      <c r="D230" s="22"/>
      <c r="E230" s="23"/>
      <c r="F230" s="23"/>
      <c r="G230" s="22"/>
      <c r="H230" s="25"/>
      <c r="I230" s="23"/>
      <c r="J230" s="23"/>
      <c r="K230" s="27" t="str">
        <f aca="false">IF($B230="","",IFERROR(INDEX(Properties!$D$5:$D$104,MATCH($B230,Properties!$A$5:$A$104,0)),"-"))</f>
        <v/>
      </c>
      <c r="L230" s="30" t="str">
        <f aca="false">IF($D230="","",$D230+Settings!$B$16)</f>
        <v/>
      </c>
      <c r="M230" s="31" t="str">
        <f aca="true">IF(OR($L230="",$I230="Claimed",$I230="Paid",$I230="Refused",$I230="Not claiming"),"",$L230-TODAY())</f>
        <v/>
      </c>
      <c r="N230" s="27" t="str">
        <f aca="false">IF($A230="","",IF($G230="","TELL HOST",IF($M230="","",IF($M230&lt;0,"Deadline passed",IF($M230&lt;=3,"Claim soon","")))))</f>
        <v/>
      </c>
    </row>
    <row r="231" customFormat="false" ht="15" hidden="false" customHeight="false" outlineLevel="0" collapsed="false">
      <c r="A231" s="22"/>
      <c r="B231" s="23"/>
      <c r="C231" s="23"/>
      <c r="D231" s="22"/>
      <c r="E231" s="23"/>
      <c r="F231" s="23"/>
      <c r="G231" s="22"/>
      <c r="H231" s="25"/>
      <c r="I231" s="23"/>
      <c r="J231" s="23"/>
      <c r="K231" s="27" t="str">
        <f aca="false">IF($B231="","",IFERROR(INDEX(Properties!$D$5:$D$104,MATCH($B231,Properties!$A$5:$A$104,0)),"-"))</f>
        <v/>
      </c>
      <c r="L231" s="30" t="str">
        <f aca="false">IF($D231="","",$D231+Settings!$B$16)</f>
        <v/>
      </c>
      <c r="M231" s="31" t="str">
        <f aca="true">IF(OR($L231="",$I231="Claimed",$I231="Paid",$I231="Refused",$I231="Not claiming"),"",$L231-TODAY())</f>
        <v/>
      </c>
      <c r="N231" s="27" t="str">
        <f aca="false">IF($A231="","",IF($G231="","TELL HOST",IF($M231="","",IF($M231&lt;0,"Deadline passed",IF($M231&lt;=3,"Claim soon","")))))</f>
        <v/>
      </c>
    </row>
    <row r="232" customFormat="false" ht="15" hidden="false" customHeight="false" outlineLevel="0" collapsed="false">
      <c r="A232" s="22"/>
      <c r="B232" s="23"/>
      <c r="C232" s="23"/>
      <c r="D232" s="22"/>
      <c r="E232" s="23"/>
      <c r="F232" s="23"/>
      <c r="G232" s="22"/>
      <c r="H232" s="25"/>
      <c r="I232" s="23"/>
      <c r="J232" s="23"/>
      <c r="K232" s="27" t="str">
        <f aca="false">IF($B232="","",IFERROR(INDEX(Properties!$D$5:$D$104,MATCH($B232,Properties!$A$5:$A$104,0)),"-"))</f>
        <v/>
      </c>
      <c r="L232" s="30" t="str">
        <f aca="false">IF($D232="","",$D232+Settings!$B$16)</f>
        <v/>
      </c>
      <c r="M232" s="31" t="str">
        <f aca="true">IF(OR($L232="",$I232="Claimed",$I232="Paid",$I232="Refused",$I232="Not claiming"),"",$L232-TODAY())</f>
        <v/>
      </c>
      <c r="N232" s="27" t="str">
        <f aca="false">IF($A232="","",IF($G232="","TELL HOST",IF($M232="","",IF($M232&lt;0,"Deadline passed",IF($M232&lt;=3,"Claim soon","")))))</f>
        <v/>
      </c>
    </row>
    <row r="233" customFormat="false" ht="15" hidden="false" customHeight="false" outlineLevel="0" collapsed="false">
      <c r="A233" s="22"/>
      <c r="B233" s="23"/>
      <c r="C233" s="23"/>
      <c r="D233" s="22"/>
      <c r="E233" s="23"/>
      <c r="F233" s="23"/>
      <c r="G233" s="22"/>
      <c r="H233" s="25"/>
      <c r="I233" s="23"/>
      <c r="J233" s="23"/>
      <c r="K233" s="27" t="str">
        <f aca="false">IF($B233="","",IFERROR(INDEX(Properties!$D$5:$D$104,MATCH($B233,Properties!$A$5:$A$104,0)),"-"))</f>
        <v/>
      </c>
      <c r="L233" s="30" t="str">
        <f aca="false">IF($D233="","",$D233+Settings!$B$16)</f>
        <v/>
      </c>
      <c r="M233" s="31" t="str">
        <f aca="true">IF(OR($L233="",$I233="Claimed",$I233="Paid",$I233="Refused",$I233="Not claiming"),"",$L233-TODAY())</f>
        <v/>
      </c>
      <c r="N233" s="27" t="str">
        <f aca="false">IF($A233="","",IF($G233="","TELL HOST",IF($M233="","",IF($M233&lt;0,"Deadline passed",IF($M233&lt;=3,"Claim soon","")))))</f>
        <v/>
      </c>
    </row>
    <row r="234" customFormat="false" ht="15" hidden="false" customHeight="false" outlineLevel="0" collapsed="false">
      <c r="A234" s="22"/>
      <c r="B234" s="23"/>
      <c r="C234" s="23"/>
      <c r="D234" s="22"/>
      <c r="E234" s="23"/>
      <c r="F234" s="23"/>
      <c r="G234" s="22"/>
      <c r="H234" s="25"/>
      <c r="I234" s="23"/>
      <c r="J234" s="23"/>
      <c r="K234" s="27" t="str">
        <f aca="false">IF($B234="","",IFERROR(INDEX(Properties!$D$5:$D$104,MATCH($B234,Properties!$A$5:$A$104,0)),"-"))</f>
        <v/>
      </c>
      <c r="L234" s="30" t="str">
        <f aca="false">IF($D234="","",$D234+Settings!$B$16)</f>
        <v/>
      </c>
      <c r="M234" s="31" t="str">
        <f aca="true">IF(OR($L234="",$I234="Claimed",$I234="Paid",$I234="Refused",$I234="Not claiming"),"",$L234-TODAY())</f>
        <v/>
      </c>
      <c r="N234" s="27" t="str">
        <f aca="false">IF($A234="","",IF($G234="","TELL HOST",IF($M234="","",IF($M234&lt;0,"Deadline passed",IF($M234&lt;=3,"Claim soon","")))))</f>
        <v/>
      </c>
    </row>
    <row r="235" customFormat="false" ht="15" hidden="false" customHeight="false" outlineLevel="0" collapsed="false">
      <c r="A235" s="22"/>
      <c r="B235" s="23"/>
      <c r="C235" s="23"/>
      <c r="D235" s="22"/>
      <c r="E235" s="23"/>
      <c r="F235" s="23"/>
      <c r="G235" s="22"/>
      <c r="H235" s="25"/>
      <c r="I235" s="23"/>
      <c r="J235" s="23"/>
      <c r="K235" s="27" t="str">
        <f aca="false">IF($B235="","",IFERROR(INDEX(Properties!$D$5:$D$104,MATCH($B235,Properties!$A$5:$A$104,0)),"-"))</f>
        <v/>
      </c>
      <c r="L235" s="30" t="str">
        <f aca="false">IF($D235="","",$D235+Settings!$B$16)</f>
        <v/>
      </c>
      <c r="M235" s="31" t="str">
        <f aca="true">IF(OR($L235="",$I235="Claimed",$I235="Paid",$I235="Refused",$I235="Not claiming"),"",$L235-TODAY())</f>
        <v/>
      </c>
      <c r="N235" s="27" t="str">
        <f aca="false">IF($A235="","",IF($G235="","TELL HOST",IF($M235="","",IF($M235&lt;0,"Deadline passed",IF($M235&lt;=3,"Claim soon","")))))</f>
        <v/>
      </c>
    </row>
    <row r="236" customFormat="false" ht="15" hidden="false" customHeight="false" outlineLevel="0" collapsed="false">
      <c r="A236" s="22"/>
      <c r="B236" s="23"/>
      <c r="C236" s="23"/>
      <c r="D236" s="22"/>
      <c r="E236" s="23"/>
      <c r="F236" s="23"/>
      <c r="G236" s="22"/>
      <c r="H236" s="25"/>
      <c r="I236" s="23"/>
      <c r="J236" s="23"/>
      <c r="K236" s="27" t="str">
        <f aca="false">IF($B236="","",IFERROR(INDEX(Properties!$D$5:$D$104,MATCH($B236,Properties!$A$5:$A$104,0)),"-"))</f>
        <v/>
      </c>
      <c r="L236" s="30" t="str">
        <f aca="false">IF($D236="","",$D236+Settings!$B$16)</f>
        <v/>
      </c>
      <c r="M236" s="31" t="str">
        <f aca="true">IF(OR($L236="",$I236="Claimed",$I236="Paid",$I236="Refused",$I236="Not claiming"),"",$L236-TODAY())</f>
        <v/>
      </c>
      <c r="N236" s="27" t="str">
        <f aca="false">IF($A236="","",IF($G236="","TELL HOST",IF($M236="","",IF($M236&lt;0,"Deadline passed",IF($M236&lt;=3,"Claim soon","")))))</f>
        <v/>
      </c>
    </row>
    <row r="237" customFormat="false" ht="15" hidden="false" customHeight="false" outlineLevel="0" collapsed="false">
      <c r="A237" s="22"/>
      <c r="B237" s="23"/>
      <c r="C237" s="23"/>
      <c r="D237" s="22"/>
      <c r="E237" s="23"/>
      <c r="F237" s="23"/>
      <c r="G237" s="22"/>
      <c r="H237" s="25"/>
      <c r="I237" s="23"/>
      <c r="J237" s="23"/>
      <c r="K237" s="27" t="str">
        <f aca="false">IF($B237="","",IFERROR(INDEX(Properties!$D$5:$D$104,MATCH($B237,Properties!$A$5:$A$104,0)),"-"))</f>
        <v/>
      </c>
      <c r="L237" s="30" t="str">
        <f aca="false">IF($D237="","",$D237+Settings!$B$16)</f>
        <v/>
      </c>
      <c r="M237" s="31" t="str">
        <f aca="true">IF(OR($L237="",$I237="Claimed",$I237="Paid",$I237="Refused",$I237="Not claiming"),"",$L237-TODAY())</f>
        <v/>
      </c>
      <c r="N237" s="27" t="str">
        <f aca="false">IF($A237="","",IF($G237="","TELL HOST",IF($M237="","",IF($M237&lt;0,"Deadline passed",IF($M237&lt;=3,"Claim soon","")))))</f>
        <v/>
      </c>
    </row>
    <row r="238" customFormat="false" ht="15" hidden="false" customHeight="false" outlineLevel="0" collapsed="false">
      <c r="A238" s="22"/>
      <c r="B238" s="23"/>
      <c r="C238" s="23"/>
      <c r="D238" s="22"/>
      <c r="E238" s="23"/>
      <c r="F238" s="23"/>
      <c r="G238" s="22"/>
      <c r="H238" s="25"/>
      <c r="I238" s="23"/>
      <c r="J238" s="23"/>
      <c r="K238" s="27" t="str">
        <f aca="false">IF($B238="","",IFERROR(INDEX(Properties!$D$5:$D$104,MATCH($B238,Properties!$A$5:$A$104,0)),"-"))</f>
        <v/>
      </c>
      <c r="L238" s="30" t="str">
        <f aca="false">IF($D238="","",$D238+Settings!$B$16)</f>
        <v/>
      </c>
      <c r="M238" s="31" t="str">
        <f aca="true">IF(OR($L238="",$I238="Claimed",$I238="Paid",$I238="Refused",$I238="Not claiming"),"",$L238-TODAY())</f>
        <v/>
      </c>
      <c r="N238" s="27" t="str">
        <f aca="false">IF($A238="","",IF($G238="","TELL HOST",IF($M238="","",IF($M238&lt;0,"Deadline passed",IF($M238&lt;=3,"Claim soon","")))))</f>
        <v/>
      </c>
    </row>
    <row r="239" customFormat="false" ht="15" hidden="false" customHeight="false" outlineLevel="0" collapsed="false">
      <c r="A239" s="22"/>
      <c r="B239" s="23"/>
      <c r="C239" s="23"/>
      <c r="D239" s="22"/>
      <c r="E239" s="23"/>
      <c r="F239" s="23"/>
      <c r="G239" s="22"/>
      <c r="H239" s="25"/>
      <c r="I239" s="23"/>
      <c r="J239" s="23"/>
      <c r="K239" s="27" t="str">
        <f aca="false">IF($B239="","",IFERROR(INDEX(Properties!$D$5:$D$104,MATCH($B239,Properties!$A$5:$A$104,0)),"-"))</f>
        <v/>
      </c>
      <c r="L239" s="30" t="str">
        <f aca="false">IF($D239="","",$D239+Settings!$B$16)</f>
        <v/>
      </c>
      <c r="M239" s="31" t="str">
        <f aca="true">IF(OR($L239="",$I239="Claimed",$I239="Paid",$I239="Refused",$I239="Not claiming"),"",$L239-TODAY())</f>
        <v/>
      </c>
      <c r="N239" s="27" t="str">
        <f aca="false">IF($A239="","",IF($G239="","TELL HOST",IF($M239="","",IF($M239&lt;0,"Deadline passed",IF($M239&lt;=3,"Claim soon","")))))</f>
        <v/>
      </c>
    </row>
    <row r="240" customFormat="false" ht="15" hidden="false" customHeight="false" outlineLevel="0" collapsed="false">
      <c r="A240" s="22"/>
      <c r="B240" s="23"/>
      <c r="C240" s="23"/>
      <c r="D240" s="22"/>
      <c r="E240" s="23"/>
      <c r="F240" s="23"/>
      <c r="G240" s="22"/>
      <c r="H240" s="25"/>
      <c r="I240" s="23"/>
      <c r="J240" s="23"/>
      <c r="K240" s="27" t="str">
        <f aca="false">IF($B240="","",IFERROR(INDEX(Properties!$D$5:$D$104,MATCH($B240,Properties!$A$5:$A$104,0)),"-"))</f>
        <v/>
      </c>
      <c r="L240" s="30" t="str">
        <f aca="false">IF($D240="","",$D240+Settings!$B$16)</f>
        <v/>
      </c>
      <c r="M240" s="31" t="str">
        <f aca="true">IF(OR($L240="",$I240="Claimed",$I240="Paid",$I240="Refused",$I240="Not claiming"),"",$L240-TODAY())</f>
        <v/>
      </c>
      <c r="N240" s="27" t="str">
        <f aca="false">IF($A240="","",IF($G240="","TELL HOST",IF($M240="","",IF($M240&lt;0,"Deadline passed",IF($M240&lt;=3,"Claim soon","")))))</f>
        <v/>
      </c>
    </row>
    <row r="241" customFormat="false" ht="15" hidden="false" customHeight="false" outlineLevel="0" collapsed="false">
      <c r="A241" s="22"/>
      <c r="B241" s="23"/>
      <c r="C241" s="23"/>
      <c r="D241" s="22"/>
      <c r="E241" s="23"/>
      <c r="F241" s="23"/>
      <c r="G241" s="22"/>
      <c r="H241" s="25"/>
      <c r="I241" s="23"/>
      <c r="J241" s="23"/>
      <c r="K241" s="27" t="str">
        <f aca="false">IF($B241="","",IFERROR(INDEX(Properties!$D$5:$D$104,MATCH($B241,Properties!$A$5:$A$104,0)),"-"))</f>
        <v/>
      </c>
      <c r="L241" s="30" t="str">
        <f aca="false">IF($D241="","",$D241+Settings!$B$16)</f>
        <v/>
      </c>
      <c r="M241" s="31" t="str">
        <f aca="true">IF(OR($L241="",$I241="Claimed",$I241="Paid",$I241="Refused",$I241="Not claiming"),"",$L241-TODAY())</f>
        <v/>
      </c>
      <c r="N241" s="27" t="str">
        <f aca="false">IF($A241="","",IF($G241="","TELL HOST",IF($M241="","",IF($M241&lt;0,"Deadline passed",IF($M241&lt;=3,"Claim soon","")))))</f>
        <v/>
      </c>
    </row>
    <row r="242" customFormat="false" ht="15" hidden="false" customHeight="false" outlineLevel="0" collapsed="false">
      <c r="A242" s="22"/>
      <c r="B242" s="23"/>
      <c r="C242" s="23"/>
      <c r="D242" s="22"/>
      <c r="E242" s="23"/>
      <c r="F242" s="23"/>
      <c r="G242" s="22"/>
      <c r="H242" s="25"/>
      <c r="I242" s="23"/>
      <c r="J242" s="23"/>
      <c r="K242" s="27" t="str">
        <f aca="false">IF($B242="","",IFERROR(INDEX(Properties!$D$5:$D$104,MATCH($B242,Properties!$A$5:$A$104,0)),"-"))</f>
        <v/>
      </c>
      <c r="L242" s="30" t="str">
        <f aca="false">IF($D242="","",$D242+Settings!$B$16)</f>
        <v/>
      </c>
      <c r="M242" s="31" t="str">
        <f aca="true">IF(OR($L242="",$I242="Claimed",$I242="Paid",$I242="Refused",$I242="Not claiming"),"",$L242-TODAY())</f>
        <v/>
      </c>
      <c r="N242" s="27" t="str">
        <f aca="false">IF($A242="","",IF($G242="","TELL HOST",IF($M242="","",IF($M242&lt;0,"Deadline passed",IF($M242&lt;=3,"Claim soon","")))))</f>
        <v/>
      </c>
    </row>
    <row r="243" customFormat="false" ht="15" hidden="false" customHeight="false" outlineLevel="0" collapsed="false">
      <c r="A243" s="22"/>
      <c r="B243" s="23"/>
      <c r="C243" s="23"/>
      <c r="D243" s="22"/>
      <c r="E243" s="23"/>
      <c r="F243" s="23"/>
      <c r="G243" s="22"/>
      <c r="H243" s="25"/>
      <c r="I243" s="23"/>
      <c r="J243" s="23"/>
      <c r="K243" s="27" t="str">
        <f aca="false">IF($B243="","",IFERROR(INDEX(Properties!$D$5:$D$104,MATCH($B243,Properties!$A$5:$A$104,0)),"-"))</f>
        <v/>
      </c>
      <c r="L243" s="30" t="str">
        <f aca="false">IF($D243="","",$D243+Settings!$B$16)</f>
        <v/>
      </c>
      <c r="M243" s="31" t="str">
        <f aca="true">IF(OR($L243="",$I243="Claimed",$I243="Paid",$I243="Refused",$I243="Not claiming"),"",$L243-TODAY())</f>
        <v/>
      </c>
      <c r="N243" s="27" t="str">
        <f aca="false">IF($A243="","",IF($G243="","TELL HOST",IF($M243="","",IF($M243&lt;0,"Deadline passed",IF($M243&lt;=3,"Claim soon","")))))</f>
        <v/>
      </c>
    </row>
    <row r="244" customFormat="false" ht="15" hidden="false" customHeight="false" outlineLevel="0" collapsed="false">
      <c r="A244" s="22"/>
      <c r="B244" s="23"/>
      <c r="C244" s="23"/>
      <c r="D244" s="22"/>
      <c r="E244" s="23"/>
      <c r="F244" s="23"/>
      <c r="G244" s="22"/>
      <c r="H244" s="25"/>
      <c r="I244" s="23"/>
      <c r="J244" s="23"/>
      <c r="K244" s="27" t="str">
        <f aca="false">IF($B244="","",IFERROR(INDEX(Properties!$D$5:$D$104,MATCH($B244,Properties!$A$5:$A$104,0)),"-"))</f>
        <v/>
      </c>
      <c r="L244" s="30" t="str">
        <f aca="false">IF($D244="","",$D244+Settings!$B$16)</f>
        <v/>
      </c>
      <c r="M244" s="31" t="str">
        <f aca="true">IF(OR($L244="",$I244="Claimed",$I244="Paid",$I244="Refused",$I244="Not claiming"),"",$L244-TODAY())</f>
        <v/>
      </c>
      <c r="N244" s="27" t="str">
        <f aca="false">IF($A244="","",IF($G244="","TELL HOST",IF($M244="","",IF($M244&lt;0,"Deadline passed",IF($M244&lt;=3,"Claim soon","")))))</f>
        <v/>
      </c>
    </row>
    <row r="245" customFormat="false" ht="15" hidden="false" customHeight="false" outlineLevel="0" collapsed="false">
      <c r="A245" s="22"/>
      <c r="B245" s="23"/>
      <c r="C245" s="23"/>
      <c r="D245" s="22"/>
      <c r="E245" s="23"/>
      <c r="F245" s="23"/>
      <c r="G245" s="22"/>
      <c r="H245" s="25"/>
      <c r="I245" s="23"/>
      <c r="J245" s="23"/>
      <c r="K245" s="27" t="str">
        <f aca="false">IF($B245="","",IFERROR(INDEX(Properties!$D$5:$D$104,MATCH($B245,Properties!$A$5:$A$104,0)),"-"))</f>
        <v/>
      </c>
      <c r="L245" s="30" t="str">
        <f aca="false">IF($D245="","",$D245+Settings!$B$16)</f>
        <v/>
      </c>
      <c r="M245" s="31" t="str">
        <f aca="true">IF(OR($L245="",$I245="Claimed",$I245="Paid",$I245="Refused",$I245="Not claiming"),"",$L245-TODAY())</f>
        <v/>
      </c>
      <c r="N245" s="27" t="str">
        <f aca="false">IF($A245="","",IF($G245="","TELL HOST",IF($M245="","",IF($M245&lt;0,"Deadline passed",IF($M245&lt;=3,"Claim soon","")))))</f>
        <v/>
      </c>
    </row>
    <row r="246" customFormat="false" ht="15" hidden="false" customHeight="false" outlineLevel="0" collapsed="false">
      <c r="A246" s="22"/>
      <c r="B246" s="23"/>
      <c r="C246" s="23"/>
      <c r="D246" s="22"/>
      <c r="E246" s="23"/>
      <c r="F246" s="23"/>
      <c r="G246" s="22"/>
      <c r="H246" s="25"/>
      <c r="I246" s="23"/>
      <c r="J246" s="23"/>
      <c r="K246" s="27" t="str">
        <f aca="false">IF($B246="","",IFERROR(INDEX(Properties!$D$5:$D$104,MATCH($B246,Properties!$A$5:$A$104,0)),"-"))</f>
        <v/>
      </c>
      <c r="L246" s="30" t="str">
        <f aca="false">IF($D246="","",$D246+Settings!$B$16)</f>
        <v/>
      </c>
      <c r="M246" s="31" t="str">
        <f aca="true">IF(OR($L246="",$I246="Claimed",$I246="Paid",$I246="Refused",$I246="Not claiming"),"",$L246-TODAY())</f>
        <v/>
      </c>
      <c r="N246" s="27" t="str">
        <f aca="false">IF($A246="","",IF($G246="","TELL HOST",IF($M246="","",IF($M246&lt;0,"Deadline passed",IF($M246&lt;=3,"Claim soon","")))))</f>
        <v/>
      </c>
    </row>
    <row r="247" customFormat="false" ht="15" hidden="false" customHeight="false" outlineLevel="0" collapsed="false">
      <c r="A247" s="22"/>
      <c r="B247" s="23"/>
      <c r="C247" s="23"/>
      <c r="D247" s="22"/>
      <c r="E247" s="23"/>
      <c r="F247" s="23"/>
      <c r="G247" s="22"/>
      <c r="H247" s="25"/>
      <c r="I247" s="23"/>
      <c r="J247" s="23"/>
      <c r="K247" s="27" t="str">
        <f aca="false">IF($B247="","",IFERROR(INDEX(Properties!$D$5:$D$104,MATCH($B247,Properties!$A$5:$A$104,0)),"-"))</f>
        <v/>
      </c>
      <c r="L247" s="30" t="str">
        <f aca="false">IF($D247="","",$D247+Settings!$B$16)</f>
        <v/>
      </c>
      <c r="M247" s="31" t="str">
        <f aca="true">IF(OR($L247="",$I247="Claimed",$I247="Paid",$I247="Refused",$I247="Not claiming"),"",$L247-TODAY())</f>
        <v/>
      </c>
      <c r="N247" s="27" t="str">
        <f aca="false">IF($A247="","",IF($G247="","TELL HOST",IF($M247="","",IF($M247&lt;0,"Deadline passed",IF($M247&lt;=3,"Claim soon","")))))</f>
        <v/>
      </c>
    </row>
    <row r="248" customFormat="false" ht="15" hidden="false" customHeight="false" outlineLevel="0" collapsed="false">
      <c r="A248" s="22"/>
      <c r="B248" s="23"/>
      <c r="C248" s="23"/>
      <c r="D248" s="22"/>
      <c r="E248" s="23"/>
      <c r="F248" s="23"/>
      <c r="G248" s="22"/>
      <c r="H248" s="25"/>
      <c r="I248" s="23"/>
      <c r="J248" s="23"/>
      <c r="K248" s="27" t="str">
        <f aca="false">IF($B248="","",IFERROR(INDEX(Properties!$D$5:$D$104,MATCH($B248,Properties!$A$5:$A$104,0)),"-"))</f>
        <v/>
      </c>
      <c r="L248" s="30" t="str">
        <f aca="false">IF($D248="","",$D248+Settings!$B$16)</f>
        <v/>
      </c>
      <c r="M248" s="31" t="str">
        <f aca="true">IF(OR($L248="",$I248="Claimed",$I248="Paid",$I248="Refused",$I248="Not claiming"),"",$L248-TODAY())</f>
        <v/>
      </c>
      <c r="N248" s="27" t="str">
        <f aca="false">IF($A248="","",IF($G248="","TELL HOST",IF($M248="","",IF($M248&lt;0,"Deadline passed",IF($M248&lt;=3,"Claim soon","")))))</f>
        <v/>
      </c>
    </row>
    <row r="249" customFormat="false" ht="15" hidden="false" customHeight="false" outlineLevel="0" collapsed="false">
      <c r="A249" s="22"/>
      <c r="B249" s="23"/>
      <c r="C249" s="23"/>
      <c r="D249" s="22"/>
      <c r="E249" s="23"/>
      <c r="F249" s="23"/>
      <c r="G249" s="22"/>
      <c r="H249" s="25"/>
      <c r="I249" s="23"/>
      <c r="J249" s="23"/>
      <c r="K249" s="27" t="str">
        <f aca="false">IF($B249="","",IFERROR(INDEX(Properties!$D$5:$D$104,MATCH($B249,Properties!$A$5:$A$104,0)),"-"))</f>
        <v/>
      </c>
      <c r="L249" s="30" t="str">
        <f aca="false">IF($D249="","",$D249+Settings!$B$16)</f>
        <v/>
      </c>
      <c r="M249" s="31" t="str">
        <f aca="true">IF(OR($L249="",$I249="Claimed",$I249="Paid",$I249="Refused",$I249="Not claiming"),"",$L249-TODAY())</f>
        <v/>
      </c>
      <c r="N249" s="27" t="str">
        <f aca="false">IF($A249="","",IF($G249="","TELL HOST",IF($M249="","",IF($M249&lt;0,"Deadline passed",IF($M249&lt;=3,"Claim soon","")))))</f>
        <v/>
      </c>
    </row>
    <row r="250" customFormat="false" ht="15" hidden="false" customHeight="false" outlineLevel="0" collapsed="false">
      <c r="A250" s="22"/>
      <c r="B250" s="23"/>
      <c r="C250" s="23"/>
      <c r="D250" s="22"/>
      <c r="E250" s="23"/>
      <c r="F250" s="23"/>
      <c r="G250" s="22"/>
      <c r="H250" s="25"/>
      <c r="I250" s="23"/>
      <c r="J250" s="23"/>
      <c r="K250" s="27" t="str">
        <f aca="false">IF($B250="","",IFERROR(INDEX(Properties!$D$5:$D$104,MATCH($B250,Properties!$A$5:$A$104,0)),"-"))</f>
        <v/>
      </c>
      <c r="L250" s="30" t="str">
        <f aca="false">IF($D250="","",$D250+Settings!$B$16)</f>
        <v/>
      </c>
      <c r="M250" s="31" t="str">
        <f aca="true">IF(OR($L250="",$I250="Claimed",$I250="Paid",$I250="Refused",$I250="Not claiming"),"",$L250-TODAY())</f>
        <v/>
      </c>
      <c r="N250" s="27" t="str">
        <f aca="false">IF($A250="","",IF($G250="","TELL HOST",IF($M250="","",IF($M250&lt;0,"Deadline passed",IF($M250&lt;=3,"Claim soon","")))))</f>
        <v/>
      </c>
    </row>
    <row r="251" customFormat="false" ht="15" hidden="false" customHeight="false" outlineLevel="0" collapsed="false">
      <c r="A251" s="22"/>
      <c r="B251" s="23"/>
      <c r="C251" s="23"/>
      <c r="D251" s="22"/>
      <c r="E251" s="23"/>
      <c r="F251" s="23"/>
      <c r="G251" s="22"/>
      <c r="H251" s="25"/>
      <c r="I251" s="23"/>
      <c r="J251" s="23"/>
      <c r="K251" s="27" t="str">
        <f aca="false">IF($B251="","",IFERROR(INDEX(Properties!$D$5:$D$104,MATCH($B251,Properties!$A$5:$A$104,0)),"-"))</f>
        <v/>
      </c>
      <c r="L251" s="30" t="str">
        <f aca="false">IF($D251="","",$D251+Settings!$B$16)</f>
        <v/>
      </c>
      <c r="M251" s="31" t="str">
        <f aca="true">IF(OR($L251="",$I251="Claimed",$I251="Paid",$I251="Refused",$I251="Not claiming"),"",$L251-TODAY())</f>
        <v/>
      </c>
      <c r="N251" s="27" t="str">
        <f aca="false">IF($A251="","",IF($G251="","TELL HOST",IF($M251="","",IF($M251&lt;0,"Deadline passed",IF($M251&lt;=3,"Claim soon","")))))</f>
        <v/>
      </c>
    </row>
    <row r="252" customFormat="false" ht="15" hidden="false" customHeight="false" outlineLevel="0" collapsed="false">
      <c r="A252" s="22"/>
      <c r="B252" s="23"/>
      <c r="C252" s="23"/>
      <c r="D252" s="22"/>
      <c r="E252" s="23"/>
      <c r="F252" s="23"/>
      <c r="G252" s="22"/>
      <c r="H252" s="25"/>
      <c r="I252" s="23"/>
      <c r="J252" s="23"/>
      <c r="K252" s="27" t="str">
        <f aca="false">IF($B252="","",IFERROR(INDEX(Properties!$D$5:$D$104,MATCH($B252,Properties!$A$5:$A$104,0)),"-"))</f>
        <v/>
      </c>
      <c r="L252" s="30" t="str">
        <f aca="false">IF($D252="","",$D252+Settings!$B$16)</f>
        <v/>
      </c>
      <c r="M252" s="31" t="str">
        <f aca="true">IF(OR($L252="",$I252="Claimed",$I252="Paid",$I252="Refused",$I252="Not claiming"),"",$L252-TODAY())</f>
        <v/>
      </c>
      <c r="N252" s="27" t="str">
        <f aca="false">IF($A252="","",IF($G252="","TELL HOST",IF($M252="","",IF($M252&lt;0,"Deadline passed",IF($M252&lt;=3,"Claim soon","")))))</f>
        <v/>
      </c>
    </row>
    <row r="253" customFormat="false" ht="15" hidden="false" customHeight="false" outlineLevel="0" collapsed="false">
      <c r="A253" s="22"/>
      <c r="B253" s="23"/>
      <c r="C253" s="23"/>
      <c r="D253" s="22"/>
      <c r="E253" s="23"/>
      <c r="F253" s="23"/>
      <c r="G253" s="22"/>
      <c r="H253" s="25"/>
      <c r="I253" s="23"/>
      <c r="J253" s="23"/>
      <c r="K253" s="27" t="str">
        <f aca="false">IF($B253="","",IFERROR(INDEX(Properties!$D$5:$D$104,MATCH($B253,Properties!$A$5:$A$104,0)),"-"))</f>
        <v/>
      </c>
      <c r="L253" s="30" t="str">
        <f aca="false">IF($D253="","",$D253+Settings!$B$16)</f>
        <v/>
      </c>
      <c r="M253" s="31" t="str">
        <f aca="true">IF(OR($L253="",$I253="Claimed",$I253="Paid",$I253="Refused",$I253="Not claiming"),"",$L253-TODAY())</f>
        <v/>
      </c>
      <c r="N253" s="27" t="str">
        <f aca="false">IF($A253="","",IF($G253="","TELL HOST",IF($M253="","",IF($M253&lt;0,"Deadline passed",IF($M253&lt;=3,"Claim soon","")))))</f>
        <v/>
      </c>
    </row>
    <row r="254" customFormat="false" ht="15" hidden="false" customHeight="false" outlineLevel="0" collapsed="false">
      <c r="A254" s="22"/>
      <c r="B254" s="23"/>
      <c r="C254" s="23"/>
      <c r="D254" s="22"/>
      <c r="E254" s="23"/>
      <c r="F254" s="23"/>
      <c r="G254" s="22"/>
      <c r="H254" s="25"/>
      <c r="I254" s="23"/>
      <c r="J254" s="23"/>
      <c r="K254" s="27" t="str">
        <f aca="false">IF($B254="","",IFERROR(INDEX(Properties!$D$5:$D$104,MATCH($B254,Properties!$A$5:$A$104,0)),"-"))</f>
        <v/>
      </c>
      <c r="L254" s="30" t="str">
        <f aca="false">IF($D254="","",$D254+Settings!$B$16)</f>
        <v/>
      </c>
      <c r="M254" s="31" t="str">
        <f aca="true">IF(OR($L254="",$I254="Claimed",$I254="Paid",$I254="Refused",$I254="Not claiming"),"",$L254-TODAY())</f>
        <v/>
      </c>
      <c r="N254" s="27" t="str">
        <f aca="false">IF($A254="","",IF($G254="","TELL HOST",IF($M254="","",IF($M254&lt;0,"Deadline passed",IF($M254&lt;=3,"Claim soon","")))))</f>
        <v/>
      </c>
    </row>
    <row r="255" customFormat="false" ht="15" hidden="false" customHeight="false" outlineLevel="0" collapsed="false">
      <c r="A255" s="22"/>
      <c r="B255" s="23"/>
      <c r="C255" s="23"/>
      <c r="D255" s="22"/>
      <c r="E255" s="23"/>
      <c r="F255" s="23"/>
      <c r="G255" s="22"/>
      <c r="H255" s="25"/>
      <c r="I255" s="23"/>
      <c r="J255" s="23"/>
      <c r="K255" s="27" t="str">
        <f aca="false">IF($B255="","",IFERROR(INDEX(Properties!$D$5:$D$104,MATCH($B255,Properties!$A$5:$A$104,0)),"-"))</f>
        <v/>
      </c>
      <c r="L255" s="30" t="str">
        <f aca="false">IF($D255="","",$D255+Settings!$B$16)</f>
        <v/>
      </c>
      <c r="M255" s="31" t="str">
        <f aca="true">IF(OR($L255="",$I255="Claimed",$I255="Paid",$I255="Refused",$I255="Not claiming"),"",$L255-TODAY())</f>
        <v/>
      </c>
      <c r="N255" s="27" t="str">
        <f aca="false">IF($A255="","",IF($G255="","TELL HOST",IF($M255="","",IF($M255&lt;0,"Deadline passed",IF($M255&lt;=3,"Claim soon","")))))</f>
        <v/>
      </c>
    </row>
    <row r="256" customFormat="false" ht="15" hidden="false" customHeight="false" outlineLevel="0" collapsed="false">
      <c r="A256" s="22"/>
      <c r="B256" s="23"/>
      <c r="C256" s="23"/>
      <c r="D256" s="22"/>
      <c r="E256" s="23"/>
      <c r="F256" s="23"/>
      <c r="G256" s="22"/>
      <c r="H256" s="25"/>
      <c r="I256" s="23"/>
      <c r="J256" s="23"/>
      <c r="K256" s="27" t="str">
        <f aca="false">IF($B256="","",IFERROR(INDEX(Properties!$D$5:$D$104,MATCH($B256,Properties!$A$5:$A$104,0)),"-"))</f>
        <v/>
      </c>
      <c r="L256" s="30" t="str">
        <f aca="false">IF($D256="","",$D256+Settings!$B$16)</f>
        <v/>
      </c>
      <c r="M256" s="31" t="str">
        <f aca="true">IF(OR($L256="",$I256="Claimed",$I256="Paid",$I256="Refused",$I256="Not claiming"),"",$L256-TODAY())</f>
        <v/>
      </c>
      <c r="N256" s="27" t="str">
        <f aca="false">IF($A256="","",IF($G256="","TELL HOST",IF($M256="","",IF($M256&lt;0,"Deadline passed",IF($M256&lt;=3,"Claim soon","")))))</f>
        <v/>
      </c>
    </row>
    <row r="257" customFormat="false" ht="15" hidden="false" customHeight="false" outlineLevel="0" collapsed="false">
      <c r="A257" s="22"/>
      <c r="B257" s="23"/>
      <c r="C257" s="23"/>
      <c r="D257" s="22"/>
      <c r="E257" s="23"/>
      <c r="F257" s="23"/>
      <c r="G257" s="22"/>
      <c r="H257" s="25"/>
      <c r="I257" s="23"/>
      <c r="J257" s="23"/>
      <c r="K257" s="27" t="str">
        <f aca="false">IF($B257="","",IFERROR(INDEX(Properties!$D$5:$D$104,MATCH($B257,Properties!$A$5:$A$104,0)),"-"))</f>
        <v/>
      </c>
      <c r="L257" s="30" t="str">
        <f aca="false">IF($D257="","",$D257+Settings!$B$16)</f>
        <v/>
      </c>
      <c r="M257" s="31" t="str">
        <f aca="true">IF(OR($L257="",$I257="Claimed",$I257="Paid",$I257="Refused",$I257="Not claiming"),"",$L257-TODAY())</f>
        <v/>
      </c>
      <c r="N257" s="27" t="str">
        <f aca="false">IF($A257="","",IF($G257="","TELL HOST",IF($M257="","",IF($M257&lt;0,"Deadline passed",IF($M257&lt;=3,"Claim soon","")))))</f>
        <v/>
      </c>
    </row>
    <row r="258" customFormat="false" ht="15" hidden="false" customHeight="false" outlineLevel="0" collapsed="false">
      <c r="A258" s="22"/>
      <c r="B258" s="23"/>
      <c r="C258" s="23"/>
      <c r="D258" s="22"/>
      <c r="E258" s="23"/>
      <c r="F258" s="23"/>
      <c r="G258" s="22"/>
      <c r="H258" s="25"/>
      <c r="I258" s="23"/>
      <c r="J258" s="23"/>
      <c r="K258" s="27" t="str">
        <f aca="false">IF($B258="","",IFERROR(INDEX(Properties!$D$5:$D$104,MATCH($B258,Properties!$A$5:$A$104,0)),"-"))</f>
        <v/>
      </c>
      <c r="L258" s="30" t="str">
        <f aca="false">IF($D258="","",$D258+Settings!$B$16)</f>
        <v/>
      </c>
      <c r="M258" s="31" t="str">
        <f aca="true">IF(OR($L258="",$I258="Claimed",$I258="Paid",$I258="Refused",$I258="Not claiming"),"",$L258-TODAY())</f>
        <v/>
      </c>
      <c r="N258" s="27" t="str">
        <f aca="false">IF($A258="","",IF($G258="","TELL HOST",IF($M258="","",IF($M258&lt;0,"Deadline passed",IF($M258&lt;=3,"Claim soon","")))))</f>
        <v/>
      </c>
    </row>
    <row r="259" customFormat="false" ht="15" hidden="false" customHeight="false" outlineLevel="0" collapsed="false">
      <c r="A259" s="22"/>
      <c r="B259" s="23"/>
      <c r="C259" s="23"/>
      <c r="D259" s="22"/>
      <c r="E259" s="23"/>
      <c r="F259" s="23"/>
      <c r="G259" s="22"/>
      <c r="H259" s="25"/>
      <c r="I259" s="23"/>
      <c r="J259" s="23"/>
      <c r="K259" s="27" t="str">
        <f aca="false">IF($B259="","",IFERROR(INDEX(Properties!$D$5:$D$104,MATCH($B259,Properties!$A$5:$A$104,0)),"-"))</f>
        <v/>
      </c>
      <c r="L259" s="30" t="str">
        <f aca="false">IF($D259="","",$D259+Settings!$B$16)</f>
        <v/>
      </c>
      <c r="M259" s="31" t="str">
        <f aca="true">IF(OR($L259="",$I259="Claimed",$I259="Paid",$I259="Refused",$I259="Not claiming"),"",$L259-TODAY())</f>
        <v/>
      </c>
      <c r="N259" s="27" t="str">
        <f aca="false">IF($A259="","",IF($G259="","TELL HOST",IF($M259="","",IF($M259&lt;0,"Deadline passed",IF($M259&lt;=3,"Claim soon","")))))</f>
        <v/>
      </c>
    </row>
    <row r="260" customFormat="false" ht="15" hidden="false" customHeight="false" outlineLevel="0" collapsed="false">
      <c r="A260" s="22"/>
      <c r="B260" s="23"/>
      <c r="C260" s="23"/>
      <c r="D260" s="22"/>
      <c r="E260" s="23"/>
      <c r="F260" s="23"/>
      <c r="G260" s="22"/>
      <c r="H260" s="25"/>
      <c r="I260" s="23"/>
      <c r="J260" s="23"/>
      <c r="K260" s="27" t="str">
        <f aca="false">IF($B260="","",IFERROR(INDEX(Properties!$D$5:$D$104,MATCH($B260,Properties!$A$5:$A$104,0)),"-"))</f>
        <v/>
      </c>
      <c r="L260" s="30" t="str">
        <f aca="false">IF($D260="","",$D260+Settings!$B$16)</f>
        <v/>
      </c>
      <c r="M260" s="31" t="str">
        <f aca="true">IF(OR($L260="",$I260="Claimed",$I260="Paid",$I260="Refused",$I260="Not claiming"),"",$L260-TODAY())</f>
        <v/>
      </c>
      <c r="N260" s="27" t="str">
        <f aca="false">IF($A260="","",IF($G260="","TELL HOST",IF($M260="","",IF($M260&lt;0,"Deadline passed",IF($M260&lt;=3,"Claim soon","")))))</f>
        <v/>
      </c>
    </row>
    <row r="261" customFormat="false" ht="15" hidden="false" customHeight="false" outlineLevel="0" collapsed="false">
      <c r="A261" s="22"/>
      <c r="B261" s="23"/>
      <c r="C261" s="23"/>
      <c r="D261" s="22"/>
      <c r="E261" s="23"/>
      <c r="F261" s="23"/>
      <c r="G261" s="22"/>
      <c r="H261" s="25"/>
      <c r="I261" s="23"/>
      <c r="J261" s="23"/>
      <c r="K261" s="27" t="str">
        <f aca="false">IF($B261="","",IFERROR(INDEX(Properties!$D$5:$D$104,MATCH($B261,Properties!$A$5:$A$104,0)),"-"))</f>
        <v/>
      </c>
      <c r="L261" s="30" t="str">
        <f aca="false">IF($D261="","",$D261+Settings!$B$16)</f>
        <v/>
      </c>
      <c r="M261" s="31" t="str">
        <f aca="true">IF(OR($L261="",$I261="Claimed",$I261="Paid",$I261="Refused",$I261="Not claiming"),"",$L261-TODAY())</f>
        <v/>
      </c>
      <c r="N261" s="27" t="str">
        <f aca="false">IF($A261="","",IF($G261="","TELL HOST",IF($M261="","",IF($M261&lt;0,"Deadline passed",IF($M261&lt;=3,"Claim soon","")))))</f>
        <v/>
      </c>
    </row>
    <row r="262" customFormat="false" ht="15" hidden="false" customHeight="false" outlineLevel="0" collapsed="false">
      <c r="A262" s="22"/>
      <c r="B262" s="23"/>
      <c r="C262" s="23"/>
      <c r="D262" s="22"/>
      <c r="E262" s="23"/>
      <c r="F262" s="23"/>
      <c r="G262" s="22"/>
      <c r="H262" s="25"/>
      <c r="I262" s="23"/>
      <c r="J262" s="23"/>
      <c r="K262" s="27" t="str">
        <f aca="false">IF($B262="","",IFERROR(INDEX(Properties!$D$5:$D$104,MATCH($B262,Properties!$A$5:$A$104,0)),"-"))</f>
        <v/>
      </c>
      <c r="L262" s="30" t="str">
        <f aca="false">IF($D262="","",$D262+Settings!$B$16)</f>
        <v/>
      </c>
      <c r="M262" s="31" t="str">
        <f aca="true">IF(OR($L262="",$I262="Claimed",$I262="Paid",$I262="Refused",$I262="Not claiming"),"",$L262-TODAY())</f>
        <v/>
      </c>
      <c r="N262" s="27" t="str">
        <f aca="false">IF($A262="","",IF($G262="","TELL HOST",IF($M262="","",IF($M262&lt;0,"Deadline passed",IF($M262&lt;=3,"Claim soon","")))))</f>
        <v/>
      </c>
    </row>
    <row r="263" customFormat="false" ht="15" hidden="false" customHeight="false" outlineLevel="0" collapsed="false">
      <c r="A263" s="22"/>
      <c r="B263" s="23"/>
      <c r="C263" s="23"/>
      <c r="D263" s="22"/>
      <c r="E263" s="23"/>
      <c r="F263" s="23"/>
      <c r="G263" s="22"/>
      <c r="H263" s="25"/>
      <c r="I263" s="23"/>
      <c r="J263" s="23"/>
      <c r="K263" s="27" t="str">
        <f aca="false">IF($B263="","",IFERROR(INDEX(Properties!$D$5:$D$104,MATCH($B263,Properties!$A$5:$A$104,0)),"-"))</f>
        <v/>
      </c>
      <c r="L263" s="30" t="str">
        <f aca="false">IF($D263="","",$D263+Settings!$B$16)</f>
        <v/>
      </c>
      <c r="M263" s="31" t="str">
        <f aca="true">IF(OR($L263="",$I263="Claimed",$I263="Paid",$I263="Refused",$I263="Not claiming"),"",$L263-TODAY())</f>
        <v/>
      </c>
      <c r="N263" s="27" t="str">
        <f aca="false">IF($A263="","",IF($G263="","TELL HOST",IF($M263="","",IF($M263&lt;0,"Deadline passed",IF($M263&lt;=3,"Claim soon","")))))</f>
        <v/>
      </c>
    </row>
    <row r="264" customFormat="false" ht="15" hidden="false" customHeight="false" outlineLevel="0" collapsed="false">
      <c r="A264" s="22"/>
      <c r="B264" s="23"/>
      <c r="C264" s="23"/>
      <c r="D264" s="22"/>
      <c r="E264" s="23"/>
      <c r="F264" s="23"/>
      <c r="G264" s="22"/>
      <c r="H264" s="25"/>
      <c r="I264" s="23"/>
      <c r="J264" s="23"/>
      <c r="K264" s="27" t="str">
        <f aca="false">IF($B264="","",IFERROR(INDEX(Properties!$D$5:$D$104,MATCH($B264,Properties!$A$5:$A$104,0)),"-"))</f>
        <v/>
      </c>
      <c r="L264" s="30" t="str">
        <f aca="false">IF($D264="","",$D264+Settings!$B$16)</f>
        <v/>
      </c>
      <c r="M264" s="31" t="str">
        <f aca="true">IF(OR($L264="",$I264="Claimed",$I264="Paid",$I264="Refused",$I264="Not claiming"),"",$L264-TODAY())</f>
        <v/>
      </c>
      <c r="N264" s="27" t="str">
        <f aca="false">IF($A264="","",IF($G264="","TELL HOST",IF($M264="","",IF($M264&lt;0,"Deadline passed",IF($M264&lt;=3,"Claim soon","")))))</f>
        <v/>
      </c>
    </row>
    <row r="265" customFormat="false" ht="15" hidden="false" customHeight="false" outlineLevel="0" collapsed="false">
      <c r="A265" s="22"/>
      <c r="B265" s="23"/>
      <c r="C265" s="23"/>
      <c r="D265" s="22"/>
      <c r="E265" s="23"/>
      <c r="F265" s="23"/>
      <c r="G265" s="22"/>
      <c r="H265" s="25"/>
      <c r="I265" s="23"/>
      <c r="J265" s="23"/>
      <c r="K265" s="27" t="str">
        <f aca="false">IF($B265="","",IFERROR(INDEX(Properties!$D$5:$D$104,MATCH($B265,Properties!$A$5:$A$104,0)),"-"))</f>
        <v/>
      </c>
      <c r="L265" s="30" t="str">
        <f aca="false">IF($D265="","",$D265+Settings!$B$16)</f>
        <v/>
      </c>
      <c r="M265" s="31" t="str">
        <f aca="true">IF(OR($L265="",$I265="Claimed",$I265="Paid",$I265="Refused",$I265="Not claiming"),"",$L265-TODAY())</f>
        <v/>
      </c>
      <c r="N265" s="27" t="str">
        <f aca="false">IF($A265="","",IF($G265="","TELL HOST",IF($M265="","",IF($M265&lt;0,"Deadline passed",IF($M265&lt;=3,"Claim soon","")))))</f>
        <v/>
      </c>
    </row>
    <row r="266" customFormat="false" ht="15" hidden="false" customHeight="false" outlineLevel="0" collapsed="false">
      <c r="A266" s="22"/>
      <c r="B266" s="23"/>
      <c r="C266" s="23"/>
      <c r="D266" s="22"/>
      <c r="E266" s="23"/>
      <c r="F266" s="23"/>
      <c r="G266" s="22"/>
      <c r="H266" s="25"/>
      <c r="I266" s="23"/>
      <c r="J266" s="23"/>
      <c r="K266" s="27" t="str">
        <f aca="false">IF($B266="","",IFERROR(INDEX(Properties!$D$5:$D$104,MATCH($B266,Properties!$A$5:$A$104,0)),"-"))</f>
        <v/>
      </c>
      <c r="L266" s="30" t="str">
        <f aca="false">IF($D266="","",$D266+Settings!$B$16)</f>
        <v/>
      </c>
      <c r="M266" s="31" t="str">
        <f aca="true">IF(OR($L266="",$I266="Claimed",$I266="Paid",$I266="Refused",$I266="Not claiming"),"",$L266-TODAY())</f>
        <v/>
      </c>
      <c r="N266" s="27" t="str">
        <f aca="false">IF($A266="","",IF($G266="","TELL HOST",IF($M266="","",IF($M266&lt;0,"Deadline passed",IF($M266&lt;=3,"Claim soon","")))))</f>
        <v/>
      </c>
    </row>
    <row r="267" customFormat="false" ht="15" hidden="false" customHeight="false" outlineLevel="0" collapsed="false">
      <c r="A267" s="22"/>
      <c r="B267" s="23"/>
      <c r="C267" s="23"/>
      <c r="D267" s="22"/>
      <c r="E267" s="23"/>
      <c r="F267" s="23"/>
      <c r="G267" s="22"/>
      <c r="H267" s="25"/>
      <c r="I267" s="23"/>
      <c r="J267" s="23"/>
      <c r="K267" s="27" t="str">
        <f aca="false">IF($B267="","",IFERROR(INDEX(Properties!$D$5:$D$104,MATCH($B267,Properties!$A$5:$A$104,0)),"-"))</f>
        <v/>
      </c>
      <c r="L267" s="30" t="str">
        <f aca="false">IF($D267="","",$D267+Settings!$B$16)</f>
        <v/>
      </c>
      <c r="M267" s="31" t="str">
        <f aca="true">IF(OR($L267="",$I267="Claimed",$I267="Paid",$I267="Refused",$I267="Not claiming"),"",$L267-TODAY())</f>
        <v/>
      </c>
      <c r="N267" s="27" t="str">
        <f aca="false">IF($A267="","",IF($G267="","TELL HOST",IF($M267="","",IF($M267&lt;0,"Deadline passed",IF($M267&lt;=3,"Claim soon","")))))</f>
        <v/>
      </c>
    </row>
    <row r="268" customFormat="false" ht="15" hidden="false" customHeight="false" outlineLevel="0" collapsed="false">
      <c r="A268" s="22"/>
      <c r="B268" s="23"/>
      <c r="C268" s="23"/>
      <c r="D268" s="22"/>
      <c r="E268" s="23"/>
      <c r="F268" s="23"/>
      <c r="G268" s="22"/>
      <c r="H268" s="25"/>
      <c r="I268" s="23"/>
      <c r="J268" s="23"/>
      <c r="K268" s="27" t="str">
        <f aca="false">IF($B268="","",IFERROR(INDEX(Properties!$D$5:$D$104,MATCH($B268,Properties!$A$5:$A$104,0)),"-"))</f>
        <v/>
      </c>
      <c r="L268" s="30" t="str">
        <f aca="false">IF($D268="","",$D268+Settings!$B$16)</f>
        <v/>
      </c>
      <c r="M268" s="31" t="str">
        <f aca="true">IF(OR($L268="",$I268="Claimed",$I268="Paid",$I268="Refused",$I268="Not claiming"),"",$L268-TODAY())</f>
        <v/>
      </c>
      <c r="N268" s="27" t="str">
        <f aca="false">IF($A268="","",IF($G268="","TELL HOST",IF($M268="","",IF($M268&lt;0,"Deadline passed",IF($M268&lt;=3,"Claim soon","")))))</f>
        <v/>
      </c>
    </row>
    <row r="269" customFormat="false" ht="15" hidden="false" customHeight="false" outlineLevel="0" collapsed="false">
      <c r="A269" s="22"/>
      <c r="B269" s="23"/>
      <c r="C269" s="23"/>
      <c r="D269" s="22"/>
      <c r="E269" s="23"/>
      <c r="F269" s="23"/>
      <c r="G269" s="22"/>
      <c r="H269" s="25"/>
      <c r="I269" s="23"/>
      <c r="J269" s="23"/>
      <c r="K269" s="27" t="str">
        <f aca="false">IF($B269="","",IFERROR(INDEX(Properties!$D$5:$D$104,MATCH($B269,Properties!$A$5:$A$104,0)),"-"))</f>
        <v/>
      </c>
      <c r="L269" s="30" t="str">
        <f aca="false">IF($D269="","",$D269+Settings!$B$16)</f>
        <v/>
      </c>
      <c r="M269" s="31" t="str">
        <f aca="true">IF(OR($L269="",$I269="Claimed",$I269="Paid",$I269="Refused",$I269="Not claiming"),"",$L269-TODAY())</f>
        <v/>
      </c>
      <c r="N269" s="27" t="str">
        <f aca="false">IF($A269="","",IF($G269="","TELL HOST",IF($M269="","",IF($M269&lt;0,"Deadline passed",IF($M269&lt;=3,"Claim soon","")))))</f>
        <v/>
      </c>
    </row>
    <row r="270" customFormat="false" ht="15" hidden="false" customHeight="false" outlineLevel="0" collapsed="false">
      <c r="A270" s="22"/>
      <c r="B270" s="23"/>
      <c r="C270" s="23"/>
      <c r="D270" s="22"/>
      <c r="E270" s="23"/>
      <c r="F270" s="23"/>
      <c r="G270" s="22"/>
      <c r="H270" s="25"/>
      <c r="I270" s="23"/>
      <c r="J270" s="23"/>
      <c r="K270" s="27" t="str">
        <f aca="false">IF($B270="","",IFERROR(INDEX(Properties!$D$5:$D$104,MATCH($B270,Properties!$A$5:$A$104,0)),"-"))</f>
        <v/>
      </c>
      <c r="L270" s="30" t="str">
        <f aca="false">IF($D270="","",$D270+Settings!$B$16)</f>
        <v/>
      </c>
      <c r="M270" s="31" t="str">
        <f aca="true">IF(OR($L270="",$I270="Claimed",$I270="Paid",$I270="Refused",$I270="Not claiming"),"",$L270-TODAY())</f>
        <v/>
      </c>
      <c r="N270" s="27" t="str">
        <f aca="false">IF($A270="","",IF($G270="","TELL HOST",IF($M270="","",IF($M270&lt;0,"Deadline passed",IF($M270&lt;=3,"Claim soon","")))))</f>
        <v/>
      </c>
    </row>
    <row r="271" customFormat="false" ht="15" hidden="false" customHeight="false" outlineLevel="0" collapsed="false">
      <c r="A271" s="22"/>
      <c r="B271" s="23"/>
      <c r="C271" s="23"/>
      <c r="D271" s="22"/>
      <c r="E271" s="23"/>
      <c r="F271" s="23"/>
      <c r="G271" s="22"/>
      <c r="H271" s="25"/>
      <c r="I271" s="23"/>
      <c r="J271" s="23"/>
      <c r="K271" s="27" t="str">
        <f aca="false">IF($B271="","",IFERROR(INDEX(Properties!$D$5:$D$104,MATCH($B271,Properties!$A$5:$A$104,0)),"-"))</f>
        <v/>
      </c>
      <c r="L271" s="30" t="str">
        <f aca="false">IF($D271="","",$D271+Settings!$B$16)</f>
        <v/>
      </c>
      <c r="M271" s="31" t="str">
        <f aca="true">IF(OR($L271="",$I271="Claimed",$I271="Paid",$I271="Refused",$I271="Not claiming"),"",$L271-TODAY())</f>
        <v/>
      </c>
      <c r="N271" s="27" t="str">
        <f aca="false">IF($A271="","",IF($G271="","TELL HOST",IF($M271="","",IF($M271&lt;0,"Deadline passed",IF($M271&lt;=3,"Claim soon","")))))</f>
        <v/>
      </c>
    </row>
    <row r="272" customFormat="false" ht="15" hidden="false" customHeight="false" outlineLevel="0" collapsed="false">
      <c r="A272" s="22"/>
      <c r="B272" s="23"/>
      <c r="C272" s="23"/>
      <c r="D272" s="22"/>
      <c r="E272" s="23"/>
      <c r="F272" s="23"/>
      <c r="G272" s="22"/>
      <c r="H272" s="25"/>
      <c r="I272" s="23"/>
      <c r="J272" s="23"/>
      <c r="K272" s="27" t="str">
        <f aca="false">IF($B272="","",IFERROR(INDEX(Properties!$D$5:$D$104,MATCH($B272,Properties!$A$5:$A$104,0)),"-"))</f>
        <v/>
      </c>
      <c r="L272" s="30" t="str">
        <f aca="false">IF($D272="","",$D272+Settings!$B$16)</f>
        <v/>
      </c>
      <c r="M272" s="31" t="str">
        <f aca="true">IF(OR($L272="",$I272="Claimed",$I272="Paid",$I272="Refused",$I272="Not claiming"),"",$L272-TODAY())</f>
        <v/>
      </c>
      <c r="N272" s="27" t="str">
        <f aca="false">IF($A272="","",IF($G272="","TELL HOST",IF($M272="","",IF($M272&lt;0,"Deadline passed",IF($M272&lt;=3,"Claim soon","")))))</f>
        <v/>
      </c>
    </row>
    <row r="273" customFormat="false" ht="15" hidden="false" customHeight="false" outlineLevel="0" collapsed="false">
      <c r="A273" s="22"/>
      <c r="B273" s="23"/>
      <c r="C273" s="23"/>
      <c r="D273" s="22"/>
      <c r="E273" s="23"/>
      <c r="F273" s="23"/>
      <c r="G273" s="22"/>
      <c r="H273" s="25"/>
      <c r="I273" s="23"/>
      <c r="J273" s="23"/>
      <c r="K273" s="27" t="str">
        <f aca="false">IF($B273="","",IFERROR(INDEX(Properties!$D$5:$D$104,MATCH($B273,Properties!$A$5:$A$104,0)),"-"))</f>
        <v/>
      </c>
      <c r="L273" s="30" t="str">
        <f aca="false">IF($D273="","",$D273+Settings!$B$16)</f>
        <v/>
      </c>
      <c r="M273" s="31" t="str">
        <f aca="true">IF(OR($L273="",$I273="Claimed",$I273="Paid",$I273="Refused",$I273="Not claiming"),"",$L273-TODAY())</f>
        <v/>
      </c>
      <c r="N273" s="27" t="str">
        <f aca="false">IF($A273="","",IF($G273="","TELL HOST",IF($M273="","",IF($M273&lt;0,"Deadline passed",IF($M273&lt;=3,"Claim soon","")))))</f>
        <v/>
      </c>
    </row>
    <row r="274" customFormat="false" ht="15" hidden="false" customHeight="false" outlineLevel="0" collapsed="false">
      <c r="A274" s="22"/>
      <c r="B274" s="23"/>
      <c r="C274" s="23"/>
      <c r="D274" s="22"/>
      <c r="E274" s="23"/>
      <c r="F274" s="23"/>
      <c r="G274" s="22"/>
      <c r="H274" s="25"/>
      <c r="I274" s="23"/>
      <c r="J274" s="23"/>
      <c r="K274" s="27" t="str">
        <f aca="false">IF($B274="","",IFERROR(INDEX(Properties!$D$5:$D$104,MATCH($B274,Properties!$A$5:$A$104,0)),"-"))</f>
        <v/>
      </c>
      <c r="L274" s="30" t="str">
        <f aca="false">IF($D274="","",$D274+Settings!$B$16)</f>
        <v/>
      </c>
      <c r="M274" s="31" t="str">
        <f aca="true">IF(OR($L274="",$I274="Claimed",$I274="Paid",$I274="Refused",$I274="Not claiming"),"",$L274-TODAY())</f>
        <v/>
      </c>
      <c r="N274" s="27" t="str">
        <f aca="false">IF($A274="","",IF($G274="","TELL HOST",IF($M274="","",IF($M274&lt;0,"Deadline passed",IF($M274&lt;=3,"Claim soon","")))))</f>
        <v/>
      </c>
    </row>
    <row r="275" customFormat="false" ht="15" hidden="false" customHeight="false" outlineLevel="0" collapsed="false">
      <c r="A275" s="22"/>
      <c r="B275" s="23"/>
      <c r="C275" s="23"/>
      <c r="D275" s="22"/>
      <c r="E275" s="23"/>
      <c r="F275" s="23"/>
      <c r="G275" s="22"/>
      <c r="H275" s="25"/>
      <c r="I275" s="23"/>
      <c r="J275" s="23"/>
      <c r="K275" s="27" t="str">
        <f aca="false">IF($B275="","",IFERROR(INDEX(Properties!$D$5:$D$104,MATCH($B275,Properties!$A$5:$A$104,0)),"-"))</f>
        <v/>
      </c>
      <c r="L275" s="30" t="str">
        <f aca="false">IF($D275="","",$D275+Settings!$B$16)</f>
        <v/>
      </c>
      <c r="M275" s="31" t="str">
        <f aca="true">IF(OR($L275="",$I275="Claimed",$I275="Paid",$I275="Refused",$I275="Not claiming"),"",$L275-TODAY())</f>
        <v/>
      </c>
      <c r="N275" s="27" t="str">
        <f aca="false">IF($A275="","",IF($G275="","TELL HOST",IF($M275="","",IF($M275&lt;0,"Deadline passed",IF($M275&lt;=3,"Claim soon","")))))</f>
        <v/>
      </c>
    </row>
    <row r="276" customFormat="false" ht="15" hidden="false" customHeight="false" outlineLevel="0" collapsed="false">
      <c r="A276" s="22"/>
      <c r="B276" s="23"/>
      <c r="C276" s="23"/>
      <c r="D276" s="22"/>
      <c r="E276" s="23"/>
      <c r="F276" s="23"/>
      <c r="G276" s="22"/>
      <c r="H276" s="25"/>
      <c r="I276" s="23"/>
      <c r="J276" s="23"/>
      <c r="K276" s="27" t="str">
        <f aca="false">IF($B276="","",IFERROR(INDEX(Properties!$D$5:$D$104,MATCH($B276,Properties!$A$5:$A$104,0)),"-"))</f>
        <v/>
      </c>
      <c r="L276" s="30" t="str">
        <f aca="false">IF($D276="","",$D276+Settings!$B$16)</f>
        <v/>
      </c>
      <c r="M276" s="31" t="str">
        <f aca="true">IF(OR($L276="",$I276="Claimed",$I276="Paid",$I276="Refused",$I276="Not claiming"),"",$L276-TODAY())</f>
        <v/>
      </c>
      <c r="N276" s="27" t="str">
        <f aca="false">IF($A276="","",IF($G276="","TELL HOST",IF($M276="","",IF($M276&lt;0,"Deadline passed",IF($M276&lt;=3,"Claim soon","")))))</f>
        <v/>
      </c>
    </row>
    <row r="277" customFormat="false" ht="15" hidden="false" customHeight="false" outlineLevel="0" collapsed="false">
      <c r="A277" s="22"/>
      <c r="B277" s="23"/>
      <c r="C277" s="23"/>
      <c r="D277" s="22"/>
      <c r="E277" s="23"/>
      <c r="F277" s="23"/>
      <c r="G277" s="22"/>
      <c r="H277" s="25"/>
      <c r="I277" s="23"/>
      <c r="J277" s="23"/>
      <c r="K277" s="27" t="str">
        <f aca="false">IF($B277="","",IFERROR(INDEX(Properties!$D$5:$D$104,MATCH($B277,Properties!$A$5:$A$104,0)),"-"))</f>
        <v/>
      </c>
      <c r="L277" s="30" t="str">
        <f aca="false">IF($D277="","",$D277+Settings!$B$16)</f>
        <v/>
      </c>
      <c r="M277" s="31" t="str">
        <f aca="true">IF(OR($L277="",$I277="Claimed",$I277="Paid",$I277="Refused",$I277="Not claiming"),"",$L277-TODAY())</f>
        <v/>
      </c>
      <c r="N277" s="27" t="str">
        <f aca="false">IF($A277="","",IF($G277="","TELL HOST",IF($M277="","",IF($M277&lt;0,"Deadline passed",IF($M277&lt;=3,"Claim soon","")))))</f>
        <v/>
      </c>
    </row>
    <row r="278" customFormat="false" ht="15" hidden="false" customHeight="false" outlineLevel="0" collapsed="false">
      <c r="A278" s="22"/>
      <c r="B278" s="23"/>
      <c r="C278" s="23"/>
      <c r="D278" s="22"/>
      <c r="E278" s="23"/>
      <c r="F278" s="23"/>
      <c r="G278" s="22"/>
      <c r="H278" s="25"/>
      <c r="I278" s="23"/>
      <c r="J278" s="23"/>
      <c r="K278" s="27" t="str">
        <f aca="false">IF($B278="","",IFERROR(INDEX(Properties!$D$5:$D$104,MATCH($B278,Properties!$A$5:$A$104,0)),"-"))</f>
        <v/>
      </c>
      <c r="L278" s="30" t="str">
        <f aca="false">IF($D278="","",$D278+Settings!$B$16)</f>
        <v/>
      </c>
      <c r="M278" s="31" t="str">
        <f aca="true">IF(OR($L278="",$I278="Claimed",$I278="Paid",$I278="Refused",$I278="Not claiming"),"",$L278-TODAY())</f>
        <v/>
      </c>
      <c r="N278" s="27" t="str">
        <f aca="false">IF($A278="","",IF($G278="","TELL HOST",IF($M278="","",IF($M278&lt;0,"Deadline passed",IF($M278&lt;=3,"Claim soon","")))))</f>
        <v/>
      </c>
    </row>
    <row r="279" customFormat="false" ht="15" hidden="false" customHeight="false" outlineLevel="0" collapsed="false">
      <c r="A279" s="22"/>
      <c r="B279" s="23"/>
      <c r="C279" s="23"/>
      <c r="D279" s="22"/>
      <c r="E279" s="23"/>
      <c r="F279" s="23"/>
      <c r="G279" s="22"/>
      <c r="H279" s="25"/>
      <c r="I279" s="23"/>
      <c r="J279" s="23"/>
      <c r="K279" s="27" t="str">
        <f aca="false">IF($B279="","",IFERROR(INDEX(Properties!$D$5:$D$104,MATCH($B279,Properties!$A$5:$A$104,0)),"-"))</f>
        <v/>
      </c>
      <c r="L279" s="30" t="str">
        <f aca="false">IF($D279="","",$D279+Settings!$B$16)</f>
        <v/>
      </c>
      <c r="M279" s="31" t="str">
        <f aca="true">IF(OR($L279="",$I279="Claimed",$I279="Paid",$I279="Refused",$I279="Not claiming"),"",$L279-TODAY())</f>
        <v/>
      </c>
      <c r="N279" s="27" t="str">
        <f aca="false">IF($A279="","",IF($G279="","TELL HOST",IF($M279="","",IF($M279&lt;0,"Deadline passed",IF($M279&lt;=3,"Claim soon","")))))</f>
        <v/>
      </c>
    </row>
    <row r="280" customFormat="false" ht="15" hidden="false" customHeight="false" outlineLevel="0" collapsed="false">
      <c r="A280" s="22"/>
      <c r="B280" s="23"/>
      <c r="C280" s="23"/>
      <c r="D280" s="22"/>
      <c r="E280" s="23"/>
      <c r="F280" s="23"/>
      <c r="G280" s="22"/>
      <c r="H280" s="25"/>
      <c r="I280" s="23"/>
      <c r="J280" s="23"/>
      <c r="K280" s="27" t="str">
        <f aca="false">IF($B280="","",IFERROR(INDEX(Properties!$D$5:$D$104,MATCH($B280,Properties!$A$5:$A$104,0)),"-"))</f>
        <v/>
      </c>
      <c r="L280" s="30" t="str">
        <f aca="false">IF($D280="","",$D280+Settings!$B$16)</f>
        <v/>
      </c>
      <c r="M280" s="31" t="str">
        <f aca="true">IF(OR($L280="",$I280="Claimed",$I280="Paid",$I280="Refused",$I280="Not claiming"),"",$L280-TODAY())</f>
        <v/>
      </c>
      <c r="N280" s="27" t="str">
        <f aca="false">IF($A280="","",IF($G280="","TELL HOST",IF($M280="","",IF($M280&lt;0,"Deadline passed",IF($M280&lt;=3,"Claim soon","")))))</f>
        <v/>
      </c>
    </row>
    <row r="281" customFormat="false" ht="15" hidden="false" customHeight="false" outlineLevel="0" collapsed="false">
      <c r="A281" s="22"/>
      <c r="B281" s="23"/>
      <c r="C281" s="23"/>
      <c r="D281" s="22"/>
      <c r="E281" s="23"/>
      <c r="F281" s="23"/>
      <c r="G281" s="22"/>
      <c r="H281" s="25"/>
      <c r="I281" s="23"/>
      <c r="J281" s="23"/>
      <c r="K281" s="27" t="str">
        <f aca="false">IF($B281="","",IFERROR(INDEX(Properties!$D$5:$D$104,MATCH($B281,Properties!$A$5:$A$104,0)),"-"))</f>
        <v/>
      </c>
      <c r="L281" s="30" t="str">
        <f aca="false">IF($D281="","",$D281+Settings!$B$16)</f>
        <v/>
      </c>
      <c r="M281" s="31" t="str">
        <f aca="true">IF(OR($L281="",$I281="Claimed",$I281="Paid",$I281="Refused",$I281="Not claiming"),"",$L281-TODAY())</f>
        <v/>
      </c>
      <c r="N281" s="27" t="str">
        <f aca="false">IF($A281="","",IF($G281="","TELL HOST",IF($M281="","",IF($M281&lt;0,"Deadline passed",IF($M281&lt;=3,"Claim soon","")))))</f>
        <v/>
      </c>
    </row>
    <row r="282" customFormat="false" ht="15" hidden="false" customHeight="false" outlineLevel="0" collapsed="false">
      <c r="A282" s="22"/>
      <c r="B282" s="23"/>
      <c r="C282" s="23"/>
      <c r="D282" s="22"/>
      <c r="E282" s="23"/>
      <c r="F282" s="23"/>
      <c r="G282" s="22"/>
      <c r="H282" s="25"/>
      <c r="I282" s="23"/>
      <c r="J282" s="23"/>
      <c r="K282" s="27" t="str">
        <f aca="false">IF($B282="","",IFERROR(INDEX(Properties!$D$5:$D$104,MATCH($B282,Properties!$A$5:$A$104,0)),"-"))</f>
        <v/>
      </c>
      <c r="L282" s="30" t="str">
        <f aca="false">IF($D282="","",$D282+Settings!$B$16)</f>
        <v/>
      </c>
      <c r="M282" s="31" t="str">
        <f aca="true">IF(OR($L282="",$I282="Claimed",$I282="Paid",$I282="Refused",$I282="Not claiming"),"",$L282-TODAY())</f>
        <v/>
      </c>
      <c r="N282" s="27" t="str">
        <f aca="false">IF($A282="","",IF($G282="","TELL HOST",IF($M282="","",IF($M282&lt;0,"Deadline passed",IF($M282&lt;=3,"Claim soon","")))))</f>
        <v/>
      </c>
    </row>
    <row r="283" customFormat="false" ht="15" hidden="false" customHeight="false" outlineLevel="0" collapsed="false">
      <c r="A283" s="22"/>
      <c r="B283" s="23"/>
      <c r="C283" s="23"/>
      <c r="D283" s="22"/>
      <c r="E283" s="23"/>
      <c r="F283" s="23"/>
      <c r="G283" s="22"/>
      <c r="H283" s="25"/>
      <c r="I283" s="23"/>
      <c r="J283" s="23"/>
      <c r="K283" s="27" t="str">
        <f aca="false">IF($B283="","",IFERROR(INDEX(Properties!$D$5:$D$104,MATCH($B283,Properties!$A$5:$A$104,0)),"-"))</f>
        <v/>
      </c>
      <c r="L283" s="30" t="str">
        <f aca="false">IF($D283="","",$D283+Settings!$B$16)</f>
        <v/>
      </c>
      <c r="M283" s="31" t="str">
        <f aca="true">IF(OR($L283="",$I283="Claimed",$I283="Paid",$I283="Refused",$I283="Not claiming"),"",$L283-TODAY())</f>
        <v/>
      </c>
      <c r="N283" s="27" t="str">
        <f aca="false">IF($A283="","",IF($G283="","TELL HOST",IF($M283="","",IF($M283&lt;0,"Deadline passed",IF($M283&lt;=3,"Claim soon","")))))</f>
        <v/>
      </c>
    </row>
    <row r="284" customFormat="false" ht="15" hidden="false" customHeight="false" outlineLevel="0" collapsed="false">
      <c r="A284" s="22"/>
      <c r="B284" s="23"/>
      <c r="C284" s="23"/>
      <c r="D284" s="22"/>
      <c r="E284" s="23"/>
      <c r="F284" s="23"/>
      <c r="G284" s="22"/>
      <c r="H284" s="25"/>
      <c r="I284" s="23"/>
      <c r="J284" s="23"/>
      <c r="K284" s="27" t="str">
        <f aca="false">IF($B284="","",IFERROR(INDEX(Properties!$D$5:$D$104,MATCH($B284,Properties!$A$5:$A$104,0)),"-"))</f>
        <v/>
      </c>
      <c r="L284" s="30" t="str">
        <f aca="false">IF($D284="","",$D284+Settings!$B$16)</f>
        <v/>
      </c>
      <c r="M284" s="31" t="str">
        <f aca="true">IF(OR($L284="",$I284="Claimed",$I284="Paid",$I284="Refused",$I284="Not claiming"),"",$L284-TODAY())</f>
        <v/>
      </c>
      <c r="N284" s="27" t="str">
        <f aca="false">IF($A284="","",IF($G284="","TELL HOST",IF($M284="","",IF($M284&lt;0,"Deadline passed",IF($M284&lt;=3,"Claim soon","")))))</f>
        <v/>
      </c>
    </row>
    <row r="285" customFormat="false" ht="15" hidden="false" customHeight="false" outlineLevel="0" collapsed="false">
      <c r="A285" s="22"/>
      <c r="B285" s="23"/>
      <c r="C285" s="23"/>
      <c r="D285" s="22"/>
      <c r="E285" s="23"/>
      <c r="F285" s="23"/>
      <c r="G285" s="22"/>
      <c r="H285" s="25"/>
      <c r="I285" s="23"/>
      <c r="J285" s="23"/>
      <c r="K285" s="27" t="str">
        <f aca="false">IF($B285="","",IFERROR(INDEX(Properties!$D$5:$D$104,MATCH($B285,Properties!$A$5:$A$104,0)),"-"))</f>
        <v/>
      </c>
      <c r="L285" s="30" t="str">
        <f aca="false">IF($D285="","",$D285+Settings!$B$16)</f>
        <v/>
      </c>
      <c r="M285" s="31" t="str">
        <f aca="true">IF(OR($L285="",$I285="Claimed",$I285="Paid",$I285="Refused",$I285="Not claiming"),"",$L285-TODAY())</f>
        <v/>
      </c>
      <c r="N285" s="27" t="str">
        <f aca="false">IF($A285="","",IF($G285="","TELL HOST",IF($M285="","",IF($M285&lt;0,"Deadline passed",IF($M285&lt;=3,"Claim soon","")))))</f>
        <v/>
      </c>
    </row>
    <row r="286" customFormat="false" ht="15" hidden="false" customHeight="false" outlineLevel="0" collapsed="false">
      <c r="A286" s="22"/>
      <c r="B286" s="23"/>
      <c r="C286" s="23"/>
      <c r="D286" s="22"/>
      <c r="E286" s="23"/>
      <c r="F286" s="23"/>
      <c r="G286" s="22"/>
      <c r="H286" s="25"/>
      <c r="I286" s="23"/>
      <c r="J286" s="23"/>
      <c r="K286" s="27" t="str">
        <f aca="false">IF($B286="","",IFERROR(INDEX(Properties!$D$5:$D$104,MATCH($B286,Properties!$A$5:$A$104,0)),"-"))</f>
        <v/>
      </c>
      <c r="L286" s="30" t="str">
        <f aca="false">IF($D286="","",$D286+Settings!$B$16)</f>
        <v/>
      </c>
      <c r="M286" s="31" t="str">
        <f aca="true">IF(OR($L286="",$I286="Claimed",$I286="Paid",$I286="Refused",$I286="Not claiming"),"",$L286-TODAY())</f>
        <v/>
      </c>
      <c r="N286" s="27" t="str">
        <f aca="false">IF($A286="","",IF($G286="","TELL HOST",IF($M286="","",IF($M286&lt;0,"Deadline passed",IF($M286&lt;=3,"Claim soon","")))))</f>
        <v/>
      </c>
    </row>
    <row r="287" customFormat="false" ht="15" hidden="false" customHeight="false" outlineLevel="0" collapsed="false">
      <c r="A287" s="22"/>
      <c r="B287" s="23"/>
      <c r="C287" s="23"/>
      <c r="D287" s="22"/>
      <c r="E287" s="23"/>
      <c r="F287" s="23"/>
      <c r="G287" s="22"/>
      <c r="H287" s="25"/>
      <c r="I287" s="23"/>
      <c r="J287" s="23"/>
      <c r="K287" s="27" t="str">
        <f aca="false">IF($B287="","",IFERROR(INDEX(Properties!$D$5:$D$104,MATCH($B287,Properties!$A$5:$A$104,0)),"-"))</f>
        <v/>
      </c>
      <c r="L287" s="30" t="str">
        <f aca="false">IF($D287="","",$D287+Settings!$B$16)</f>
        <v/>
      </c>
      <c r="M287" s="31" t="str">
        <f aca="true">IF(OR($L287="",$I287="Claimed",$I287="Paid",$I287="Refused",$I287="Not claiming"),"",$L287-TODAY())</f>
        <v/>
      </c>
      <c r="N287" s="27" t="str">
        <f aca="false">IF($A287="","",IF($G287="","TELL HOST",IF($M287="","",IF($M287&lt;0,"Deadline passed",IF($M287&lt;=3,"Claim soon","")))))</f>
        <v/>
      </c>
    </row>
    <row r="288" customFormat="false" ht="15" hidden="false" customHeight="false" outlineLevel="0" collapsed="false">
      <c r="A288" s="22"/>
      <c r="B288" s="23"/>
      <c r="C288" s="23"/>
      <c r="D288" s="22"/>
      <c r="E288" s="23"/>
      <c r="F288" s="23"/>
      <c r="G288" s="22"/>
      <c r="H288" s="25"/>
      <c r="I288" s="23"/>
      <c r="J288" s="23"/>
      <c r="K288" s="27" t="str">
        <f aca="false">IF($B288="","",IFERROR(INDEX(Properties!$D$5:$D$104,MATCH($B288,Properties!$A$5:$A$104,0)),"-"))</f>
        <v/>
      </c>
      <c r="L288" s="30" t="str">
        <f aca="false">IF($D288="","",$D288+Settings!$B$16)</f>
        <v/>
      </c>
      <c r="M288" s="31" t="str">
        <f aca="true">IF(OR($L288="",$I288="Claimed",$I288="Paid",$I288="Refused",$I288="Not claiming"),"",$L288-TODAY())</f>
        <v/>
      </c>
      <c r="N288" s="27" t="str">
        <f aca="false">IF($A288="","",IF($G288="","TELL HOST",IF($M288="","",IF($M288&lt;0,"Deadline passed",IF($M288&lt;=3,"Claim soon","")))))</f>
        <v/>
      </c>
    </row>
    <row r="289" customFormat="false" ht="15" hidden="false" customHeight="false" outlineLevel="0" collapsed="false">
      <c r="A289" s="22"/>
      <c r="B289" s="23"/>
      <c r="C289" s="23"/>
      <c r="D289" s="22"/>
      <c r="E289" s="23"/>
      <c r="F289" s="23"/>
      <c r="G289" s="22"/>
      <c r="H289" s="25"/>
      <c r="I289" s="23"/>
      <c r="J289" s="23"/>
      <c r="K289" s="27" t="str">
        <f aca="false">IF($B289="","",IFERROR(INDEX(Properties!$D$5:$D$104,MATCH($B289,Properties!$A$5:$A$104,0)),"-"))</f>
        <v/>
      </c>
      <c r="L289" s="30" t="str">
        <f aca="false">IF($D289="","",$D289+Settings!$B$16)</f>
        <v/>
      </c>
      <c r="M289" s="31" t="str">
        <f aca="true">IF(OR($L289="",$I289="Claimed",$I289="Paid",$I289="Refused",$I289="Not claiming"),"",$L289-TODAY())</f>
        <v/>
      </c>
      <c r="N289" s="27" t="str">
        <f aca="false">IF($A289="","",IF($G289="","TELL HOST",IF($M289="","",IF($M289&lt;0,"Deadline passed",IF($M289&lt;=3,"Claim soon","")))))</f>
        <v/>
      </c>
    </row>
    <row r="290" customFormat="false" ht="15" hidden="false" customHeight="false" outlineLevel="0" collapsed="false">
      <c r="A290" s="22"/>
      <c r="B290" s="23"/>
      <c r="C290" s="23"/>
      <c r="D290" s="22"/>
      <c r="E290" s="23"/>
      <c r="F290" s="23"/>
      <c r="G290" s="22"/>
      <c r="H290" s="25"/>
      <c r="I290" s="23"/>
      <c r="J290" s="23"/>
      <c r="K290" s="27" t="str">
        <f aca="false">IF($B290="","",IFERROR(INDEX(Properties!$D$5:$D$104,MATCH($B290,Properties!$A$5:$A$104,0)),"-"))</f>
        <v/>
      </c>
      <c r="L290" s="30" t="str">
        <f aca="false">IF($D290="","",$D290+Settings!$B$16)</f>
        <v/>
      </c>
      <c r="M290" s="31" t="str">
        <f aca="true">IF(OR($L290="",$I290="Claimed",$I290="Paid",$I290="Refused",$I290="Not claiming"),"",$L290-TODAY())</f>
        <v/>
      </c>
      <c r="N290" s="27" t="str">
        <f aca="false">IF($A290="","",IF($G290="","TELL HOST",IF($M290="","",IF($M290&lt;0,"Deadline passed",IF($M290&lt;=3,"Claim soon","")))))</f>
        <v/>
      </c>
    </row>
    <row r="291" customFormat="false" ht="15" hidden="false" customHeight="false" outlineLevel="0" collapsed="false">
      <c r="A291" s="22"/>
      <c r="B291" s="23"/>
      <c r="C291" s="23"/>
      <c r="D291" s="22"/>
      <c r="E291" s="23"/>
      <c r="F291" s="23"/>
      <c r="G291" s="22"/>
      <c r="H291" s="25"/>
      <c r="I291" s="23"/>
      <c r="J291" s="23"/>
      <c r="K291" s="27" t="str">
        <f aca="false">IF($B291="","",IFERROR(INDEX(Properties!$D$5:$D$104,MATCH($B291,Properties!$A$5:$A$104,0)),"-"))</f>
        <v/>
      </c>
      <c r="L291" s="30" t="str">
        <f aca="false">IF($D291="","",$D291+Settings!$B$16)</f>
        <v/>
      </c>
      <c r="M291" s="31" t="str">
        <f aca="true">IF(OR($L291="",$I291="Claimed",$I291="Paid",$I291="Refused",$I291="Not claiming"),"",$L291-TODAY())</f>
        <v/>
      </c>
      <c r="N291" s="27" t="str">
        <f aca="false">IF($A291="","",IF($G291="","TELL HOST",IF($M291="","",IF($M291&lt;0,"Deadline passed",IF($M291&lt;=3,"Claim soon","")))))</f>
        <v/>
      </c>
    </row>
    <row r="292" customFormat="false" ht="15" hidden="false" customHeight="false" outlineLevel="0" collapsed="false">
      <c r="A292" s="22"/>
      <c r="B292" s="23"/>
      <c r="C292" s="23"/>
      <c r="D292" s="22"/>
      <c r="E292" s="23"/>
      <c r="F292" s="23"/>
      <c r="G292" s="22"/>
      <c r="H292" s="25"/>
      <c r="I292" s="23"/>
      <c r="J292" s="23"/>
      <c r="K292" s="27" t="str">
        <f aca="false">IF($B292="","",IFERROR(INDEX(Properties!$D$5:$D$104,MATCH($B292,Properties!$A$5:$A$104,0)),"-"))</f>
        <v/>
      </c>
      <c r="L292" s="30" t="str">
        <f aca="false">IF($D292="","",$D292+Settings!$B$16)</f>
        <v/>
      </c>
      <c r="M292" s="31" t="str">
        <f aca="true">IF(OR($L292="",$I292="Claimed",$I292="Paid",$I292="Refused",$I292="Not claiming"),"",$L292-TODAY())</f>
        <v/>
      </c>
      <c r="N292" s="27" t="str">
        <f aca="false">IF($A292="","",IF($G292="","TELL HOST",IF($M292="","",IF($M292&lt;0,"Deadline passed",IF($M292&lt;=3,"Claim soon","")))))</f>
        <v/>
      </c>
    </row>
    <row r="293" customFormat="false" ht="15" hidden="false" customHeight="false" outlineLevel="0" collapsed="false">
      <c r="A293" s="22"/>
      <c r="B293" s="23"/>
      <c r="C293" s="23"/>
      <c r="D293" s="22"/>
      <c r="E293" s="23"/>
      <c r="F293" s="23"/>
      <c r="G293" s="22"/>
      <c r="H293" s="25"/>
      <c r="I293" s="23"/>
      <c r="J293" s="23"/>
      <c r="K293" s="27" t="str">
        <f aca="false">IF($B293="","",IFERROR(INDEX(Properties!$D$5:$D$104,MATCH($B293,Properties!$A$5:$A$104,0)),"-"))</f>
        <v/>
      </c>
      <c r="L293" s="30" t="str">
        <f aca="false">IF($D293="","",$D293+Settings!$B$16)</f>
        <v/>
      </c>
      <c r="M293" s="31" t="str">
        <f aca="true">IF(OR($L293="",$I293="Claimed",$I293="Paid",$I293="Refused",$I293="Not claiming"),"",$L293-TODAY())</f>
        <v/>
      </c>
      <c r="N293" s="27" t="str">
        <f aca="false">IF($A293="","",IF($G293="","TELL HOST",IF($M293="","",IF($M293&lt;0,"Deadline passed",IF($M293&lt;=3,"Claim soon","")))))</f>
        <v/>
      </c>
    </row>
    <row r="294" customFormat="false" ht="15" hidden="false" customHeight="false" outlineLevel="0" collapsed="false">
      <c r="A294" s="22"/>
      <c r="B294" s="23"/>
      <c r="C294" s="23"/>
      <c r="D294" s="22"/>
      <c r="E294" s="23"/>
      <c r="F294" s="23"/>
      <c r="G294" s="22"/>
      <c r="H294" s="25"/>
      <c r="I294" s="23"/>
      <c r="J294" s="23"/>
      <c r="K294" s="27" t="str">
        <f aca="false">IF($B294="","",IFERROR(INDEX(Properties!$D$5:$D$104,MATCH($B294,Properties!$A$5:$A$104,0)),"-"))</f>
        <v/>
      </c>
      <c r="L294" s="30" t="str">
        <f aca="false">IF($D294="","",$D294+Settings!$B$16)</f>
        <v/>
      </c>
      <c r="M294" s="31" t="str">
        <f aca="true">IF(OR($L294="",$I294="Claimed",$I294="Paid",$I294="Refused",$I294="Not claiming"),"",$L294-TODAY())</f>
        <v/>
      </c>
      <c r="N294" s="27" t="str">
        <f aca="false">IF($A294="","",IF($G294="","TELL HOST",IF($M294="","",IF($M294&lt;0,"Deadline passed",IF($M294&lt;=3,"Claim soon","")))))</f>
        <v/>
      </c>
    </row>
    <row r="295" customFormat="false" ht="15" hidden="false" customHeight="false" outlineLevel="0" collapsed="false">
      <c r="A295" s="22"/>
      <c r="B295" s="23"/>
      <c r="C295" s="23"/>
      <c r="D295" s="22"/>
      <c r="E295" s="23"/>
      <c r="F295" s="23"/>
      <c r="G295" s="22"/>
      <c r="H295" s="25"/>
      <c r="I295" s="23"/>
      <c r="J295" s="23"/>
      <c r="K295" s="27" t="str">
        <f aca="false">IF($B295="","",IFERROR(INDEX(Properties!$D$5:$D$104,MATCH($B295,Properties!$A$5:$A$104,0)),"-"))</f>
        <v/>
      </c>
      <c r="L295" s="30" t="str">
        <f aca="false">IF($D295="","",$D295+Settings!$B$16)</f>
        <v/>
      </c>
      <c r="M295" s="31" t="str">
        <f aca="true">IF(OR($L295="",$I295="Claimed",$I295="Paid",$I295="Refused",$I295="Not claiming"),"",$L295-TODAY())</f>
        <v/>
      </c>
      <c r="N295" s="27" t="str">
        <f aca="false">IF($A295="","",IF($G295="","TELL HOST",IF($M295="","",IF($M295&lt;0,"Deadline passed",IF($M295&lt;=3,"Claim soon","")))))</f>
        <v/>
      </c>
    </row>
    <row r="296" customFormat="false" ht="15" hidden="false" customHeight="false" outlineLevel="0" collapsed="false">
      <c r="A296" s="22"/>
      <c r="B296" s="23"/>
      <c r="C296" s="23"/>
      <c r="D296" s="22"/>
      <c r="E296" s="23"/>
      <c r="F296" s="23"/>
      <c r="G296" s="22"/>
      <c r="H296" s="25"/>
      <c r="I296" s="23"/>
      <c r="J296" s="23"/>
      <c r="K296" s="27" t="str">
        <f aca="false">IF($B296="","",IFERROR(INDEX(Properties!$D$5:$D$104,MATCH($B296,Properties!$A$5:$A$104,0)),"-"))</f>
        <v/>
      </c>
      <c r="L296" s="30" t="str">
        <f aca="false">IF($D296="","",$D296+Settings!$B$16)</f>
        <v/>
      </c>
      <c r="M296" s="31" t="str">
        <f aca="true">IF(OR($L296="",$I296="Claimed",$I296="Paid",$I296="Refused",$I296="Not claiming"),"",$L296-TODAY())</f>
        <v/>
      </c>
      <c r="N296" s="27" t="str">
        <f aca="false">IF($A296="","",IF($G296="","TELL HOST",IF($M296="","",IF($M296&lt;0,"Deadline passed",IF($M296&lt;=3,"Claim soon","")))))</f>
        <v/>
      </c>
    </row>
    <row r="297" customFormat="false" ht="15" hidden="false" customHeight="false" outlineLevel="0" collapsed="false">
      <c r="A297" s="22"/>
      <c r="B297" s="23"/>
      <c r="C297" s="23"/>
      <c r="D297" s="22"/>
      <c r="E297" s="23"/>
      <c r="F297" s="23"/>
      <c r="G297" s="22"/>
      <c r="H297" s="25"/>
      <c r="I297" s="23"/>
      <c r="J297" s="23"/>
      <c r="K297" s="27" t="str">
        <f aca="false">IF($B297="","",IFERROR(INDEX(Properties!$D$5:$D$104,MATCH($B297,Properties!$A$5:$A$104,0)),"-"))</f>
        <v/>
      </c>
      <c r="L297" s="30" t="str">
        <f aca="false">IF($D297="","",$D297+Settings!$B$16)</f>
        <v/>
      </c>
      <c r="M297" s="31" t="str">
        <f aca="true">IF(OR($L297="",$I297="Claimed",$I297="Paid",$I297="Refused",$I297="Not claiming"),"",$L297-TODAY())</f>
        <v/>
      </c>
      <c r="N297" s="27" t="str">
        <f aca="false">IF($A297="","",IF($G297="","TELL HOST",IF($M297="","",IF($M297&lt;0,"Deadline passed",IF($M297&lt;=3,"Claim soon","")))))</f>
        <v/>
      </c>
    </row>
    <row r="298" customFormat="false" ht="15" hidden="false" customHeight="false" outlineLevel="0" collapsed="false">
      <c r="A298" s="22"/>
      <c r="B298" s="23"/>
      <c r="C298" s="23"/>
      <c r="D298" s="22"/>
      <c r="E298" s="23"/>
      <c r="F298" s="23"/>
      <c r="G298" s="22"/>
      <c r="H298" s="25"/>
      <c r="I298" s="23"/>
      <c r="J298" s="23"/>
      <c r="K298" s="27" t="str">
        <f aca="false">IF($B298="","",IFERROR(INDEX(Properties!$D$5:$D$104,MATCH($B298,Properties!$A$5:$A$104,0)),"-"))</f>
        <v/>
      </c>
      <c r="L298" s="30" t="str">
        <f aca="false">IF($D298="","",$D298+Settings!$B$16)</f>
        <v/>
      </c>
      <c r="M298" s="31" t="str">
        <f aca="true">IF(OR($L298="",$I298="Claimed",$I298="Paid",$I298="Refused",$I298="Not claiming"),"",$L298-TODAY())</f>
        <v/>
      </c>
      <c r="N298" s="27" t="str">
        <f aca="false">IF($A298="","",IF($G298="","TELL HOST",IF($M298="","",IF($M298&lt;0,"Deadline passed",IF($M298&lt;=3,"Claim soon","")))))</f>
        <v/>
      </c>
    </row>
    <row r="299" customFormat="false" ht="15" hidden="false" customHeight="false" outlineLevel="0" collapsed="false">
      <c r="A299" s="22"/>
      <c r="B299" s="23"/>
      <c r="C299" s="23"/>
      <c r="D299" s="22"/>
      <c r="E299" s="23"/>
      <c r="F299" s="23"/>
      <c r="G299" s="22"/>
      <c r="H299" s="25"/>
      <c r="I299" s="23"/>
      <c r="J299" s="23"/>
      <c r="K299" s="27" t="str">
        <f aca="false">IF($B299="","",IFERROR(INDEX(Properties!$D$5:$D$104,MATCH($B299,Properties!$A$5:$A$104,0)),"-"))</f>
        <v/>
      </c>
      <c r="L299" s="30" t="str">
        <f aca="false">IF($D299="","",$D299+Settings!$B$16)</f>
        <v/>
      </c>
      <c r="M299" s="31" t="str">
        <f aca="true">IF(OR($L299="",$I299="Claimed",$I299="Paid",$I299="Refused",$I299="Not claiming"),"",$L299-TODAY())</f>
        <v/>
      </c>
      <c r="N299" s="27" t="str">
        <f aca="false">IF($A299="","",IF($G299="","TELL HOST",IF($M299="","",IF($M299&lt;0,"Deadline passed",IF($M299&lt;=3,"Claim soon","")))))</f>
        <v/>
      </c>
    </row>
    <row r="300" customFormat="false" ht="15" hidden="false" customHeight="false" outlineLevel="0" collapsed="false">
      <c r="A300" s="22"/>
      <c r="B300" s="23"/>
      <c r="C300" s="23"/>
      <c r="D300" s="22"/>
      <c r="E300" s="23"/>
      <c r="F300" s="23"/>
      <c r="G300" s="22"/>
      <c r="H300" s="25"/>
      <c r="I300" s="23"/>
      <c r="J300" s="23"/>
      <c r="K300" s="27" t="str">
        <f aca="false">IF($B300="","",IFERROR(INDEX(Properties!$D$5:$D$104,MATCH($B300,Properties!$A$5:$A$104,0)),"-"))</f>
        <v/>
      </c>
      <c r="L300" s="30" t="str">
        <f aca="false">IF($D300="","",$D300+Settings!$B$16)</f>
        <v/>
      </c>
      <c r="M300" s="31" t="str">
        <f aca="true">IF(OR($L300="",$I300="Claimed",$I300="Paid",$I300="Refused",$I300="Not claiming"),"",$L300-TODAY())</f>
        <v/>
      </c>
      <c r="N300" s="27" t="str">
        <f aca="false">IF($A300="","",IF($G300="","TELL HOST",IF($M300="","",IF($M300&lt;0,"Deadline passed",IF($M300&lt;=3,"Claim soon","")))))</f>
        <v/>
      </c>
    </row>
    <row r="301" customFormat="false" ht="15" hidden="false" customHeight="false" outlineLevel="0" collapsed="false">
      <c r="A301" s="22"/>
      <c r="B301" s="23"/>
      <c r="C301" s="23"/>
      <c r="D301" s="22"/>
      <c r="E301" s="23"/>
      <c r="F301" s="23"/>
      <c r="G301" s="22"/>
      <c r="H301" s="25"/>
      <c r="I301" s="23"/>
      <c r="J301" s="23"/>
      <c r="K301" s="27" t="str">
        <f aca="false">IF($B301="","",IFERROR(INDEX(Properties!$D$5:$D$104,MATCH($B301,Properties!$A$5:$A$104,0)),"-"))</f>
        <v/>
      </c>
      <c r="L301" s="30" t="str">
        <f aca="false">IF($D301="","",$D301+Settings!$B$16)</f>
        <v/>
      </c>
      <c r="M301" s="31" t="str">
        <f aca="true">IF(OR($L301="",$I301="Claimed",$I301="Paid",$I301="Refused",$I301="Not claiming"),"",$L301-TODAY())</f>
        <v/>
      </c>
      <c r="N301" s="27" t="str">
        <f aca="false">IF($A301="","",IF($G301="","TELL HOST",IF($M301="","",IF($M301&lt;0,"Deadline passed",IF($M301&lt;=3,"Claim soon","")))))</f>
        <v/>
      </c>
    </row>
    <row r="302" customFormat="false" ht="15" hidden="false" customHeight="false" outlineLevel="0" collapsed="false">
      <c r="A302" s="22"/>
      <c r="B302" s="23"/>
      <c r="C302" s="23"/>
      <c r="D302" s="22"/>
      <c r="E302" s="23"/>
      <c r="F302" s="23"/>
      <c r="G302" s="22"/>
      <c r="H302" s="25"/>
      <c r="I302" s="23"/>
      <c r="J302" s="23"/>
      <c r="K302" s="27" t="str">
        <f aca="false">IF($B302="","",IFERROR(INDEX(Properties!$D$5:$D$104,MATCH($B302,Properties!$A$5:$A$104,0)),"-"))</f>
        <v/>
      </c>
      <c r="L302" s="30" t="str">
        <f aca="false">IF($D302="","",$D302+Settings!$B$16)</f>
        <v/>
      </c>
      <c r="M302" s="31" t="str">
        <f aca="true">IF(OR($L302="",$I302="Claimed",$I302="Paid",$I302="Refused",$I302="Not claiming"),"",$L302-TODAY())</f>
        <v/>
      </c>
      <c r="N302" s="27" t="str">
        <f aca="false">IF($A302="","",IF($G302="","TELL HOST",IF($M302="","",IF($M302&lt;0,"Deadline passed",IF($M302&lt;=3,"Claim soon","")))))</f>
        <v/>
      </c>
    </row>
    <row r="303" customFormat="false" ht="15" hidden="false" customHeight="false" outlineLevel="0" collapsed="false">
      <c r="A303" s="22"/>
      <c r="B303" s="23"/>
      <c r="C303" s="23"/>
      <c r="D303" s="22"/>
      <c r="E303" s="23"/>
      <c r="F303" s="23"/>
      <c r="G303" s="22"/>
      <c r="H303" s="25"/>
      <c r="I303" s="23"/>
      <c r="J303" s="23"/>
      <c r="K303" s="27" t="str">
        <f aca="false">IF($B303="","",IFERROR(INDEX(Properties!$D$5:$D$104,MATCH($B303,Properties!$A$5:$A$104,0)),"-"))</f>
        <v/>
      </c>
      <c r="L303" s="30" t="str">
        <f aca="false">IF($D303="","",$D303+Settings!$B$16)</f>
        <v/>
      </c>
      <c r="M303" s="31" t="str">
        <f aca="true">IF(OR($L303="",$I303="Claimed",$I303="Paid",$I303="Refused",$I303="Not claiming"),"",$L303-TODAY())</f>
        <v/>
      </c>
      <c r="N303" s="27" t="str">
        <f aca="false">IF($A303="","",IF($G303="","TELL HOST",IF($M303="","",IF($M303&lt;0,"Deadline passed",IF($M303&lt;=3,"Claim soon","")))))</f>
        <v/>
      </c>
    </row>
    <row r="304" customFormat="false" ht="15" hidden="false" customHeight="false" outlineLevel="0" collapsed="false">
      <c r="A304" s="22"/>
      <c r="B304" s="23"/>
      <c r="C304" s="23"/>
      <c r="D304" s="22"/>
      <c r="E304" s="23"/>
      <c r="F304" s="23"/>
      <c r="G304" s="22"/>
      <c r="H304" s="25"/>
      <c r="I304" s="23"/>
      <c r="J304" s="23"/>
      <c r="K304" s="27" t="str">
        <f aca="false">IF($B304="","",IFERROR(INDEX(Properties!$D$5:$D$104,MATCH($B304,Properties!$A$5:$A$104,0)),"-"))</f>
        <v/>
      </c>
      <c r="L304" s="30" t="str">
        <f aca="false">IF($D304="","",$D304+Settings!$B$16)</f>
        <v/>
      </c>
      <c r="M304" s="31" t="str">
        <f aca="true">IF(OR($L304="",$I304="Claimed",$I304="Paid",$I304="Refused",$I304="Not claiming"),"",$L304-TODAY())</f>
        <v/>
      </c>
      <c r="N304" s="27" t="str">
        <f aca="false">IF($A304="","",IF($G304="","TELL HOST",IF($M304="","",IF($M304&lt;0,"Deadline passed",IF($M304&lt;=3,"Claim soon","")))))</f>
        <v/>
      </c>
    </row>
  </sheetData>
  <conditionalFormatting sqref="N5:N304">
    <cfRule type="expression" priority="2" aboveAverage="0" equalAverage="0" bottom="0" percent="0" rank="0" text="" dxfId="2">
      <formula>N5="TELL HOST"</formula>
    </cfRule>
    <cfRule type="expression" priority="3" aboveAverage="0" equalAverage="0" bottom="0" percent="0" rank="0" text="" dxfId="2">
      <formula>N5="Deadline passed"</formula>
    </cfRule>
    <cfRule type="expression" priority="4" aboveAverage="0" equalAverage="0" bottom="0" percent="0" rank="0" text="" dxfId="1">
      <formula>N5="Claim soon"</formula>
    </cfRule>
  </conditionalFormatting>
  <dataValidations count="3">
    <dataValidation allowBlank="true" errorStyle="stop" operator="between" showDropDown="false" showErrorMessage="false" showInputMessage="false" sqref="B5:B304" type="list">
      <formula1>Properties!$A$5:$A$104</formula1>
      <formula2>0</formula2>
    </dataValidation>
    <dataValidation allowBlank="true" errorStyle="stop" operator="between" showDropDown="false" showErrorMessage="false" showInputMessage="false" sqref="C5:C304" type="list">
      <formula1>Settings!$O$22:$O$26</formula1>
      <formula2>0</formula2>
    </dataValidation>
    <dataValidation allowBlank="true" errorStyle="stop" operator="between" showDropDown="false" showErrorMessage="false" showInputMessage="false" sqref="I5:I304" type="list">
      <formula1>Settings!$K$22:$K$26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A86A"/>
    <pageSetUpPr fitToPage="false"/>
  </sheetPr>
  <dimension ref="A1:L3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24"/>
    <col collapsed="false" customWidth="true" hidden="false" outlineLevel="0" max="7" min="7" style="0" width="8"/>
    <col collapsed="false" customWidth="true" hidden="false" outlineLevel="0" max="11" min="8" style="0" width="12"/>
    <col collapsed="false" customWidth="true" hidden="false" outlineLevel="0" max="12" min="12" style="0" width="11"/>
  </cols>
  <sheetData>
    <row r="1" customFormat="false" ht="19.7" hidden="false" customHeight="false" outlineLevel="0" collapsed="false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7" t="s">
        <v>195</v>
      </c>
      <c r="B4" s="33" t="n">
        <f aca="false">SUMIFS($J$7:$J$306,$L$7:$L$306,"Due")+SUMIFS($J$7:$J$306,$L$7:$L$306,"OVERDUE")</f>
        <v>232.04</v>
      </c>
    </row>
    <row r="6" customFormat="false" ht="31.5" hidden="false" customHeight="true" outlineLevel="0" collapsed="false">
      <c r="A6" s="20" t="s">
        <v>196</v>
      </c>
      <c r="B6" s="20" t="s">
        <v>110</v>
      </c>
      <c r="C6" s="20" t="s">
        <v>197</v>
      </c>
      <c r="D6" s="20" t="s">
        <v>198</v>
      </c>
      <c r="E6" s="20" t="s">
        <v>199</v>
      </c>
      <c r="F6" s="20" t="s">
        <v>164</v>
      </c>
      <c r="G6" s="21" t="s">
        <v>200</v>
      </c>
      <c r="H6" s="21" t="s">
        <v>201</v>
      </c>
      <c r="I6" s="21" t="s">
        <v>202</v>
      </c>
      <c r="J6" s="21" t="s">
        <v>203</v>
      </c>
      <c r="K6" s="21" t="s">
        <v>204</v>
      </c>
      <c r="L6" s="21" t="s">
        <v>101</v>
      </c>
    </row>
    <row r="7" customFormat="false" ht="15" hidden="false" customHeight="false" outlineLevel="0" collapsed="false">
      <c r="A7" s="23" t="s">
        <v>205</v>
      </c>
      <c r="B7" s="23" t="s">
        <v>206</v>
      </c>
      <c r="C7" s="34" t="n">
        <v>46296</v>
      </c>
      <c r="D7" s="22" t="n">
        <v>46327</v>
      </c>
      <c r="E7" s="22"/>
      <c r="F7" s="23" t="s">
        <v>120</v>
      </c>
      <c r="G7" s="31" t="n">
        <f aca="false">IF($B7="","",COUNTIFS('Cleans Log'!$M$5:$M$1004,$B7,'Cleans Log'!$Q$5:$Q$1004,$C7,'Cleans Log'!$N$5:$N$1004,"&gt;0"))</f>
        <v>4</v>
      </c>
      <c r="H7" s="28" t="n">
        <f aca="false">IF($B7="","",SUMIFS('Cleans Log'!$N$5:$N$1004,'Cleans Log'!$M$5:$M$1004,$B7,'Cleans Log'!$Q$5:$Q$1004,$C7))</f>
        <v>225</v>
      </c>
      <c r="I7" s="28" t="n">
        <f aca="false">IF($B7="","",SUMIFS(Purchases!$N$5:$N$1004,Purchases!$L$5:$L$1004,$B7,Purchases!$P$5:$P$1004,$C7))</f>
        <v>7.04</v>
      </c>
      <c r="J7" s="28" t="n">
        <f aca="false">IF($B7="","",$H7+$I7)</f>
        <v>232.04</v>
      </c>
      <c r="K7" s="30" t="n">
        <f aca="false">IF(OR($B7="",$D7=""),"",$D7+Settings!$B$12)</f>
        <v>46334</v>
      </c>
      <c r="L7" s="27" t="str">
        <f aca="true">IF($B7="","",IF($E7&lt;&gt;"","Paid",IF($D7="","Not sent",IF(TODAY()&gt;$K7,"OVERDUE","Due"))))</f>
        <v>Due</v>
      </c>
    </row>
    <row r="8" customFormat="false" ht="15" hidden="false" customHeight="false" outlineLevel="0" collapsed="false">
      <c r="A8" s="23"/>
      <c r="B8" s="23"/>
      <c r="C8" s="34"/>
      <c r="D8" s="22"/>
      <c r="E8" s="22"/>
      <c r="F8" s="23"/>
      <c r="G8" s="31" t="str">
        <f aca="false">IF($B8="","",COUNTIFS('Cleans Log'!$M$5:$M$1004,$B8,'Cleans Log'!$Q$5:$Q$1004,$C8,'Cleans Log'!$N$5:$N$1004,"&gt;0"))</f>
        <v/>
      </c>
      <c r="H8" s="28" t="str">
        <f aca="false">IF($B8="","",SUMIFS('Cleans Log'!$N$5:$N$1004,'Cleans Log'!$M$5:$M$1004,$B8,'Cleans Log'!$Q$5:$Q$1004,$C8))</f>
        <v/>
      </c>
      <c r="I8" s="28" t="str">
        <f aca="false">IF($B8="","",SUMIFS(Purchases!$N$5:$N$1004,Purchases!$L$5:$L$1004,$B8,Purchases!$P$5:$P$1004,$C8))</f>
        <v/>
      </c>
      <c r="J8" s="28" t="str">
        <f aca="false">IF($B8="","",$H8+$I8)</f>
        <v/>
      </c>
      <c r="K8" s="30" t="str">
        <f aca="false">IF(OR($B8="",$D8=""),"",$D8+Settings!$B$12)</f>
        <v/>
      </c>
      <c r="L8" s="27" t="str">
        <f aca="true">IF($B8="","",IF($E8&lt;&gt;"","Paid",IF($D8="","Not sent",IF(TODAY()&gt;$K8,"OVERDUE","Due"))))</f>
        <v/>
      </c>
    </row>
    <row r="9" customFormat="false" ht="15" hidden="false" customHeight="false" outlineLevel="0" collapsed="false">
      <c r="A9" s="23"/>
      <c r="B9" s="23"/>
      <c r="C9" s="34"/>
      <c r="D9" s="22"/>
      <c r="E9" s="22"/>
      <c r="F9" s="23"/>
      <c r="G9" s="31" t="str">
        <f aca="false">IF($B9="","",COUNTIFS('Cleans Log'!$M$5:$M$1004,$B9,'Cleans Log'!$Q$5:$Q$1004,$C9,'Cleans Log'!$N$5:$N$1004,"&gt;0"))</f>
        <v/>
      </c>
      <c r="H9" s="28" t="str">
        <f aca="false">IF($B9="","",SUMIFS('Cleans Log'!$N$5:$N$1004,'Cleans Log'!$M$5:$M$1004,$B9,'Cleans Log'!$Q$5:$Q$1004,$C9))</f>
        <v/>
      </c>
      <c r="I9" s="28" t="str">
        <f aca="false">IF($B9="","",SUMIFS(Purchases!$N$5:$N$1004,Purchases!$L$5:$L$1004,$B9,Purchases!$P$5:$P$1004,$C9))</f>
        <v/>
      </c>
      <c r="J9" s="28" t="str">
        <f aca="false">IF($B9="","",$H9+$I9)</f>
        <v/>
      </c>
      <c r="K9" s="30" t="str">
        <f aca="false">IF(OR($B9="",$D9=""),"",$D9+Settings!$B$12)</f>
        <v/>
      </c>
      <c r="L9" s="27" t="str">
        <f aca="true">IF($B9="","",IF($E9&lt;&gt;"","Paid",IF($D9="","Not sent",IF(TODAY()&gt;$K9,"OVERDUE","Due"))))</f>
        <v/>
      </c>
    </row>
    <row r="10" customFormat="false" ht="15" hidden="false" customHeight="false" outlineLevel="0" collapsed="false">
      <c r="A10" s="23"/>
      <c r="B10" s="23"/>
      <c r="C10" s="34"/>
      <c r="D10" s="22"/>
      <c r="E10" s="22"/>
      <c r="F10" s="23"/>
      <c r="G10" s="31" t="str">
        <f aca="false">IF($B10="","",COUNTIFS('Cleans Log'!$M$5:$M$1004,$B10,'Cleans Log'!$Q$5:$Q$1004,$C10,'Cleans Log'!$N$5:$N$1004,"&gt;0"))</f>
        <v/>
      </c>
      <c r="H10" s="28" t="str">
        <f aca="false">IF($B10="","",SUMIFS('Cleans Log'!$N$5:$N$1004,'Cleans Log'!$M$5:$M$1004,$B10,'Cleans Log'!$Q$5:$Q$1004,$C10))</f>
        <v/>
      </c>
      <c r="I10" s="28" t="str">
        <f aca="false">IF($B10="","",SUMIFS(Purchases!$N$5:$N$1004,Purchases!$L$5:$L$1004,$B10,Purchases!$P$5:$P$1004,$C10))</f>
        <v/>
      </c>
      <c r="J10" s="28" t="str">
        <f aca="false">IF($B10="","",$H10+$I10)</f>
        <v/>
      </c>
      <c r="K10" s="30" t="str">
        <f aca="false">IF(OR($B10="",$D10=""),"",$D10+Settings!$B$12)</f>
        <v/>
      </c>
      <c r="L10" s="27" t="str">
        <f aca="true">IF($B10="","",IF($E10&lt;&gt;"","Paid",IF($D10="","Not sent",IF(TODAY()&gt;$K10,"OVERDUE","Due"))))</f>
        <v/>
      </c>
    </row>
    <row r="11" customFormat="false" ht="15" hidden="false" customHeight="false" outlineLevel="0" collapsed="false">
      <c r="A11" s="23"/>
      <c r="B11" s="23"/>
      <c r="C11" s="34"/>
      <c r="D11" s="22"/>
      <c r="E11" s="22"/>
      <c r="F11" s="23"/>
      <c r="G11" s="31" t="str">
        <f aca="false">IF($B11="","",COUNTIFS('Cleans Log'!$M$5:$M$1004,$B11,'Cleans Log'!$Q$5:$Q$1004,$C11,'Cleans Log'!$N$5:$N$1004,"&gt;0"))</f>
        <v/>
      </c>
      <c r="H11" s="28" t="str">
        <f aca="false">IF($B11="","",SUMIFS('Cleans Log'!$N$5:$N$1004,'Cleans Log'!$M$5:$M$1004,$B11,'Cleans Log'!$Q$5:$Q$1004,$C11))</f>
        <v/>
      </c>
      <c r="I11" s="28" t="str">
        <f aca="false">IF($B11="","",SUMIFS(Purchases!$N$5:$N$1004,Purchases!$L$5:$L$1004,$B11,Purchases!$P$5:$P$1004,$C11))</f>
        <v/>
      </c>
      <c r="J11" s="28" t="str">
        <f aca="false">IF($B11="","",$H11+$I11)</f>
        <v/>
      </c>
      <c r="K11" s="30" t="str">
        <f aca="false">IF(OR($B11="",$D11=""),"",$D11+Settings!$B$12)</f>
        <v/>
      </c>
      <c r="L11" s="27" t="str">
        <f aca="true">IF($B11="","",IF($E11&lt;&gt;"","Paid",IF($D11="","Not sent",IF(TODAY()&gt;$K11,"OVERDUE","Due"))))</f>
        <v/>
      </c>
    </row>
    <row r="12" customFormat="false" ht="15" hidden="false" customHeight="false" outlineLevel="0" collapsed="false">
      <c r="A12" s="23"/>
      <c r="B12" s="23"/>
      <c r="C12" s="34"/>
      <c r="D12" s="22"/>
      <c r="E12" s="22"/>
      <c r="F12" s="23"/>
      <c r="G12" s="31" t="str">
        <f aca="false">IF($B12="","",COUNTIFS('Cleans Log'!$M$5:$M$1004,$B12,'Cleans Log'!$Q$5:$Q$1004,$C12,'Cleans Log'!$N$5:$N$1004,"&gt;0"))</f>
        <v/>
      </c>
      <c r="H12" s="28" t="str">
        <f aca="false">IF($B12="","",SUMIFS('Cleans Log'!$N$5:$N$1004,'Cleans Log'!$M$5:$M$1004,$B12,'Cleans Log'!$Q$5:$Q$1004,$C12))</f>
        <v/>
      </c>
      <c r="I12" s="28" t="str">
        <f aca="false">IF($B12="","",SUMIFS(Purchases!$N$5:$N$1004,Purchases!$L$5:$L$1004,$B12,Purchases!$P$5:$P$1004,$C12))</f>
        <v/>
      </c>
      <c r="J12" s="28" t="str">
        <f aca="false">IF($B12="","",$H12+$I12)</f>
        <v/>
      </c>
      <c r="K12" s="30" t="str">
        <f aca="false">IF(OR($B12="",$D12=""),"",$D12+Settings!$B$12)</f>
        <v/>
      </c>
      <c r="L12" s="27" t="str">
        <f aca="true">IF($B12="","",IF($E12&lt;&gt;"","Paid",IF($D12="","Not sent",IF(TODAY()&gt;$K12,"OVERDUE","Due"))))</f>
        <v/>
      </c>
    </row>
    <row r="13" customFormat="false" ht="15" hidden="false" customHeight="false" outlineLevel="0" collapsed="false">
      <c r="A13" s="23"/>
      <c r="B13" s="23"/>
      <c r="C13" s="34"/>
      <c r="D13" s="22"/>
      <c r="E13" s="22"/>
      <c r="F13" s="23"/>
      <c r="G13" s="31" t="str">
        <f aca="false">IF($B13="","",COUNTIFS('Cleans Log'!$M$5:$M$1004,$B13,'Cleans Log'!$Q$5:$Q$1004,$C13,'Cleans Log'!$N$5:$N$1004,"&gt;0"))</f>
        <v/>
      </c>
      <c r="H13" s="28" t="str">
        <f aca="false">IF($B13="","",SUMIFS('Cleans Log'!$N$5:$N$1004,'Cleans Log'!$M$5:$M$1004,$B13,'Cleans Log'!$Q$5:$Q$1004,$C13))</f>
        <v/>
      </c>
      <c r="I13" s="28" t="str">
        <f aca="false">IF($B13="","",SUMIFS(Purchases!$N$5:$N$1004,Purchases!$L$5:$L$1004,$B13,Purchases!$P$5:$P$1004,$C13))</f>
        <v/>
      </c>
      <c r="J13" s="28" t="str">
        <f aca="false">IF($B13="","",$H13+$I13)</f>
        <v/>
      </c>
      <c r="K13" s="30" t="str">
        <f aca="false">IF(OR($B13="",$D13=""),"",$D13+Settings!$B$12)</f>
        <v/>
      </c>
      <c r="L13" s="27" t="str">
        <f aca="true">IF($B13="","",IF($E13&lt;&gt;"","Paid",IF($D13="","Not sent",IF(TODAY()&gt;$K13,"OVERDUE","Due"))))</f>
        <v/>
      </c>
    </row>
    <row r="14" customFormat="false" ht="15" hidden="false" customHeight="false" outlineLevel="0" collapsed="false">
      <c r="A14" s="23"/>
      <c r="B14" s="23"/>
      <c r="C14" s="34"/>
      <c r="D14" s="22"/>
      <c r="E14" s="22"/>
      <c r="F14" s="23"/>
      <c r="G14" s="31" t="str">
        <f aca="false">IF($B14="","",COUNTIFS('Cleans Log'!$M$5:$M$1004,$B14,'Cleans Log'!$Q$5:$Q$1004,$C14,'Cleans Log'!$N$5:$N$1004,"&gt;0"))</f>
        <v/>
      </c>
      <c r="H14" s="28" t="str">
        <f aca="false">IF($B14="","",SUMIFS('Cleans Log'!$N$5:$N$1004,'Cleans Log'!$M$5:$M$1004,$B14,'Cleans Log'!$Q$5:$Q$1004,$C14))</f>
        <v/>
      </c>
      <c r="I14" s="28" t="str">
        <f aca="false">IF($B14="","",SUMIFS(Purchases!$N$5:$N$1004,Purchases!$L$5:$L$1004,$B14,Purchases!$P$5:$P$1004,$C14))</f>
        <v/>
      </c>
      <c r="J14" s="28" t="str">
        <f aca="false">IF($B14="","",$H14+$I14)</f>
        <v/>
      </c>
      <c r="K14" s="30" t="str">
        <f aca="false">IF(OR($B14="",$D14=""),"",$D14+Settings!$B$12)</f>
        <v/>
      </c>
      <c r="L14" s="27" t="str">
        <f aca="true">IF($B14="","",IF($E14&lt;&gt;"","Paid",IF($D14="","Not sent",IF(TODAY()&gt;$K14,"OVERDUE","Due"))))</f>
        <v/>
      </c>
    </row>
    <row r="15" customFormat="false" ht="15" hidden="false" customHeight="false" outlineLevel="0" collapsed="false">
      <c r="A15" s="23"/>
      <c r="B15" s="23"/>
      <c r="C15" s="34"/>
      <c r="D15" s="22"/>
      <c r="E15" s="22"/>
      <c r="F15" s="23"/>
      <c r="G15" s="31" t="str">
        <f aca="false">IF($B15="","",COUNTIFS('Cleans Log'!$M$5:$M$1004,$B15,'Cleans Log'!$Q$5:$Q$1004,$C15,'Cleans Log'!$N$5:$N$1004,"&gt;0"))</f>
        <v/>
      </c>
      <c r="H15" s="28" t="str">
        <f aca="false">IF($B15="","",SUMIFS('Cleans Log'!$N$5:$N$1004,'Cleans Log'!$M$5:$M$1004,$B15,'Cleans Log'!$Q$5:$Q$1004,$C15))</f>
        <v/>
      </c>
      <c r="I15" s="28" t="str">
        <f aca="false">IF($B15="","",SUMIFS(Purchases!$N$5:$N$1004,Purchases!$L$5:$L$1004,$B15,Purchases!$P$5:$P$1004,$C15))</f>
        <v/>
      </c>
      <c r="J15" s="28" t="str">
        <f aca="false">IF($B15="","",$H15+$I15)</f>
        <v/>
      </c>
      <c r="K15" s="30" t="str">
        <f aca="false">IF(OR($B15="",$D15=""),"",$D15+Settings!$B$12)</f>
        <v/>
      </c>
      <c r="L15" s="27" t="str">
        <f aca="true">IF($B15="","",IF($E15&lt;&gt;"","Paid",IF($D15="","Not sent",IF(TODAY()&gt;$K15,"OVERDUE","Due"))))</f>
        <v/>
      </c>
    </row>
    <row r="16" customFormat="false" ht="15" hidden="false" customHeight="false" outlineLevel="0" collapsed="false">
      <c r="A16" s="23"/>
      <c r="B16" s="23"/>
      <c r="C16" s="34"/>
      <c r="D16" s="22"/>
      <c r="E16" s="22"/>
      <c r="F16" s="23"/>
      <c r="G16" s="31" t="str">
        <f aca="false">IF($B16="","",COUNTIFS('Cleans Log'!$M$5:$M$1004,$B16,'Cleans Log'!$Q$5:$Q$1004,$C16,'Cleans Log'!$N$5:$N$1004,"&gt;0"))</f>
        <v/>
      </c>
      <c r="H16" s="28" t="str">
        <f aca="false">IF($B16="","",SUMIFS('Cleans Log'!$N$5:$N$1004,'Cleans Log'!$M$5:$M$1004,$B16,'Cleans Log'!$Q$5:$Q$1004,$C16))</f>
        <v/>
      </c>
      <c r="I16" s="28" t="str">
        <f aca="false">IF($B16="","",SUMIFS(Purchases!$N$5:$N$1004,Purchases!$L$5:$L$1004,$B16,Purchases!$P$5:$P$1004,$C16))</f>
        <v/>
      </c>
      <c r="J16" s="28" t="str">
        <f aca="false">IF($B16="","",$H16+$I16)</f>
        <v/>
      </c>
      <c r="K16" s="30" t="str">
        <f aca="false">IF(OR($B16="",$D16=""),"",$D16+Settings!$B$12)</f>
        <v/>
      </c>
      <c r="L16" s="27" t="str">
        <f aca="true">IF($B16="","",IF($E16&lt;&gt;"","Paid",IF($D16="","Not sent",IF(TODAY()&gt;$K16,"OVERDUE","Due"))))</f>
        <v/>
      </c>
    </row>
    <row r="17" customFormat="false" ht="15" hidden="false" customHeight="false" outlineLevel="0" collapsed="false">
      <c r="A17" s="23"/>
      <c r="B17" s="23"/>
      <c r="C17" s="34"/>
      <c r="D17" s="22"/>
      <c r="E17" s="22"/>
      <c r="F17" s="23"/>
      <c r="G17" s="31" t="str">
        <f aca="false">IF($B17="","",COUNTIFS('Cleans Log'!$M$5:$M$1004,$B17,'Cleans Log'!$Q$5:$Q$1004,$C17,'Cleans Log'!$N$5:$N$1004,"&gt;0"))</f>
        <v/>
      </c>
      <c r="H17" s="28" t="str">
        <f aca="false">IF($B17="","",SUMIFS('Cleans Log'!$N$5:$N$1004,'Cleans Log'!$M$5:$M$1004,$B17,'Cleans Log'!$Q$5:$Q$1004,$C17))</f>
        <v/>
      </c>
      <c r="I17" s="28" t="str">
        <f aca="false">IF($B17="","",SUMIFS(Purchases!$N$5:$N$1004,Purchases!$L$5:$L$1004,$B17,Purchases!$P$5:$P$1004,$C17))</f>
        <v/>
      </c>
      <c r="J17" s="28" t="str">
        <f aca="false">IF($B17="","",$H17+$I17)</f>
        <v/>
      </c>
      <c r="K17" s="30" t="str">
        <f aca="false">IF(OR($B17="",$D17=""),"",$D17+Settings!$B$12)</f>
        <v/>
      </c>
      <c r="L17" s="27" t="str">
        <f aca="true">IF($B17="","",IF($E17&lt;&gt;"","Paid",IF($D17="","Not sent",IF(TODAY()&gt;$K17,"OVERDUE","Due"))))</f>
        <v/>
      </c>
    </row>
    <row r="18" customFormat="false" ht="15" hidden="false" customHeight="false" outlineLevel="0" collapsed="false">
      <c r="A18" s="23"/>
      <c r="B18" s="23"/>
      <c r="C18" s="34"/>
      <c r="D18" s="22"/>
      <c r="E18" s="22"/>
      <c r="F18" s="23"/>
      <c r="G18" s="31" t="str">
        <f aca="false">IF($B18="","",COUNTIFS('Cleans Log'!$M$5:$M$1004,$B18,'Cleans Log'!$Q$5:$Q$1004,$C18,'Cleans Log'!$N$5:$N$1004,"&gt;0"))</f>
        <v/>
      </c>
      <c r="H18" s="28" t="str">
        <f aca="false">IF($B18="","",SUMIFS('Cleans Log'!$N$5:$N$1004,'Cleans Log'!$M$5:$M$1004,$B18,'Cleans Log'!$Q$5:$Q$1004,$C18))</f>
        <v/>
      </c>
      <c r="I18" s="28" t="str">
        <f aca="false">IF($B18="","",SUMIFS(Purchases!$N$5:$N$1004,Purchases!$L$5:$L$1004,$B18,Purchases!$P$5:$P$1004,$C18))</f>
        <v/>
      </c>
      <c r="J18" s="28" t="str">
        <f aca="false">IF($B18="","",$H18+$I18)</f>
        <v/>
      </c>
      <c r="K18" s="30" t="str">
        <f aca="false">IF(OR($B18="",$D18=""),"",$D18+Settings!$B$12)</f>
        <v/>
      </c>
      <c r="L18" s="27" t="str">
        <f aca="true">IF($B18="","",IF($E18&lt;&gt;"","Paid",IF($D18="","Not sent",IF(TODAY()&gt;$K18,"OVERDUE","Due"))))</f>
        <v/>
      </c>
    </row>
    <row r="19" customFormat="false" ht="15" hidden="false" customHeight="false" outlineLevel="0" collapsed="false">
      <c r="A19" s="23"/>
      <c r="B19" s="23"/>
      <c r="C19" s="34"/>
      <c r="D19" s="22"/>
      <c r="E19" s="22"/>
      <c r="F19" s="23"/>
      <c r="G19" s="31" t="str">
        <f aca="false">IF($B19="","",COUNTIFS('Cleans Log'!$M$5:$M$1004,$B19,'Cleans Log'!$Q$5:$Q$1004,$C19,'Cleans Log'!$N$5:$N$1004,"&gt;0"))</f>
        <v/>
      </c>
      <c r="H19" s="28" t="str">
        <f aca="false">IF($B19="","",SUMIFS('Cleans Log'!$N$5:$N$1004,'Cleans Log'!$M$5:$M$1004,$B19,'Cleans Log'!$Q$5:$Q$1004,$C19))</f>
        <v/>
      </c>
      <c r="I19" s="28" t="str">
        <f aca="false">IF($B19="","",SUMIFS(Purchases!$N$5:$N$1004,Purchases!$L$5:$L$1004,$B19,Purchases!$P$5:$P$1004,$C19))</f>
        <v/>
      </c>
      <c r="J19" s="28" t="str">
        <f aca="false">IF($B19="","",$H19+$I19)</f>
        <v/>
      </c>
      <c r="K19" s="30" t="str">
        <f aca="false">IF(OR($B19="",$D19=""),"",$D19+Settings!$B$12)</f>
        <v/>
      </c>
      <c r="L19" s="27" t="str">
        <f aca="true">IF($B19="","",IF($E19&lt;&gt;"","Paid",IF($D19="","Not sent",IF(TODAY()&gt;$K19,"OVERDUE","Due"))))</f>
        <v/>
      </c>
    </row>
    <row r="20" customFormat="false" ht="15" hidden="false" customHeight="false" outlineLevel="0" collapsed="false">
      <c r="A20" s="23"/>
      <c r="B20" s="23"/>
      <c r="C20" s="34"/>
      <c r="D20" s="22"/>
      <c r="E20" s="22"/>
      <c r="F20" s="23"/>
      <c r="G20" s="31" t="str">
        <f aca="false">IF($B20="","",COUNTIFS('Cleans Log'!$M$5:$M$1004,$B20,'Cleans Log'!$Q$5:$Q$1004,$C20,'Cleans Log'!$N$5:$N$1004,"&gt;0"))</f>
        <v/>
      </c>
      <c r="H20" s="28" t="str">
        <f aca="false">IF($B20="","",SUMIFS('Cleans Log'!$N$5:$N$1004,'Cleans Log'!$M$5:$M$1004,$B20,'Cleans Log'!$Q$5:$Q$1004,$C20))</f>
        <v/>
      </c>
      <c r="I20" s="28" t="str">
        <f aca="false">IF($B20="","",SUMIFS(Purchases!$N$5:$N$1004,Purchases!$L$5:$L$1004,$B20,Purchases!$P$5:$P$1004,$C20))</f>
        <v/>
      </c>
      <c r="J20" s="28" t="str">
        <f aca="false">IF($B20="","",$H20+$I20)</f>
        <v/>
      </c>
      <c r="K20" s="30" t="str">
        <f aca="false">IF(OR($B20="",$D20=""),"",$D20+Settings!$B$12)</f>
        <v/>
      </c>
      <c r="L20" s="27" t="str">
        <f aca="true">IF($B20="","",IF($E20&lt;&gt;"","Paid",IF($D20="","Not sent",IF(TODAY()&gt;$K20,"OVERDUE","Due"))))</f>
        <v/>
      </c>
    </row>
    <row r="21" customFormat="false" ht="15" hidden="false" customHeight="false" outlineLevel="0" collapsed="false">
      <c r="A21" s="23"/>
      <c r="B21" s="23"/>
      <c r="C21" s="34"/>
      <c r="D21" s="22"/>
      <c r="E21" s="22"/>
      <c r="F21" s="23"/>
      <c r="G21" s="31" t="str">
        <f aca="false">IF($B21="","",COUNTIFS('Cleans Log'!$M$5:$M$1004,$B21,'Cleans Log'!$Q$5:$Q$1004,$C21,'Cleans Log'!$N$5:$N$1004,"&gt;0"))</f>
        <v/>
      </c>
      <c r="H21" s="28" t="str">
        <f aca="false">IF($B21="","",SUMIFS('Cleans Log'!$N$5:$N$1004,'Cleans Log'!$M$5:$M$1004,$B21,'Cleans Log'!$Q$5:$Q$1004,$C21))</f>
        <v/>
      </c>
      <c r="I21" s="28" t="str">
        <f aca="false">IF($B21="","",SUMIFS(Purchases!$N$5:$N$1004,Purchases!$L$5:$L$1004,$B21,Purchases!$P$5:$P$1004,$C21))</f>
        <v/>
      </c>
      <c r="J21" s="28" t="str">
        <f aca="false">IF($B21="","",$H21+$I21)</f>
        <v/>
      </c>
      <c r="K21" s="30" t="str">
        <f aca="false">IF(OR($B21="",$D21=""),"",$D21+Settings!$B$12)</f>
        <v/>
      </c>
      <c r="L21" s="27" t="str">
        <f aca="true">IF($B21="","",IF($E21&lt;&gt;"","Paid",IF($D21="","Not sent",IF(TODAY()&gt;$K21,"OVERDUE","Due"))))</f>
        <v/>
      </c>
    </row>
    <row r="22" customFormat="false" ht="15" hidden="false" customHeight="false" outlineLevel="0" collapsed="false">
      <c r="A22" s="23"/>
      <c r="B22" s="23"/>
      <c r="C22" s="34"/>
      <c r="D22" s="22"/>
      <c r="E22" s="22"/>
      <c r="F22" s="23"/>
      <c r="G22" s="31" t="str">
        <f aca="false">IF($B22="","",COUNTIFS('Cleans Log'!$M$5:$M$1004,$B22,'Cleans Log'!$Q$5:$Q$1004,$C22,'Cleans Log'!$N$5:$N$1004,"&gt;0"))</f>
        <v/>
      </c>
      <c r="H22" s="28" t="str">
        <f aca="false">IF($B22="","",SUMIFS('Cleans Log'!$N$5:$N$1004,'Cleans Log'!$M$5:$M$1004,$B22,'Cleans Log'!$Q$5:$Q$1004,$C22))</f>
        <v/>
      </c>
      <c r="I22" s="28" t="str">
        <f aca="false">IF($B22="","",SUMIFS(Purchases!$N$5:$N$1004,Purchases!$L$5:$L$1004,$B22,Purchases!$P$5:$P$1004,$C22))</f>
        <v/>
      </c>
      <c r="J22" s="28" t="str">
        <f aca="false">IF($B22="","",$H22+$I22)</f>
        <v/>
      </c>
      <c r="K22" s="30" t="str">
        <f aca="false">IF(OR($B22="",$D22=""),"",$D22+Settings!$B$12)</f>
        <v/>
      </c>
      <c r="L22" s="27" t="str">
        <f aca="true">IF($B22="","",IF($E22&lt;&gt;"","Paid",IF($D22="","Not sent",IF(TODAY()&gt;$K22,"OVERDUE","Due"))))</f>
        <v/>
      </c>
    </row>
    <row r="23" customFormat="false" ht="15" hidden="false" customHeight="false" outlineLevel="0" collapsed="false">
      <c r="A23" s="23"/>
      <c r="B23" s="23"/>
      <c r="C23" s="34"/>
      <c r="D23" s="22"/>
      <c r="E23" s="22"/>
      <c r="F23" s="23"/>
      <c r="G23" s="31" t="str">
        <f aca="false">IF($B23="","",COUNTIFS('Cleans Log'!$M$5:$M$1004,$B23,'Cleans Log'!$Q$5:$Q$1004,$C23,'Cleans Log'!$N$5:$N$1004,"&gt;0"))</f>
        <v/>
      </c>
      <c r="H23" s="28" t="str">
        <f aca="false">IF($B23="","",SUMIFS('Cleans Log'!$N$5:$N$1004,'Cleans Log'!$M$5:$M$1004,$B23,'Cleans Log'!$Q$5:$Q$1004,$C23))</f>
        <v/>
      </c>
      <c r="I23" s="28" t="str">
        <f aca="false">IF($B23="","",SUMIFS(Purchases!$N$5:$N$1004,Purchases!$L$5:$L$1004,$B23,Purchases!$P$5:$P$1004,$C23))</f>
        <v/>
      </c>
      <c r="J23" s="28" t="str">
        <f aca="false">IF($B23="","",$H23+$I23)</f>
        <v/>
      </c>
      <c r="K23" s="30" t="str">
        <f aca="false">IF(OR($B23="",$D23=""),"",$D23+Settings!$B$12)</f>
        <v/>
      </c>
      <c r="L23" s="27" t="str">
        <f aca="true">IF($B23="","",IF($E23&lt;&gt;"","Paid",IF($D23="","Not sent",IF(TODAY()&gt;$K23,"OVERDUE","Due"))))</f>
        <v/>
      </c>
    </row>
    <row r="24" customFormat="false" ht="15" hidden="false" customHeight="false" outlineLevel="0" collapsed="false">
      <c r="A24" s="23"/>
      <c r="B24" s="23"/>
      <c r="C24" s="34"/>
      <c r="D24" s="22"/>
      <c r="E24" s="22"/>
      <c r="F24" s="23"/>
      <c r="G24" s="31" t="str">
        <f aca="false">IF($B24="","",COUNTIFS('Cleans Log'!$M$5:$M$1004,$B24,'Cleans Log'!$Q$5:$Q$1004,$C24,'Cleans Log'!$N$5:$N$1004,"&gt;0"))</f>
        <v/>
      </c>
      <c r="H24" s="28" t="str">
        <f aca="false">IF($B24="","",SUMIFS('Cleans Log'!$N$5:$N$1004,'Cleans Log'!$M$5:$M$1004,$B24,'Cleans Log'!$Q$5:$Q$1004,$C24))</f>
        <v/>
      </c>
      <c r="I24" s="28" t="str">
        <f aca="false">IF($B24="","",SUMIFS(Purchases!$N$5:$N$1004,Purchases!$L$5:$L$1004,$B24,Purchases!$P$5:$P$1004,$C24))</f>
        <v/>
      </c>
      <c r="J24" s="28" t="str">
        <f aca="false">IF($B24="","",$H24+$I24)</f>
        <v/>
      </c>
      <c r="K24" s="30" t="str">
        <f aca="false">IF(OR($B24="",$D24=""),"",$D24+Settings!$B$12)</f>
        <v/>
      </c>
      <c r="L24" s="27" t="str">
        <f aca="true">IF($B24="","",IF($E24&lt;&gt;"","Paid",IF($D24="","Not sent",IF(TODAY()&gt;$K24,"OVERDUE","Due"))))</f>
        <v/>
      </c>
    </row>
    <row r="25" customFormat="false" ht="15" hidden="false" customHeight="false" outlineLevel="0" collapsed="false">
      <c r="A25" s="23"/>
      <c r="B25" s="23"/>
      <c r="C25" s="34"/>
      <c r="D25" s="22"/>
      <c r="E25" s="22"/>
      <c r="F25" s="23"/>
      <c r="G25" s="31" t="str">
        <f aca="false">IF($B25="","",COUNTIFS('Cleans Log'!$M$5:$M$1004,$B25,'Cleans Log'!$Q$5:$Q$1004,$C25,'Cleans Log'!$N$5:$N$1004,"&gt;0"))</f>
        <v/>
      </c>
      <c r="H25" s="28" t="str">
        <f aca="false">IF($B25="","",SUMIFS('Cleans Log'!$N$5:$N$1004,'Cleans Log'!$M$5:$M$1004,$B25,'Cleans Log'!$Q$5:$Q$1004,$C25))</f>
        <v/>
      </c>
      <c r="I25" s="28" t="str">
        <f aca="false">IF($B25="","",SUMIFS(Purchases!$N$5:$N$1004,Purchases!$L$5:$L$1004,$B25,Purchases!$P$5:$P$1004,$C25))</f>
        <v/>
      </c>
      <c r="J25" s="28" t="str">
        <f aca="false">IF($B25="","",$H25+$I25)</f>
        <v/>
      </c>
      <c r="K25" s="30" t="str">
        <f aca="false">IF(OR($B25="",$D25=""),"",$D25+Settings!$B$12)</f>
        <v/>
      </c>
      <c r="L25" s="27" t="str">
        <f aca="true">IF($B25="","",IF($E25&lt;&gt;"","Paid",IF($D25="","Not sent",IF(TODAY()&gt;$K25,"OVERDUE","Due"))))</f>
        <v/>
      </c>
    </row>
    <row r="26" customFormat="false" ht="15" hidden="false" customHeight="false" outlineLevel="0" collapsed="false">
      <c r="A26" s="23"/>
      <c r="B26" s="23"/>
      <c r="C26" s="34"/>
      <c r="D26" s="22"/>
      <c r="E26" s="22"/>
      <c r="F26" s="23"/>
      <c r="G26" s="31" t="str">
        <f aca="false">IF($B26="","",COUNTIFS('Cleans Log'!$M$5:$M$1004,$B26,'Cleans Log'!$Q$5:$Q$1004,$C26,'Cleans Log'!$N$5:$N$1004,"&gt;0"))</f>
        <v/>
      </c>
      <c r="H26" s="28" t="str">
        <f aca="false">IF($B26="","",SUMIFS('Cleans Log'!$N$5:$N$1004,'Cleans Log'!$M$5:$M$1004,$B26,'Cleans Log'!$Q$5:$Q$1004,$C26))</f>
        <v/>
      </c>
      <c r="I26" s="28" t="str">
        <f aca="false">IF($B26="","",SUMIFS(Purchases!$N$5:$N$1004,Purchases!$L$5:$L$1004,$B26,Purchases!$P$5:$P$1004,$C26))</f>
        <v/>
      </c>
      <c r="J26" s="28" t="str">
        <f aca="false">IF($B26="","",$H26+$I26)</f>
        <v/>
      </c>
      <c r="K26" s="30" t="str">
        <f aca="false">IF(OR($B26="",$D26=""),"",$D26+Settings!$B$12)</f>
        <v/>
      </c>
      <c r="L26" s="27" t="str">
        <f aca="true">IF($B26="","",IF($E26&lt;&gt;"","Paid",IF($D26="","Not sent",IF(TODAY()&gt;$K26,"OVERDUE","Due"))))</f>
        <v/>
      </c>
    </row>
    <row r="27" customFormat="false" ht="15" hidden="false" customHeight="false" outlineLevel="0" collapsed="false">
      <c r="A27" s="23"/>
      <c r="B27" s="23"/>
      <c r="C27" s="34"/>
      <c r="D27" s="22"/>
      <c r="E27" s="22"/>
      <c r="F27" s="23"/>
      <c r="G27" s="31" t="str">
        <f aca="false">IF($B27="","",COUNTIFS('Cleans Log'!$M$5:$M$1004,$B27,'Cleans Log'!$Q$5:$Q$1004,$C27,'Cleans Log'!$N$5:$N$1004,"&gt;0"))</f>
        <v/>
      </c>
      <c r="H27" s="28" t="str">
        <f aca="false">IF($B27="","",SUMIFS('Cleans Log'!$N$5:$N$1004,'Cleans Log'!$M$5:$M$1004,$B27,'Cleans Log'!$Q$5:$Q$1004,$C27))</f>
        <v/>
      </c>
      <c r="I27" s="28" t="str">
        <f aca="false">IF($B27="","",SUMIFS(Purchases!$N$5:$N$1004,Purchases!$L$5:$L$1004,$B27,Purchases!$P$5:$P$1004,$C27))</f>
        <v/>
      </c>
      <c r="J27" s="28" t="str">
        <f aca="false">IF($B27="","",$H27+$I27)</f>
        <v/>
      </c>
      <c r="K27" s="30" t="str">
        <f aca="false">IF(OR($B27="",$D27=""),"",$D27+Settings!$B$12)</f>
        <v/>
      </c>
      <c r="L27" s="27" t="str">
        <f aca="true">IF($B27="","",IF($E27&lt;&gt;"","Paid",IF($D27="","Not sent",IF(TODAY()&gt;$K27,"OVERDUE","Due"))))</f>
        <v/>
      </c>
    </row>
    <row r="28" customFormat="false" ht="15" hidden="false" customHeight="false" outlineLevel="0" collapsed="false">
      <c r="A28" s="23"/>
      <c r="B28" s="23"/>
      <c r="C28" s="34"/>
      <c r="D28" s="22"/>
      <c r="E28" s="22"/>
      <c r="F28" s="23"/>
      <c r="G28" s="31" t="str">
        <f aca="false">IF($B28="","",COUNTIFS('Cleans Log'!$M$5:$M$1004,$B28,'Cleans Log'!$Q$5:$Q$1004,$C28,'Cleans Log'!$N$5:$N$1004,"&gt;0"))</f>
        <v/>
      </c>
      <c r="H28" s="28" t="str">
        <f aca="false">IF($B28="","",SUMIFS('Cleans Log'!$N$5:$N$1004,'Cleans Log'!$M$5:$M$1004,$B28,'Cleans Log'!$Q$5:$Q$1004,$C28))</f>
        <v/>
      </c>
      <c r="I28" s="28" t="str">
        <f aca="false">IF($B28="","",SUMIFS(Purchases!$N$5:$N$1004,Purchases!$L$5:$L$1004,$B28,Purchases!$P$5:$P$1004,$C28))</f>
        <v/>
      </c>
      <c r="J28" s="28" t="str">
        <f aca="false">IF($B28="","",$H28+$I28)</f>
        <v/>
      </c>
      <c r="K28" s="30" t="str">
        <f aca="false">IF(OR($B28="",$D28=""),"",$D28+Settings!$B$12)</f>
        <v/>
      </c>
      <c r="L28" s="27" t="str">
        <f aca="true">IF($B28="","",IF($E28&lt;&gt;"","Paid",IF($D28="","Not sent",IF(TODAY()&gt;$K28,"OVERDUE","Due"))))</f>
        <v/>
      </c>
    </row>
    <row r="29" customFormat="false" ht="15" hidden="false" customHeight="false" outlineLevel="0" collapsed="false">
      <c r="A29" s="23"/>
      <c r="B29" s="23"/>
      <c r="C29" s="34"/>
      <c r="D29" s="22"/>
      <c r="E29" s="22"/>
      <c r="F29" s="23"/>
      <c r="G29" s="31" t="str">
        <f aca="false">IF($B29="","",COUNTIFS('Cleans Log'!$M$5:$M$1004,$B29,'Cleans Log'!$Q$5:$Q$1004,$C29,'Cleans Log'!$N$5:$N$1004,"&gt;0"))</f>
        <v/>
      </c>
      <c r="H29" s="28" t="str">
        <f aca="false">IF($B29="","",SUMIFS('Cleans Log'!$N$5:$N$1004,'Cleans Log'!$M$5:$M$1004,$B29,'Cleans Log'!$Q$5:$Q$1004,$C29))</f>
        <v/>
      </c>
      <c r="I29" s="28" t="str">
        <f aca="false">IF($B29="","",SUMIFS(Purchases!$N$5:$N$1004,Purchases!$L$5:$L$1004,$B29,Purchases!$P$5:$P$1004,$C29))</f>
        <v/>
      </c>
      <c r="J29" s="28" t="str">
        <f aca="false">IF($B29="","",$H29+$I29)</f>
        <v/>
      </c>
      <c r="K29" s="30" t="str">
        <f aca="false">IF(OR($B29="",$D29=""),"",$D29+Settings!$B$12)</f>
        <v/>
      </c>
      <c r="L29" s="27" t="str">
        <f aca="true">IF($B29="","",IF($E29&lt;&gt;"","Paid",IF($D29="","Not sent",IF(TODAY()&gt;$K29,"OVERDUE","Due"))))</f>
        <v/>
      </c>
    </row>
    <row r="30" customFormat="false" ht="15" hidden="false" customHeight="false" outlineLevel="0" collapsed="false">
      <c r="A30" s="23"/>
      <c r="B30" s="23"/>
      <c r="C30" s="34"/>
      <c r="D30" s="22"/>
      <c r="E30" s="22"/>
      <c r="F30" s="23"/>
      <c r="G30" s="31" t="str">
        <f aca="false">IF($B30="","",COUNTIFS('Cleans Log'!$M$5:$M$1004,$B30,'Cleans Log'!$Q$5:$Q$1004,$C30,'Cleans Log'!$N$5:$N$1004,"&gt;0"))</f>
        <v/>
      </c>
      <c r="H30" s="28" t="str">
        <f aca="false">IF($B30="","",SUMIFS('Cleans Log'!$N$5:$N$1004,'Cleans Log'!$M$5:$M$1004,$B30,'Cleans Log'!$Q$5:$Q$1004,$C30))</f>
        <v/>
      </c>
      <c r="I30" s="28" t="str">
        <f aca="false">IF($B30="","",SUMIFS(Purchases!$N$5:$N$1004,Purchases!$L$5:$L$1004,$B30,Purchases!$P$5:$P$1004,$C30))</f>
        <v/>
      </c>
      <c r="J30" s="28" t="str">
        <f aca="false">IF($B30="","",$H30+$I30)</f>
        <v/>
      </c>
      <c r="K30" s="30" t="str">
        <f aca="false">IF(OR($B30="",$D30=""),"",$D30+Settings!$B$12)</f>
        <v/>
      </c>
      <c r="L30" s="27" t="str">
        <f aca="true">IF($B30="","",IF($E30&lt;&gt;"","Paid",IF($D30="","Not sent",IF(TODAY()&gt;$K30,"OVERDUE","Due"))))</f>
        <v/>
      </c>
    </row>
    <row r="31" customFormat="false" ht="15" hidden="false" customHeight="false" outlineLevel="0" collapsed="false">
      <c r="A31" s="23"/>
      <c r="B31" s="23"/>
      <c r="C31" s="34"/>
      <c r="D31" s="22"/>
      <c r="E31" s="22"/>
      <c r="F31" s="23"/>
      <c r="G31" s="31" t="str">
        <f aca="false">IF($B31="","",COUNTIFS('Cleans Log'!$M$5:$M$1004,$B31,'Cleans Log'!$Q$5:$Q$1004,$C31,'Cleans Log'!$N$5:$N$1004,"&gt;0"))</f>
        <v/>
      </c>
      <c r="H31" s="28" t="str">
        <f aca="false">IF($B31="","",SUMIFS('Cleans Log'!$N$5:$N$1004,'Cleans Log'!$M$5:$M$1004,$B31,'Cleans Log'!$Q$5:$Q$1004,$C31))</f>
        <v/>
      </c>
      <c r="I31" s="28" t="str">
        <f aca="false">IF($B31="","",SUMIFS(Purchases!$N$5:$N$1004,Purchases!$L$5:$L$1004,$B31,Purchases!$P$5:$P$1004,$C31))</f>
        <v/>
      </c>
      <c r="J31" s="28" t="str">
        <f aca="false">IF($B31="","",$H31+$I31)</f>
        <v/>
      </c>
      <c r="K31" s="30" t="str">
        <f aca="false">IF(OR($B31="",$D31=""),"",$D31+Settings!$B$12)</f>
        <v/>
      </c>
      <c r="L31" s="27" t="str">
        <f aca="true">IF($B31="","",IF($E31&lt;&gt;"","Paid",IF($D31="","Not sent",IF(TODAY()&gt;$K31,"OVERDUE","Due"))))</f>
        <v/>
      </c>
    </row>
    <row r="32" customFormat="false" ht="15" hidden="false" customHeight="false" outlineLevel="0" collapsed="false">
      <c r="A32" s="23"/>
      <c r="B32" s="23"/>
      <c r="C32" s="34"/>
      <c r="D32" s="22"/>
      <c r="E32" s="22"/>
      <c r="F32" s="23"/>
      <c r="G32" s="31" t="str">
        <f aca="false">IF($B32="","",COUNTIFS('Cleans Log'!$M$5:$M$1004,$B32,'Cleans Log'!$Q$5:$Q$1004,$C32,'Cleans Log'!$N$5:$N$1004,"&gt;0"))</f>
        <v/>
      </c>
      <c r="H32" s="28" t="str">
        <f aca="false">IF($B32="","",SUMIFS('Cleans Log'!$N$5:$N$1004,'Cleans Log'!$M$5:$M$1004,$B32,'Cleans Log'!$Q$5:$Q$1004,$C32))</f>
        <v/>
      </c>
      <c r="I32" s="28" t="str">
        <f aca="false">IF($B32="","",SUMIFS(Purchases!$N$5:$N$1004,Purchases!$L$5:$L$1004,$B32,Purchases!$P$5:$P$1004,$C32))</f>
        <v/>
      </c>
      <c r="J32" s="28" t="str">
        <f aca="false">IF($B32="","",$H32+$I32)</f>
        <v/>
      </c>
      <c r="K32" s="30" t="str">
        <f aca="false">IF(OR($B32="",$D32=""),"",$D32+Settings!$B$12)</f>
        <v/>
      </c>
      <c r="L32" s="27" t="str">
        <f aca="true">IF($B32="","",IF($E32&lt;&gt;"","Paid",IF($D32="","Not sent",IF(TODAY()&gt;$K32,"OVERDUE","Due"))))</f>
        <v/>
      </c>
    </row>
    <row r="33" customFormat="false" ht="15" hidden="false" customHeight="false" outlineLevel="0" collapsed="false">
      <c r="A33" s="23"/>
      <c r="B33" s="23"/>
      <c r="C33" s="34"/>
      <c r="D33" s="22"/>
      <c r="E33" s="22"/>
      <c r="F33" s="23"/>
      <c r="G33" s="31" t="str">
        <f aca="false">IF($B33="","",COUNTIFS('Cleans Log'!$M$5:$M$1004,$B33,'Cleans Log'!$Q$5:$Q$1004,$C33,'Cleans Log'!$N$5:$N$1004,"&gt;0"))</f>
        <v/>
      </c>
      <c r="H33" s="28" t="str">
        <f aca="false">IF($B33="","",SUMIFS('Cleans Log'!$N$5:$N$1004,'Cleans Log'!$M$5:$M$1004,$B33,'Cleans Log'!$Q$5:$Q$1004,$C33))</f>
        <v/>
      </c>
      <c r="I33" s="28" t="str">
        <f aca="false">IF($B33="","",SUMIFS(Purchases!$N$5:$N$1004,Purchases!$L$5:$L$1004,$B33,Purchases!$P$5:$P$1004,$C33))</f>
        <v/>
      </c>
      <c r="J33" s="28" t="str">
        <f aca="false">IF($B33="","",$H33+$I33)</f>
        <v/>
      </c>
      <c r="K33" s="30" t="str">
        <f aca="false">IF(OR($B33="",$D33=""),"",$D33+Settings!$B$12)</f>
        <v/>
      </c>
      <c r="L33" s="27" t="str">
        <f aca="true">IF($B33="","",IF($E33&lt;&gt;"","Paid",IF($D33="","Not sent",IF(TODAY()&gt;$K33,"OVERDUE","Due"))))</f>
        <v/>
      </c>
    </row>
    <row r="34" customFormat="false" ht="15" hidden="false" customHeight="false" outlineLevel="0" collapsed="false">
      <c r="A34" s="23"/>
      <c r="B34" s="23"/>
      <c r="C34" s="34"/>
      <c r="D34" s="22"/>
      <c r="E34" s="22"/>
      <c r="F34" s="23"/>
      <c r="G34" s="31" t="str">
        <f aca="false">IF($B34="","",COUNTIFS('Cleans Log'!$M$5:$M$1004,$B34,'Cleans Log'!$Q$5:$Q$1004,$C34,'Cleans Log'!$N$5:$N$1004,"&gt;0"))</f>
        <v/>
      </c>
      <c r="H34" s="28" t="str">
        <f aca="false">IF($B34="","",SUMIFS('Cleans Log'!$N$5:$N$1004,'Cleans Log'!$M$5:$M$1004,$B34,'Cleans Log'!$Q$5:$Q$1004,$C34))</f>
        <v/>
      </c>
      <c r="I34" s="28" t="str">
        <f aca="false">IF($B34="","",SUMIFS(Purchases!$N$5:$N$1004,Purchases!$L$5:$L$1004,$B34,Purchases!$P$5:$P$1004,$C34))</f>
        <v/>
      </c>
      <c r="J34" s="28" t="str">
        <f aca="false">IF($B34="","",$H34+$I34)</f>
        <v/>
      </c>
      <c r="K34" s="30" t="str">
        <f aca="false">IF(OR($B34="",$D34=""),"",$D34+Settings!$B$12)</f>
        <v/>
      </c>
      <c r="L34" s="27" t="str">
        <f aca="true">IF($B34="","",IF($E34&lt;&gt;"","Paid",IF($D34="","Not sent",IF(TODAY()&gt;$K34,"OVERDUE","Due"))))</f>
        <v/>
      </c>
    </row>
    <row r="35" customFormat="false" ht="15" hidden="false" customHeight="false" outlineLevel="0" collapsed="false">
      <c r="A35" s="23"/>
      <c r="B35" s="23"/>
      <c r="C35" s="34"/>
      <c r="D35" s="22"/>
      <c r="E35" s="22"/>
      <c r="F35" s="23"/>
      <c r="G35" s="31" t="str">
        <f aca="false">IF($B35="","",COUNTIFS('Cleans Log'!$M$5:$M$1004,$B35,'Cleans Log'!$Q$5:$Q$1004,$C35,'Cleans Log'!$N$5:$N$1004,"&gt;0"))</f>
        <v/>
      </c>
      <c r="H35" s="28" t="str">
        <f aca="false">IF($B35="","",SUMIFS('Cleans Log'!$N$5:$N$1004,'Cleans Log'!$M$5:$M$1004,$B35,'Cleans Log'!$Q$5:$Q$1004,$C35))</f>
        <v/>
      </c>
      <c r="I35" s="28" t="str">
        <f aca="false">IF($B35="","",SUMIFS(Purchases!$N$5:$N$1004,Purchases!$L$5:$L$1004,$B35,Purchases!$P$5:$P$1004,$C35))</f>
        <v/>
      </c>
      <c r="J35" s="28" t="str">
        <f aca="false">IF($B35="","",$H35+$I35)</f>
        <v/>
      </c>
      <c r="K35" s="30" t="str">
        <f aca="false">IF(OR($B35="",$D35=""),"",$D35+Settings!$B$12)</f>
        <v/>
      </c>
      <c r="L35" s="27" t="str">
        <f aca="true">IF($B35="","",IF($E35&lt;&gt;"","Paid",IF($D35="","Not sent",IF(TODAY()&gt;$K35,"OVERDUE","Due"))))</f>
        <v/>
      </c>
    </row>
    <row r="36" customFormat="false" ht="15" hidden="false" customHeight="false" outlineLevel="0" collapsed="false">
      <c r="A36" s="23"/>
      <c r="B36" s="23"/>
      <c r="C36" s="34"/>
      <c r="D36" s="22"/>
      <c r="E36" s="22"/>
      <c r="F36" s="23"/>
      <c r="G36" s="31" t="str">
        <f aca="false">IF($B36="","",COUNTIFS('Cleans Log'!$M$5:$M$1004,$B36,'Cleans Log'!$Q$5:$Q$1004,$C36,'Cleans Log'!$N$5:$N$1004,"&gt;0"))</f>
        <v/>
      </c>
      <c r="H36" s="28" t="str">
        <f aca="false">IF($B36="","",SUMIFS('Cleans Log'!$N$5:$N$1004,'Cleans Log'!$M$5:$M$1004,$B36,'Cleans Log'!$Q$5:$Q$1004,$C36))</f>
        <v/>
      </c>
      <c r="I36" s="28" t="str">
        <f aca="false">IF($B36="","",SUMIFS(Purchases!$N$5:$N$1004,Purchases!$L$5:$L$1004,$B36,Purchases!$P$5:$P$1004,$C36))</f>
        <v/>
      </c>
      <c r="J36" s="28" t="str">
        <f aca="false">IF($B36="","",$H36+$I36)</f>
        <v/>
      </c>
      <c r="K36" s="30" t="str">
        <f aca="false">IF(OR($B36="",$D36=""),"",$D36+Settings!$B$12)</f>
        <v/>
      </c>
      <c r="L36" s="27" t="str">
        <f aca="true">IF($B36="","",IF($E36&lt;&gt;"","Paid",IF($D36="","Not sent",IF(TODAY()&gt;$K36,"OVERDUE","Due"))))</f>
        <v/>
      </c>
    </row>
    <row r="37" customFormat="false" ht="15" hidden="false" customHeight="false" outlineLevel="0" collapsed="false">
      <c r="A37" s="23"/>
      <c r="B37" s="23"/>
      <c r="C37" s="34"/>
      <c r="D37" s="22"/>
      <c r="E37" s="22"/>
      <c r="F37" s="23"/>
      <c r="G37" s="31" t="str">
        <f aca="false">IF($B37="","",COUNTIFS('Cleans Log'!$M$5:$M$1004,$B37,'Cleans Log'!$Q$5:$Q$1004,$C37,'Cleans Log'!$N$5:$N$1004,"&gt;0"))</f>
        <v/>
      </c>
      <c r="H37" s="28" t="str">
        <f aca="false">IF($B37="","",SUMIFS('Cleans Log'!$N$5:$N$1004,'Cleans Log'!$M$5:$M$1004,$B37,'Cleans Log'!$Q$5:$Q$1004,$C37))</f>
        <v/>
      </c>
      <c r="I37" s="28" t="str">
        <f aca="false">IF($B37="","",SUMIFS(Purchases!$N$5:$N$1004,Purchases!$L$5:$L$1004,$B37,Purchases!$P$5:$P$1004,$C37))</f>
        <v/>
      </c>
      <c r="J37" s="28" t="str">
        <f aca="false">IF($B37="","",$H37+$I37)</f>
        <v/>
      </c>
      <c r="K37" s="30" t="str">
        <f aca="false">IF(OR($B37="",$D37=""),"",$D37+Settings!$B$12)</f>
        <v/>
      </c>
      <c r="L37" s="27" t="str">
        <f aca="true">IF($B37="","",IF($E37&lt;&gt;"","Paid",IF($D37="","Not sent",IF(TODAY()&gt;$K37,"OVERDUE","Due"))))</f>
        <v/>
      </c>
    </row>
    <row r="38" customFormat="false" ht="15" hidden="false" customHeight="false" outlineLevel="0" collapsed="false">
      <c r="A38" s="23"/>
      <c r="B38" s="23"/>
      <c r="C38" s="34"/>
      <c r="D38" s="22"/>
      <c r="E38" s="22"/>
      <c r="F38" s="23"/>
      <c r="G38" s="31" t="str">
        <f aca="false">IF($B38="","",COUNTIFS('Cleans Log'!$M$5:$M$1004,$B38,'Cleans Log'!$Q$5:$Q$1004,$C38,'Cleans Log'!$N$5:$N$1004,"&gt;0"))</f>
        <v/>
      </c>
      <c r="H38" s="28" t="str">
        <f aca="false">IF($B38="","",SUMIFS('Cleans Log'!$N$5:$N$1004,'Cleans Log'!$M$5:$M$1004,$B38,'Cleans Log'!$Q$5:$Q$1004,$C38))</f>
        <v/>
      </c>
      <c r="I38" s="28" t="str">
        <f aca="false">IF($B38="","",SUMIFS(Purchases!$N$5:$N$1004,Purchases!$L$5:$L$1004,$B38,Purchases!$P$5:$P$1004,$C38))</f>
        <v/>
      </c>
      <c r="J38" s="28" t="str">
        <f aca="false">IF($B38="","",$H38+$I38)</f>
        <v/>
      </c>
      <c r="K38" s="30" t="str">
        <f aca="false">IF(OR($B38="",$D38=""),"",$D38+Settings!$B$12)</f>
        <v/>
      </c>
      <c r="L38" s="27" t="str">
        <f aca="true">IF($B38="","",IF($E38&lt;&gt;"","Paid",IF($D38="","Not sent",IF(TODAY()&gt;$K38,"OVERDUE","Due"))))</f>
        <v/>
      </c>
    </row>
    <row r="39" customFormat="false" ht="15" hidden="false" customHeight="false" outlineLevel="0" collapsed="false">
      <c r="A39" s="23"/>
      <c r="B39" s="23"/>
      <c r="C39" s="34"/>
      <c r="D39" s="22"/>
      <c r="E39" s="22"/>
      <c r="F39" s="23"/>
      <c r="G39" s="31" t="str">
        <f aca="false">IF($B39="","",COUNTIFS('Cleans Log'!$M$5:$M$1004,$B39,'Cleans Log'!$Q$5:$Q$1004,$C39,'Cleans Log'!$N$5:$N$1004,"&gt;0"))</f>
        <v/>
      </c>
      <c r="H39" s="28" t="str">
        <f aca="false">IF($B39="","",SUMIFS('Cleans Log'!$N$5:$N$1004,'Cleans Log'!$M$5:$M$1004,$B39,'Cleans Log'!$Q$5:$Q$1004,$C39))</f>
        <v/>
      </c>
      <c r="I39" s="28" t="str">
        <f aca="false">IF($B39="","",SUMIFS(Purchases!$N$5:$N$1004,Purchases!$L$5:$L$1004,$B39,Purchases!$P$5:$P$1004,$C39))</f>
        <v/>
      </c>
      <c r="J39" s="28" t="str">
        <f aca="false">IF($B39="","",$H39+$I39)</f>
        <v/>
      </c>
      <c r="K39" s="30" t="str">
        <f aca="false">IF(OR($B39="",$D39=""),"",$D39+Settings!$B$12)</f>
        <v/>
      </c>
      <c r="L39" s="27" t="str">
        <f aca="true">IF($B39="","",IF($E39&lt;&gt;"","Paid",IF($D39="","Not sent",IF(TODAY()&gt;$K39,"OVERDUE","Due"))))</f>
        <v/>
      </c>
    </row>
    <row r="40" customFormat="false" ht="15" hidden="false" customHeight="false" outlineLevel="0" collapsed="false">
      <c r="A40" s="23"/>
      <c r="B40" s="23"/>
      <c r="C40" s="34"/>
      <c r="D40" s="22"/>
      <c r="E40" s="22"/>
      <c r="F40" s="23"/>
      <c r="G40" s="31" t="str">
        <f aca="false">IF($B40="","",COUNTIFS('Cleans Log'!$M$5:$M$1004,$B40,'Cleans Log'!$Q$5:$Q$1004,$C40,'Cleans Log'!$N$5:$N$1004,"&gt;0"))</f>
        <v/>
      </c>
      <c r="H40" s="28" t="str">
        <f aca="false">IF($B40="","",SUMIFS('Cleans Log'!$N$5:$N$1004,'Cleans Log'!$M$5:$M$1004,$B40,'Cleans Log'!$Q$5:$Q$1004,$C40))</f>
        <v/>
      </c>
      <c r="I40" s="28" t="str">
        <f aca="false">IF($B40="","",SUMIFS(Purchases!$N$5:$N$1004,Purchases!$L$5:$L$1004,$B40,Purchases!$P$5:$P$1004,$C40))</f>
        <v/>
      </c>
      <c r="J40" s="28" t="str">
        <f aca="false">IF($B40="","",$H40+$I40)</f>
        <v/>
      </c>
      <c r="K40" s="30" t="str">
        <f aca="false">IF(OR($B40="",$D40=""),"",$D40+Settings!$B$12)</f>
        <v/>
      </c>
      <c r="L40" s="27" t="str">
        <f aca="true">IF($B40="","",IF($E40&lt;&gt;"","Paid",IF($D40="","Not sent",IF(TODAY()&gt;$K40,"OVERDUE","Due"))))</f>
        <v/>
      </c>
    </row>
    <row r="41" customFormat="false" ht="15" hidden="false" customHeight="false" outlineLevel="0" collapsed="false">
      <c r="A41" s="23"/>
      <c r="B41" s="23"/>
      <c r="C41" s="34"/>
      <c r="D41" s="22"/>
      <c r="E41" s="22"/>
      <c r="F41" s="23"/>
      <c r="G41" s="31" t="str">
        <f aca="false">IF($B41="","",COUNTIFS('Cleans Log'!$M$5:$M$1004,$B41,'Cleans Log'!$Q$5:$Q$1004,$C41,'Cleans Log'!$N$5:$N$1004,"&gt;0"))</f>
        <v/>
      </c>
      <c r="H41" s="28" t="str">
        <f aca="false">IF($B41="","",SUMIFS('Cleans Log'!$N$5:$N$1004,'Cleans Log'!$M$5:$M$1004,$B41,'Cleans Log'!$Q$5:$Q$1004,$C41))</f>
        <v/>
      </c>
      <c r="I41" s="28" t="str">
        <f aca="false">IF($B41="","",SUMIFS(Purchases!$N$5:$N$1004,Purchases!$L$5:$L$1004,$B41,Purchases!$P$5:$P$1004,$C41))</f>
        <v/>
      </c>
      <c r="J41" s="28" t="str">
        <f aca="false">IF($B41="","",$H41+$I41)</f>
        <v/>
      </c>
      <c r="K41" s="30" t="str">
        <f aca="false">IF(OR($B41="",$D41=""),"",$D41+Settings!$B$12)</f>
        <v/>
      </c>
      <c r="L41" s="27" t="str">
        <f aca="true">IF($B41="","",IF($E41&lt;&gt;"","Paid",IF($D41="","Not sent",IF(TODAY()&gt;$K41,"OVERDUE","Due"))))</f>
        <v/>
      </c>
    </row>
    <row r="42" customFormat="false" ht="15" hidden="false" customHeight="false" outlineLevel="0" collapsed="false">
      <c r="A42" s="23"/>
      <c r="B42" s="23"/>
      <c r="C42" s="34"/>
      <c r="D42" s="22"/>
      <c r="E42" s="22"/>
      <c r="F42" s="23"/>
      <c r="G42" s="31" t="str">
        <f aca="false">IF($B42="","",COUNTIFS('Cleans Log'!$M$5:$M$1004,$B42,'Cleans Log'!$Q$5:$Q$1004,$C42,'Cleans Log'!$N$5:$N$1004,"&gt;0"))</f>
        <v/>
      </c>
      <c r="H42" s="28" t="str">
        <f aca="false">IF($B42="","",SUMIFS('Cleans Log'!$N$5:$N$1004,'Cleans Log'!$M$5:$M$1004,$B42,'Cleans Log'!$Q$5:$Q$1004,$C42))</f>
        <v/>
      </c>
      <c r="I42" s="28" t="str">
        <f aca="false">IF($B42="","",SUMIFS(Purchases!$N$5:$N$1004,Purchases!$L$5:$L$1004,$B42,Purchases!$P$5:$P$1004,$C42))</f>
        <v/>
      </c>
      <c r="J42" s="28" t="str">
        <f aca="false">IF($B42="","",$H42+$I42)</f>
        <v/>
      </c>
      <c r="K42" s="30" t="str">
        <f aca="false">IF(OR($B42="",$D42=""),"",$D42+Settings!$B$12)</f>
        <v/>
      </c>
      <c r="L42" s="27" t="str">
        <f aca="true">IF($B42="","",IF($E42&lt;&gt;"","Paid",IF($D42="","Not sent",IF(TODAY()&gt;$K42,"OVERDUE","Due"))))</f>
        <v/>
      </c>
    </row>
    <row r="43" customFormat="false" ht="15" hidden="false" customHeight="false" outlineLevel="0" collapsed="false">
      <c r="A43" s="23"/>
      <c r="B43" s="23"/>
      <c r="C43" s="34"/>
      <c r="D43" s="22"/>
      <c r="E43" s="22"/>
      <c r="F43" s="23"/>
      <c r="G43" s="31" t="str">
        <f aca="false">IF($B43="","",COUNTIFS('Cleans Log'!$M$5:$M$1004,$B43,'Cleans Log'!$Q$5:$Q$1004,$C43,'Cleans Log'!$N$5:$N$1004,"&gt;0"))</f>
        <v/>
      </c>
      <c r="H43" s="28" t="str">
        <f aca="false">IF($B43="","",SUMIFS('Cleans Log'!$N$5:$N$1004,'Cleans Log'!$M$5:$M$1004,$B43,'Cleans Log'!$Q$5:$Q$1004,$C43))</f>
        <v/>
      </c>
      <c r="I43" s="28" t="str">
        <f aca="false">IF($B43="","",SUMIFS(Purchases!$N$5:$N$1004,Purchases!$L$5:$L$1004,$B43,Purchases!$P$5:$P$1004,$C43))</f>
        <v/>
      </c>
      <c r="J43" s="28" t="str">
        <f aca="false">IF($B43="","",$H43+$I43)</f>
        <v/>
      </c>
      <c r="K43" s="30" t="str">
        <f aca="false">IF(OR($B43="",$D43=""),"",$D43+Settings!$B$12)</f>
        <v/>
      </c>
      <c r="L43" s="27" t="str">
        <f aca="true">IF($B43="","",IF($E43&lt;&gt;"","Paid",IF($D43="","Not sent",IF(TODAY()&gt;$K43,"OVERDUE","Due"))))</f>
        <v/>
      </c>
    </row>
    <row r="44" customFormat="false" ht="15" hidden="false" customHeight="false" outlineLevel="0" collapsed="false">
      <c r="A44" s="23"/>
      <c r="B44" s="23"/>
      <c r="C44" s="34"/>
      <c r="D44" s="22"/>
      <c r="E44" s="22"/>
      <c r="F44" s="23"/>
      <c r="G44" s="31" t="str">
        <f aca="false">IF($B44="","",COUNTIFS('Cleans Log'!$M$5:$M$1004,$B44,'Cleans Log'!$Q$5:$Q$1004,$C44,'Cleans Log'!$N$5:$N$1004,"&gt;0"))</f>
        <v/>
      </c>
      <c r="H44" s="28" t="str">
        <f aca="false">IF($B44="","",SUMIFS('Cleans Log'!$N$5:$N$1004,'Cleans Log'!$M$5:$M$1004,$B44,'Cleans Log'!$Q$5:$Q$1004,$C44))</f>
        <v/>
      </c>
      <c r="I44" s="28" t="str">
        <f aca="false">IF($B44="","",SUMIFS(Purchases!$N$5:$N$1004,Purchases!$L$5:$L$1004,$B44,Purchases!$P$5:$P$1004,$C44))</f>
        <v/>
      </c>
      <c r="J44" s="28" t="str">
        <f aca="false">IF($B44="","",$H44+$I44)</f>
        <v/>
      </c>
      <c r="K44" s="30" t="str">
        <f aca="false">IF(OR($B44="",$D44=""),"",$D44+Settings!$B$12)</f>
        <v/>
      </c>
      <c r="L44" s="27" t="str">
        <f aca="true">IF($B44="","",IF($E44&lt;&gt;"","Paid",IF($D44="","Not sent",IF(TODAY()&gt;$K44,"OVERDUE","Due"))))</f>
        <v/>
      </c>
    </row>
    <row r="45" customFormat="false" ht="15" hidden="false" customHeight="false" outlineLevel="0" collapsed="false">
      <c r="A45" s="23"/>
      <c r="B45" s="23"/>
      <c r="C45" s="34"/>
      <c r="D45" s="22"/>
      <c r="E45" s="22"/>
      <c r="F45" s="23"/>
      <c r="G45" s="31" t="str">
        <f aca="false">IF($B45="","",COUNTIFS('Cleans Log'!$M$5:$M$1004,$B45,'Cleans Log'!$Q$5:$Q$1004,$C45,'Cleans Log'!$N$5:$N$1004,"&gt;0"))</f>
        <v/>
      </c>
      <c r="H45" s="28" t="str">
        <f aca="false">IF($B45="","",SUMIFS('Cleans Log'!$N$5:$N$1004,'Cleans Log'!$M$5:$M$1004,$B45,'Cleans Log'!$Q$5:$Q$1004,$C45))</f>
        <v/>
      </c>
      <c r="I45" s="28" t="str">
        <f aca="false">IF($B45="","",SUMIFS(Purchases!$N$5:$N$1004,Purchases!$L$5:$L$1004,$B45,Purchases!$P$5:$P$1004,$C45))</f>
        <v/>
      </c>
      <c r="J45" s="28" t="str">
        <f aca="false">IF($B45="","",$H45+$I45)</f>
        <v/>
      </c>
      <c r="K45" s="30" t="str">
        <f aca="false">IF(OR($B45="",$D45=""),"",$D45+Settings!$B$12)</f>
        <v/>
      </c>
      <c r="L45" s="27" t="str">
        <f aca="true">IF($B45="","",IF($E45&lt;&gt;"","Paid",IF($D45="","Not sent",IF(TODAY()&gt;$K45,"OVERDUE","Due"))))</f>
        <v/>
      </c>
    </row>
    <row r="46" customFormat="false" ht="15" hidden="false" customHeight="false" outlineLevel="0" collapsed="false">
      <c r="A46" s="23"/>
      <c r="B46" s="23"/>
      <c r="C46" s="34"/>
      <c r="D46" s="22"/>
      <c r="E46" s="22"/>
      <c r="F46" s="23"/>
      <c r="G46" s="31" t="str">
        <f aca="false">IF($B46="","",COUNTIFS('Cleans Log'!$M$5:$M$1004,$B46,'Cleans Log'!$Q$5:$Q$1004,$C46,'Cleans Log'!$N$5:$N$1004,"&gt;0"))</f>
        <v/>
      </c>
      <c r="H46" s="28" t="str">
        <f aca="false">IF($B46="","",SUMIFS('Cleans Log'!$N$5:$N$1004,'Cleans Log'!$M$5:$M$1004,$B46,'Cleans Log'!$Q$5:$Q$1004,$C46))</f>
        <v/>
      </c>
      <c r="I46" s="28" t="str">
        <f aca="false">IF($B46="","",SUMIFS(Purchases!$N$5:$N$1004,Purchases!$L$5:$L$1004,$B46,Purchases!$P$5:$P$1004,$C46))</f>
        <v/>
      </c>
      <c r="J46" s="28" t="str">
        <f aca="false">IF($B46="","",$H46+$I46)</f>
        <v/>
      </c>
      <c r="K46" s="30" t="str">
        <f aca="false">IF(OR($B46="",$D46=""),"",$D46+Settings!$B$12)</f>
        <v/>
      </c>
      <c r="L46" s="27" t="str">
        <f aca="true">IF($B46="","",IF($E46&lt;&gt;"","Paid",IF($D46="","Not sent",IF(TODAY()&gt;$K46,"OVERDUE","Due"))))</f>
        <v/>
      </c>
    </row>
    <row r="47" customFormat="false" ht="15" hidden="false" customHeight="false" outlineLevel="0" collapsed="false">
      <c r="A47" s="23"/>
      <c r="B47" s="23"/>
      <c r="C47" s="34"/>
      <c r="D47" s="22"/>
      <c r="E47" s="22"/>
      <c r="F47" s="23"/>
      <c r="G47" s="31" t="str">
        <f aca="false">IF($B47="","",COUNTIFS('Cleans Log'!$M$5:$M$1004,$B47,'Cleans Log'!$Q$5:$Q$1004,$C47,'Cleans Log'!$N$5:$N$1004,"&gt;0"))</f>
        <v/>
      </c>
      <c r="H47" s="28" t="str">
        <f aca="false">IF($B47="","",SUMIFS('Cleans Log'!$N$5:$N$1004,'Cleans Log'!$M$5:$M$1004,$B47,'Cleans Log'!$Q$5:$Q$1004,$C47))</f>
        <v/>
      </c>
      <c r="I47" s="28" t="str">
        <f aca="false">IF($B47="","",SUMIFS(Purchases!$N$5:$N$1004,Purchases!$L$5:$L$1004,$B47,Purchases!$P$5:$P$1004,$C47))</f>
        <v/>
      </c>
      <c r="J47" s="28" t="str">
        <f aca="false">IF($B47="","",$H47+$I47)</f>
        <v/>
      </c>
      <c r="K47" s="30" t="str">
        <f aca="false">IF(OR($B47="",$D47=""),"",$D47+Settings!$B$12)</f>
        <v/>
      </c>
      <c r="L47" s="27" t="str">
        <f aca="true">IF($B47="","",IF($E47&lt;&gt;"","Paid",IF($D47="","Not sent",IF(TODAY()&gt;$K47,"OVERDUE","Due"))))</f>
        <v/>
      </c>
    </row>
    <row r="48" customFormat="false" ht="15" hidden="false" customHeight="false" outlineLevel="0" collapsed="false">
      <c r="A48" s="23"/>
      <c r="B48" s="23"/>
      <c r="C48" s="34"/>
      <c r="D48" s="22"/>
      <c r="E48" s="22"/>
      <c r="F48" s="23"/>
      <c r="G48" s="31" t="str">
        <f aca="false">IF($B48="","",COUNTIFS('Cleans Log'!$M$5:$M$1004,$B48,'Cleans Log'!$Q$5:$Q$1004,$C48,'Cleans Log'!$N$5:$N$1004,"&gt;0"))</f>
        <v/>
      </c>
      <c r="H48" s="28" t="str">
        <f aca="false">IF($B48="","",SUMIFS('Cleans Log'!$N$5:$N$1004,'Cleans Log'!$M$5:$M$1004,$B48,'Cleans Log'!$Q$5:$Q$1004,$C48))</f>
        <v/>
      </c>
      <c r="I48" s="28" t="str">
        <f aca="false">IF($B48="","",SUMIFS(Purchases!$N$5:$N$1004,Purchases!$L$5:$L$1004,$B48,Purchases!$P$5:$P$1004,$C48))</f>
        <v/>
      </c>
      <c r="J48" s="28" t="str">
        <f aca="false">IF($B48="","",$H48+$I48)</f>
        <v/>
      </c>
      <c r="K48" s="30" t="str">
        <f aca="false">IF(OR($B48="",$D48=""),"",$D48+Settings!$B$12)</f>
        <v/>
      </c>
      <c r="L48" s="27" t="str">
        <f aca="true">IF($B48="","",IF($E48&lt;&gt;"","Paid",IF($D48="","Not sent",IF(TODAY()&gt;$K48,"OVERDUE","Due"))))</f>
        <v/>
      </c>
    </row>
    <row r="49" customFormat="false" ht="15" hidden="false" customHeight="false" outlineLevel="0" collapsed="false">
      <c r="A49" s="23"/>
      <c r="B49" s="23"/>
      <c r="C49" s="34"/>
      <c r="D49" s="22"/>
      <c r="E49" s="22"/>
      <c r="F49" s="23"/>
      <c r="G49" s="31" t="str">
        <f aca="false">IF($B49="","",COUNTIFS('Cleans Log'!$M$5:$M$1004,$B49,'Cleans Log'!$Q$5:$Q$1004,$C49,'Cleans Log'!$N$5:$N$1004,"&gt;0"))</f>
        <v/>
      </c>
      <c r="H49" s="28" t="str">
        <f aca="false">IF($B49="","",SUMIFS('Cleans Log'!$N$5:$N$1004,'Cleans Log'!$M$5:$M$1004,$B49,'Cleans Log'!$Q$5:$Q$1004,$C49))</f>
        <v/>
      </c>
      <c r="I49" s="28" t="str">
        <f aca="false">IF($B49="","",SUMIFS(Purchases!$N$5:$N$1004,Purchases!$L$5:$L$1004,$B49,Purchases!$P$5:$P$1004,$C49))</f>
        <v/>
      </c>
      <c r="J49" s="28" t="str">
        <f aca="false">IF($B49="","",$H49+$I49)</f>
        <v/>
      </c>
      <c r="K49" s="30" t="str">
        <f aca="false">IF(OR($B49="",$D49=""),"",$D49+Settings!$B$12)</f>
        <v/>
      </c>
      <c r="L49" s="27" t="str">
        <f aca="true">IF($B49="","",IF($E49&lt;&gt;"","Paid",IF($D49="","Not sent",IF(TODAY()&gt;$K49,"OVERDUE","Due"))))</f>
        <v/>
      </c>
    </row>
    <row r="50" customFormat="false" ht="15" hidden="false" customHeight="false" outlineLevel="0" collapsed="false">
      <c r="A50" s="23"/>
      <c r="B50" s="23"/>
      <c r="C50" s="34"/>
      <c r="D50" s="22"/>
      <c r="E50" s="22"/>
      <c r="F50" s="23"/>
      <c r="G50" s="31" t="str">
        <f aca="false">IF($B50="","",COUNTIFS('Cleans Log'!$M$5:$M$1004,$B50,'Cleans Log'!$Q$5:$Q$1004,$C50,'Cleans Log'!$N$5:$N$1004,"&gt;0"))</f>
        <v/>
      </c>
      <c r="H50" s="28" t="str">
        <f aca="false">IF($B50="","",SUMIFS('Cleans Log'!$N$5:$N$1004,'Cleans Log'!$M$5:$M$1004,$B50,'Cleans Log'!$Q$5:$Q$1004,$C50))</f>
        <v/>
      </c>
      <c r="I50" s="28" t="str">
        <f aca="false">IF($B50="","",SUMIFS(Purchases!$N$5:$N$1004,Purchases!$L$5:$L$1004,$B50,Purchases!$P$5:$P$1004,$C50))</f>
        <v/>
      </c>
      <c r="J50" s="28" t="str">
        <f aca="false">IF($B50="","",$H50+$I50)</f>
        <v/>
      </c>
      <c r="K50" s="30" t="str">
        <f aca="false">IF(OR($B50="",$D50=""),"",$D50+Settings!$B$12)</f>
        <v/>
      </c>
      <c r="L50" s="27" t="str">
        <f aca="true">IF($B50="","",IF($E50&lt;&gt;"","Paid",IF($D50="","Not sent",IF(TODAY()&gt;$K50,"OVERDUE","Due"))))</f>
        <v/>
      </c>
    </row>
    <row r="51" customFormat="false" ht="15" hidden="false" customHeight="false" outlineLevel="0" collapsed="false">
      <c r="A51" s="23"/>
      <c r="B51" s="23"/>
      <c r="C51" s="34"/>
      <c r="D51" s="22"/>
      <c r="E51" s="22"/>
      <c r="F51" s="23"/>
      <c r="G51" s="31" t="str">
        <f aca="false">IF($B51="","",COUNTIFS('Cleans Log'!$M$5:$M$1004,$B51,'Cleans Log'!$Q$5:$Q$1004,$C51,'Cleans Log'!$N$5:$N$1004,"&gt;0"))</f>
        <v/>
      </c>
      <c r="H51" s="28" t="str">
        <f aca="false">IF($B51="","",SUMIFS('Cleans Log'!$N$5:$N$1004,'Cleans Log'!$M$5:$M$1004,$B51,'Cleans Log'!$Q$5:$Q$1004,$C51))</f>
        <v/>
      </c>
      <c r="I51" s="28" t="str">
        <f aca="false">IF($B51="","",SUMIFS(Purchases!$N$5:$N$1004,Purchases!$L$5:$L$1004,$B51,Purchases!$P$5:$P$1004,$C51))</f>
        <v/>
      </c>
      <c r="J51" s="28" t="str">
        <f aca="false">IF($B51="","",$H51+$I51)</f>
        <v/>
      </c>
      <c r="K51" s="30" t="str">
        <f aca="false">IF(OR($B51="",$D51=""),"",$D51+Settings!$B$12)</f>
        <v/>
      </c>
      <c r="L51" s="27" t="str">
        <f aca="true">IF($B51="","",IF($E51&lt;&gt;"","Paid",IF($D51="","Not sent",IF(TODAY()&gt;$K51,"OVERDUE","Due"))))</f>
        <v/>
      </c>
    </row>
    <row r="52" customFormat="false" ht="15" hidden="false" customHeight="false" outlineLevel="0" collapsed="false">
      <c r="A52" s="23"/>
      <c r="B52" s="23"/>
      <c r="C52" s="34"/>
      <c r="D52" s="22"/>
      <c r="E52" s="22"/>
      <c r="F52" s="23"/>
      <c r="G52" s="31" t="str">
        <f aca="false">IF($B52="","",COUNTIFS('Cleans Log'!$M$5:$M$1004,$B52,'Cleans Log'!$Q$5:$Q$1004,$C52,'Cleans Log'!$N$5:$N$1004,"&gt;0"))</f>
        <v/>
      </c>
      <c r="H52" s="28" t="str">
        <f aca="false">IF($B52="","",SUMIFS('Cleans Log'!$N$5:$N$1004,'Cleans Log'!$M$5:$M$1004,$B52,'Cleans Log'!$Q$5:$Q$1004,$C52))</f>
        <v/>
      </c>
      <c r="I52" s="28" t="str">
        <f aca="false">IF($B52="","",SUMIFS(Purchases!$N$5:$N$1004,Purchases!$L$5:$L$1004,$B52,Purchases!$P$5:$P$1004,$C52))</f>
        <v/>
      </c>
      <c r="J52" s="28" t="str">
        <f aca="false">IF($B52="","",$H52+$I52)</f>
        <v/>
      </c>
      <c r="K52" s="30" t="str">
        <f aca="false">IF(OR($B52="",$D52=""),"",$D52+Settings!$B$12)</f>
        <v/>
      </c>
      <c r="L52" s="27" t="str">
        <f aca="true">IF($B52="","",IF($E52&lt;&gt;"","Paid",IF($D52="","Not sent",IF(TODAY()&gt;$K52,"OVERDUE","Due"))))</f>
        <v/>
      </c>
    </row>
    <row r="53" customFormat="false" ht="15" hidden="false" customHeight="false" outlineLevel="0" collapsed="false">
      <c r="A53" s="23"/>
      <c r="B53" s="23"/>
      <c r="C53" s="34"/>
      <c r="D53" s="22"/>
      <c r="E53" s="22"/>
      <c r="F53" s="23"/>
      <c r="G53" s="31" t="str">
        <f aca="false">IF($B53="","",COUNTIFS('Cleans Log'!$M$5:$M$1004,$B53,'Cleans Log'!$Q$5:$Q$1004,$C53,'Cleans Log'!$N$5:$N$1004,"&gt;0"))</f>
        <v/>
      </c>
      <c r="H53" s="28" t="str">
        <f aca="false">IF($B53="","",SUMIFS('Cleans Log'!$N$5:$N$1004,'Cleans Log'!$M$5:$M$1004,$B53,'Cleans Log'!$Q$5:$Q$1004,$C53))</f>
        <v/>
      </c>
      <c r="I53" s="28" t="str">
        <f aca="false">IF($B53="","",SUMIFS(Purchases!$N$5:$N$1004,Purchases!$L$5:$L$1004,$B53,Purchases!$P$5:$P$1004,$C53))</f>
        <v/>
      </c>
      <c r="J53" s="28" t="str">
        <f aca="false">IF($B53="","",$H53+$I53)</f>
        <v/>
      </c>
      <c r="K53" s="30" t="str">
        <f aca="false">IF(OR($B53="",$D53=""),"",$D53+Settings!$B$12)</f>
        <v/>
      </c>
      <c r="L53" s="27" t="str">
        <f aca="true">IF($B53="","",IF($E53&lt;&gt;"","Paid",IF($D53="","Not sent",IF(TODAY()&gt;$K53,"OVERDUE","Due"))))</f>
        <v/>
      </c>
    </row>
    <row r="54" customFormat="false" ht="15" hidden="false" customHeight="false" outlineLevel="0" collapsed="false">
      <c r="A54" s="23"/>
      <c r="B54" s="23"/>
      <c r="C54" s="34"/>
      <c r="D54" s="22"/>
      <c r="E54" s="22"/>
      <c r="F54" s="23"/>
      <c r="G54" s="31" t="str">
        <f aca="false">IF($B54="","",COUNTIFS('Cleans Log'!$M$5:$M$1004,$B54,'Cleans Log'!$Q$5:$Q$1004,$C54,'Cleans Log'!$N$5:$N$1004,"&gt;0"))</f>
        <v/>
      </c>
      <c r="H54" s="28" t="str">
        <f aca="false">IF($B54="","",SUMIFS('Cleans Log'!$N$5:$N$1004,'Cleans Log'!$M$5:$M$1004,$B54,'Cleans Log'!$Q$5:$Q$1004,$C54))</f>
        <v/>
      </c>
      <c r="I54" s="28" t="str">
        <f aca="false">IF($B54="","",SUMIFS(Purchases!$N$5:$N$1004,Purchases!$L$5:$L$1004,$B54,Purchases!$P$5:$P$1004,$C54))</f>
        <v/>
      </c>
      <c r="J54" s="28" t="str">
        <f aca="false">IF($B54="","",$H54+$I54)</f>
        <v/>
      </c>
      <c r="K54" s="30" t="str">
        <f aca="false">IF(OR($B54="",$D54=""),"",$D54+Settings!$B$12)</f>
        <v/>
      </c>
      <c r="L54" s="27" t="str">
        <f aca="true">IF($B54="","",IF($E54&lt;&gt;"","Paid",IF($D54="","Not sent",IF(TODAY()&gt;$K54,"OVERDUE","Due"))))</f>
        <v/>
      </c>
    </row>
    <row r="55" customFormat="false" ht="15" hidden="false" customHeight="false" outlineLevel="0" collapsed="false">
      <c r="A55" s="23"/>
      <c r="B55" s="23"/>
      <c r="C55" s="34"/>
      <c r="D55" s="22"/>
      <c r="E55" s="22"/>
      <c r="F55" s="23"/>
      <c r="G55" s="31" t="str">
        <f aca="false">IF($B55="","",COUNTIFS('Cleans Log'!$M$5:$M$1004,$B55,'Cleans Log'!$Q$5:$Q$1004,$C55,'Cleans Log'!$N$5:$N$1004,"&gt;0"))</f>
        <v/>
      </c>
      <c r="H55" s="28" t="str">
        <f aca="false">IF($B55="","",SUMIFS('Cleans Log'!$N$5:$N$1004,'Cleans Log'!$M$5:$M$1004,$B55,'Cleans Log'!$Q$5:$Q$1004,$C55))</f>
        <v/>
      </c>
      <c r="I55" s="28" t="str">
        <f aca="false">IF($B55="","",SUMIFS(Purchases!$N$5:$N$1004,Purchases!$L$5:$L$1004,$B55,Purchases!$P$5:$P$1004,$C55))</f>
        <v/>
      </c>
      <c r="J55" s="28" t="str">
        <f aca="false">IF($B55="","",$H55+$I55)</f>
        <v/>
      </c>
      <c r="K55" s="30" t="str">
        <f aca="false">IF(OR($B55="",$D55=""),"",$D55+Settings!$B$12)</f>
        <v/>
      </c>
      <c r="L55" s="27" t="str">
        <f aca="true">IF($B55="","",IF($E55&lt;&gt;"","Paid",IF($D55="","Not sent",IF(TODAY()&gt;$K55,"OVERDUE","Due"))))</f>
        <v/>
      </c>
    </row>
    <row r="56" customFormat="false" ht="15" hidden="false" customHeight="false" outlineLevel="0" collapsed="false">
      <c r="A56" s="23"/>
      <c r="B56" s="23"/>
      <c r="C56" s="34"/>
      <c r="D56" s="22"/>
      <c r="E56" s="22"/>
      <c r="F56" s="23"/>
      <c r="G56" s="31" t="str">
        <f aca="false">IF($B56="","",COUNTIFS('Cleans Log'!$M$5:$M$1004,$B56,'Cleans Log'!$Q$5:$Q$1004,$C56,'Cleans Log'!$N$5:$N$1004,"&gt;0"))</f>
        <v/>
      </c>
      <c r="H56" s="28" t="str">
        <f aca="false">IF($B56="","",SUMIFS('Cleans Log'!$N$5:$N$1004,'Cleans Log'!$M$5:$M$1004,$B56,'Cleans Log'!$Q$5:$Q$1004,$C56))</f>
        <v/>
      </c>
      <c r="I56" s="28" t="str">
        <f aca="false">IF($B56="","",SUMIFS(Purchases!$N$5:$N$1004,Purchases!$L$5:$L$1004,$B56,Purchases!$P$5:$P$1004,$C56))</f>
        <v/>
      </c>
      <c r="J56" s="28" t="str">
        <f aca="false">IF($B56="","",$H56+$I56)</f>
        <v/>
      </c>
      <c r="K56" s="30" t="str">
        <f aca="false">IF(OR($B56="",$D56=""),"",$D56+Settings!$B$12)</f>
        <v/>
      </c>
      <c r="L56" s="27" t="str">
        <f aca="true">IF($B56="","",IF($E56&lt;&gt;"","Paid",IF($D56="","Not sent",IF(TODAY()&gt;$K56,"OVERDUE","Due"))))</f>
        <v/>
      </c>
    </row>
    <row r="57" customFormat="false" ht="15" hidden="false" customHeight="false" outlineLevel="0" collapsed="false">
      <c r="A57" s="23"/>
      <c r="B57" s="23"/>
      <c r="C57" s="34"/>
      <c r="D57" s="22"/>
      <c r="E57" s="22"/>
      <c r="F57" s="23"/>
      <c r="G57" s="31" t="str">
        <f aca="false">IF($B57="","",COUNTIFS('Cleans Log'!$M$5:$M$1004,$B57,'Cleans Log'!$Q$5:$Q$1004,$C57,'Cleans Log'!$N$5:$N$1004,"&gt;0"))</f>
        <v/>
      </c>
      <c r="H57" s="28" t="str">
        <f aca="false">IF($B57="","",SUMIFS('Cleans Log'!$N$5:$N$1004,'Cleans Log'!$M$5:$M$1004,$B57,'Cleans Log'!$Q$5:$Q$1004,$C57))</f>
        <v/>
      </c>
      <c r="I57" s="28" t="str">
        <f aca="false">IF($B57="","",SUMIFS(Purchases!$N$5:$N$1004,Purchases!$L$5:$L$1004,$B57,Purchases!$P$5:$P$1004,$C57))</f>
        <v/>
      </c>
      <c r="J57" s="28" t="str">
        <f aca="false">IF($B57="","",$H57+$I57)</f>
        <v/>
      </c>
      <c r="K57" s="30" t="str">
        <f aca="false">IF(OR($B57="",$D57=""),"",$D57+Settings!$B$12)</f>
        <v/>
      </c>
      <c r="L57" s="27" t="str">
        <f aca="true">IF($B57="","",IF($E57&lt;&gt;"","Paid",IF($D57="","Not sent",IF(TODAY()&gt;$K57,"OVERDUE","Due"))))</f>
        <v/>
      </c>
    </row>
    <row r="58" customFormat="false" ht="15" hidden="false" customHeight="false" outlineLevel="0" collapsed="false">
      <c r="A58" s="23"/>
      <c r="B58" s="23"/>
      <c r="C58" s="34"/>
      <c r="D58" s="22"/>
      <c r="E58" s="22"/>
      <c r="F58" s="23"/>
      <c r="G58" s="31" t="str">
        <f aca="false">IF($B58="","",COUNTIFS('Cleans Log'!$M$5:$M$1004,$B58,'Cleans Log'!$Q$5:$Q$1004,$C58,'Cleans Log'!$N$5:$N$1004,"&gt;0"))</f>
        <v/>
      </c>
      <c r="H58" s="28" t="str">
        <f aca="false">IF($B58="","",SUMIFS('Cleans Log'!$N$5:$N$1004,'Cleans Log'!$M$5:$M$1004,$B58,'Cleans Log'!$Q$5:$Q$1004,$C58))</f>
        <v/>
      </c>
      <c r="I58" s="28" t="str">
        <f aca="false">IF($B58="","",SUMIFS(Purchases!$N$5:$N$1004,Purchases!$L$5:$L$1004,$B58,Purchases!$P$5:$P$1004,$C58))</f>
        <v/>
      </c>
      <c r="J58" s="28" t="str">
        <f aca="false">IF($B58="","",$H58+$I58)</f>
        <v/>
      </c>
      <c r="K58" s="30" t="str">
        <f aca="false">IF(OR($B58="",$D58=""),"",$D58+Settings!$B$12)</f>
        <v/>
      </c>
      <c r="L58" s="27" t="str">
        <f aca="true">IF($B58="","",IF($E58&lt;&gt;"","Paid",IF($D58="","Not sent",IF(TODAY()&gt;$K58,"OVERDUE","Due"))))</f>
        <v/>
      </c>
    </row>
    <row r="59" customFormat="false" ht="15" hidden="false" customHeight="false" outlineLevel="0" collapsed="false">
      <c r="A59" s="23"/>
      <c r="B59" s="23"/>
      <c r="C59" s="34"/>
      <c r="D59" s="22"/>
      <c r="E59" s="22"/>
      <c r="F59" s="23"/>
      <c r="G59" s="31" t="str">
        <f aca="false">IF($B59="","",COUNTIFS('Cleans Log'!$M$5:$M$1004,$B59,'Cleans Log'!$Q$5:$Q$1004,$C59,'Cleans Log'!$N$5:$N$1004,"&gt;0"))</f>
        <v/>
      </c>
      <c r="H59" s="28" t="str">
        <f aca="false">IF($B59="","",SUMIFS('Cleans Log'!$N$5:$N$1004,'Cleans Log'!$M$5:$M$1004,$B59,'Cleans Log'!$Q$5:$Q$1004,$C59))</f>
        <v/>
      </c>
      <c r="I59" s="28" t="str">
        <f aca="false">IF($B59="","",SUMIFS(Purchases!$N$5:$N$1004,Purchases!$L$5:$L$1004,$B59,Purchases!$P$5:$P$1004,$C59))</f>
        <v/>
      </c>
      <c r="J59" s="28" t="str">
        <f aca="false">IF($B59="","",$H59+$I59)</f>
        <v/>
      </c>
      <c r="K59" s="30" t="str">
        <f aca="false">IF(OR($B59="",$D59=""),"",$D59+Settings!$B$12)</f>
        <v/>
      </c>
      <c r="L59" s="27" t="str">
        <f aca="true">IF($B59="","",IF($E59&lt;&gt;"","Paid",IF($D59="","Not sent",IF(TODAY()&gt;$K59,"OVERDUE","Due"))))</f>
        <v/>
      </c>
    </row>
    <row r="60" customFormat="false" ht="15" hidden="false" customHeight="false" outlineLevel="0" collapsed="false">
      <c r="A60" s="23"/>
      <c r="B60" s="23"/>
      <c r="C60" s="34"/>
      <c r="D60" s="22"/>
      <c r="E60" s="22"/>
      <c r="F60" s="23"/>
      <c r="G60" s="31" t="str">
        <f aca="false">IF($B60="","",COUNTIFS('Cleans Log'!$M$5:$M$1004,$B60,'Cleans Log'!$Q$5:$Q$1004,$C60,'Cleans Log'!$N$5:$N$1004,"&gt;0"))</f>
        <v/>
      </c>
      <c r="H60" s="28" t="str">
        <f aca="false">IF($B60="","",SUMIFS('Cleans Log'!$N$5:$N$1004,'Cleans Log'!$M$5:$M$1004,$B60,'Cleans Log'!$Q$5:$Q$1004,$C60))</f>
        <v/>
      </c>
      <c r="I60" s="28" t="str">
        <f aca="false">IF($B60="","",SUMIFS(Purchases!$N$5:$N$1004,Purchases!$L$5:$L$1004,$B60,Purchases!$P$5:$P$1004,$C60))</f>
        <v/>
      </c>
      <c r="J60" s="28" t="str">
        <f aca="false">IF($B60="","",$H60+$I60)</f>
        <v/>
      </c>
      <c r="K60" s="30" t="str">
        <f aca="false">IF(OR($B60="",$D60=""),"",$D60+Settings!$B$12)</f>
        <v/>
      </c>
      <c r="L60" s="27" t="str">
        <f aca="true">IF($B60="","",IF($E60&lt;&gt;"","Paid",IF($D60="","Not sent",IF(TODAY()&gt;$K60,"OVERDUE","Due"))))</f>
        <v/>
      </c>
    </row>
    <row r="61" customFormat="false" ht="15" hidden="false" customHeight="false" outlineLevel="0" collapsed="false">
      <c r="A61" s="23"/>
      <c r="B61" s="23"/>
      <c r="C61" s="34"/>
      <c r="D61" s="22"/>
      <c r="E61" s="22"/>
      <c r="F61" s="23"/>
      <c r="G61" s="31" t="str">
        <f aca="false">IF($B61="","",COUNTIFS('Cleans Log'!$M$5:$M$1004,$B61,'Cleans Log'!$Q$5:$Q$1004,$C61,'Cleans Log'!$N$5:$N$1004,"&gt;0"))</f>
        <v/>
      </c>
      <c r="H61" s="28" t="str">
        <f aca="false">IF($B61="","",SUMIFS('Cleans Log'!$N$5:$N$1004,'Cleans Log'!$M$5:$M$1004,$B61,'Cleans Log'!$Q$5:$Q$1004,$C61))</f>
        <v/>
      </c>
      <c r="I61" s="28" t="str">
        <f aca="false">IF($B61="","",SUMIFS(Purchases!$N$5:$N$1004,Purchases!$L$5:$L$1004,$B61,Purchases!$P$5:$P$1004,$C61))</f>
        <v/>
      </c>
      <c r="J61" s="28" t="str">
        <f aca="false">IF($B61="","",$H61+$I61)</f>
        <v/>
      </c>
      <c r="K61" s="30" t="str">
        <f aca="false">IF(OR($B61="",$D61=""),"",$D61+Settings!$B$12)</f>
        <v/>
      </c>
      <c r="L61" s="27" t="str">
        <f aca="true">IF($B61="","",IF($E61&lt;&gt;"","Paid",IF($D61="","Not sent",IF(TODAY()&gt;$K61,"OVERDUE","Due"))))</f>
        <v/>
      </c>
    </row>
    <row r="62" customFormat="false" ht="15" hidden="false" customHeight="false" outlineLevel="0" collapsed="false">
      <c r="A62" s="23"/>
      <c r="B62" s="23"/>
      <c r="C62" s="34"/>
      <c r="D62" s="22"/>
      <c r="E62" s="22"/>
      <c r="F62" s="23"/>
      <c r="G62" s="31" t="str">
        <f aca="false">IF($B62="","",COUNTIFS('Cleans Log'!$M$5:$M$1004,$B62,'Cleans Log'!$Q$5:$Q$1004,$C62,'Cleans Log'!$N$5:$N$1004,"&gt;0"))</f>
        <v/>
      </c>
      <c r="H62" s="28" t="str">
        <f aca="false">IF($B62="","",SUMIFS('Cleans Log'!$N$5:$N$1004,'Cleans Log'!$M$5:$M$1004,$B62,'Cleans Log'!$Q$5:$Q$1004,$C62))</f>
        <v/>
      </c>
      <c r="I62" s="28" t="str">
        <f aca="false">IF($B62="","",SUMIFS(Purchases!$N$5:$N$1004,Purchases!$L$5:$L$1004,$B62,Purchases!$P$5:$P$1004,$C62))</f>
        <v/>
      </c>
      <c r="J62" s="28" t="str">
        <f aca="false">IF($B62="","",$H62+$I62)</f>
        <v/>
      </c>
      <c r="K62" s="30" t="str">
        <f aca="false">IF(OR($B62="",$D62=""),"",$D62+Settings!$B$12)</f>
        <v/>
      </c>
      <c r="L62" s="27" t="str">
        <f aca="true">IF($B62="","",IF($E62&lt;&gt;"","Paid",IF($D62="","Not sent",IF(TODAY()&gt;$K62,"OVERDUE","Due"))))</f>
        <v/>
      </c>
    </row>
    <row r="63" customFormat="false" ht="15" hidden="false" customHeight="false" outlineLevel="0" collapsed="false">
      <c r="A63" s="23"/>
      <c r="B63" s="23"/>
      <c r="C63" s="34"/>
      <c r="D63" s="22"/>
      <c r="E63" s="22"/>
      <c r="F63" s="23"/>
      <c r="G63" s="31" t="str">
        <f aca="false">IF($B63="","",COUNTIFS('Cleans Log'!$M$5:$M$1004,$B63,'Cleans Log'!$Q$5:$Q$1004,$C63,'Cleans Log'!$N$5:$N$1004,"&gt;0"))</f>
        <v/>
      </c>
      <c r="H63" s="28" t="str">
        <f aca="false">IF($B63="","",SUMIFS('Cleans Log'!$N$5:$N$1004,'Cleans Log'!$M$5:$M$1004,$B63,'Cleans Log'!$Q$5:$Q$1004,$C63))</f>
        <v/>
      </c>
      <c r="I63" s="28" t="str">
        <f aca="false">IF($B63="","",SUMIFS(Purchases!$N$5:$N$1004,Purchases!$L$5:$L$1004,$B63,Purchases!$P$5:$P$1004,$C63))</f>
        <v/>
      </c>
      <c r="J63" s="28" t="str">
        <f aca="false">IF($B63="","",$H63+$I63)</f>
        <v/>
      </c>
      <c r="K63" s="30" t="str">
        <f aca="false">IF(OR($B63="",$D63=""),"",$D63+Settings!$B$12)</f>
        <v/>
      </c>
      <c r="L63" s="27" t="str">
        <f aca="true">IF($B63="","",IF($E63&lt;&gt;"","Paid",IF($D63="","Not sent",IF(TODAY()&gt;$K63,"OVERDUE","Due"))))</f>
        <v/>
      </c>
    </row>
    <row r="64" customFormat="false" ht="15" hidden="false" customHeight="false" outlineLevel="0" collapsed="false">
      <c r="A64" s="23"/>
      <c r="B64" s="23"/>
      <c r="C64" s="34"/>
      <c r="D64" s="22"/>
      <c r="E64" s="22"/>
      <c r="F64" s="23"/>
      <c r="G64" s="31" t="str">
        <f aca="false">IF($B64="","",COUNTIFS('Cleans Log'!$M$5:$M$1004,$B64,'Cleans Log'!$Q$5:$Q$1004,$C64,'Cleans Log'!$N$5:$N$1004,"&gt;0"))</f>
        <v/>
      </c>
      <c r="H64" s="28" t="str">
        <f aca="false">IF($B64="","",SUMIFS('Cleans Log'!$N$5:$N$1004,'Cleans Log'!$M$5:$M$1004,$B64,'Cleans Log'!$Q$5:$Q$1004,$C64))</f>
        <v/>
      </c>
      <c r="I64" s="28" t="str">
        <f aca="false">IF($B64="","",SUMIFS(Purchases!$N$5:$N$1004,Purchases!$L$5:$L$1004,$B64,Purchases!$P$5:$P$1004,$C64))</f>
        <v/>
      </c>
      <c r="J64" s="28" t="str">
        <f aca="false">IF($B64="","",$H64+$I64)</f>
        <v/>
      </c>
      <c r="K64" s="30" t="str">
        <f aca="false">IF(OR($B64="",$D64=""),"",$D64+Settings!$B$12)</f>
        <v/>
      </c>
      <c r="L64" s="27" t="str">
        <f aca="true">IF($B64="","",IF($E64&lt;&gt;"","Paid",IF($D64="","Not sent",IF(TODAY()&gt;$K64,"OVERDUE","Due"))))</f>
        <v/>
      </c>
    </row>
    <row r="65" customFormat="false" ht="15" hidden="false" customHeight="false" outlineLevel="0" collapsed="false">
      <c r="A65" s="23"/>
      <c r="B65" s="23"/>
      <c r="C65" s="34"/>
      <c r="D65" s="22"/>
      <c r="E65" s="22"/>
      <c r="F65" s="23"/>
      <c r="G65" s="31" t="str">
        <f aca="false">IF($B65="","",COUNTIFS('Cleans Log'!$M$5:$M$1004,$B65,'Cleans Log'!$Q$5:$Q$1004,$C65,'Cleans Log'!$N$5:$N$1004,"&gt;0"))</f>
        <v/>
      </c>
      <c r="H65" s="28" t="str">
        <f aca="false">IF($B65="","",SUMIFS('Cleans Log'!$N$5:$N$1004,'Cleans Log'!$M$5:$M$1004,$B65,'Cleans Log'!$Q$5:$Q$1004,$C65))</f>
        <v/>
      </c>
      <c r="I65" s="28" t="str">
        <f aca="false">IF($B65="","",SUMIFS(Purchases!$N$5:$N$1004,Purchases!$L$5:$L$1004,$B65,Purchases!$P$5:$P$1004,$C65))</f>
        <v/>
      </c>
      <c r="J65" s="28" t="str">
        <f aca="false">IF($B65="","",$H65+$I65)</f>
        <v/>
      </c>
      <c r="K65" s="30" t="str">
        <f aca="false">IF(OR($B65="",$D65=""),"",$D65+Settings!$B$12)</f>
        <v/>
      </c>
      <c r="L65" s="27" t="str">
        <f aca="true">IF($B65="","",IF($E65&lt;&gt;"","Paid",IF($D65="","Not sent",IF(TODAY()&gt;$K65,"OVERDUE","Due"))))</f>
        <v/>
      </c>
    </row>
    <row r="66" customFormat="false" ht="15" hidden="false" customHeight="false" outlineLevel="0" collapsed="false">
      <c r="A66" s="23"/>
      <c r="B66" s="23"/>
      <c r="C66" s="34"/>
      <c r="D66" s="22"/>
      <c r="E66" s="22"/>
      <c r="F66" s="23"/>
      <c r="G66" s="31" t="str">
        <f aca="false">IF($B66="","",COUNTIFS('Cleans Log'!$M$5:$M$1004,$B66,'Cleans Log'!$Q$5:$Q$1004,$C66,'Cleans Log'!$N$5:$N$1004,"&gt;0"))</f>
        <v/>
      </c>
      <c r="H66" s="28" t="str">
        <f aca="false">IF($B66="","",SUMIFS('Cleans Log'!$N$5:$N$1004,'Cleans Log'!$M$5:$M$1004,$B66,'Cleans Log'!$Q$5:$Q$1004,$C66))</f>
        <v/>
      </c>
      <c r="I66" s="28" t="str">
        <f aca="false">IF($B66="","",SUMIFS(Purchases!$N$5:$N$1004,Purchases!$L$5:$L$1004,$B66,Purchases!$P$5:$P$1004,$C66))</f>
        <v/>
      </c>
      <c r="J66" s="28" t="str">
        <f aca="false">IF($B66="","",$H66+$I66)</f>
        <v/>
      </c>
      <c r="K66" s="30" t="str">
        <f aca="false">IF(OR($B66="",$D66=""),"",$D66+Settings!$B$12)</f>
        <v/>
      </c>
      <c r="L66" s="27" t="str">
        <f aca="true">IF($B66="","",IF($E66&lt;&gt;"","Paid",IF($D66="","Not sent",IF(TODAY()&gt;$K66,"OVERDUE","Due"))))</f>
        <v/>
      </c>
    </row>
    <row r="67" customFormat="false" ht="15" hidden="false" customHeight="false" outlineLevel="0" collapsed="false">
      <c r="A67" s="23"/>
      <c r="B67" s="23"/>
      <c r="C67" s="34"/>
      <c r="D67" s="22"/>
      <c r="E67" s="22"/>
      <c r="F67" s="23"/>
      <c r="G67" s="31" t="str">
        <f aca="false">IF($B67="","",COUNTIFS('Cleans Log'!$M$5:$M$1004,$B67,'Cleans Log'!$Q$5:$Q$1004,$C67,'Cleans Log'!$N$5:$N$1004,"&gt;0"))</f>
        <v/>
      </c>
      <c r="H67" s="28" t="str">
        <f aca="false">IF($B67="","",SUMIFS('Cleans Log'!$N$5:$N$1004,'Cleans Log'!$M$5:$M$1004,$B67,'Cleans Log'!$Q$5:$Q$1004,$C67))</f>
        <v/>
      </c>
      <c r="I67" s="28" t="str">
        <f aca="false">IF($B67="","",SUMIFS(Purchases!$N$5:$N$1004,Purchases!$L$5:$L$1004,$B67,Purchases!$P$5:$P$1004,$C67))</f>
        <v/>
      </c>
      <c r="J67" s="28" t="str">
        <f aca="false">IF($B67="","",$H67+$I67)</f>
        <v/>
      </c>
      <c r="K67" s="30" t="str">
        <f aca="false">IF(OR($B67="",$D67=""),"",$D67+Settings!$B$12)</f>
        <v/>
      </c>
      <c r="L67" s="27" t="str">
        <f aca="true">IF($B67="","",IF($E67&lt;&gt;"","Paid",IF($D67="","Not sent",IF(TODAY()&gt;$K67,"OVERDUE","Due"))))</f>
        <v/>
      </c>
    </row>
    <row r="68" customFormat="false" ht="15" hidden="false" customHeight="false" outlineLevel="0" collapsed="false">
      <c r="A68" s="23"/>
      <c r="B68" s="23"/>
      <c r="C68" s="34"/>
      <c r="D68" s="22"/>
      <c r="E68" s="22"/>
      <c r="F68" s="23"/>
      <c r="G68" s="31" t="str">
        <f aca="false">IF($B68="","",COUNTIFS('Cleans Log'!$M$5:$M$1004,$B68,'Cleans Log'!$Q$5:$Q$1004,$C68,'Cleans Log'!$N$5:$N$1004,"&gt;0"))</f>
        <v/>
      </c>
      <c r="H68" s="28" t="str">
        <f aca="false">IF($B68="","",SUMIFS('Cleans Log'!$N$5:$N$1004,'Cleans Log'!$M$5:$M$1004,$B68,'Cleans Log'!$Q$5:$Q$1004,$C68))</f>
        <v/>
      </c>
      <c r="I68" s="28" t="str">
        <f aca="false">IF($B68="","",SUMIFS(Purchases!$N$5:$N$1004,Purchases!$L$5:$L$1004,$B68,Purchases!$P$5:$P$1004,$C68))</f>
        <v/>
      </c>
      <c r="J68" s="28" t="str">
        <f aca="false">IF($B68="","",$H68+$I68)</f>
        <v/>
      </c>
      <c r="K68" s="30" t="str">
        <f aca="false">IF(OR($B68="",$D68=""),"",$D68+Settings!$B$12)</f>
        <v/>
      </c>
      <c r="L68" s="27" t="str">
        <f aca="true">IF($B68="","",IF($E68&lt;&gt;"","Paid",IF($D68="","Not sent",IF(TODAY()&gt;$K68,"OVERDUE","Due"))))</f>
        <v/>
      </c>
    </row>
    <row r="69" customFormat="false" ht="15" hidden="false" customHeight="false" outlineLevel="0" collapsed="false">
      <c r="A69" s="23"/>
      <c r="B69" s="23"/>
      <c r="C69" s="34"/>
      <c r="D69" s="22"/>
      <c r="E69" s="22"/>
      <c r="F69" s="23"/>
      <c r="G69" s="31" t="str">
        <f aca="false">IF($B69="","",COUNTIFS('Cleans Log'!$M$5:$M$1004,$B69,'Cleans Log'!$Q$5:$Q$1004,$C69,'Cleans Log'!$N$5:$N$1004,"&gt;0"))</f>
        <v/>
      </c>
      <c r="H69" s="28" t="str">
        <f aca="false">IF($B69="","",SUMIFS('Cleans Log'!$N$5:$N$1004,'Cleans Log'!$M$5:$M$1004,$B69,'Cleans Log'!$Q$5:$Q$1004,$C69))</f>
        <v/>
      </c>
      <c r="I69" s="28" t="str">
        <f aca="false">IF($B69="","",SUMIFS(Purchases!$N$5:$N$1004,Purchases!$L$5:$L$1004,$B69,Purchases!$P$5:$P$1004,$C69))</f>
        <v/>
      </c>
      <c r="J69" s="28" t="str">
        <f aca="false">IF($B69="","",$H69+$I69)</f>
        <v/>
      </c>
      <c r="K69" s="30" t="str">
        <f aca="false">IF(OR($B69="",$D69=""),"",$D69+Settings!$B$12)</f>
        <v/>
      </c>
      <c r="L69" s="27" t="str">
        <f aca="true">IF($B69="","",IF($E69&lt;&gt;"","Paid",IF($D69="","Not sent",IF(TODAY()&gt;$K69,"OVERDUE","Due"))))</f>
        <v/>
      </c>
    </row>
    <row r="70" customFormat="false" ht="15" hidden="false" customHeight="false" outlineLevel="0" collapsed="false">
      <c r="A70" s="23"/>
      <c r="B70" s="23"/>
      <c r="C70" s="34"/>
      <c r="D70" s="22"/>
      <c r="E70" s="22"/>
      <c r="F70" s="23"/>
      <c r="G70" s="31" t="str">
        <f aca="false">IF($B70="","",COUNTIFS('Cleans Log'!$M$5:$M$1004,$B70,'Cleans Log'!$Q$5:$Q$1004,$C70,'Cleans Log'!$N$5:$N$1004,"&gt;0"))</f>
        <v/>
      </c>
      <c r="H70" s="28" t="str">
        <f aca="false">IF($B70="","",SUMIFS('Cleans Log'!$N$5:$N$1004,'Cleans Log'!$M$5:$M$1004,$B70,'Cleans Log'!$Q$5:$Q$1004,$C70))</f>
        <v/>
      </c>
      <c r="I70" s="28" t="str">
        <f aca="false">IF($B70="","",SUMIFS(Purchases!$N$5:$N$1004,Purchases!$L$5:$L$1004,$B70,Purchases!$P$5:$P$1004,$C70))</f>
        <v/>
      </c>
      <c r="J70" s="28" t="str">
        <f aca="false">IF($B70="","",$H70+$I70)</f>
        <v/>
      </c>
      <c r="K70" s="30" t="str">
        <f aca="false">IF(OR($B70="",$D70=""),"",$D70+Settings!$B$12)</f>
        <v/>
      </c>
      <c r="L70" s="27" t="str">
        <f aca="true">IF($B70="","",IF($E70&lt;&gt;"","Paid",IF($D70="","Not sent",IF(TODAY()&gt;$K70,"OVERDUE","Due"))))</f>
        <v/>
      </c>
    </row>
    <row r="71" customFormat="false" ht="15" hidden="false" customHeight="false" outlineLevel="0" collapsed="false">
      <c r="A71" s="23"/>
      <c r="B71" s="23"/>
      <c r="C71" s="34"/>
      <c r="D71" s="22"/>
      <c r="E71" s="22"/>
      <c r="F71" s="23"/>
      <c r="G71" s="31" t="str">
        <f aca="false">IF($B71="","",COUNTIFS('Cleans Log'!$M$5:$M$1004,$B71,'Cleans Log'!$Q$5:$Q$1004,$C71,'Cleans Log'!$N$5:$N$1004,"&gt;0"))</f>
        <v/>
      </c>
      <c r="H71" s="28" t="str">
        <f aca="false">IF($B71="","",SUMIFS('Cleans Log'!$N$5:$N$1004,'Cleans Log'!$M$5:$M$1004,$B71,'Cleans Log'!$Q$5:$Q$1004,$C71))</f>
        <v/>
      </c>
      <c r="I71" s="28" t="str">
        <f aca="false">IF($B71="","",SUMIFS(Purchases!$N$5:$N$1004,Purchases!$L$5:$L$1004,$B71,Purchases!$P$5:$P$1004,$C71))</f>
        <v/>
      </c>
      <c r="J71" s="28" t="str">
        <f aca="false">IF($B71="","",$H71+$I71)</f>
        <v/>
      </c>
      <c r="K71" s="30" t="str">
        <f aca="false">IF(OR($B71="",$D71=""),"",$D71+Settings!$B$12)</f>
        <v/>
      </c>
      <c r="L71" s="27" t="str">
        <f aca="true">IF($B71="","",IF($E71&lt;&gt;"","Paid",IF($D71="","Not sent",IF(TODAY()&gt;$K71,"OVERDUE","Due"))))</f>
        <v/>
      </c>
    </row>
    <row r="72" customFormat="false" ht="15" hidden="false" customHeight="false" outlineLevel="0" collapsed="false">
      <c r="A72" s="23"/>
      <c r="B72" s="23"/>
      <c r="C72" s="34"/>
      <c r="D72" s="22"/>
      <c r="E72" s="22"/>
      <c r="F72" s="23"/>
      <c r="G72" s="31" t="str">
        <f aca="false">IF($B72="","",COUNTIFS('Cleans Log'!$M$5:$M$1004,$B72,'Cleans Log'!$Q$5:$Q$1004,$C72,'Cleans Log'!$N$5:$N$1004,"&gt;0"))</f>
        <v/>
      </c>
      <c r="H72" s="28" t="str">
        <f aca="false">IF($B72="","",SUMIFS('Cleans Log'!$N$5:$N$1004,'Cleans Log'!$M$5:$M$1004,$B72,'Cleans Log'!$Q$5:$Q$1004,$C72))</f>
        <v/>
      </c>
      <c r="I72" s="28" t="str">
        <f aca="false">IF($B72="","",SUMIFS(Purchases!$N$5:$N$1004,Purchases!$L$5:$L$1004,$B72,Purchases!$P$5:$P$1004,$C72))</f>
        <v/>
      </c>
      <c r="J72" s="28" t="str">
        <f aca="false">IF($B72="","",$H72+$I72)</f>
        <v/>
      </c>
      <c r="K72" s="30" t="str">
        <f aca="false">IF(OR($B72="",$D72=""),"",$D72+Settings!$B$12)</f>
        <v/>
      </c>
      <c r="L72" s="27" t="str">
        <f aca="true">IF($B72="","",IF($E72&lt;&gt;"","Paid",IF($D72="","Not sent",IF(TODAY()&gt;$K72,"OVERDUE","Due"))))</f>
        <v/>
      </c>
    </row>
    <row r="73" customFormat="false" ht="15" hidden="false" customHeight="false" outlineLevel="0" collapsed="false">
      <c r="A73" s="23"/>
      <c r="B73" s="23"/>
      <c r="C73" s="34"/>
      <c r="D73" s="22"/>
      <c r="E73" s="22"/>
      <c r="F73" s="23"/>
      <c r="G73" s="31" t="str">
        <f aca="false">IF($B73="","",COUNTIFS('Cleans Log'!$M$5:$M$1004,$B73,'Cleans Log'!$Q$5:$Q$1004,$C73,'Cleans Log'!$N$5:$N$1004,"&gt;0"))</f>
        <v/>
      </c>
      <c r="H73" s="28" t="str">
        <f aca="false">IF($B73="","",SUMIFS('Cleans Log'!$N$5:$N$1004,'Cleans Log'!$M$5:$M$1004,$B73,'Cleans Log'!$Q$5:$Q$1004,$C73))</f>
        <v/>
      </c>
      <c r="I73" s="28" t="str">
        <f aca="false">IF($B73="","",SUMIFS(Purchases!$N$5:$N$1004,Purchases!$L$5:$L$1004,$B73,Purchases!$P$5:$P$1004,$C73))</f>
        <v/>
      </c>
      <c r="J73" s="28" t="str">
        <f aca="false">IF($B73="","",$H73+$I73)</f>
        <v/>
      </c>
      <c r="K73" s="30" t="str">
        <f aca="false">IF(OR($B73="",$D73=""),"",$D73+Settings!$B$12)</f>
        <v/>
      </c>
      <c r="L73" s="27" t="str">
        <f aca="true">IF($B73="","",IF($E73&lt;&gt;"","Paid",IF($D73="","Not sent",IF(TODAY()&gt;$K73,"OVERDUE","Due"))))</f>
        <v/>
      </c>
    </row>
    <row r="74" customFormat="false" ht="15" hidden="false" customHeight="false" outlineLevel="0" collapsed="false">
      <c r="A74" s="23"/>
      <c r="B74" s="23"/>
      <c r="C74" s="34"/>
      <c r="D74" s="22"/>
      <c r="E74" s="22"/>
      <c r="F74" s="23"/>
      <c r="G74" s="31" t="str">
        <f aca="false">IF($B74="","",COUNTIFS('Cleans Log'!$M$5:$M$1004,$B74,'Cleans Log'!$Q$5:$Q$1004,$C74,'Cleans Log'!$N$5:$N$1004,"&gt;0"))</f>
        <v/>
      </c>
      <c r="H74" s="28" t="str">
        <f aca="false">IF($B74="","",SUMIFS('Cleans Log'!$N$5:$N$1004,'Cleans Log'!$M$5:$M$1004,$B74,'Cleans Log'!$Q$5:$Q$1004,$C74))</f>
        <v/>
      </c>
      <c r="I74" s="28" t="str">
        <f aca="false">IF($B74="","",SUMIFS(Purchases!$N$5:$N$1004,Purchases!$L$5:$L$1004,$B74,Purchases!$P$5:$P$1004,$C74))</f>
        <v/>
      </c>
      <c r="J74" s="28" t="str">
        <f aca="false">IF($B74="","",$H74+$I74)</f>
        <v/>
      </c>
      <c r="K74" s="30" t="str">
        <f aca="false">IF(OR($B74="",$D74=""),"",$D74+Settings!$B$12)</f>
        <v/>
      </c>
      <c r="L74" s="27" t="str">
        <f aca="true">IF($B74="","",IF($E74&lt;&gt;"","Paid",IF($D74="","Not sent",IF(TODAY()&gt;$K74,"OVERDUE","Due"))))</f>
        <v/>
      </c>
    </row>
    <row r="75" customFormat="false" ht="15" hidden="false" customHeight="false" outlineLevel="0" collapsed="false">
      <c r="A75" s="23"/>
      <c r="B75" s="23"/>
      <c r="C75" s="34"/>
      <c r="D75" s="22"/>
      <c r="E75" s="22"/>
      <c r="F75" s="23"/>
      <c r="G75" s="31" t="str">
        <f aca="false">IF($B75="","",COUNTIFS('Cleans Log'!$M$5:$M$1004,$B75,'Cleans Log'!$Q$5:$Q$1004,$C75,'Cleans Log'!$N$5:$N$1004,"&gt;0"))</f>
        <v/>
      </c>
      <c r="H75" s="28" t="str">
        <f aca="false">IF($B75="","",SUMIFS('Cleans Log'!$N$5:$N$1004,'Cleans Log'!$M$5:$M$1004,$B75,'Cleans Log'!$Q$5:$Q$1004,$C75))</f>
        <v/>
      </c>
      <c r="I75" s="28" t="str">
        <f aca="false">IF($B75="","",SUMIFS(Purchases!$N$5:$N$1004,Purchases!$L$5:$L$1004,$B75,Purchases!$P$5:$P$1004,$C75))</f>
        <v/>
      </c>
      <c r="J75" s="28" t="str">
        <f aca="false">IF($B75="","",$H75+$I75)</f>
        <v/>
      </c>
      <c r="K75" s="30" t="str">
        <f aca="false">IF(OR($B75="",$D75=""),"",$D75+Settings!$B$12)</f>
        <v/>
      </c>
      <c r="L75" s="27" t="str">
        <f aca="true">IF($B75="","",IF($E75&lt;&gt;"","Paid",IF($D75="","Not sent",IF(TODAY()&gt;$K75,"OVERDUE","Due"))))</f>
        <v/>
      </c>
    </row>
    <row r="76" customFormat="false" ht="15" hidden="false" customHeight="false" outlineLevel="0" collapsed="false">
      <c r="A76" s="23"/>
      <c r="B76" s="23"/>
      <c r="C76" s="34"/>
      <c r="D76" s="22"/>
      <c r="E76" s="22"/>
      <c r="F76" s="23"/>
      <c r="G76" s="31" t="str">
        <f aca="false">IF($B76="","",COUNTIFS('Cleans Log'!$M$5:$M$1004,$B76,'Cleans Log'!$Q$5:$Q$1004,$C76,'Cleans Log'!$N$5:$N$1004,"&gt;0"))</f>
        <v/>
      </c>
      <c r="H76" s="28" t="str">
        <f aca="false">IF($B76="","",SUMIFS('Cleans Log'!$N$5:$N$1004,'Cleans Log'!$M$5:$M$1004,$B76,'Cleans Log'!$Q$5:$Q$1004,$C76))</f>
        <v/>
      </c>
      <c r="I76" s="28" t="str">
        <f aca="false">IF($B76="","",SUMIFS(Purchases!$N$5:$N$1004,Purchases!$L$5:$L$1004,$B76,Purchases!$P$5:$P$1004,$C76))</f>
        <v/>
      </c>
      <c r="J76" s="28" t="str">
        <f aca="false">IF($B76="","",$H76+$I76)</f>
        <v/>
      </c>
      <c r="K76" s="30" t="str">
        <f aca="false">IF(OR($B76="",$D76=""),"",$D76+Settings!$B$12)</f>
        <v/>
      </c>
      <c r="L76" s="27" t="str">
        <f aca="true">IF($B76="","",IF($E76&lt;&gt;"","Paid",IF($D76="","Not sent",IF(TODAY()&gt;$K76,"OVERDUE","Due"))))</f>
        <v/>
      </c>
    </row>
    <row r="77" customFormat="false" ht="15" hidden="false" customHeight="false" outlineLevel="0" collapsed="false">
      <c r="A77" s="23"/>
      <c r="B77" s="23"/>
      <c r="C77" s="34"/>
      <c r="D77" s="22"/>
      <c r="E77" s="22"/>
      <c r="F77" s="23"/>
      <c r="G77" s="31" t="str">
        <f aca="false">IF($B77="","",COUNTIFS('Cleans Log'!$M$5:$M$1004,$B77,'Cleans Log'!$Q$5:$Q$1004,$C77,'Cleans Log'!$N$5:$N$1004,"&gt;0"))</f>
        <v/>
      </c>
      <c r="H77" s="28" t="str">
        <f aca="false">IF($B77="","",SUMIFS('Cleans Log'!$N$5:$N$1004,'Cleans Log'!$M$5:$M$1004,$B77,'Cleans Log'!$Q$5:$Q$1004,$C77))</f>
        <v/>
      </c>
      <c r="I77" s="28" t="str">
        <f aca="false">IF($B77="","",SUMIFS(Purchases!$N$5:$N$1004,Purchases!$L$5:$L$1004,$B77,Purchases!$P$5:$P$1004,$C77))</f>
        <v/>
      </c>
      <c r="J77" s="28" t="str">
        <f aca="false">IF($B77="","",$H77+$I77)</f>
        <v/>
      </c>
      <c r="K77" s="30" t="str">
        <f aca="false">IF(OR($B77="",$D77=""),"",$D77+Settings!$B$12)</f>
        <v/>
      </c>
      <c r="L77" s="27" t="str">
        <f aca="true">IF($B77="","",IF($E77&lt;&gt;"","Paid",IF($D77="","Not sent",IF(TODAY()&gt;$K77,"OVERDUE","Due"))))</f>
        <v/>
      </c>
    </row>
    <row r="78" customFormat="false" ht="15" hidden="false" customHeight="false" outlineLevel="0" collapsed="false">
      <c r="A78" s="23"/>
      <c r="B78" s="23"/>
      <c r="C78" s="34"/>
      <c r="D78" s="22"/>
      <c r="E78" s="22"/>
      <c r="F78" s="23"/>
      <c r="G78" s="31" t="str">
        <f aca="false">IF($B78="","",COUNTIFS('Cleans Log'!$M$5:$M$1004,$B78,'Cleans Log'!$Q$5:$Q$1004,$C78,'Cleans Log'!$N$5:$N$1004,"&gt;0"))</f>
        <v/>
      </c>
      <c r="H78" s="28" t="str">
        <f aca="false">IF($B78="","",SUMIFS('Cleans Log'!$N$5:$N$1004,'Cleans Log'!$M$5:$M$1004,$B78,'Cleans Log'!$Q$5:$Q$1004,$C78))</f>
        <v/>
      </c>
      <c r="I78" s="28" t="str">
        <f aca="false">IF($B78="","",SUMIFS(Purchases!$N$5:$N$1004,Purchases!$L$5:$L$1004,$B78,Purchases!$P$5:$P$1004,$C78))</f>
        <v/>
      </c>
      <c r="J78" s="28" t="str">
        <f aca="false">IF($B78="","",$H78+$I78)</f>
        <v/>
      </c>
      <c r="K78" s="30" t="str">
        <f aca="false">IF(OR($B78="",$D78=""),"",$D78+Settings!$B$12)</f>
        <v/>
      </c>
      <c r="L78" s="27" t="str">
        <f aca="true">IF($B78="","",IF($E78&lt;&gt;"","Paid",IF($D78="","Not sent",IF(TODAY()&gt;$K78,"OVERDUE","Due"))))</f>
        <v/>
      </c>
    </row>
    <row r="79" customFormat="false" ht="15" hidden="false" customHeight="false" outlineLevel="0" collapsed="false">
      <c r="A79" s="23"/>
      <c r="B79" s="23"/>
      <c r="C79" s="34"/>
      <c r="D79" s="22"/>
      <c r="E79" s="22"/>
      <c r="F79" s="23"/>
      <c r="G79" s="31" t="str">
        <f aca="false">IF($B79="","",COUNTIFS('Cleans Log'!$M$5:$M$1004,$B79,'Cleans Log'!$Q$5:$Q$1004,$C79,'Cleans Log'!$N$5:$N$1004,"&gt;0"))</f>
        <v/>
      </c>
      <c r="H79" s="28" t="str">
        <f aca="false">IF($B79="","",SUMIFS('Cleans Log'!$N$5:$N$1004,'Cleans Log'!$M$5:$M$1004,$B79,'Cleans Log'!$Q$5:$Q$1004,$C79))</f>
        <v/>
      </c>
      <c r="I79" s="28" t="str">
        <f aca="false">IF($B79="","",SUMIFS(Purchases!$N$5:$N$1004,Purchases!$L$5:$L$1004,$B79,Purchases!$P$5:$P$1004,$C79))</f>
        <v/>
      </c>
      <c r="J79" s="28" t="str">
        <f aca="false">IF($B79="","",$H79+$I79)</f>
        <v/>
      </c>
      <c r="K79" s="30" t="str">
        <f aca="false">IF(OR($B79="",$D79=""),"",$D79+Settings!$B$12)</f>
        <v/>
      </c>
      <c r="L79" s="27" t="str">
        <f aca="true">IF($B79="","",IF($E79&lt;&gt;"","Paid",IF($D79="","Not sent",IF(TODAY()&gt;$K79,"OVERDUE","Due"))))</f>
        <v/>
      </c>
    </row>
    <row r="80" customFormat="false" ht="15" hidden="false" customHeight="false" outlineLevel="0" collapsed="false">
      <c r="A80" s="23"/>
      <c r="B80" s="23"/>
      <c r="C80" s="34"/>
      <c r="D80" s="22"/>
      <c r="E80" s="22"/>
      <c r="F80" s="23"/>
      <c r="G80" s="31" t="str">
        <f aca="false">IF($B80="","",COUNTIFS('Cleans Log'!$M$5:$M$1004,$B80,'Cleans Log'!$Q$5:$Q$1004,$C80,'Cleans Log'!$N$5:$N$1004,"&gt;0"))</f>
        <v/>
      </c>
      <c r="H80" s="28" t="str">
        <f aca="false">IF($B80="","",SUMIFS('Cleans Log'!$N$5:$N$1004,'Cleans Log'!$M$5:$M$1004,$B80,'Cleans Log'!$Q$5:$Q$1004,$C80))</f>
        <v/>
      </c>
      <c r="I80" s="28" t="str">
        <f aca="false">IF($B80="","",SUMIFS(Purchases!$N$5:$N$1004,Purchases!$L$5:$L$1004,$B80,Purchases!$P$5:$P$1004,$C80))</f>
        <v/>
      </c>
      <c r="J80" s="28" t="str">
        <f aca="false">IF($B80="","",$H80+$I80)</f>
        <v/>
      </c>
      <c r="K80" s="30" t="str">
        <f aca="false">IF(OR($B80="",$D80=""),"",$D80+Settings!$B$12)</f>
        <v/>
      </c>
      <c r="L80" s="27" t="str">
        <f aca="true">IF($B80="","",IF($E80&lt;&gt;"","Paid",IF($D80="","Not sent",IF(TODAY()&gt;$K80,"OVERDUE","Due"))))</f>
        <v/>
      </c>
    </row>
    <row r="81" customFormat="false" ht="15" hidden="false" customHeight="false" outlineLevel="0" collapsed="false">
      <c r="A81" s="23"/>
      <c r="B81" s="23"/>
      <c r="C81" s="34"/>
      <c r="D81" s="22"/>
      <c r="E81" s="22"/>
      <c r="F81" s="23"/>
      <c r="G81" s="31" t="str">
        <f aca="false">IF($B81="","",COUNTIFS('Cleans Log'!$M$5:$M$1004,$B81,'Cleans Log'!$Q$5:$Q$1004,$C81,'Cleans Log'!$N$5:$N$1004,"&gt;0"))</f>
        <v/>
      </c>
      <c r="H81" s="28" t="str">
        <f aca="false">IF($B81="","",SUMIFS('Cleans Log'!$N$5:$N$1004,'Cleans Log'!$M$5:$M$1004,$B81,'Cleans Log'!$Q$5:$Q$1004,$C81))</f>
        <v/>
      </c>
      <c r="I81" s="28" t="str">
        <f aca="false">IF($B81="","",SUMIFS(Purchases!$N$5:$N$1004,Purchases!$L$5:$L$1004,$B81,Purchases!$P$5:$P$1004,$C81))</f>
        <v/>
      </c>
      <c r="J81" s="28" t="str">
        <f aca="false">IF($B81="","",$H81+$I81)</f>
        <v/>
      </c>
      <c r="K81" s="30" t="str">
        <f aca="false">IF(OR($B81="",$D81=""),"",$D81+Settings!$B$12)</f>
        <v/>
      </c>
      <c r="L81" s="27" t="str">
        <f aca="true">IF($B81="","",IF($E81&lt;&gt;"","Paid",IF($D81="","Not sent",IF(TODAY()&gt;$K81,"OVERDUE","Due"))))</f>
        <v/>
      </c>
    </row>
    <row r="82" customFormat="false" ht="15" hidden="false" customHeight="false" outlineLevel="0" collapsed="false">
      <c r="A82" s="23"/>
      <c r="B82" s="23"/>
      <c r="C82" s="34"/>
      <c r="D82" s="22"/>
      <c r="E82" s="22"/>
      <c r="F82" s="23"/>
      <c r="G82" s="31" t="str">
        <f aca="false">IF($B82="","",COUNTIFS('Cleans Log'!$M$5:$M$1004,$B82,'Cleans Log'!$Q$5:$Q$1004,$C82,'Cleans Log'!$N$5:$N$1004,"&gt;0"))</f>
        <v/>
      </c>
      <c r="H82" s="28" t="str">
        <f aca="false">IF($B82="","",SUMIFS('Cleans Log'!$N$5:$N$1004,'Cleans Log'!$M$5:$M$1004,$B82,'Cleans Log'!$Q$5:$Q$1004,$C82))</f>
        <v/>
      </c>
      <c r="I82" s="28" t="str">
        <f aca="false">IF($B82="","",SUMIFS(Purchases!$N$5:$N$1004,Purchases!$L$5:$L$1004,$B82,Purchases!$P$5:$P$1004,$C82))</f>
        <v/>
      </c>
      <c r="J82" s="28" t="str">
        <f aca="false">IF($B82="","",$H82+$I82)</f>
        <v/>
      </c>
      <c r="K82" s="30" t="str">
        <f aca="false">IF(OR($B82="",$D82=""),"",$D82+Settings!$B$12)</f>
        <v/>
      </c>
      <c r="L82" s="27" t="str">
        <f aca="true">IF($B82="","",IF($E82&lt;&gt;"","Paid",IF($D82="","Not sent",IF(TODAY()&gt;$K82,"OVERDUE","Due"))))</f>
        <v/>
      </c>
    </row>
    <row r="83" customFormat="false" ht="15" hidden="false" customHeight="false" outlineLevel="0" collapsed="false">
      <c r="A83" s="23"/>
      <c r="B83" s="23"/>
      <c r="C83" s="34"/>
      <c r="D83" s="22"/>
      <c r="E83" s="22"/>
      <c r="F83" s="23"/>
      <c r="G83" s="31" t="str">
        <f aca="false">IF($B83="","",COUNTIFS('Cleans Log'!$M$5:$M$1004,$B83,'Cleans Log'!$Q$5:$Q$1004,$C83,'Cleans Log'!$N$5:$N$1004,"&gt;0"))</f>
        <v/>
      </c>
      <c r="H83" s="28" t="str">
        <f aca="false">IF($B83="","",SUMIFS('Cleans Log'!$N$5:$N$1004,'Cleans Log'!$M$5:$M$1004,$B83,'Cleans Log'!$Q$5:$Q$1004,$C83))</f>
        <v/>
      </c>
      <c r="I83" s="28" t="str">
        <f aca="false">IF($B83="","",SUMIFS(Purchases!$N$5:$N$1004,Purchases!$L$5:$L$1004,$B83,Purchases!$P$5:$P$1004,$C83))</f>
        <v/>
      </c>
      <c r="J83" s="28" t="str">
        <f aca="false">IF($B83="","",$H83+$I83)</f>
        <v/>
      </c>
      <c r="K83" s="30" t="str">
        <f aca="false">IF(OR($B83="",$D83=""),"",$D83+Settings!$B$12)</f>
        <v/>
      </c>
      <c r="L83" s="27" t="str">
        <f aca="true">IF($B83="","",IF($E83&lt;&gt;"","Paid",IF($D83="","Not sent",IF(TODAY()&gt;$K83,"OVERDUE","Due"))))</f>
        <v/>
      </c>
    </row>
    <row r="84" customFormat="false" ht="15" hidden="false" customHeight="false" outlineLevel="0" collapsed="false">
      <c r="A84" s="23"/>
      <c r="B84" s="23"/>
      <c r="C84" s="34"/>
      <c r="D84" s="22"/>
      <c r="E84" s="22"/>
      <c r="F84" s="23"/>
      <c r="G84" s="31" t="str">
        <f aca="false">IF($B84="","",COUNTIFS('Cleans Log'!$M$5:$M$1004,$B84,'Cleans Log'!$Q$5:$Q$1004,$C84,'Cleans Log'!$N$5:$N$1004,"&gt;0"))</f>
        <v/>
      </c>
      <c r="H84" s="28" t="str">
        <f aca="false">IF($B84="","",SUMIFS('Cleans Log'!$N$5:$N$1004,'Cleans Log'!$M$5:$M$1004,$B84,'Cleans Log'!$Q$5:$Q$1004,$C84))</f>
        <v/>
      </c>
      <c r="I84" s="28" t="str">
        <f aca="false">IF($B84="","",SUMIFS(Purchases!$N$5:$N$1004,Purchases!$L$5:$L$1004,$B84,Purchases!$P$5:$P$1004,$C84))</f>
        <v/>
      </c>
      <c r="J84" s="28" t="str">
        <f aca="false">IF($B84="","",$H84+$I84)</f>
        <v/>
      </c>
      <c r="K84" s="30" t="str">
        <f aca="false">IF(OR($B84="",$D84=""),"",$D84+Settings!$B$12)</f>
        <v/>
      </c>
      <c r="L84" s="27" t="str">
        <f aca="true">IF($B84="","",IF($E84&lt;&gt;"","Paid",IF($D84="","Not sent",IF(TODAY()&gt;$K84,"OVERDUE","Due"))))</f>
        <v/>
      </c>
    </row>
    <row r="85" customFormat="false" ht="15" hidden="false" customHeight="false" outlineLevel="0" collapsed="false">
      <c r="A85" s="23"/>
      <c r="B85" s="23"/>
      <c r="C85" s="34"/>
      <c r="D85" s="22"/>
      <c r="E85" s="22"/>
      <c r="F85" s="23"/>
      <c r="G85" s="31" t="str">
        <f aca="false">IF($B85="","",COUNTIFS('Cleans Log'!$M$5:$M$1004,$B85,'Cleans Log'!$Q$5:$Q$1004,$C85,'Cleans Log'!$N$5:$N$1004,"&gt;0"))</f>
        <v/>
      </c>
      <c r="H85" s="28" t="str">
        <f aca="false">IF($B85="","",SUMIFS('Cleans Log'!$N$5:$N$1004,'Cleans Log'!$M$5:$M$1004,$B85,'Cleans Log'!$Q$5:$Q$1004,$C85))</f>
        <v/>
      </c>
      <c r="I85" s="28" t="str">
        <f aca="false">IF($B85="","",SUMIFS(Purchases!$N$5:$N$1004,Purchases!$L$5:$L$1004,$B85,Purchases!$P$5:$P$1004,$C85))</f>
        <v/>
      </c>
      <c r="J85" s="28" t="str">
        <f aca="false">IF($B85="","",$H85+$I85)</f>
        <v/>
      </c>
      <c r="K85" s="30" t="str">
        <f aca="false">IF(OR($B85="",$D85=""),"",$D85+Settings!$B$12)</f>
        <v/>
      </c>
      <c r="L85" s="27" t="str">
        <f aca="true">IF($B85="","",IF($E85&lt;&gt;"","Paid",IF($D85="","Not sent",IF(TODAY()&gt;$K85,"OVERDUE","Due"))))</f>
        <v/>
      </c>
    </row>
    <row r="86" customFormat="false" ht="15" hidden="false" customHeight="false" outlineLevel="0" collapsed="false">
      <c r="A86" s="23"/>
      <c r="B86" s="23"/>
      <c r="C86" s="34"/>
      <c r="D86" s="22"/>
      <c r="E86" s="22"/>
      <c r="F86" s="23"/>
      <c r="G86" s="31" t="str">
        <f aca="false">IF($B86="","",COUNTIFS('Cleans Log'!$M$5:$M$1004,$B86,'Cleans Log'!$Q$5:$Q$1004,$C86,'Cleans Log'!$N$5:$N$1004,"&gt;0"))</f>
        <v/>
      </c>
      <c r="H86" s="28" t="str">
        <f aca="false">IF($B86="","",SUMIFS('Cleans Log'!$N$5:$N$1004,'Cleans Log'!$M$5:$M$1004,$B86,'Cleans Log'!$Q$5:$Q$1004,$C86))</f>
        <v/>
      </c>
      <c r="I86" s="28" t="str">
        <f aca="false">IF($B86="","",SUMIFS(Purchases!$N$5:$N$1004,Purchases!$L$5:$L$1004,$B86,Purchases!$P$5:$P$1004,$C86))</f>
        <v/>
      </c>
      <c r="J86" s="28" t="str">
        <f aca="false">IF($B86="","",$H86+$I86)</f>
        <v/>
      </c>
      <c r="K86" s="30" t="str">
        <f aca="false">IF(OR($B86="",$D86=""),"",$D86+Settings!$B$12)</f>
        <v/>
      </c>
      <c r="L86" s="27" t="str">
        <f aca="true">IF($B86="","",IF($E86&lt;&gt;"","Paid",IF($D86="","Not sent",IF(TODAY()&gt;$K86,"OVERDUE","Due"))))</f>
        <v/>
      </c>
    </row>
    <row r="87" customFormat="false" ht="15" hidden="false" customHeight="false" outlineLevel="0" collapsed="false">
      <c r="A87" s="23"/>
      <c r="B87" s="23"/>
      <c r="C87" s="34"/>
      <c r="D87" s="22"/>
      <c r="E87" s="22"/>
      <c r="F87" s="23"/>
      <c r="G87" s="31" t="str">
        <f aca="false">IF($B87="","",COUNTIFS('Cleans Log'!$M$5:$M$1004,$B87,'Cleans Log'!$Q$5:$Q$1004,$C87,'Cleans Log'!$N$5:$N$1004,"&gt;0"))</f>
        <v/>
      </c>
      <c r="H87" s="28" t="str">
        <f aca="false">IF($B87="","",SUMIFS('Cleans Log'!$N$5:$N$1004,'Cleans Log'!$M$5:$M$1004,$B87,'Cleans Log'!$Q$5:$Q$1004,$C87))</f>
        <v/>
      </c>
      <c r="I87" s="28" t="str">
        <f aca="false">IF($B87="","",SUMIFS(Purchases!$N$5:$N$1004,Purchases!$L$5:$L$1004,$B87,Purchases!$P$5:$P$1004,$C87))</f>
        <v/>
      </c>
      <c r="J87" s="28" t="str">
        <f aca="false">IF($B87="","",$H87+$I87)</f>
        <v/>
      </c>
      <c r="K87" s="30" t="str">
        <f aca="false">IF(OR($B87="",$D87=""),"",$D87+Settings!$B$12)</f>
        <v/>
      </c>
      <c r="L87" s="27" t="str">
        <f aca="true">IF($B87="","",IF($E87&lt;&gt;"","Paid",IF($D87="","Not sent",IF(TODAY()&gt;$K87,"OVERDUE","Due"))))</f>
        <v/>
      </c>
    </row>
    <row r="88" customFormat="false" ht="15" hidden="false" customHeight="false" outlineLevel="0" collapsed="false">
      <c r="A88" s="23"/>
      <c r="B88" s="23"/>
      <c r="C88" s="34"/>
      <c r="D88" s="22"/>
      <c r="E88" s="22"/>
      <c r="F88" s="23"/>
      <c r="G88" s="31" t="str">
        <f aca="false">IF($B88="","",COUNTIFS('Cleans Log'!$M$5:$M$1004,$B88,'Cleans Log'!$Q$5:$Q$1004,$C88,'Cleans Log'!$N$5:$N$1004,"&gt;0"))</f>
        <v/>
      </c>
      <c r="H88" s="28" t="str">
        <f aca="false">IF($B88="","",SUMIFS('Cleans Log'!$N$5:$N$1004,'Cleans Log'!$M$5:$M$1004,$B88,'Cleans Log'!$Q$5:$Q$1004,$C88))</f>
        <v/>
      </c>
      <c r="I88" s="28" t="str">
        <f aca="false">IF($B88="","",SUMIFS(Purchases!$N$5:$N$1004,Purchases!$L$5:$L$1004,$B88,Purchases!$P$5:$P$1004,$C88))</f>
        <v/>
      </c>
      <c r="J88" s="28" t="str">
        <f aca="false">IF($B88="","",$H88+$I88)</f>
        <v/>
      </c>
      <c r="K88" s="30" t="str">
        <f aca="false">IF(OR($B88="",$D88=""),"",$D88+Settings!$B$12)</f>
        <v/>
      </c>
      <c r="L88" s="27" t="str">
        <f aca="true">IF($B88="","",IF($E88&lt;&gt;"","Paid",IF($D88="","Not sent",IF(TODAY()&gt;$K88,"OVERDUE","Due"))))</f>
        <v/>
      </c>
    </row>
    <row r="89" customFormat="false" ht="15" hidden="false" customHeight="false" outlineLevel="0" collapsed="false">
      <c r="A89" s="23"/>
      <c r="B89" s="23"/>
      <c r="C89" s="34"/>
      <c r="D89" s="22"/>
      <c r="E89" s="22"/>
      <c r="F89" s="23"/>
      <c r="G89" s="31" t="str">
        <f aca="false">IF($B89="","",COUNTIFS('Cleans Log'!$M$5:$M$1004,$B89,'Cleans Log'!$Q$5:$Q$1004,$C89,'Cleans Log'!$N$5:$N$1004,"&gt;0"))</f>
        <v/>
      </c>
      <c r="H89" s="28" t="str">
        <f aca="false">IF($B89="","",SUMIFS('Cleans Log'!$N$5:$N$1004,'Cleans Log'!$M$5:$M$1004,$B89,'Cleans Log'!$Q$5:$Q$1004,$C89))</f>
        <v/>
      </c>
      <c r="I89" s="28" t="str">
        <f aca="false">IF($B89="","",SUMIFS(Purchases!$N$5:$N$1004,Purchases!$L$5:$L$1004,$B89,Purchases!$P$5:$P$1004,$C89))</f>
        <v/>
      </c>
      <c r="J89" s="28" t="str">
        <f aca="false">IF($B89="","",$H89+$I89)</f>
        <v/>
      </c>
      <c r="K89" s="30" t="str">
        <f aca="false">IF(OR($B89="",$D89=""),"",$D89+Settings!$B$12)</f>
        <v/>
      </c>
      <c r="L89" s="27" t="str">
        <f aca="true">IF($B89="","",IF($E89&lt;&gt;"","Paid",IF($D89="","Not sent",IF(TODAY()&gt;$K89,"OVERDUE","Due"))))</f>
        <v/>
      </c>
    </row>
    <row r="90" customFormat="false" ht="15" hidden="false" customHeight="false" outlineLevel="0" collapsed="false">
      <c r="A90" s="23"/>
      <c r="B90" s="23"/>
      <c r="C90" s="34"/>
      <c r="D90" s="22"/>
      <c r="E90" s="22"/>
      <c r="F90" s="23"/>
      <c r="G90" s="31" t="str">
        <f aca="false">IF($B90="","",COUNTIFS('Cleans Log'!$M$5:$M$1004,$B90,'Cleans Log'!$Q$5:$Q$1004,$C90,'Cleans Log'!$N$5:$N$1004,"&gt;0"))</f>
        <v/>
      </c>
      <c r="H90" s="28" t="str">
        <f aca="false">IF($B90="","",SUMIFS('Cleans Log'!$N$5:$N$1004,'Cleans Log'!$M$5:$M$1004,$B90,'Cleans Log'!$Q$5:$Q$1004,$C90))</f>
        <v/>
      </c>
      <c r="I90" s="28" t="str">
        <f aca="false">IF($B90="","",SUMIFS(Purchases!$N$5:$N$1004,Purchases!$L$5:$L$1004,$B90,Purchases!$P$5:$P$1004,$C90))</f>
        <v/>
      </c>
      <c r="J90" s="28" t="str">
        <f aca="false">IF($B90="","",$H90+$I90)</f>
        <v/>
      </c>
      <c r="K90" s="30" t="str">
        <f aca="false">IF(OR($B90="",$D90=""),"",$D90+Settings!$B$12)</f>
        <v/>
      </c>
      <c r="L90" s="27" t="str">
        <f aca="true">IF($B90="","",IF($E90&lt;&gt;"","Paid",IF($D90="","Not sent",IF(TODAY()&gt;$K90,"OVERDUE","Due"))))</f>
        <v/>
      </c>
    </row>
    <row r="91" customFormat="false" ht="15" hidden="false" customHeight="false" outlineLevel="0" collapsed="false">
      <c r="A91" s="23"/>
      <c r="B91" s="23"/>
      <c r="C91" s="34"/>
      <c r="D91" s="22"/>
      <c r="E91" s="22"/>
      <c r="F91" s="23"/>
      <c r="G91" s="31" t="str">
        <f aca="false">IF($B91="","",COUNTIFS('Cleans Log'!$M$5:$M$1004,$B91,'Cleans Log'!$Q$5:$Q$1004,$C91,'Cleans Log'!$N$5:$N$1004,"&gt;0"))</f>
        <v/>
      </c>
      <c r="H91" s="28" t="str">
        <f aca="false">IF($B91="","",SUMIFS('Cleans Log'!$N$5:$N$1004,'Cleans Log'!$M$5:$M$1004,$B91,'Cleans Log'!$Q$5:$Q$1004,$C91))</f>
        <v/>
      </c>
      <c r="I91" s="28" t="str">
        <f aca="false">IF($B91="","",SUMIFS(Purchases!$N$5:$N$1004,Purchases!$L$5:$L$1004,$B91,Purchases!$P$5:$P$1004,$C91))</f>
        <v/>
      </c>
      <c r="J91" s="28" t="str">
        <f aca="false">IF($B91="","",$H91+$I91)</f>
        <v/>
      </c>
      <c r="K91" s="30" t="str">
        <f aca="false">IF(OR($B91="",$D91=""),"",$D91+Settings!$B$12)</f>
        <v/>
      </c>
      <c r="L91" s="27" t="str">
        <f aca="true">IF($B91="","",IF($E91&lt;&gt;"","Paid",IF($D91="","Not sent",IF(TODAY()&gt;$K91,"OVERDUE","Due"))))</f>
        <v/>
      </c>
    </row>
    <row r="92" customFormat="false" ht="15" hidden="false" customHeight="false" outlineLevel="0" collapsed="false">
      <c r="A92" s="23"/>
      <c r="B92" s="23"/>
      <c r="C92" s="34"/>
      <c r="D92" s="22"/>
      <c r="E92" s="22"/>
      <c r="F92" s="23"/>
      <c r="G92" s="31" t="str">
        <f aca="false">IF($B92="","",COUNTIFS('Cleans Log'!$M$5:$M$1004,$B92,'Cleans Log'!$Q$5:$Q$1004,$C92,'Cleans Log'!$N$5:$N$1004,"&gt;0"))</f>
        <v/>
      </c>
      <c r="H92" s="28" t="str">
        <f aca="false">IF($B92="","",SUMIFS('Cleans Log'!$N$5:$N$1004,'Cleans Log'!$M$5:$M$1004,$B92,'Cleans Log'!$Q$5:$Q$1004,$C92))</f>
        <v/>
      </c>
      <c r="I92" s="28" t="str">
        <f aca="false">IF($B92="","",SUMIFS(Purchases!$N$5:$N$1004,Purchases!$L$5:$L$1004,$B92,Purchases!$P$5:$P$1004,$C92))</f>
        <v/>
      </c>
      <c r="J92" s="28" t="str">
        <f aca="false">IF($B92="","",$H92+$I92)</f>
        <v/>
      </c>
      <c r="K92" s="30" t="str">
        <f aca="false">IF(OR($B92="",$D92=""),"",$D92+Settings!$B$12)</f>
        <v/>
      </c>
      <c r="L92" s="27" t="str">
        <f aca="true">IF($B92="","",IF($E92&lt;&gt;"","Paid",IF($D92="","Not sent",IF(TODAY()&gt;$K92,"OVERDUE","Due"))))</f>
        <v/>
      </c>
    </row>
    <row r="93" customFormat="false" ht="15" hidden="false" customHeight="false" outlineLevel="0" collapsed="false">
      <c r="A93" s="23"/>
      <c r="B93" s="23"/>
      <c r="C93" s="34"/>
      <c r="D93" s="22"/>
      <c r="E93" s="22"/>
      <c r="F93" s="23"/>
      <c r="G93" s="31" t="str">
        <f aca="false">IF($B93="","",COUNTIFS('Cleans Log'!$M$5:$M$1004,$B93,'Cleans Log'!$Q$5:$Q$1004,$C93,'Cleans Log'!$N$5:$N$1004,"&gt;0"))</f>
        <v/>
      </c>
      <c r="H93" s="28" t="str">
        <f aca="false">IF($B93="","",SUMIFS('Cleans Log'!$N$5:$N$1004,'Cleans Log'!$M$5:$M$1004,$B93,'Cleans Log'!$Q$5:$Q$1004,$C93))</f>
        <v/>
      </c>
      <c r="I93" s="28" t="str">
        <f aca="false">IF($B93="","",SUMIFS(Purchases!$N$5:$N$1004,Purchases!$L$5:$L$1004,$B93,Purchases!$P$5:$P$1004,$C93))</f>
        <v/>
      </c>
      <c r="J93" s="28" t="str">
        <f aca="false">IF($B93="","",$H93+$I93)</f>
        <v/>
      </c>
      <c r="K93" s="30" t="str">
        <f aca="false">IF(OR($B93="",$D93=""),"",$D93+Settings!$B$12)</f>
        <v/>
      </c>
      <c r="L93" s="27" t="str">
        <f aca="true">IF($B93="","",IF($E93&lt;&gt;"","Paid",IF($D93="","Not sent",IF(TODAY()&gt;$K93,"OVERDUE","Due"))))</f>
        <v/>
      </c>
    </row>
    <row r="94" customFormat="false" ht="15" hidden="false" customHeight="false" outlineLevel="0" collapsed="false">
      <c r="A94" s="23"/>
      <c r="B94" s="23"/>
      <c r="C94" s="34"/>
      <c r="D94" s="22"/>
      <c r="E94" s="22"/>
      <c r="F94" s="23"/>
      <c r="G94" s="31" t="str">
        <f aca="false">IF($B94="","",COUNTIFS('Cleans Log'!$M$5:$M$1004,$B94,'Cleans Log'!$Q$5:$Q$1004,$C94,'Cleans Log'!$N$5:$N$1004,"&gt;0"))</f>
        <v/>
      </c>
      <c r="H94" s="28" t="str">
        <f aca="false">IF($B94="","",SUMIFS('Cleans Log'!$N$5:$N$1004,'Cleans Log'!$M$5:$M$1004,$B94,'Cleans Log'!$Q$5:$Q$1004,$C94))</f>
        <v/>
      </c>
      <c r="I94" s="28" t="str">
        <f aca="false">IF($B94="","",SUMIFS(Purchases!$N$5:$N$1004,Purchases!$L$5:$L$1004,$B94,Purchases!$P$5:$P$1004,$C94))</f>
        <v/>
      </c>
      <c r="J94" s="28" t="str">
        <f aca="false">IF($B94="","",$H94+$I94)</f>
        <v/>
      </c>
      <c r="K94" s="30" t="str">
        <f aca="false">IF(OR($B94="",$D94=""),"",$D94+Settings!$B$12)</f>
        <v/>
      </c>
      <c r="L94" s="27" t="str">
        <f aca="true">IF($B94="","",IF($E94&lt;&gt;"","Paid",IF($D94="","Not sent",IF(TODAY()&gt;$K94,"OVERDUE","Due"))))</f>
        <v/>
      </c>
    </row>
    <row r="95" customFormat="false" ht="15" hidden="false" customHeight="false" outlineLevel="0" collapsed="false">
      <c r="A95" s="23"/>
      <c r="B95" s="23"/>
      <c r="C95" s="34"/>
      <c r="D95" s="22"/>
      <c r="E95" s="22"/>
      <c r="F95" s="23"/>
      <c r="G95" s="31" t="str">
        <f aca="false">IF($B95="","",COUNTIFS('Cleans Log'!$M$5:$M$1004,$B95,'Cleans Log'!$Q$5:$Q$1004,$C95,'Cleans Log'!$N$5:$N$1004,"&gt;0"))</f>
        <v/>
      </c>
      <c r="H95" s="28" t="str">
        <f aca="false">IF($B95="","",SUMIFS('Cleans Log'!$N$5:$N$1004,'Cleans Log'!$M$5:$M$1004,$B95,'Cleans Log'!$Q$5:$Q$1004,$C95))</f>
        <v/>
      </c>
      <c r="I95" s="28" t="str">
        <f aca="false">IF($B95="","",SUMIFS(Purchases!$N$5:$N$1004,Purchases!$L$5:$L$1004,$B95,Purchases!$P$5:$P$1004,$C95))</f>
        <v/>
      </c>
      <c r="J95" s="28" t="str">
        <f aca="false">IF($B95="","",$H95+$I95)</f>
        <v/>
      </c>
      <c r="K95" s="30" t="str">
        <f aca="false">IF(OR($B95="",$D95=""),"",$D95+Settings!$B$12)</f>
        <v/>
      </c>
      <c r="L95" s="27" t="str">
        <f aca="true">IF($B95="","",IF($E95&lt;&gt;"","Paid",IF($D95="","Not sent",IF(TODAY()&gt;$K95,"OVERDUE","Due"))))</f>
        <v/>
      </c>
    </row>
    <row r="96" customFormat="false" ht="15" hidden="false" customHeight="false" outlineLevel="0" collapsed="false">
      <c r="A96" s="23"/>
      <c r="B96" s="23"/>
      <c r="C96" s="34"/>
      <c r="D96" s="22"/>
      <c r="E96" s="22"/>
      <c r="F96" s="23"/>
      <c r="G96" s="31" t="str">
        <f aca="false">IF($B96="","",COUNTIFS('Cleans Log'!$M$5:$M$1004,$B96,'Cleans Log'!$Q$5:$Q$1004,$C96,'Cleans Log'!$N$5:$N$1004,"&gt;0"))</f>
        <v/>
      </c>
      <c r="H96" s="28" t="str">
        <f aca="false">IF($B96="","",SUMIFS('Cleans Log'!$N$5:$N$1004,'Cleans Log'!$M$5:$M$1004,$B96,'Cleans Log'!$Q$5:$Q$1004,$C96))</f>
        <v/>
      </c>
      <c r="I96" s="28" t="str">
        <f aca="false">IF($B96="","",SUMIFS(Purchases!$N$5:$N$1004,Purchases!$L$5:$L$1004,$B96,Purchases!$P$5:$P$1004,$C96))</f>
        <v/>
      </c>
      <c r="J96" s="28" t="str">
        <f aca="false">IF($B96="","",$H96+$I96)</f>
        <v/>
      </c>
      <c r="K96" s="30" t="str">
        <f aca="false">IF(OR($B96="",$D96=""),"",$D96+Settings!$B$12)</f>
        <v/>
      </c>
      <c r="L96" s="27" t="str">
        <f aca="true">IF($B96="","",IF($E96&lt;&gt;"","Paid",IF($D96="","Not sent",IF(TODAY()&gt;$K96,"OVERDUE","Due"))))</f>
        <v/>
      </c>
    </row>
    <row r="97" customFormat="false" ht="15" hidden="false" customHeight="false" outlineLevel="0" collapsed="false">
      <c r="A97" s="23"/>
      <c r="B97" s="23"/>
      <c r="C97" s="34"/>
      <c r="D97" s="22"/>
      <c r="E97" s="22"/>
      <c r="F97" s="23"/>
      <c r="G97" s="31" t="str">
        <f aca="false">IF($B97="","",COUNTIFS('Cleans Log'!$M$5:$M$1004,$B97,'Cleans Log'!$Q$5:$Q$1004,$C97,'Cleans Log'!$N$5:$N$1004,"&gt;0"))</f>
        <v/>
      </c>
      <c r="H97" s="28" t="str">
        <f aca="false">IF($B97="","",SUMIFS('Cleans Log'!$N$5:$N$1004,'Cleans Log'!$M$5:$M$1004,$B97,'Cleans Log'!$Q$5:$Q$1004,$C97))</f>
        <v/>
      </c>
      <c r="I97" s="28" t="str">
        <f aca="false">IF($B97="","",SUMIFS(Purchases!$N$5:$N$1004,Purchases!$L$5:$L$1004,$B97,Purchases!$P$5:$P$1004,$C97))</f>
        <v/>
      </c>
      <c r="J97" s="28" t="str">
        <f aca="false">IF($B97="","",$H97+$I97)</f>
        <v/>
      </c>
      <c r="K97" s="30" t="str">
        <f aca="false">IF(OR($B97="",$D97=""),"",$D97+Settings!$B$12)</f>
        <v/>
      </c>
      <c r="L97" s="27" t="str">
        <f aca="true">IF($B97="","",IF($E97&lt;&gt;"","Paid",IF($D97="","Not sent",IF(TODAY()&gt;$K97,"OVERDUE","Due"))))</f>
        <v/>
      </c>
    </row>
    <row r="98" customFormat="false" ht="15" hidden="false" customHeight="false" outlineLevel="0" collapsed="false">
      <c r="A98" s="23"/>
      <c r="B98" s="23"/>
      <c r="C98" s="34"/>
      <c r="D98" s="22"/>
      <c r="E98" s="22"/>
      <c r="F98" s="23"/>
      <c r="G98" s="31" t="str">
        <f aca="false">IF($B98="","",COUNTIFS('Cleans Log'!$M$5:$M$1004,$B98,'Cleans Log'!$Q$5:$Q$1004,$C98,'Cleans Log'!$N$5:$N$1004,"&gt;0"))</f>
        <v/>
      </c>
      <c r="H98" s="28" t="str">
        <f aca="false">IF($B98="","",SUMIFS('Cleans Log'!$N$5:$N$1004,'Cleans Log'!$M$5:$M$1004,$B98,'Cleans Log'!$Q$5:$Q$1004,$C98))</f>
        <v/>
      </c>
      <c r="I98" s="28" t="str">
        <f aca="false">IF($B98="","",SUMIFS(Purchases!$N$5:$N$1004,Purchases!$L$5:$L$1004,$B98,Purchases!$P$5:$P$1004,$C98))</f>
        <v/>
      </c>
      <c r="J98" s="28" t="str">
        <f aca="false">IF($B98="","",$H98+$I98)</f>
        <v/>
      </c>
      <c r="K98" s="30" t="str">
        <f aca="false">IF(OR($B98="",$D98=""),"",$D98+Settings!$B$12)</f>
        <v/>
      </c>
      <c r="L98" s="27" t="str">
        <f aca="true">IF($B98="","",IF($E98&lt;&gt;"","Paid",IF($D98="","Not sent",IF(TODAY()&gt;$K98,"OVERDUE","Due"))))</f>
        <v/>
      </c>
    </row>
    <row r="99" customFormat="false" ht="15" hidden="false" customHeight="false" outlineLevel="0" collapsed="false">
      <c r="A99" s="23"/>
      <c r="B99" s="23"/>
      <c r="C99" s="34"/>
      <c r="D99" s="22"/>
      <c r="E99" s="22"/>
      <c r="F99" s="23"/>
      <c r="G99" s="31" t="str">
        <f aca="false">IF($B99="","",COUNTIFS('Cleans Log'!$M$5:$M$1004,$B99,'Cleans Log'!$Q$5:$Q$1004,$C99,'Cleans Log'!$N$5:$N$1004,"&gt;0"))</f>
        <v/>
      </c>
      <c r="H99" s="28" t="str">
        <f aca="false">IF($B99="","",SUMIFS('Cleans Log'!$N$5:$N$1004,'Cleans Log'!$M$5:$M$1004,$B99,'Cleans Log'!$Q$5:$Q$1004,$C99))</f>
        <v/>
      </c>
      <c r="I99" s="28" t="str">
        <f aca="false">IF($B99="","",SUMIFS(Purchases!$N$5:$N$1004,Purchases!$L$5:$L$1004,$B99,Purchases!$P$5:$P$1004,$C99))</f>
        <v/>
      </c>
      <c r="J99" s="28" t="str">
        <f aca="false">IF($B99="","",$H99+$I99)</f>
        <v/>
      </c>
      <c r="K99" s="30" t="str">
        <f aca="false">IF(OR($B99="",$D99=""),"",$D99+Settings!$B$12)</f>
        <v/>
      </c>
      <c r="L99" s="27" t="str">
        <f aca="true">IF($B99="","",IF($E99&lt;&gt;"","Paid",IF($D99="","Not sent",IF(TODAY()&gt;$K99,"OVERDUE","Due"))))</f>
        <v/>
      </c>
    </row>
    <row r="100" customFormat="false" ht="15" hidden="false" customHeight="false" outlineLevel="0" collapsed="false">
      <c r="A100" s="23"/>
      <c r="B100" s="23"/>
      <c r="C100" s="34"/>
      <c r="D100" s="22"/>
      <c r="E100" s="22"/>
      <c r="F100" s="23"/>
      <c r="G100" s="31" t="str">
        <f aca="false">IF($B100="","",COUNTIFS('Cleans Log'!$M$5:$M$1004,$B100,'Cleans Log'!$Q$5:$Q$1004,$C100,'Cleans Log'!$N$5:$N$1004,"&gt;0"))</f>
        <v/>
      </c>
      <c r="H100" s="28" t="str">
        <f aca="false">IF($B100="","",SUMIFS('Cleans Log'!$N$5:$N$1004,'Cleans Log'!$M$5:$M$1004,$B100,'Cleans Log'!$Q$5:$Q$1004,$C100))</f>
        <v/>
      </c>
      <c r="I100" s="28" t="str">
        <f aca="false">IF($B100="","",SUMIFS(Purchases!$N$5:$N$1004,Purchases!$L$5:$L$1004,$B100,Purchases!$P$5:$P$1004,$C100))</f>
        <v/>
      </c>
      <c r="J100" s="28" t="str">
        <f aca="false">IF($B100="","",$H100+$I100)</f>
        <v/>
      </c>
      <c r="K100" s="30" t="str">
        <f aca="false">IF(OR($B100="",$D100=""),"",$D100+Settings!$B$12)</f>
        <v/>
      </c>
      <c r="L100" s="27" t="str">
        <f aca="true">IF($B100="","",IF($E100&lt;&gt;"","Paid",IF($D100="","Not sent",IF(TODAY()&gt;$K100,"OVERDUE","Due"))))</f>
        <v/>
      </c>
    </row>
    <row r="101" customFormat="false" ht="15" hidden="false" customHeight="false" outlineLevel="0" collapsed="false">
      <c r="A101" s="23"/>
      <c r="B101" s="23"/>
      <c r="C101" s="34"/>
      <c r="D101" s="22"/>
      <c r="E101" s="22"/>
      <c r="F101" s="23"/>
      <c r="G101" s="31" t="str">
        <f aca="false">IF($B101="","",COUNTIFS('Cleans Log'!$M$5:$M$1004,$B101,'Cleans Log'!$Q$5:$Q$1004,$C101,'Cleans Log'!$N$5:$N$1004,"&gt;0"))</f>
        <v/>
      </c>
      <c r="H101" s="28" t="str">
        <f aca="false">IF($B101="","",SUMIFS('Cleans Log'!$N$5:$N$1004,'Cleans Log'!$M$5:$M$1004,$B101,'Cleans Log'!$Q$5:$Q$1004,$C101))</f>
        <v/>
      </c>
      <c r="I101" s="28" t="str">
        <f aca="false">IF($B101="","",SUMIFS(Purchases!$N$5:$N$1004,Purchases!$L$5:$L$1004,$B101,Purchases!$P$5:$P$1004,$C101))</f>
        <v/>
      </c>
      <c r="J101" s="28" t="str">
        <f aca="false">IF($B101="","",$H101+$I101)</f>
        <v/>
      </c>
      <c r="K101" s="30" t="str">
        <f aca="false">IF(OR($B101="",$D101=""),"",$D101+Settings!$B$12)</f>
        <v/>
      </c>
      <c r="L101" s="27" t="str">
        <f aca="true">IF($B101="","",IF($E101&lt;&gt;"","Paid",IF($D101="","Not sent",IF(TODAY()&gt;$K101,"OVERDUE","Due"))))</f>
        <v/>
      </c>
    </row>
    <row r="102" customFormat="false" ht="15" hidden="false" customHeight="false" outlineLevel="0" collapsed="false">
      <c r="A102" s="23"/>
      <c r="B102" s="23"/>
      <c r="C102" s="34"/>
      <c r="D102" s="22"/>
      <c r="E102" s="22"/>
      <c r="F102" s="23"/>
      <c r="G102" s="31" t="str">
        <f aca="false">IF($B102="","",COUNTIFS('Cleans Log'!$M$5:$M$1004,$B102,'Cleans Log'!$Q$5:$Q$1004,$C102,'Cleans Log'!$N$5:$N$1004,"&gt;0"))</f>
        <v/>
      </c>
      <c r="H102" s="28" t="str">
        <f aca="false">IF($B102="","",SUMIFS('Cleans Log'!$N$5:$N$1004,'Cleans Log'!$M$5:$M$1004,$B102,'Cleans Log'!$Q$5:$Q$1004,$C102))</f>
        <v/>
      </c>
      <c r="I102" s="28" t="str">
        <f aca="false">IF($B102="","",SUMIFS(Purchases!$N$5:$N$1004,Purchases!$L$5:$L$1004,$B102,Purchases!$P$5:$P$1004,$C102))</f>
        <v/>
      </c>
      <c r="J102" s="28" t="str">
        <f aca="false">IF($B102="","",$H102+$I102)</f>
        <v/>
      </c>
      <c r="K102" s="30" t="str">
        <f aca="false">IF(OR($B102="",$D102=""),"",$D102+Settings!$B$12)</f>
        <v/>
      </c>
      <c r="L102" s="27" t="str">
        <f aca="true">IF($B102="","",IF($E102&lt;&gt;"","Paid",IF($D102="","Not sent",IF(TODAY()&gt;$K102,"OVERDUE","Due"))))</f>
        <v/>
      </c>
    </row>
    <row r="103" customFormat="false" ht="15" hidden="false" customHeight="false" outlineLevel="0" collapsed="false">
      <c r="A103" s="23"/>
      <c r="B103" s="23"/>
      <c r="C103" s="34"/>
      <c r="D103" s="22"/>
      <c r="E103" s="22"/>
      <c r="F103" s="23"/>
      <c r="G103" s="31" t="str">
        <f aca="false">IF($B103="","",COUNTIFS('Cleans Log'!$M$5:$M$1004,$B103,'Cleans Log'!$Q$5:$Q$1004,$C103,'Cleans Log'!$N$5:$N$1004,"&gt;0"))</f>
        <v/>
      </c>
      <c r="H103" s="28" t="str">
        <f aca="false">IF($B103="","",SUMIFS('Cleans Log'!$N$5:$N$1004,'Cleans Log'!$M$5:$M$1004,$B103,'Cleans Log'!$Q$5:$Q$1004,$C103))</f>
        <v/>
      </c>
      <c r="I103" s="28" t="str">
        <f aca="false">IF($B103="","",SUMIFS(Purchases!$N$5:$N$1004,Purchases!$L$5:$L$1004,$B103,Purchases!$P$5:$P$1004,$C103))</f>
        <v/>
      </c>
      <c r="J103" s="28" t="str">
        <f aca="false">IF($B103="","",$H103+$I103)</f>
        <v/>
      </c>
      <c r="K103" s="30" t="str">
        <f aca="false">IF(OR($B103="",$D103=""),"",$D103+Settings!$B$12)</f>
        <v/>
      </c>
      <c r="L103" s="27" t="str">
        <f aca="true">IF($B103="","",IF($E103&lt;&gt;"","Paid",IF($D103="","Not sent",IF(TODAY()&gt;$K103,"OVERDUE","Due"))))</f>
        <v/>
      </c>
    </row>
    <row r="104" customFormat="false" ht="15" hidden="false" customHeight="false" outlineLevel="0" collapsed="false">
      <c r="A104" s="23"/>
      <c r="B104" s="23"/>
      <c r="C104" s="34"/>
      <c r="D104" s="22"/>
      <c r="E104" s="22"/>
      <c r="F104" s="23"/>
      <c r="G104" s="31" t="str">
        <f aca="false">IF($B104="","",COUNTIFS('Cleans Log'!$M$5:$M$1004,$B104,'Cleans Log'!$Q$5:$Q$1004,$C104,'Cleans Log'!$N$5:$N$1004,"&gt;0"))</f>
        <v/>
      </c>
      <c r="H104" s="28" t="str">
        <f aca="false">IF($B104="","",SUMIFS('Cleans Log'!$N$5:$N$1004,'Cleans Log'!$M$5:$M$1004,$B104,'Cleans Log'!$Q$5:$Q$1004,$C104))</f>
        <v/>
      </c>
      <c r="I104" s="28" t="str">
        <f aca="false">IF($B104="","",SUMIFS(Purchases!$N$5:$N$1004,Purchases!$L$5:$L$1004,$B104,Purchases!$P$5:$P$1004,$C104))</f>
        <v/>
      </c>
      <c r="J104" s="28" t="str">
        <f aca="false">IF($B104="","",$H104+$I104)</f>
        <v/>
      </c>
      <c r="K104" s="30" t="str">
        <f aca="false">IF(OR($B104="",$D104=""),"",$D104+Settings!$B$12)</f>
        <v/>
      </c>
      <c r="L104" s="27" t="str">
        <f aca="true">IF($B104="","",IF($E104&lt;&gt;"","Paid",IF($D104="","Not sent",IF(TODAY()&gt;$K104,"OVERDUE","Due"))))</f>
        <v/>
      </c>
    </row>
    <row r="105" customFormat="false" ht="15" hidden="false" customHeight="false" outlineLevel="0" collapsed="false">
      <c r="A105" s="23"/>
      <c r="B105" s="23"/>
      <c r="C105" s="34"/>
      <c r="D105" s="22"/>
      <c r="E105" s="22"/>
      <c r="F105" s="23"/>
      <c r="G105" s="31" t="str">
        <f aca="false">IF($B105="","",COUNTIFS('Cleans Log'!$M$5:$M$1004,$B105,'Cleans Log'!$Q$5:$Q$1004,$C105,'Cleans Log'!$N$5:$N$1004,"&gt;0"))</f>
        <v/>
      </c>
      <c r="H105" s="28" t="str">
        <f aca="false">IF($B105="","",SUMIFS('Cleans Log'!$N$5:$N$1004,'Cleans Log'!$M$5:$M$1004,$B105,'Cleans Log'!$Q$5:$Q$1004,$C105))</f>
        <v/>
      </c>
      <c r="I105" s="28" t="str">
        <f aca="false">IF($B105="","",SUMIFS(Purchases!$N$5:$N$1004,Purchases!$L$5:$L$1004,$B105,Purchases!$P$5:$P$1004,$C105))</f>
        <v/>
      </c>
      <c r="J105" s="28" t="str">
        <f aca="false">IF($B105="","",$H105+$I105)</f>
        <v/>
      </c>
      <c r="K105" s="30" t="str">
        <f aca="false">IF(OR($B105="",$D105=""),"",$D105+Settings!$B$12)</f>
        <v/>
      </c>
      <c r="L105" s="27" t="str">
        <f aca="true">IF($B105="","",IF($E105&lt;&gt;"","Paid",IF($D105="","Not sent",IF(TODAY()&gt;$K105,"OVERDUE","Due"))))</f>
        <v/>
      </c>
    </row>
    <row r="106" customFormat="false" ht="15" hidden="false" customHeight="false" outlineLevel="0" collapsed="false">
      <c r="A106" s="23"/>
      <c r="B106" s="23"/>
      <c r="C106" s="34"/>
      <c r="D106" s="22"/>
      <c r="E106" s="22"/>
      <c r="F106" s="23"/>
      <c r="G106" s="31" t="str">
        <f aca="false">IF($B106="","",COUNTIFS('Cleans Log'!$M$5:$M$1004,$B106,'Cleans Log'!$Q$5:$Q$1004,$C106,'Cleans Log'!$N$5:$N$1004,"&gt;0"))</f>
        <v/>
      </c>
      <c r="H106" s="28" t="str">
        <f aca="false">IF($B106="","",SUMIFS('Cleans Log'!$N$5:$N$1004,'Cleans Log'!$M$5:$M$1004,$B106,'Cleans Log'!$Q$5:$Q$1004,$C106))</f>
        <v/>
      </c>
      <c r="I106" s="28" t="str">
        <f aca="false">IF($B106="","",SUMIFS(Purchases!$N$5:$N$1004,Purchases!$L$5:$L$1004,$B106,Purchases!$P$5:$P$1004,$C106))</f>
        <v/>
      </c>
      <c r="J106" s="28" t="str">
        <f aca="false">IF($B106="","",$H106+$I106)</f>
        <v/>
      </c>
      <c r="K106" s="30" t="str">
        <f aca="false">IF(OR($B106="",$D106=""),"",$D106+Settings!$B$12)</f>
        <v/>
      </c>
      <c r="L106" s="27" t="str">
        <f aca="true">IF($B106="","",IF($E106&lt;&gt;"","Paid",IF($D106="","Not sent",IF(TODAY()&gt;$K106,"OVERDUE","Due"))))</f>
        <v/>
      </c>
    </row>
    <row r="107" customFormat="false" ht="15" hidden="false" customHeight="false" outlineLevel="0" collapsed="false">
      <c r="A107" s="23"/>
      <c r="B107" s="23"/>
      <c r="C107" s="34"/>
      <c r="D107" s="22"/>
      <c r="E107" s="22"/>
      <c r="F107" s="23"/>
      <c r="G107" s="31" t="str">
        <f aca="false">IF($B107="","",COUNTIFS('Cleans Log'!$M$5:$M$1004,$B107,'Cleans Log'!$Q$5:$Q$1004,$C107,'Cleans Log'!$N$5:$N$1004,"&gt;0"))</f>
        <v/>
      </c>
      <c r="H107" s="28" t="str">
        <f aca="false">IF($B107="","",SUMIFS('Cleans Log'!$N$5:$N$1004,'Cleans Log'!$M$5:$M$1004,$B107,'Cleans Log'!$Q$5:$Q$1004,$C107))</f>
        <v/>
      </c>
      <c r="I107" s="28" t="str">
        <f aca="false">IF($B107="","",SUMIFS(Purchases!$N$5:$N$1004,Purchases!$L$5:$L$1004,$B107,Purchases!$P$5:$P$1004,$C107))</f>
        <v/>
      </c>
      <c r="J107" s="28" t="str">
        <f aca="false">IF($B107="","",$H107+$I107)</f>
        <v/>
      </c>
      <c r="K107" s="30" t="str">
        <f aca="false">IF(OR($B107="",$D107=""),"",$D107+Settings!$B$12)</f>
        <v/>
      </c>
      <c r="L107" s="27" t="str">
        <f aca="true">IF($B107="","",IF($E107&lt;&gt;"","Paid",IF($D107="","Not sent",IF(TODAY()&gt;$K107,"OVERDUE","Due"))))</f>
        <v/>
      </c>
    </row>
    <row r="108" customFormat="false" ht="15" hidden="false" customHeight="false" outlineLevel="0" collapsed="false">
      <c r="A108" s="23"/>
      <c r="B108" s="23"/>
      <c r="C108" s="34"/>
      <c r="D108" s="22"/>
      <c r="E108" s="22"/>
      <c r="F108" s="23"/>
      <c r="G108" s="31" t="str">
        <f aca="false">IF($B108="","",COUNTIFS('Cleans Log'!$M$5:$M$1004,$B108,'Cleans Log'!$Q$5:$Q$1004,$C108,'Cleans Log'!$N$5:$N$1004,"&gt;0"))</f>
        <v/>
      </c>
      <c r="H108" s="28" t="str">
        <f aca="false">IF($B108="","",SUMIFS('Cleans Log'!$N$5:$N$1004,'Cleans Log'!$M$5:$M$1004,$B108,'Cleans Log'!$Q$5:$Q$1004,$C108))</f>
        <v/>
      </c>
      <c r="I108" s="28" t="str">
        <f aca="false">IF($B108="","",SUMIFS(Purchases!$N$5:$N$1004,Purchases!$L$5:$L$1004,$B108,Purchases!$P$5:$P$1004,$C108))</f>
        <v/>
      </c>
      <c r="J108" s="28" t="str">
        <f aca="false">IF($B108="","",$H108+$I108)</f>
        <v/>
      </c>
      <c r="K108" s="30" t="str">
        <f aca="false">IF(OR($B108="",$D108=""),"",$D108+Settings!$B$12)</f>
        <v/>
      </c>
      <c r="L108" s="27" t="str">
        <f aca="true">IF($B108="","",IF($E108&lt;&gt;"","Paid",IF($D108="","Not sent",IF(TODAY()&gt;$K108,"OVERDUE","Due"))))</f>
        <v/>
      </c>
    </row>
    <row r="109" customFormat="false" ht="15" hidden="false" customHeight="false" outlineLevel="0" collapsed="false">
      <c r="A109" s="23"/>
      <c r="B109" s="23"/>
      <c r="C109" s="34"/>
      <c r="D109" s="22"/>
      <c r="E109" s="22"/>
      <c r="F109" s="23"/>
      <c r="G109" s="31" t="str">
        <f aca="false">IF($B109="","",COUNTIFS('Cleans Log'!$M$5:$M$1004,$B109,'Cleans Log'!$Q$5:$Q$1004,$C109,'Cleans Log'!$N$5:$N$1004,"&gt;0"))</f>
        <v/>
      </c>
      <c r="H109" s="28" t="str">
        <f aca="false">IF($B109="","",SUMIFS('Cleans Log'!$N$5:$N$1004,'Cleans Log'!$M$5:$M$1004,$B109,'Cleans Log'!$Q$5:$Q$1004,$C109))</f>
        <v/>
      </c>
      <c r="I109" s="28" t="str">
        <f aca="false">IF($B109="","",SUMIFS(Purchases!$N$5:$N$1004,Purchases!$L$5:$L$1004,$B109,Purchases!$P$5:$P$1004,$C109))</f>
        <v/>
      </c>
      <c r="J109" s="28" t="str">
        <f aca="false">IF($B109="","",$H109+$I109)</f>
        <v/>
      </c>
      <c r="K109" s="30" t="str">
        <f aca="false">IF(OR($B109="",$D109=""),"",$D109+Settings!$B$12)</f>
        <v/>
      </c>
      <c r="L109" s="27" t="str">
        <f aca="true">IF($B109="","",IF($E109&lt;&gt;"","Paid",IF($D109="","Not sent",IF(TODAY()&gt;$K109,"OVERDUE","Due"))))</f>
        <v/>
      </c>
    </row>
    <row r="110" customFormat="false" ht="15" hidden="false" customHeight="false" outlineLevel="0" collapsed="false">
      <c r="A110" s="23"/>
      <c r="B110" s="23"/>
      <c r="C110" s="34"/>
      <c r="D110" s="22"/>
      <c r="E110" s="22"/>
      <c r="F110" s="23"/>
      <c r="G110" s="31" t="str">
        <f aca="false">IF($B110="","",COUNTIFS('Cleans Log'!$M$5:$M$1004,$B110,'Cleans Log'!$Q$5:$Q$1004,$C110,'Cleans Log'!$N$5:$N$1004,"&gt;0"))</f>
        <v/>
      </c>
      <c r="H110" s="28" t="str">
        <f aca="false">IF($B110="","",SUMIFS('Cleans Log'!$N$5:$N$1004,'Cleans Log'!$M$5:$M$1004,$B110,'Cleans Log'!$Q$5:$Q$1004,$C110))</f>
        <v/>
      </c>
      <c r="I110" s="28" t="str">
        <f aca="false">IF($B110="","",SUMIFS(Purchases!$N$5:$N$1004,Purchases!$L$5:$L$1004,$B110,Purchases!$P$5:$P$1004,$C110))</f>
        <v/>
      </c>
      <c r="J110" s="28" t="str">
        <f aca="false">IF($B110="","",$H110+$I110)</f>
        <v/>
      </c>
      <c r="K110" s="30" t="str">
        <f aca="false">IF(OR($B110="",$D110=""),"",$D110+Settings!$B$12)</f>
        <v/>
      </c>
      <c r="L110" s="27" t="str">
        <f aca="true">IF($B110="","",IF($E110&lt;&gt;"","Paid",IF($D110="","Not sent",IF(TODAY()&gt;$K110,"OVERDUE","Due"))))</f>
        <v/>
      </c>
    </row>
    <row r="111" customFormat="false" ht="15" hidden="false" customHeight="false" outlineLevel="0" collapsed="false">
      <c r="A111" s="23"/>
      <c r="B111" s="23"/>
      <c r="C111" s="34"/>
      <c r="D111" s="22"/>
      <c r="E111" s="22"/>
      <c r="F111" s="23"/>
      <c r="G111" s="31" t="str">
        <f aca="false">IF($B111="","",COUNTIFS('Cleans Log'!$M$5:$M$1004,$B111,'Cleans Log'!$Q$5:$Q$1004,$C111,'Cleans Log'!$N$5:$N$1004,"&gt;0"))</f>
        <v/>
      </c>
      <c r="H111" s="28" t="str">
        <f aca="false">IF($B111="","",SUMIFS('Cleans Log'!$N$5:$N$1004,'Cleans Log'!$M$5:$M$1004,$B111,'Cleans Log'!$Q$5:$Q$1004,$C111))</f>
        <v/>
      </c>
      <c r="I111" s="28" t="str">
        <f aca="false">IF($B111="","",SUMIFS(Purchases!$N$5:$N$1004,Purchases!$L$5:$L$1004,$B111,Purchases!$P$5:$P$1004,$C111))</f>
        <v/>
      </c>
      <c r="J111" s="28" t="str">
        <f aca="false">IF($B111="","",$H111+$I111)</f>
        <v/>
      </c>
      <c r="K111" s="30" t="str">
        <f aca="false">IF(OR($B111="",$D111=""),"",$D111+Settings!$B$12)</f>
        <v/>
      </c>
      <c r="L111" s="27" t="str">
        <f aca="true">IF($B111="","",IF($E111&lt;&gt;"","Paid",IF($D111="","Not sent",IF(TODAY()&gt;$K111,"OVERDUE","Due"))))</f>
        <v/>
      </c>
    </row>
    <row r="112" customFormat="false" ht="15" hidden="false" customHeight="false" outlineLevel="0" collapsed="false">
      <c r="A112" s="23"/>
      <c r="B112" s="23"/>
      <c r="C112" s="34"/>
      <c r="D112" s="22"/>
      <c r="E112" s="22"/>
      <c r="F112" s="23"/>
      <c r="G112" s="31" t="str">
        <f aca="false">IF($B112="","",COUNTIFS('Cleans Log'!$M$5:$M$1004,$B112,'Cleans Log'!$Q$5:$Q$1004,$C112,'Cleans Log'!$N$5:$N$1004,"&gt;0"))</f>
        <v/>
      </c>
      <c r="H112" s="28" t="str">
        <f aca="false">IF($B112="","",SUMIFS('Cleans Log'!$N$5:$N$1004,'Cleans Log'!$M$5:$M$1004,$B112,'Cleans Log'!$Q$5:$Q$1004,$C112))</f>
        <v/>
      </c>
      <c r="I112" s="28" t="str">
        <f aca="false">IF($B112="","",SUMIFS(Purchases!$N$5:$N$1004,Purchases!$L$5:$L$1004,$B112,Purchases!$P$5:$P$1004,$C112))</f>
        <v/>
      </c>
      <c r="J112" s="28" t="str">
        <f aca="false">IF($B112="","",$H112+$I112)</f>
        <v/>
      </c>
      <c r="K112" s="30" t="str">
        <f aca="false">IF(OR($B112="",$D112=""),"",$D112+Settings!$B$12)</f>
        <v/>
      </c>
      <c r="L112" s="27" t="str">
        <f aca="true">IF($B112="","",IF($E112&lt;&gt;"","Paid",IF($D112="","Not sent",IF(TODAY()&gt;$K112,"OVERDUE","Due"))))</f>
        <v/>
      </c>
    </row>
    <row r="113" customFormat="false" ht="15" hidden="false" customHeight="false" outlineLevel="0" collapsed="false">
      <c r="A113" s="23"/>
      <c r="B113" s="23"/>
      <c r="C113" s="34"/>
      <c r="D113" s="22"/>
      <c r="E113" s="22"/>
      <c r="F113" s="23"/>
      <c r="G113" s="31" t="str">
        <f aca="false">IF($B113="","",COUNTIFS('Cleans Log'!$M$5:$M$1004,$B113,'Cleans Log'!$Q$5:$Q$1004,$C113,'Cleans Log'!$N$5:$N$1004,"&gt;0"))</f>
        <v/>
      </c>
      <c r="H113" s="28" t="str">
        <f aca="false">IF($B113="","",SUMIFS('Cleans Log'!$N$5:$N$1004,'Cleans Log'!$M$5:$M$1004,$B113,'Cleans Log'!$Q$5:$Q$1004,$C113))</f>
        <v/>
      </c>
      <c r="I113" s="28" t="str">
        <f aca="false">IF($B113="","",SUMIFS(Purchases!$N$5:$N$1004,Purchases!$L$5:$L$1004,$B113,Purchases!$P$5:$P$1004,$C113))</f>
        <v/>
      </c>
      <c r="J113" s="28" t="str">
        <f aca="false">IF($B113="","",$H113+$I113)</f>
        <v/>
      </c>
      <c r="K113" s="30" t="str">
        <f aca="false">IF(OR($B113="",$D113=""),"",$D113+Settings!$B$12)</f>
        <v/>
      </c>
      <c r="L113" s="27" t="str">
        <f aca="true">IF($B113="","",IF($E113&lt;&gt;"","Paid",IF($D113="","Not sent",IF(TODAY()&gt;$K113,"OVERDUE","Due"))))</f>
        <v/>
      </c>
    </row>
    <row r="114" customFormat="false" ht="15" hidden="false" customHeight="false" outlineLevel="0" collapsed="false">
      <c r="A114" s="23"/>
      <c r="B114" s="23"/>
      <c r="C114" s="34"/>
      <c r="D114" s="22"/>
      <c r="E114" s="22"/>
      <c r="F114" s="23"/>
      <c r="G114" s="31" t="str">
        <f aca="false">IF($B114="","",COUNTIFS('Cleans Log'!$M$5:$M$1004,$B114,'Cleans Log'!$Q$5:$Q$1004,$C114,'Cleans Log'!$N$5:$N$1004,"&gt;0"))</f>
        <v/>
      </c>
      <c r="H114" s="28" t="str">
        <f aca="false">IF($B114="","",SUMIFS('Cleans Log'!$N$5:$N$1004,'Cleans Log'!$M$5:$M$1004,$B114,'Cleans Log'!$Q$5:$Q$1004,$C114))</f>
        <v/>
      </c>
      <c r="I114" s="28" t="str">
        <f aca="false">IF($B114="","",SUMIFS(Purchases!$N$5:$N$1004,Purchases!$L$5:$L$1004,$B114,Purchases!$P$5:$P$1004,$C114))</f>
        <v/>
      </c>
      <c r="J114" s="28" t="str">
        <f aca="false">IF($B114="","",$H114+$I114)</f>
        <v/>
      </c>
      <c r="K114" s="30" t="str">
        <f aca="false">IF(OR($B114="",$D114=""),"",$D114+Settings!$B$12)</f>
        <v/>
      </c>
      <c r="L114" s="27" t="str">
        <f aca="true">IF($B114="","",IF($E114&lt;&gt;"","Paid",IF($D114="","Not sent",IF(TODAY()&gt;$K114,"OVERDUE","Due"))))</f>
        <v/>
      </c>
    </row>
    <row r="115" customFormat="false" ht="15" hidden="false" customHeight="false" outlineLevel="0" collapsed="false">
      <c r="A115" s="23"/>
      <c r="B115" s="23"/>
      <c r="C115" s="34"/>
      <c r="D115" s="22"/>
      <c r="E115" s="22"/>
      <c r="F115" s="23"/>
      <c r="G115" s="31" t="str">
        <f aca="false">IF($B115="","",COUNTIFS('Cleans Log'!$M$5:$M$1004,$B115,'Cleans Log'!$Q$5:$Q$1004,$C115,'Cleans Log'!$N$5:$N$1004,"&gt;0"))</f>
        <v/>
      </c>
      <c r="H115" s="28" t="str">
        <f aca="false">IF($B115="","",SUMIFS('Cleans Log'!$N$5:$N$1004,'Cleans Log'!$M$5:$M$1004,$B115,'Cleans Log'!$Q$5:$Q$1004,$C115))</f>
        <v/>
      </c>
      <c r="I115" s="28" t="str">
        <f aca="false">IF($B115="","",SUMIFS(Purchases!$N$5:$N$1004,Purchases!$L$5:$L$1004,$B115,Purchases!$P$5:$P$1004,$C115))</f>
        <v/>
      </c>
      <c r="J115" s="28" t="str">
        <f aca="false">IF($B115="","",$H115+$I115)</f>
        <v/>
      </c>
      <c r="K115" s="30" t="str">
        <f aca="false">IF(OR($B115="",$D115=""),"",$D115+Settings!$B$12)</f>
        <v/>
      </c>
      <c r="L115" s="27" t="str">
        <f aca="true">IF($B115="","",IF($E115&lt;&gt;"","Paid",IF($D115="","Not sent",IF(TODAY()&gt;$K115,"OVERDUE","Due"))))</f>
        <v/>
      </c>
    </row>
    <row r="116" customFormat="false" ht="15" hidden="false" customHeight="false" outlineLevel="0" collapsed="false">
      <c r="A116" s="23"/>
      <c r="B116" s="23"/>
      <c r="C116" s="34"/>
      <c r="D116" s="22"/>
      <c r="E116" s="22"/>
      <c r="F116" s="23"/>
      <c r="G116" s="31" t="str">
        <f aca="false">IF($B116="","",COUNTIFS('Cleans Log'!$M$5:$M$1004,$B116,'Cleans Log'!$Q$5:$Q$1004,$C116,'Cleans Log'!$N$5:$N$1004,"&gt;0"))</f>
        <v/>
      </c>
      <c r="H116" s="28" t="str">
        <f aca="false">IF($B116="","",SUMIFS('Cleans Log'!$N$5:$N$1004,'Cleans Log'!$M$5:$M$1004,$B116,'Cleans Log'!$Q$5:$Q$1004,$C116))</f>
        <v/>
      </c>
      <c r="I116" s="28" t="str">
        <f aca="false">IF($B116="","",SUMIFS(Purchases!$N$5:$N$1004,Purchases!$L$5:$L$1004,$B116,Purchases!$P$5:$P$1004,$C116))</f>
        <v/>
      </c>
      <c r="J116" s="28" t="str">
        <f aca="false">IF($B116="","",$H116+$I116)</f>
        <v/>
      </c>
      <c r="K116" s="30" t="str">
        <f aca="false">IF(OR($B116="",$D116=""),"",$D116+Settings!$B$12)</f>
        <v/>
      </c>
      <c r="L116" s="27" t="str">
        <f aca="true">IF($B116="","",IF($E116&lt;&gt;"","Paid",IF($D116="","Not sent",IF(TODAY()&gt;$K116,"OVERDUE","Due"))))</f>
        <v/>
      </c>
    </row>
    <row r="117" customFormat="false" ht="15" hidden="false" customHeight="false" outlineLevel="0" collapsed="false">
      <c r="A117" s="23"/>
      <c r="B117" s="23"/>
      <c r="C117" s="34"/>
      <c r="D117" s="22"/>
      <c r="E117" s="22"/>
      <c r="F117" s="23"/>
      <c r="G117" s="31" t="str">
        <f aca="false">IF($B117="","",COUNTIFS('Cleans Log'!$M$5:$M$1004,$B117,'Cleans Log'!$Q$5:$Q$1004,$C117,'Cleans Log'!$N$5:$N$1004,"&gt;0"))</f>
        <v/>
      </c>
      <c r="H117" s="28" t="str">
        <f aca="false">IF($B117="","",SUMIFS('Cleans Log'!$N$5:$N$1004,'Cleans Log'!$M$5:$M$1004,$B117,'Cleans Log'!$Q$5:$Q$1004,$C117))</f>
        <v/>
      </c>
      <c r="I117" s="28" t="str">
        <f aca="false">IF($B117="","",SUMIFS(Purchases!$N$5:$N$1004,Purchases!$L$5:$L$1004,$B117,Purchases!$P$5:$P$1004,$C117))</f>
        <v/>
      </c>
      <c r="J117" s="28" t="str">
        <f aca="false">IF($B117="","",$H117+$I117)</f>
        <v/>
      </c>
      <c r="K117" s="30" t="str">
        <f aca="false">IF(OR($B117="",$D117=""),"",$D117+Settings!$B$12)</f>
        <v/>
      </c>
      <c r="L117" s="27" t="str">
        <f aca="true">IF($B117="","",IF($E117&lt;&gt;"","Paid",IF($D117="","Not sent",IF(TODAY()&gt;$K117,"OVERDUE","Due"))))</f>
        <v/>
      </c>
    </row>
    <row r="118" customFormat="false" ht="15" hidden="false" customHeight="false" outlineLevel="0" collapsed="false">
      <c r="A118" s="23"/>
      <c r="B118" s="23"/>
      <c r="C118" s="34"/>
      <c r="D118" s="22"/>
      <c r="E118" s="22"/>
      <c r="F118" s="23"/>
      <c r="G118" s="31" t="str">
        <f aca="false">IF($B118="","",COUNTIFS('Cleans Log'!$M$5:$M$1004,$B118,'Cleans Log'!$Q$5:$Q$1004,$C118,'Cleans Log'!$N$5:$N$1004,"&gt;0"))</f>
        <v/>
      </c>
      <c r="H118" s="28" t="str">
        <f aca="false">IF($B118="","",SUMIFS('Cleans Log'!$N$5:$N$1004,'Cleans Log'!$M$5:$M$1004,$B118,'Cleans Log'!$Q$5:$Q$1004,$C118))</f>
        <v/>
      </c>
      <c r="I118" s="28" t="str">
        <f aca="false">IF($B118="","",SUMIFS(Purchases!$N$5:$N$1004,Purchases!$L$5:$L$1004,$B118,Purchases!$P$5:$P$1004,$C118))</f>
        <v/>
      </c>
      <c r="J118" s="28" t="str">
        <f aca="false">IF($B118="","",$H118+$I118)</f>
        <v/>
      </c>
      <c r="K118" s="30" t="str">
        <f aca="false">IF(OR($B118="",$D118=""),"",$D118+Settings!$B$12)</f>
        <v/>
      </c>
      <c r="L118" s="27" t="str">
        <f aca="true">IF($B118="","",IF($E118&lt;&gt;"","Paid",IF($D118="","Not sent",IF(TODAY()&gt;$K118,"OVERDUE","Due"))))</f>
        <v/>
      </c>
    </row>
    <row r="119" customFormat="false" ht="15" hidden="false" customHeight="false" outlineLevel="0" collapsed="false">
      <c r="A119" s="23"/>
      <c r="B119" s="23"/>
      <c r="C119" s="34"/>
      <c r="D119" s="22"/>
      <c r="E119" s="22"/>
      <c r="F119" s="23"/>
      <c r="G119" s="31" t="str">
        <f aca="false">IF($B119="","",COUNTIFS('Cleans Log'!$M$5:$M$1004,$B119,'Cleans Log'!$Q$5:$Q$1004,$C119,'Cleans Log'!$N$5:$N$1004,"&gt;0"))</f>
        <v/>
      </c>
      <c r="H119" s="28" t="str">
        <f aca="false">IF($B119="","",SUMIFS('Cleans Log'!$N$5:$N$1004,'Cleans Log'!$M$5:$M$1004,$B119,'Cleans Log'!$Q$5:$Q$1004,$C119))</f>
        <v/>
      </c>
      <c r="I119" s="28" t="str">
        <f aca="false">IF($B119="","",SUMIFS(Purchases!$N$5:$N$1004,Purchases!$L$5:$L$1004,$B119,Purchases!$P$5:$P$1004,$C119))</f>
        <v/>
      </c>
      <c r="J119" s="28" t="str">
        <f aca="false">IF($B119="","",$H119+$I119)</f>
        <v/>
      </c>
      <c r="K119" s="30" t="str">
        <f aca="false">IF(OR($B119="",$D119=""),"",$D119+Settings!$B$12)</f>
        <v/>
      </c>
      <c r="L119" s="27" t="str">
        <f aca="true">IF($B119="","",IF($E119&lt;&gt;"","Paid",IF($D119="","Not sent",IF(TODAY()&gt;$K119,"OVERDUE","Due"))))</f>
        <v/>
      </c>
    </row>
    <row r="120" customFormat="false" ht="15" hidden="false" customHeight="false" outlineLevel="0" collapsed="false">
      <c r="A120" s="23"/>
      <c r="B120" s="23"/>
      <c r="C120" s="34"/>
      <c r="D120" s="22"/>
      <c r="E120" s="22"/>
      <c r="F120" s="23"/>
      <c r="G120" s="31" t="str">
        <f aca="false">IF($B120="","",COUNTIFS('Cleans Log'!$M$5:$M$1004,$B120,'Cleans Log'!$Q$5:$Q$1004,$C120,'Cleans Log'!$N$5:$N$1004,"&gt;0"))</f>
        <v/>
      </c>
      <c r="H120" s="28" t="str">
        <f aca="false">IF($B120="","",SUMIFS('Cleans Log'!$N$5:$N$1004,'Cleans Log'!$M$5:$M$1004,$B120,'Cleans Log'!$Q$5:$Q$1004,$C120))</f>
        <v/>
      </c>
      <c r="I120" s="28" t="str">
        <f aca="false">IF($B120="","",SUMIFS(Purchases!$N$5:$N$1004,Purchases!$L$5:$L$1004,$B120,Purchases!$P$5:$P$1004,$C120))</f>
        <v/>
      </c>
      <c r="J120" s="28" t="str">
        <f aca="false">IF($B120="","",$H120+$I120)</f>
        <v/>
      </c>
      <c r="K120" s="30" t="str">
        <f aca="false">IF(OR($B120="",$D120=""),"",$D120+Settings!$B$12)</f>
        <v/>
      </c>
      <c r="L120" s="27" t="str">
        <f aca="true">IF($B120="","",IF($E120&lt;&gt;"","Paid",IF($D120="","Not sent",IF(TODAY()&gt;$K120,"OVERDUE","Due"))))</f>
        <v/>
      </c>
    </row>
    <row r="121" customFormat="false" ht="15" hidden="false" customHeight="false" outlineLevel="0" collapsed="false">
      <c r="A121" s="23"/>
      <c r="B121" s="23"/>
      <c r="C121" s="34"/>
      <c r="D121" s="22"/>
      <c r="E121" s="22"/>
      <c r="F121" s="23"/>
      <c r="G121" s="31" t="str">
        <f aca="false">IF($B121="","",COUNTIFS('Cleans Log'!$M$5:$M$1004,$B121,'Cleans Log'!$Q$5:$Q$1004,$C121,'Cleans Log'!$N$5:$N$1004,"&gt;0"))</f>
        <v/>
      </c>
      <c r="H121" s="28" t="str">
        <f aca="false">IF($B121="","",SUMIFS('Cleans Log'!$N$5:$N$1004,'Cleans Log'!$M$5:$M$1004,$B121,'Cleans Log'!$Q$5:$Q$1004,$C121))</f>
        <v/>
      </c>
      <c r="I121" s="28" t="str">
        <f aca="false">IF($B121="","",SUMIFS(Purchases!$N$5:$N$1004,Purchases!$L$5:$L$1004,$B121,Purchases!$P$5:$P$1004,$C121))</f>
        <v/>
      </c>
      <c r="J121" s="28" t="str">
        <f aca="false">IF($B121="","",$H121+$I121)</f>
        <v/>
      </c>
      <c r="K121" s="30" t="str">
        <f aca="false">IF(OR($B121="",$D121=""),"",$D121+Settings!$B$12)</f>
        <v/>
      </c>
      <c r="L121" s="27" t="str">
        <f aca="true">IF($B121="","",IF($E121&lt;&gt;"","Paid",IF($D121="","Not sent",IF(TODAY()&gt;$K121,"OVERDUE","Due"))))</f>
        <v/>
      </c>
    </row>
    <row r="122" customFormat="false" ht="15" hidden="false" customHeight="false" outlineLevel="0" collapsed="false">
      <c r="A122" s="23"/>
      <c r="B122" s="23"/>
      <c r="C122" s="34"/>
      <c r="D122" s="22"/>
      <c r="E122" s="22"/>
      <c r="F122" s="23"/>
      <c r="G122" s="31" t="str">
        <f aca="false">IF($B122="","",COUNTIFS('Cleans Log'!$M$5:$M$1004,$B122,'Cleans Log'!$Q$5:$Q$1004,$C122,'Cleans Log'!$N$5:$N$1004,"&gt;0"))</f>
        <v/>
      </c>
      <c r="H122" s="28" t="str">
        <f aca="false">IF($B122="","",SUMIFS('Cleans Log'!$N$5:$N$1004,'Cleans Log'!$M$5:$M$1004,$B122,'Cleans Log'!$Q$5:$Q$1004,$C122))</f>
        <v/>
      </c>
      <c r="I122" s="28" t="str">
        <f aca="false">IF($B122="","",SUMIFS(Purchases!$N$5:$N$1004,Purchases!$L$5:$L$1004,$B122,Purchases!$P$5:$P$1004,$C122))</f>
        <v/>
      </c>
      <c r="J122" s="28" t="str">
        <f aca="false">IF($B122="","",$H122+$I122)</f>
        <v/>
      </c>
      <c r="K122" s="30" t="str">
        <f aca="false">IF(OR($B122="",$D122=""),"",$D122+Settings!$B$12)</f>
        <v/>
      </c>
      <c r="L122" s="27" t="str">
        <f aca="true">IF($B122="","",IF($E122&lt;&gt;"","Paid",IF($D122="","Not sent",IF(TODAY()&gt;$K122,"OVERDUE","Due"))))</f>
        <v/>
      </c>
    </row>
    <row r="123" customFormat="false" ht="15" hidden="false" customHeight="false" outlineLevel="0" collapsed="false">
      <c r="A123" s="23"/>
      <c r="B123" s="23"/>
      <c r="C123" s="34"/>
      <c r="D123" s="22"/>
      <c r="E123" s="22"/>
      <c r="F123" s="23"/>
      <c r="G123" s="31" t="str">
        <f aca="false">IF($B123="","",COUNTIFS('Cleans Log'!$M$5:$M$1004,$B123,'Cleans Log'!$Q$5:$Q$1004,$C123,'Cleans Log'!$N$5:$N$1004,"&gt;0"))</f>
        <v/>
      </c>
      <c r="H123" s="28" t="str">
        <f aca="false">IF($B123="","",SUMIFS('Cleans Log'!$N$5:$N$1004,'Cleans Log'!$M$5:$M$1004,$B123,'Cleans Log'!$Q$5:$Q$1004,$C123))</f>
        <v/>
      </c>
      <c r="I123" s="28" t="str">
        <f aca="false">IF($B123="","",SUMIFS(Purchases!$N$5:$N$1004,Purchases!$L$5:$L$1004,$B123,Purchases!$P$5:$P$1004,$C123))</f>
        <v/>
      </c>
      <c r="J123" s="28" t="str">
        <f aca="false">IF($B123="","",$H123+$I123)</f>
        <v/>
      </c>
      <c r="K123" s="30" t="str">
        <f aca="false">IF(OR($B123="",$D123=""),"",$D123+Settings!$B$12)</f>
        <v/>
      </c>
      <c r="L123" s="27" t="str">
        <f aca="true">IF($B123="","",IF($E123&lt;&gt;"","Paid",IF($D123="","Not sent",IF(TODAY()&gt;$K123,"OVERDUE","Due"))))</f>
        <v/>
      </c>
    </row>
    <row r="124" customFormat="false" ht="15" hidden="false" customHeight="false" outlineLevel="0" collapsed="false">
      <c r="A124" s="23"/>
      <c r="B124" s="23"/>
      <c r="C124" s="34"/>
      <c r="D124" s="22"/>
      <c r="E124" s="22"/>
      <c r="F124" s="23"/>
      <c r="G124" s="31" t="str">
        <f aca="false">IF($B124="","",COUNTIFS('Cleans Log'!$M$5:$M$1004,$B124,'Cleans Log'!$Q$5:$Q$1004,$C124,'Cleans Log'!$N$5:$N$1004,"&gt;0"))</f>
        <v/>
      </c>
      <c r="H124" s="28" t="str">
        <f aca="false">IF($B124="","",SUMIFS('Cleans Log'!$N$5:$N$1004,'Cleans Log'!$M$5:$M$1004,$B124,'Cleans Log'!$Q$5:$Q$1004,$C124))</f>
        <v/>
      </c>
      <c r="I124" s="28" t="str">
        <f aca="false">IF($B124="","",SUMIFS(Purchases!$N$5:$N$1004,Purchases!$L$5:$L$1004,$B124,Purchases!$P$5:$P$1004,$C124))</f>
        <v/>
      </c>
      <c r="J124" s="28" t="str">
        <f aca="false">IF($B124="","",$H124+$I124)</f>
        <v/>
      </c>
      <c r="K124" s="30" t="str">
        <f aca="false">IF(OR($B124="",$D124=""),"",$D124+Settings!$B$12)</f>
        <v/>
      </c>
      <c r="L124" s="27" t="str">
        <f aca="true">IF($B124="","",IF($E124&lt;&gt;"","Paid",IF($D124="","Not sent",IF(TODAY()&gt;$K124,"OVERDUE","Due"))))</f>
        <v/>
      </c>
    </row>
    <row r="125" customFormat="false" ht="15" hidden="false" customHeight="false" outlineLevel="0" collapsed="false">
      <c r="A125" s="23"/>
      <c r="B125" s="23"/>
      <c r="C125" s="34"/>
      <c r="D125" s="22"/>
      <c r="E125" s="22"/>
      <c r="F125" s="23"/>
      <c r="G125" s="31" t="str">
        <f aca="false">IF($B125="","",COUNTIFS('Cleans Log'!$M$5:$M$1004,$B125,'Cleans Log'!$Q$5:$Q$1004,$C125,'Cleans Log'!$N$5:$N$1004,"&gt;0"))</f>
        <v/>
      </c>
      <c r="H125" s="28" t="str">
        <f aca="false">IF($B125="","",SUMIFS('Cleans Log'!$N$5:$N$1004,'Cleans Log'!$M$5:$M$1004,$B125,'Cleans Log'!$Q$5:$Q$1004,$C125))</f>
        <v/>
      </c>
      <c r="I125" s="28" t="str">
        <f aca="false">IF($B125="","",SUMIFS(Purchases!$N$5:$N$1004,Purchases!$L$5:$L$1004,$B125,Purchases!$P$5:$P$1004,$C125))</f>
        <v/>
      </c>
      <c r="J125" s="28" t="str">
        <f aca="false">IF($B125="","",$H125+$I125)</f>
        <v/>
      </c>
      <c r="K125" s="30" t="str">
        <f aca="false">IF(OR($B125="",$D125=""),"",$D125+Settings!$B$12)</f>
        <v/>
      </c>
      <c r="L125" s="27" t="str">
        <f aca="true">IF($B125="","",IF($E125&lt;&gt;"","Paid",IF($D125="","Not sent",IF(TODAY()&gt;$K125,"OVERDUE","Due"))))</f>
        <v/>
      </c>
    </row>
    <row r="126" customFormat="false" ht="15" hidden="false" customHeight="false" outlineLevel="0" collapsed="false">
      <c r="A126" s="23"/>
      <c r="B126" s="23"/>
      <c r="C126" s="34"/>
      <c r="D126" s="22"/>
      <c r="E126" s="22"/>
      <c r="F126" s="23"/>
      <c r="G126" s="31" t="str">
        <f aca="false">IF($B126="","",COUNTIFS('Cleans Log'!$M$5:$M$1004,$B126,'Cleans Log'!$Q$5:$Q$1004,$C126,'Cleans Log'!$N$5:$N$1004,"&gt;0"))</f>
        <v/>
      </c>
      <c r="H126" s="28" t="str">
        <f aca="false">IF($B126="","",SUMIFS('Cleans Log'!$N$5:$N$1004,'Cleans Log'!$M$5:$M$1004,$B126,'Cleans Log'!$Q$5:$Q$1004,$C126))</f>
        <v/>
      </c>
      <c r="I126" s="28" t="str">
        <f aca="false">IF($B126="","",SUMIFS(Purchases!$N$5:$N$1004,Purchases!$L$5:$L$1004,$B126,Purchases!$P$5:$P$1004,$C126))</f>
        <v/>
      </c>
      <c r="J126" s="28" t="str">
        <f aca="false">IF($B126="","",$H126+$I126)</f>
        <v/>
      </c>
      <c r="K126" s="30" t="str">
        <f aca="false">IF(OR($B126="",$D126=""),"",$D126+Settings!$B$12)</f>
        <v/>
      </c>
      <c r="L126" s="27" t="str">
        <f aca="true">IF($B126="","",IF($E126&lt;&gt;"","Paid",IF($D126="","Not sent",IF(TODAY()&gt;$K126,"OVERDUE","Due"))))</f>
        <v/>
      </c>
    </row>
    <row r="127" customFormat="false" ht="15" hidden="false" customHeight="false" outlineLevel="0" collapsed="false">
      <c r="A127" s="23"/>
      <c r="B127" s="23"/>
      <c r="C127" s="34"/>
      <c r="D127" s="22"/>
      <c r="E127" s="22"/>
      <c r="F127" s="23"/>
      <c r="G127" s="31" t="str">
        <f aca="false">IF($B127="","",COUNTIFS('Cleans Log'!$M$5:$M$1004,$B127,'Cleans Log'!$Q$5:$Q$1004,$C127,'Cleans Log'!$N$5:$N$1004,"&gt;0"))</f>
        <v/>
      </c>
      <c r="H127" s="28" t="str">
        <f aca="false">IF($B127="","",SUMIFS('Cleans Log'!$N$5:$N$1004,'Cleans Log'!$M$5:$M$1004,$B127,'Cleans Log'!$Q$5:$Q$1004,$C127))</f>
        <v/>
      </c>
      <c r="I127" s="28" t="str">
        <f aca="false">IF($B127="","",SUMIFS(Purchases!$N$5:$N$1004,Purchases!$L$5:$L$1004,$B127,Purchases!$P$5:$P$1004,$C127))</f>
        <v/>
      </c>
      <c r="J127" s="28" t="str">
        <f aca="false">IF($B127="","",$H127+$I127)</f>
        <v/>
      </c>
      <c r="K127" s="30" t="str">
        <f aca="false">IF(OR($B127="",$D127=""),"",$D127+Settings!$B$12)</f>
        <v/>
      </c>
      <c r="L127" s="27" t="str">
        <f aca="true">IF($B127="","",IF($E127&lt;&gt;"","Paid",IF($D127="","Not sent",IF(TODAY()&gt;$K127,"OVERDUE","Due"))))</f>
        <v/>
      </c>
    </row>
    <row r="128" customFormat="false" ht="15" hidden="false" customHeight="false" outlineLevel="0" collapsed="false">
      <c r="A128" s="23"/>
      <c r="B128" s="23"/>
      <c r="C128" s="34"/>
      <c r="D128" s="22"/>
      <c r="E128" s="22"/>
      <c r="F128" s="23"/>
      <c r="G128" s="31" t="str">
        <f aca="false">IF($B128="","",COUNTIFS('Cleans Log'!$M$5:$M$1004,$B128,'Cleans Log'!$Q$5:$Q$1004,$C128,'Cleans Log'!$N$5:$N$1004,"&gt;0"))</f>
        <v/>
      </c>
      <c r="H128" s="28" t="str">
        <f aca="false">IF($B128="","",SUMIFS('Cleans Log'!$N$5:$N$1004,'Cleans Log'!$M$5:$M$1004,$B128,'Cleans Log'!$Q$5:$Q$1004,$C128))</f>
        <v/>
      </c>
      <c r="I128" s="28" t="str">
        <f aca="false">IF($B128="","",SUMIFS(Purchases!$N$5:$N$1004,Purchases!$L$5:$L$1004,$B128,Purchases!$P$5:$P$1004,$C128))</f>
        <v/>
      </c>
      <c r="J128" s="28" t="str">
        <f aca="false">IF($B128="","",$H128+$I128)</f>
        <v/>
      </c>
      <c r="K128" s="30" t="str">
        <f aca="false">IF(OR($B128="",$D128=""),"",$D128+Settings!$B$12)</f>
        <v/>
      </c>
      <c r="L128" s="27" t="str">
        <f aca="true">IF($B128="","",IF($E128&lt;&gt;"","Paid",IF($D128="","Not sent",IF(TODAY()&gt;$K128,"OVERDUE","Due"))))</f>
        <v/>
      </c>
    </row>
    <row r="129" customFormat="false" ht="15" hidden="false" customHeight="false" outlineLevel="0" collapsed="false">
      <c r="A129" s="23"/>
      <c r="B129" s="23"/>
      <c r="C129" s="34"/>
      <c r="D129" s="22"/>
      <c r="E129" s="22"/>
      <c r="F129" s="23"/>
      <c r="G129" s="31" t="str">
        <f aca="false">IF($B129="","",COUNTIFS('Cleans Log'!$M$5:$M$1004,$B129,'Cleans Log'!$Q$5:$Q$1004,$C129,'Cleans Log'!$N$5:$N$1004,"&gt;0"))</f>
        <v/>
      </c>
      <c r="H129" s="28" t="str">
        <f aca="false">IF($B129="","",SUMIFS('Cleans Log'!$N$5:$N$1004,'Cleans Log'!$M$5:$M$1004,$B129,'Cleans Log'!$Q$5:$Q$1004,$C129))</f>
        <v/>
      </c>
      <c r="I129" s="28" t="str">
        <f aca="false">IF($B129="","",SUMIFS(Purchases!$N$5:$N$1004,Purchases!$L$5:$L$1004,$B129,Purchases!$P$5:$P$1004,$C129))</f>
        <v/>
      </c>
      <c r="J129" s="28" t="str">
        <f aca="false">IF($B129="","",$H129+$I129)</f>
        <v/>
      </c>
      <c r="K129" s="30" t="str">
        <f aca="false">IF(OR($B129="",$D129=""),"",$D129+Settings!$B$12)</f>
        <v/>
      </c>
      <c r="L129" s="27" t="str">
        <f aca="true">IF($B129="","",IF($E129&lt;&gt;"","Paid",IF($D129="","Not sent",IF(TODAY()&gt;$K129,"OVERDUE","Due"))))</f>
        <v/>
      </c>
    </row>
    <row r="130" customFormat="false" ht="15" hidden="false" customHeight="false" outlineLevel="0" collapsed="false">
      <c r="A130" s="23"/>
      <c r="B130" s="23"/>
      <c r="C130" s="34"/>
      <c r="D130" s="22"/>
      <c r="E130" s="22"/>
      <c r="F130" s="23"/>
      <c r="G130" s="31" t="str">
        <f aca="false">IF($B130="","",COUNTIFS('Cleans Log'!$M$5:$M$1004,$B130,'Cleans Log'!$Q$5:$Q$1004,$C130,'Cleans Log'!$N$5:$N$1004,"&gt;0"))</f>
        <v/>
      </c>
      <c r="H130" s="28" t="str">
        <f aca="false">IF($B130="","",SUMIFS('Cleans Log'!$N$5:$N$1004,'Cleans Log'!$M$5:$M$1004,$B130,'Cleans Log'!$Q$5:$Q$1004,$C130))</f>
        <v/>
      </c>
      <c r="I130" s="28" t="str">
        <f aca="false">IF($B130="","",SUMIFS(Purchases!$N$5:$N$1004,Purchases!$L$5:$L$1004,$B130,Purchases!$P$5:$P$1004,$C130))</f>
        <v/>
      </c>
      <c r="J130" s="28" t="str">
        <f aca="false">IF($B130="","",$H130+$I130)</f>
        <v/>
      </c>
      <c r="K130" s="30" t="str">
        <f aca="false">IF(OR($B130="",$D130=""),"",$D130+Settings!$B$12)</f>
        <v/>
      </c>
      <c r="L130" s="27" t="str">
        <f aca="true">IF($B130="","",IF($E130&lt;&gt;"","Paid",IF($D130="","Not sent",IF(TODAY()&gt;$K130,"OVERDUE","Due"))))</f>
        <v/>
      </c>
    </row>
    <row r="131" customFormat="false" ht="15" hidden="false" customHeight="false" outlineLevel="0" collapsed="false">
      <c r="A131" s="23"/>
      <c r="B131" s="23"/>
      <c r="C131" s="34"/>
      <c r="D131" s="22"/>
      <c r="E131" s="22"/>
      <c r="F131" s="23"/>
      <c r="G131" s="31" t="str">
        <f aca="false">IF($B131="","",COUNTIFS('Cleans Log'!$M$5:$M$1004,$B131,'Cleans Log'!$Q$5:$Q$1004,$C131,'Cleans Log'!$N$5:$N$1004,"&gt;0"))</f>
        <v/>
      </c>
      <c r="H131" s="28" t="str">
        <f aca="false">IF($B131="","",SUMIFS('Cleans Log'!$N$5:$N$1004,'Cleans Log'!$M$5:$M$1004,$B131,'Cleans Log'!$Q$5:$Q$1004,$C131))</f>
        <v/>
      </c>
      <c r="I131" s="28" t="str">
        <f aca="false">IF($B131="","",SUMIFS(Purchases!$N$5:$N$1004,Purchases!$L$5:$L$1004,$B131,Purchases!$P$5:$P$1004,$C131))</f>
        <v/>
      </c>
      <c r="J131" s="28" t="str">
        <f aca="false">IF($B131="","",$H131+$I131)</f>
        <v/>
      </c>
      <c r="K131" s="30" t="str">
        <f aca="false">IF(OR($B131="",$D131=""),"",$D131+Settings!$B$12)</f>
        <v/>
      </c>
      <c r="L131" s="27" t="str">
        <f aca="true">IF($B131="","",IF($E131&lt;&gt;"","Paid",IF($D131="","Not sent",IF(TODAY()&gt;$K131,"OVERDUE","Due"))))</f>
        <v/>
      </c>
    </row>
    <row r="132" customFormat="false" ht="15" hidden="false" customHeight="false" outlineLevel="0" collapsed="false">
      <c r="A132" s="23"/>
      <c r="B132" s="23"/>
      <c r="C132" s="34"/>
      <c r="D132" s="22"/>
      <c r="E132" s="22"/>
      <c r="F132" s="23"/>
      <c r="G132" s="31" t="str">
        <f aca="false">IF($B132="","",COUNTIFS('Cleans Log'!$M$5:$M$1004,$B132,'Cleans Log'!$Q$5:$Q$1004,$C132,'Cleans Log'!$N$5:$N$1004,"&gt;0"))</f>
        <v/>
      </c>
      <c r="H132" s="28" t="str">
        <f aca="false">IF($B132="","",SUMIFS('Cleans Log'!$N$5:$N$1004,'Cleans Log'!$M$5:$M$1004,$B132,'Cleans Log'!$Q$5:$Q$1004,$C132))</f>
        <v/>
      </c>
      <c r="I132" s="28" t="str">
        <f aca="false">IF($B132="","",SUMIFS(Purchases!$N$5:$N$1004,Purchases!$L$5:$L$1004,$B132,Purchases!$P$5:$P$1004,$C132))</f>
        <v/>
      </c>
      <c r="J132" s="28" t="str">
        <f aca="false">IF($B132="","",$H132+$I132)</f>
        <v/>
      </c>
      <c r="K132" s="30" t="str">
        <f aca="false">IF(OR($B132="",$D132=""),"",$D132+Settings!$B$12)</f>
        <v/>
      </c>
      <c r="L132" s="27" t="str">
        <f aca="true">IF($B132="","",IF($E132&lt;&gt;"","Paid",IF($D132="","Not sent",IF(TODAY()&gt;$K132,"OVERDUE","Due"))))</f>
        <v/>
      </c>
    </row>
    <row r="133" customFormat="false" ht="15" hidden="false" customHeight="false" outlineLevel="0" collapsed="false">
      <c r="A133" s="23"/>
      <c r="B133" s="23"/>
      <c r="C133" s="34"/>
      <c r="D133" s="22"/>
      <c r="E133" s="22"/>
      <c r="F133" s="23"/>
      <c r="G133" s="31" t="str">
        <f aca="false">IF($B133="","",COUNTIFS('Cleans Log'!$M$5:$M$1004,$B133,'Cleans Log'!$Q$5:$Q$1004,$C133,'Cleans Log'!$N$5:$N$1004,"&gt;0"))</f>
        <v/>
      </c>
      <c r="H133" s="28" t="str">
        <f aca="false">IF($B133="","",SUMIFS('Cleans Log'!$N$5:$N$1004,'Cleans Log'!$M$5:$M$1004,$B133,'Cleans Log'!$Q$5:$Q$1004,$C133))</f>
        <v/>
      </c>
      <c r="I133" s="28" t="str">
        <f aca="false">IF($B133="","",SUMIFS(Purchases!$N$5:$N$1004,Purchases!$L$5:$L$1004,$B133,Purchases!$P$5:$P$1004,$C133))</f>
        <v/>
      </c>
      <c r="J133" s="28" t="str">
        <f aca="false">IF($B133="","",$H133+$I133)</f>
        <v/>
      </c>
      <c r="K133" s="30" t="str">
        <f aca="false">IF(OR($B133="",$D133=""),"",$D133+Settings!$B$12)</f>
        <v/>
      </c>
      <c r="L133" s="27" t="str">
        <f aca="true">IF($B133="","",IF($E133&lt;&gt;"","Paid",IF($D133="","Not sent",IF(TODAY()&gt;$K133,"OVERDUE","Due"))))</f>
        <v/>
      </c>
    </row>
    <row r="134" customFormat="false" ht="15" hidden="false" customHeight="false" outlineLevel="0" collapsed="false">
      <c r="A134" s="23"/>
      <c r="B134" s="23"/>
      <c r="C134" s="34"/>
      <c r="D134" s="22"/>
      <c r="E134" s="22"/>
      <c r="F134" s="23"/>
      <c r="G134" s="31" t="str">
        <f aca="false">IF($B134="","",COUNTIFS('Cleans Log'!$M$5:$M$1004,$B134,'Cleans Log'!$Q$5:$Q$1004,$C134,'Cleans Log'!$N$5:$N$1004,"&gt;0"))</f>
        <v/>
      </c>
      <c r="H134" s="28" t="str">
        <f aca="false">IF($B134="","",SUMIFS('Cleans Log'!$N$5:$N$1004,'Cleans Log'!$M$5:$M$1004,$B134,'Cleans Log'!$Q$5:$Q$1004,$C134))</f>
        <v/>
      </c>
      <c r="I134" s="28" t="str">
        <f aca="false">IF($B134="","",SUMIFS(Purchases!$N$5:$N$1004,Purchases!$L$5:$L$1004,$B134,Purchases!$P$5:$P$1004,$C134))</f>
        <v/>
      </c>
      <c r="J134" s="28" t="str">
        <f aca="false">IF($B134="","",$H134+$I134)</f>
        <v/>
      </c>
      <c r="K134" s="30" t="str">
        <f aca="false">IF(OR($B134="",$D134=""),"",$D134+Settings!$B$12)</f>
        <v/>
      </c>
      <c r="L134" s="27" t="str">
        <f aca="true">IF($B134="","",IF($E134&lt;&gt;"","Paid",IF($D134="","Not sent",IF(TODAY()&gt;$K134,"OVERDUE","Due"))))</f>
        <v/>
      </c>
    </row>
    <row r="135" customFormat="false" ht="15" hidden="false" customHeight="false" outlineLevel="0" collapsed="false">
      <c r="A135" s="23"/>
      <c r="B135" s="23"/>
      <c r="C135" s="34"/>
      <c r="D135" s="22"/>
      <c r="E135" s="22"/>
      <c r="F135" s="23"/>
      <c r="G135" s="31" t="str">
        <f aca="false">IF($B135="","",COUNTIFS('Cleans Log'!$M$5:$M$1004,$B135,'Cleans Log'!$Q$5:$Q$1004,$C135,'Cleans Log'!$N$5:$N$1004,"&gt;0"))</f>
        <v/>
      </c>
      <c r="H135" s="28" t="str">
        <f aca="false">IF($B135="","",SUMIFS('Cleans Log'!$N$5:$N$1004,'Cleans Log'!$M$5:$M$1004,$B135,'Cleans Log'!$Q$5:$Q$1004,$C135))</f>
        <v/>
      </c>
      <c r="I135" s="28" t="str">
        <f aca="false">IF($B135="","",SUMIFS(Purchases!$N$5:$N$1004,Purchases!$L$5:$L$1004,$B135,Purchases!$P$5:$P$1004,$C135))</f>
        <v/>
      </c>
      <c r="J135" s="28" t="str">
        <f aca="false">IF($B135="","",$H135+$I135)</f>
        <v/>
      </c>
      <c r="K135" s="30" t="str">
        <f aca="false">IF(OR($B135="",$D135=""),"",$D135+Settings!$B$12)</f>
        <v/>
      </c>
      <c r="L135" s="27" t="str">
        <f aca="true">IF($B135="","",IF($E135&lt;&gt;"","Paid",IF($D135="","Not sent",IF(TODAY()&gt;$K135,"OVERDUE","Due"))))</f>
        <v/>
      </c>
    </row>
    <row r="136" customFormat="false" ht="15" hidden="false" customHeight="false" outlineLevel="0" collapsed="false">
      <c r="A136" s="23"/>
      <c r="B136" s="23"/>
      <c r="C136" s="34"/>
      <c r="D136" s="22"/>
      <c r="E136" s="22"/>
      <c r="F136" s="23"/>
      <c r="G136" s="31" t="str">
        <f aca="false">IF($B136="","",COUNTIFS('Cleans Log'!$M$5:$M$1004,$B136,'Cleans Log'!$Q$5:$Q$1004,$C136,'Cleans Log'!$N$5:$N$1004,"&gt;0"))</f>
        <v/>
      </c>
      <c r="H136" s="28" t="str">
        <f aca="false">IF($B136="","",SUMIFS('Cleans Log'!$N$5:$N$1004,'Cleans Log'!$M$5:$M$1004,$B136,'Cleans Log'!$Q$5:$Q$1004,$C136))</f>
        <v/>
      </c>
      <c r="I136" s="28" t="str">
        <f aca="false">IF($B136="","",SUMIFS(Purchases!$N$5:$N$1004,Purchases!$L$5:$L$1004,$B136,Purchases!$P$5:$P$1004,$C136))</f>
        <v/>
      </c>
      <c r="J136" s="28" t="str">
        <f aca="false">IF($B136="","",$H136+$I136)</f>
        <v/>
      </c>
      <c r="K136" s="30" t="str">
        <f aca="false">IF(OR($B136="",$D136=""),"",$D136+Settings!$B$12)</f>
        <v/>
      </c>
      <c r="L136" s="27" t="str">
        <f aca="true">IF($B136="","",IF($E136&lt;&gt;"","Paid",IF($D136="","Not sent",IF(TODAY()&gt;$K136,"OVERDUE","Due"))))</f>
        <v/>
      </c>
    </row>
    <row r="137" customFormat="false" ht="15" hidden="false" customHeight="false" outlineLevel="0" collapsed="false">
      <c r="A137" s="23"/>
      <c r="B137" s="23"/>
      <c r="C137" s="34"/>
      <c r="D137" s="22"/>
      <c r="E137" s="22"/>
      <c r="F137" s="23"/>
      <c r="G137" s="31" t="str">
        <f aca="false">IF($B137="","",COUNTIFS('Cleans Log'!$M$5:$M$1004,$B137,'Cleans Log'!$Q$5:$Q$1004,$C137,'Cleans Log'!$N$5:$N$1004,"&gt;0"))</f>
        <v/>
      </c>
      <c r="H137" s="28" t="str">
        <f aca="false">IF($B137="","",SUMIFS('Cleans Log'!$N$5:$N$1004,'Cleans Log'!$M$5:$M$1004,$B137,'Cleans Log'!$Q$5:$Q$1004,$C137))</f>
        <v/>
      </c>
      <c r="I137" s="28" t="str">
        <f aca="false">IF($B137="","",SUMIFS(Purchases!$N$5:$N$1004,Purchases!$L$5:$L$1004,$B137,Purchases!$P$5:$P$1004,$C137))</f>
        <v/>
      </c>
      <c r="J137" s="28" t="str">
        <f aca="false">IF($B137="","",$H137+$I137)</f>
        <v/>
      </c>
      <c r="K137" s="30" t="str">
        <f aca="false">IF(OR($B137="",$D137=""),"",$D137+Settings!$B$12)</f>
        <v/>
      </c>
      <c r="L137" s="27" t="str">
        <f aca="true">IF($B137="","",IF($E137&lt;&gt;"","Paid",IF($D137="","Not sent",IF(TODAY()&gt;$K137,"OVERDUE","Due"))))</f>
        <v/>
      </c>
    </row>
    <row r="138" customFormat="false" ht="15" hidden="false" customHeight="false" outlineLevel="0" collapsed="false">
      <c r="A138" s="23"/>
      <c r="B138" s="23"/>
      <c r="C138" s="34"/>
      <c r="D138" s="22"/>
      <c r="E138" s="22"/>
      <c r="F138" s="23"/>
      <c r="G138" s="31" t="str">
        <f aca="false">IF($B138="","",COUNTIFS('Cleans Log'!$M$5:$M$1004,$B138,'Cleans Log'!$Q$5:$Q$1004,$C138,'Cleans Log'!$N$5:$N$1004,"&gt;0"))</f>
        <v/>
      </c>
      <c r="H138" s="28" t="str">
        <f aca="false">IF($B138="","",SUMIFS('Cleans Log'!$N$5:$N$1004,'Cleans Log'!$M$5:$M$1004,$B138,'Cleans Log'!$Q$5:$Q$1004,$C138))</f>
        <v/>
      </c>
      <c r="I138" s="28" t="str">
        <f aca="false">IF($B138="","",SUMIFS(Purchases!$N$5:$N$1004,Purchases!$L$5:$L$1004,$B138,Purchases!$P$5:$P$1004,$C138))</f>
        <v/>
      </c>
      <c r="J138" s="28" t="str">
        <f aca="false">IF($B138="","",$H138+$I138)</f>
        <v/>
      </c>
      <c r="K138" s="30" t="str">
        <f aca="false">IF(OR($B138="",$D138=""),"",$D138+Settings!$B$12)</f>
        <v/>
      </c>
      <c r="L138" s="27" t="str">
        <f aca="true">IF($B138="","",IF($E138&lt;&gt;"","Paid",IF($D138="","Not sent",IF(TODAY()&gt;$K138,"OVERDUE","Due"))))</f>
        <v/>
      </c>
    </row>
    <row r="139" customFormat="false" ht="15" hidden="false" customHeight="false" outlineLevel="0" collapsed="false">
      <c r="A139" s="23"/>
      <c r="B139" s="23"/>
      <c r="C139" s="34"/>
      <c r="D139" s="22"/>
      <c r="E139" s="22"/>
      <c r="F139" s="23"/>
      <c r="G139" s="31" t="str">
        <f aca="false">IF($B139="","",COUNTIFS('Cleans Log'!$M$5:$M$1004,$B139,'Cleans Log'!$Q$5:$Q$1004,$C139,'Cleans Log'!$N$5:$N$1004,"&gt;0"))</f>
        <v/>
      </c>
      <c r="H139" s="28" t="str">
        <f aca="false">IF($B139="","",SUMIFS('Cleans Log'!$N$5:$N$1004,'Cleans Log'!$M$5:$M$1004,$B139,'Cleans Log'!$Q$5:$Q$1004,$C139))</f>
        <v/>
      </c>
      <c r="I139" s="28" t="str">
        <f aca="false">IF($B139="","",SUMIFS(Purchases!$N$5:$N$1004,Purchases!$L$5:$L$1004,$B139,Purchases!$P$5:$P$1004,$C139))</f>
        <v/>
      </c>
      <c r="J139" s="28" t="str">
        <f aca="false">IF($B139="","",$H139+$I139)</f>
        <v/>
      </c>
      <c r="K139" s="30" t="str">
        <f aca="false">IF(OR($B139="",$D139=""),"",$D139+Settings!$B$12)</f>
        <v/>
      </c>
      <c r="L139" s="27" t="str">
        <f aca="true">IF($B139="","",IF($E139&lt;&gt;"","Paid",IF($D139="","Not sent",IF(TODAY()&gt;$K139,"OVERDUE","Due"))))</f>
        <v/>
      </c>
    </row>
    <row r="140" customFormat="false" ht="15" hidden="false" customHeight="false" outlineLevel="0" collapsed="false">
      <c r="A140" s="23"/>
      <c r="B140" s="23"/>
      <c r="C140" s="34"/>
      <c r="D140" s="22"/>
      <c r="E140" s="22"/>
      <c r="F140" s="23"/>
      <c r="G140" s="31" t="str">
        <f aca="false">IF($B140="","",COUNTIFS('Cleans Log'!$M$5:$M$1004,$B140,'Cleans Log'!$Q$5:$Q$1004,$C140,'Cleans Log'!$N$5:$N$1004,"&gt;0"))</f>
        <v/>
      </c>
      <c r="H140" s="28" t="str">
        <f aca="false">IF($B140="","",SUMIFS('Cleans Log'!$N$5:$N$1004,'Cleans Log'!$M$5:$M$1004,$B140,'Cleans Log'!$Q$5:$Q$1004,$C140))</f>
        <v/>
      </c>
      <c r="I140" s="28" t="str">
        <f aca="false">IF($B140="","",SUMIFS(Purchases!$N$5:$N$1004,Purchases!$L$5:$L$1004,$B140,Purchases!$P$5:$P$1004,$C140))</f>
        <v/>
      </c>
      <c r="J140" s="28" t="str">
        <f aca="false">IF($B140="","",$H140+$I140)</f>
        <v/>
      </c>
      <c r="K140" s="30" t="str">
        <f aca="false">IF(OR($B140="",$D140=""),"",$D140+Settings!$B$12)</f>
        <v/>
      </c>
      <c r="L140" s="27" t="str">
        <f aca="true">IF($B140="","",IF($E140&lt;&gt;"","Paid",IF($D140="","Not sent",IF(TODAY()&gt;$K140,"OVERDUE","Due"))))</f>
        <v/>
      </c>
    </row>
    <row r="141" customFormat="false" ht="15" hidden="false" customHeight="false" outlineLevel="0" collapsed="false">
      <c r="A141" s="23"/>
      <c r="B141" s="23"/>
      <c r="C141" s="34"/>
      <c r="D141" s="22"/>
      <c r="E141" s="22"/>
      <c r="F141" s="23"/>
      <c r="G141" s="31" t="str">
        <f aca="false">IF($B141="","",COUNTIFS('Cleans Log'!$M$5:$M$1004,$B141,'Cleans Log'!$Q$5:$Q$1004,$C141,'Cleans Log'!$N$5:$N$1004,"&gt;0"))</f>
        <v/>
      </c>
      <c r="H141" s="28" t="str">
        <f aca="false">IF($B141="","",SUMIFS('Cleans Log'!$N$5:$N$1004,'Cleans Log'!$M$5:$M$1004,$B141,'Cleans Log'!$Q$5:$Q$1004,$C141))</f>
        <v/>
      </c>
      <c r="I141" s="28" t="str">
        <f aca="false">IF($B141="","",SUMIFS(Purchases!$N$5:$N$1004,Purchases!$L$5:$L$1004,$B141,Purchases!$P$5:$P$1004,$C141))</f>
        <v/>
      </c>
      <c r="J141" s="28" t="str">
        <f aca="false">IF($B141="","",$H141+$I141)</f>
        <v/>
      </c>
      <c r="K141" s="30" t="str">
        <f aca="false">IF(OR($B141="",$D141=""),"",$D141+Settings!$B$12)</f>
        <v/>
      </c>
      <c r="L141" s="27" t="str">
        <f aca="true">IF($B141="","",IF($E141&lt;&gt;"","Paid",IF($D141="","Not sent",IF(TODAY()&gt;$K141,"OVERDUE","Due"))))</f>
        <v/>
      </c>
    </row>
    <row r="142" customFormat="false" ht="15" hidden="false" customHeight="false" outlineLevel="0" collapsed="false">
      <c r="A142" s="23"/>
      <c r="B142" s="23"/>
      <c r="C142" s="34"/>
      <c r="D142" s="22"/>
      <c r="E142" s="22"/>
      <c r="F142" s="23"/>
      <c r="G142" s="31" t="str">
        <f aca="false">IF($B142="","",COUNTIFS('Cleans Log'!$M$5:$M$1004,$B142,'Cleans Log'!$Q$5:$Q$1004,$C142,'Cleans Log'!$N$5:$N$1004,"&gt;0"))</f>
        <v/>
      </c>
      <c r="H142" s="28" t="str">
        <f aca="false">IF($B142="","",SUMIFS('Cleans Log'!$N$5:$N$1004,'Cleans Log'!$M$5:$M$1004,$B142,'Cleans Log'!$Q$5:$Q$1004,$C142))</f>
        <v/>
      </c>
      <c r="I142" s="28" t="str">
        <f aca="false">IF($B142="","",SUMIFS(Purchases!$N$5:$N$1004,Purchases!$L$5:$L$1004,$B142,Purchases!$P$5:$P$1004,$C142))</f>
        <v/>
      </c>
      <c r="J142" s="28" t="str">
        <f aca="false">IF($B142="","",$H142+$I142)</f>
        <v/>
      </c>
      <c r="K142" s="30" t="str">
        <f aca="false">IF(OR($B142="",$D142=""),"",$D142+Settings!$B$12)</f>
        <v/>
      </c>
      <c r="L142" s="27" t="str">
        <f aca="true">IF($B142="","",IF($E142&lt;&gt;"","Paid",IF($D142="","Not sent",IF(TODAY()&gt;$K142,"OVERDUE","Due"))))</f>
        <v/>
      </c>
    </row>
    <row r="143" customFormat="false" ht="15" hidden="false" customHeight="false" outlineLevel="0" collapsed="false">
      <c r="A143" s="23"/>
      <c r="B143" s="23"/>
      <c r="C143" s="34"/>
      <c r="D143" s="22"/>
      <c r="E143" s="22"/>
      <c r="F143" s="23"/>
      <c r="G143" s="31" t="str">
        <f aca="false">IF($B143="","",COUNTIFS('Cleans Log'!$M$5:$M$1004,$B143,'Cleans Log'!$Q$5:$Q$1004,$C143,'Cleans Log'!$N$5:$N$1004,"&gt;0"))</f>
        <v/>
      </c>
      <c r="H143" s="28" t="str">
        <f aca="false">IF($B143="","",SUMIFS('Cleans Log'!$N$5:$N$1004,'Cleans Log'!$M$5:$M$1004,$B143,'Cleans Log'!$Q$5:$Q$1004,$C143))</f>
        <v/>
      </c>
      <c r="I143" s="28" t="str">
        <f aca="false">IF($B143="","",SUMIFS(Purchases!$N$5:$N$1004,Purchases!$L$5:$L$1004,$B143,Purchases!$P$5:$P$1004,$C143))</f>
        <v/>
      </c>
      <c r="J143" s="28" t="str">
        <f aca="false">IF($B143="","",$H143+$I143)</f>
        <v/>
      </c>
      <c r="K143" s="30" t="str">
        <f aca="false">IF(OR($B143="",$D143=""),"",$D143+Settings!$B$12)</f>
        <v/>
      </c>
      <c r="L143" s="27" t="str">
        <f aca="true">IF($B143="","",IF($E143&lt;&gt;"","Paid",IF($D143="","Not sent",IF(TODAY()&gt;$K143,"OVERDUE","Due"))))</f>
        <v/>
      </c>
    </row>
    <row r="144" customFormat="false" ht="15" hidden="false" customHeight="false" outlineLevel="0" collapsed="false">
      <c r="A144" s="23"/>
      <c r="B144" s="23"/>
      <c r="C144" s="34"/>
      <c r="D144" s="22"/>
      <c r="E144" s="22"/>
      <c r="F144" s="23"/>
      <c r="G144" s="31" t="str">
        <f aca="false">IF($B144="","",COUNTIFS('Cleans Log'!$M$5:$M$1004,$B144,'Cleans Log'!$Q$5:$Q$1004,$C144,'Cleans Log'!$N$5:$N$1004,"&gt;0"))</f>
        <v/>
      </c>
      <c r="H144" s="28" t="str">
        <f aca="false">IF($B144="","",SUMIFS('Cleans Log'!$N$5:$N$1004,'Cleans Log'!$M$5:$M$1004,$B144,'Cleans Log'!$Q$5:$Q$1004,$C144))</f>
        <v/>
      </c>
      <c r="I144" s="28" t="str">
        <f aca="false">IF($B144="","",SUMIFS(Purchases!$N$5:$N$1004,Purchases!$L$5:$L$1004,$B144,Purchases!$P$5:$P$1004,$C144))</f>
        <v/>
      </c>
      <c r="J144" s="28" t="str">
        <f aca="false">IF($B144="","",$H144+$I144)</f>
        <v/>
      </c>
      <c r="K144" s="30" t="str">
        <f aca="false">IF(OR($B144="",$D144=""),"",$D144+Settings!$B$12)</f>
        <v/>
      </c>
      <c r="L144" s="27" t="str">
        <f aca="true">IF($B144="","",IF($E144&lt;&gt;"","Paid",IF($D144="","Not sent",IF(TODAY()&gt;$K144,"OVERDUE","Due"))))</f>
        <v/>
      </c>
    </row>
    <row r="145" customFormat="false" ht="15" hidden="false" customHeight="false" outlineLevel="0" collapsed="false">
      <c r="A145" s="23"/>
      <c r="B145" s="23"/>
      <c r="C145" s="34"/>
      <c r="D145" s="22"/>
      <c r="E145" s="22"/>
      <c r="F145" s="23"/>
      <c r="G145" s="31" t="str">
        <f aca="false">IF($B145="","",COUNTIFS('Cleans Log'!$M$5:$M$1004,$B145,'Cleans Log'!$Q$5:$Q$1004,$C145,'Cleans Log'!$N$5:$N$1004,"&gt;0"))</f>
        <v/>
      </c>
      <c r="H145" s="28" t="str">
        <f aca="false">IF($B145="","",SUMIFS('Cleans Log'!$N$5:$N$1004,'Cleans Log'!$M$5:$M$1004,$B145,'Cleans Log'!$Q$5:$Q$1004,$C145))</f>
        <v/>
      </c>
      <c r="I145" s="28" t="str">
        <f aca="false">IF($B145="","",SUMIFS(Purchases!$N$5:$N$1004,Purchases!$L$5:$L$1004,$B145,Purchases!$P$5:$P$1004,$C145))</f>
        <v/>
      </c>
      <c r="J145" s="28" t="str">
        <f aca="false">IF($B145="","",$H145+$I145)</f>
        <v/>
      </c>
      <c r="K145" s="30" t="str">
        <f aca="false">IF(OR($B145="",$D145=""),"",$D145+Settings!$B$12)</f>
        <v/>
      </c>
      <c r="L145" s="27" t="str">
        <f aca="true">IF($B145="","",IF($E145&lt;&gt;"","Paid",IF($D145="","Not sent",IF(TODAY()&gt;$K145,"OVERDUE","Due"))))</f>
        <v/>
      </c>
    </row>
    <row r="146" customFormat="false" ht="15" hidden="false" customHeight="false" outlineLevel="0" collapsed="false">
      <c r="A146" s="23"/>
      <c r="B146" s="23"/>
      <c r="C146" s="34"/>
      <c r="D146" s="22"/>
      <c r="E146" s="22"/>
      <c r="F146" s="23"/>
      <c r="G146" s="31" t="str">
        <f aca="false">IF($B146="","",COUNTIFS('Cleans Log'!$M$5:$M$1004,$B146,'Cleans Log'!$Q$5:$Q$1004,$C146,'Cleans Log'!$N$5:$N$1004,"&gt;0"))</f>
        <v/>
      </c>
      <c r="H146" s="28" t="str">
        <f aca="false">IF($B146="","",SUMIFS('Cleans Log'!$N$5:$N$1004,'Cleans Log'!$M$5:$M$1004,$B146,'Cleans Log'!$Q$5:$Q$1004,$C146))</f>
        <v/>
      </c>
      <c r="I146" s="28" t="str">
        <f aca="false">IF($B146="","",SUMIFS(Purchases!$N$5:$N$1004,Purchases!$L$5:$L$1004,$B146,Purchases!$P$5:$P$1004,$C146))</f>
        <v/>
      </c>
      <c r="J146" s="28" t="str">
        <f aca="false">IF($B146="","",$H146+$I146)</f>
        <v/>
      </c>
      <c r="K146" s="30" t="str">
        <f aca="false">IF(OR($B146="",$D146=""),"",$D146+Settings!$B$12)</f>
        <v/>
      </c>
      <c r="L146" s="27" t="str">
        <f aca="true">IF($B146="","",IF($E146&lt;&gt;"","Paid",IF($D146="","Not sent",IF(TODAY()&gt;$K146,"OVERDUE","Due"))))</f>
        <v/>
      </c>
    </row>
    <row r="147" customFormat="false" ht="15" hidden="false" customHeight="false" outlineLevel="0" collapsed="false">
      <c r="A147" s="23"/>
      <c r="B147" s="23"/>
      <c r="C147" s="34"/>
      <c r="D147" s="22"/>
      <c r="E147" s="22"/>
      <c r="F147" s="23"/>
      <c r="G147" s="31" t="str">
        <f aca="false">IF($B147="","",COUNTIFS('Cleans Log'!$M$5:$M$1004,$B147,'Cleans Log'!$Q$5:$Q$1004,$C147,'Cleans Log'!$N$5:$N$1004,"&gt;0"))</f>
        <v/>
      </c>
      <c r="H147" s="28" t="str">
        <f aca="false">IF($B147="","",SUMIFS('Cleans Log'!$N$5:$N$1004,'Cleans Log'!$M$5:$M$1004,$B147,'Cleans Log'!$Q$5:$Q$1004,$C147))</f>
        <v/>
      </c>
      <c r="I147" s="28" t="str">
        <f aca="false">IF($B147="","",SUMIFS(Purchases!$N$5:$N$1004,Purchases!$L$5:$L$1004,$B147,Purchases!$P$5:$P$1004,$C147))</f>
        <v/>
      </c>
      <c r="J147" s="28" t="str">
        <f aca="false">IF($B147="","",$H147+$I147)</f>
        <v/>
      </c>
      <c r="K147" s="30" t="str">
        <f aca="false">IF(OR($B147="",$D147=""),"",$D147+Settings!$B$12)</f>
        <v/>
      </c>
      <c r="L147" s="27" t="str">
        <f aca="true">IF($B147="","",IF($E147&lt;&gt;"","Paid",IF($D147="","Not sent",IF(TODAY()&gt;$K147,"OVERDUE","Due"))))</f>
        <v/>
      </c>
    </row>
    <row r="148" customFormat="false" ht="15" hidden="false" customHeight="false" outlineLevel="0" collapsed="false">
      <c r="A148" s="23"/>
      <c r="B148" s="23"/>
      <c r="C148" s="34"/>
      <c r="D148" s="22"/>
      <c r="E148" s="22"/>
      <c r="F148" s="23"/>
      <c r="G148" s="31" t="str">
        <f aca="false">IF($B148="","",COUNTIFS('Cleans Log'!$M$5:$M$1004,$B148,'Cleans Log'!$Q$5:$Q$1004,$C148,'Cleans Log'!$N$5:$N$1004,"&gt;0"))</f>
        <v/>
      </c>
      <c r="H148" s="28" t="str">
        <f aca="false">IF($B148="","",SUMIFS('Cleans Log'!$N$5:$N$1004,'Cleans Log'!$M$5:$M$1004,$B148,'Cleans Log'!$Q$5:$Q$1004,$C148))</f>
        <v/>
      </c>
      <c r="I148" s="28" t="str">
        <f aca="false">IF($B148="","",SUMIFS(Purchases!$N$5:$N$1004,Purchases!$L$5:$L$1004,$B148,Purchases!$P$5:$P$1004,$C148))</f>
        <v/>
      </c>
      <c r="J148" s="28" t="str">
        <f aca="false">IF($B148="","",$H148+$I148)</f>
        <v/>
      </c>
      <c r="K148" s="30" t="str">
        <f aca="false">IF(OR($B148="",$D148=""),"",$D148+Settings!$B$12)</f>
        <v/>
      </c>
      <c r="L148" s="27" t="str">
        <f aca="true">IF($B148="","",IF($E148&lt;&gt;"","Paid",IF($D148="","Not sent",IF(TODAY()&gt;$K148,"OVERDUE","Due"))))</f>
        <v/>
      </c>
    </row>
    <row r="149" customFormat="false" ht="15" hidden="false" customHeight="false" outlineLevel="0" collapsed="false">
      <c r="A149" s="23"/>
      <c r="B149" s="23"/>
      <c r="C149" s="34"/>
      <c r="D149" s="22"/>
      <c r="E149" s="22"/>
      <c r="F149" s="23"/>
      <c r="G149" s="31" t="str">
        <f aca="false">IF($B149="","",COUNTIFS('Cleans Log'!$M$5:$M$1004,$B149,'Cleans Log'!$Q$5:$Q$1004,$C149,'Cleans Log'!$N$5:$N$1004,"&gt;0"))</f>
        <v/>
      </c>
      <c r="H149" s="28" t="str">
        <f aca="false">IF($B149="","",SUMIFS('Cleans Log'!$N$5:$N$1004,'Cleans Log'!$M$5:$M$1004,$B149,'Cleans Log'!$Q$5:$Q$1004,$C149))</f>
        <v/>
      </c>
      <c r="I149" s="28" t="str">
        <f aca="false">IF($B149="","",SUMIFS(Purchases!$N$5:$N$1004,Purchases!$L$5:$L$1004,$B149,Purchases!$P$5:$P$1004,$C149))</f>
        <v/>
      </c>
      <c r="J149" s="28" t="str">
        <f aca="false">IF($B149="","",$H149+$I149)</f>
        <v/>
      </c>
      <c r="K149" s="30" t="str">
        <f aca="false">IF(OR($B149="",$D149=""),"",$D149+Settings!$B$12)</f>
        <v/>
      </c>
      <c r="L149" s="27" t="str">
        <f aca="true">IF($B149="","",IF($E149&lt;&gt;"","Paid",IF($D149="","Not sent",IF(TODAY()&gt;$K149,"OVERDUE","Due"))))</f>
        <v/>
      </c>
    </row>
    <row r="150" customFormat="false" ht="15" hidden="false" customHeight="false" outlineLevel="0" collapsed="false">
      <c r="A150" s="23"/>
      <c r="B150" s="23"/>
      <c r="C150" s="34"/>
      <c r="D150" s="22"/>
      <c r="E150" s="22"/>
      <c r="F150" s="23"/>
      <c r="G150" s="31" t="str">
        <f aca="false">IF($B150="","",COUNTIFS('Cleans Log'!$M$5:$M$1004,$B150,'Cleans Log'!$Q$5:$Q$1004,$C150,'Cleans Log'!$N$5:$N$1004,"&gt;0"))</f>
        <v/>
      </c>
      <c r="H150" s="28" t="str">
        <f aca="false">IF($B150="","",SUMIFS('Cleans Log'!$N$5:$N$1004,'Cleans Log'!$M$5:$M$1004,$B150,'Cleans Log'!$Q$5:$Q$1004,$C150))</f>
        <v/>
      </c>
      <c r="I150" s="28" t="str">
        <f aca="false">IF($B150="","",SUMIFS(Purchases!$N$5:$N$1004,Purchases!$L$5:$L$1004,$B150,Purchases!$P$5:$P$1004,$C150))</f>
        <v/>
      </c>
      <c r="J150" s="28" t="str">
        <f aca="false">IF($B150="","",$H150+$I150)</f>
        <v/>
      </c>
      <c r="K150" s="30" t="str">
        <f aca="false">IF(OR($B150="",$D150=""),"",$D150+Settings!$B$12)</f>
        <v/>
      </c>
      <c r="L150" s="27" t="str">
        <f aca="true">IF($B150="","",IF($E150&lt;&gt;"","Paid",IF($D150="","Not sent",IF(TODAY()&gt;$K150,"OVERDUE","Due"))))</f>
        <v/>
      </c>
    </row>
    <row r="151" customFormat="false" ht="15" hidden="false" customHeight="false" outlineLevel="0" collapsed="false">
      <c r="A151" s="23"/>
      <c r="B151" s="23"/>
      <c r="C151" s="34"/>
      <c r="D151" s="22"/>
      <c r="E151" s="22"/>
      <c r="F151" s="23"/>
      <c r="G151" s="31" t="str">
        <f aca="false">IF($B151="","",COUNTIFS('Cleans Log'!$M$5:$M$1004,$B151,'Cleans Log'!$Q$5:$Q$1004,$C151,'Cleans Log'!$N$5:$N$1004,"&gt;0"))</f>
        <v/>
      </c>
      <c r="H151" s="28" t="str">
        <f aca="false">IF($B151="","",SUMIFS('Cleans Log'!$N$5:$N$1004,'Cleans Log'!$M$5:$M$1004,$B151,'Cleans Log'!$Q$5:$Q$1004,$C151))</f>
        <v/>
      </c>
      <c r="I151" s="28" t="str">
        <f aca="false">IF($B151="","",SUMIFS(Purchases!$N$5:$N$1004,Purchases!$L$5:$L$1004,$B151,Purchases!$P$5:$P$1004,$C151))</f>
        <v/>
      </c>
      <c r="J151" s="28" t="str">
        <f aca="false">IF($B151="","",$H151+$I151)</f>
        <v/>
      </c>
      <c r="K151" s="30" t="str">
        <f aca="false">IF(OR($B151="",$D151=""),"",$D151+Settings!$B$12)</f>
        <v/>
      </c>
      <c r="L151" s="27" t="str">
        <f aca="true">IF($B151="","",IF($E151&lt;&gt;"","Paid",IF($D151="","Not sent",IF(TODAY()&gt;$K151,"OVERDUE","Due"))))</f>
        <v/>
      </c>
    </row>
    <row r="152" customFormat="false" ht="15" hidden="false" customHeight="false" outlineLevel="0" collapsed="false">
      <c r="A152" s="23"/>
      <c r="B152" s="23"/>
      <c r="C152" s="34"/>
      <c r="D152" s="22"/>
      <c r="E152" s="22"/>
      <c r="F152" s="23"/>
      <c r="G152" s="31" t="str">
        <f aca="false">IF($B152="","",COUNTIFS('Cleans Log'!$M$5:$M$1004,$B152,'Cleans Log'!$Q$5:$Q$1004,$C152,'Cleans Log'!$N$5:$N$1004,"&gt;0"))</f>
        <v/>
      </c>
      <c r="H152" s="28" t="str">
        <f aca="false">IF($B152="","",SUMIFS('Cleans Log'!$N$5:$N$1004,'Cleans Log'!$M$5:$M$1004,$B152,'Cleans Log'!$Q$5:$Q$1004,$C152))</f>
        <v/>
      </c>
      <c r="I152" s="28" t="str">
        <f aca="false">IF($B152="","",SUMIFS(Purchases!$N$5:$N$1004,Purchases!$L$5:$L$1004,$B152,Purchases!$P$5:$P$1004,$C152))</f>
        <v/>
      </c>
      <c r="J152" s="28" t="str">
        <f aca="false">IF($B152="","",$H152+$I152)</f>
        <v/>
      </c>
      <c r="K152" s="30" t="str">
        <f aca="false">IF(OR($B152="",$D152=""),"",$D152+Settings!$B$12)</f>
        <v/>
      </c>
      <c r="L152" s="27" t="str">
        <f aca="true">IF($B152="","",IF($E152&lt;&gt;"","Paid",IF($D152="","Not sent",IF(TODAY()&gt;$K152,"OVERDUE","Due"))))</f>
        <v/>
      </c>
    </row>
    <row r="153" customFormat="false" ht="15" hidden="false" customHeight="false" outlineLevel="0" collapsed="false">
      <c r="A153" s="23"/>
      <c r="B153" s="23"/>
      <c r="C153" s="34"/>
      <c r="D153" s="22"/>
      <c r="E153" s="22"/>
      <c r="F153" s="23"/>
      <c r="G153" s="31" t="str">
        <f aca="false">IF($B153="","",COUNTIFS('Cleans Log'!$M$5:$M$1004,$B153,'Cleans Log'!$Q$5:$Q$1004,$C153,'Cleans Log'!$N$5:$N$1004,"&gt;0"))</f>
        <v/>
      </c>
      <c r="H153" s="28" t="str">
        <f aca="false">IF($B153="","",SUMIFS('Cleans Log'!$N$5:$N$1004,'Cleans Log'!$M$5:$M$1004,$B153,'Cleans Log'!$Q$5:$Q$1004,$C153))</f>
        <v/>
      </c>
      <c r="I153" s="28" t="str">
        <f aca="false">IF($B153="","",SUMIFS(Purchases!$N$5:$N$1004,Purchases!$L$5:$L$1004,$B153,Purchases!$P$5:$P$1004,$C153))</f>
        <v/>
      </c>
      <c r="J153" s="28" t="str">
        <f aca="false">IF($B153="","",$H153+$I153)</f>
        <v/>
      </c>
      <c r="K153" s="30" t="str">
        <f aca="false">IF(OR($B153="",$D153=""),"",$D153+Settings!$B$12)</f>
        <v/>
      </c>
      <c r="L153" s="27" t="str">
        <f aca="true">IF($B153="","",IF($E153&lt;&gt;"","Paid",IF($D153="","Not sent",IF(TODAY()&gt;$K153,"OVERDUE","Due"))))</f>
        <v/>
      </c>
    </row>
    <row r="154" customFormat="false" ht="15" hidden="false" customHeight="false" outlineLevel="0" collapsed="false">
      <c r="A154" s="23"/>
      <c r="B154" s="23"/>
      <c r="C154" s="34"/>
      <c r="D154" s="22"/>
      <c r="E154" s="22"/>
      <c r="F154" s="23"/>
      <c r="G154" s="31" t="str">
        <f aca="false">IF($B154="","",COUNTIFS('Cleans Log'!$M$5:$M$1004,$B154,'Cleans Log'!$Q$5:$Q$1004,$C154,'Cleans Log'!$N$5:$N$1004,"&gt;0"))</f>
        <v/>
      </c>
      <c r="H154" s="28" t="str">
        <f aca="false">IF($B154="","",SUMIFS('Cleans Log'!$N$5:$N$1004,'Cleans Log'!$M$5:$M$1004,$B154,'Cleans Log'!$Q$5:$Q$1004,$C154))</f>
        <v/>
      </c>
      <c r="I154" s="28" t="str">
        <f aca="false">IF($B154="","",SUMIFS(Purchases!$N$5:$N$1004,Purchases!$L$5:$L$1004,$B154,Purchases!$P$5:$P$1004,$C154))</f>
        <v/>
      </c>
      <c r="J154" s="28" t="str">
        <f aca="false">IF($B154="","",$H154+$I154)</f>
        <v/>
      </c>
      <c r="K154" s="30" t="str">
        <f aca="false">IF(OR($B154="",$D154=""),"",$D154+Settings!$B$12)</f>
        <v/>
      </c>
      <c r="L154" s="27" t="str">
        <f aca="true">IF($B154="","",IF($E154&lt;&gt;"","Paid",IF($D154="","Not sent",IF(TODAY()&gt;$K154,"OVERDUE","Due"))))</f>
        <v/>
      </c>
    </row>
    <row r="155" customFormat="false" ht="15" hidden="false" customHeight="false" outlineLevel="0" collapsed="false">
      <c r="A155" s="23"/>
      <c r="B155" s="23"/>
      <c r="C155" s="34"/>
      <c r="D155" s="22"/>
      <c r="E155" s="22"/>
      <c r="F155" s="23"/>
      <c r="G155" s="31" t="str">
        <f aca="false">IF($B155="","",COUNTIFS('Cleans Log'!$M$5:$M$1004,$B155,'Cleans Log'!$Q$5:$Q$1004,$C155,'Cleans Log'!$N$5:$N$1004,"&gt;0"))</f>
        <v/>
      </c>
      <c r="H155" s="28" t="str">
        <f aca="false">IF($B155="","",SUMIFS('Cleans Log'!$N$5:$N$1004,'Cleans Log'!$M$5:$M$1004,$B155,'Cleans Log'!$Q$5:$Q$1004,$C155))</f>
        <v/>
      </c>
      <c r="I155" s="28" t="str">
        <f aca="false">IF($B155="","",SUMIFS(Purchases!$N$5:$N$1004,Purchases!$L$5:$L$1004,$B155,Purchases!$P$5:$P$1004,$C155))</f>
        <v/>
      </c>
      <c r="J155" s="28" t="str">
        <f aca="false">IF($B155="","",$H155+$I155)</f>
        <v/>
      </c>
      <c r="K155" s="30" t="str">
        <f aca="false">IF(OR($B155="",$D155=""),"",$D155+Settings!$B$12)</f>
        <v/>
      </c>
      <c r="L155" s="27" t="str">
        <f aca="true">IF($B155="","",IF($E155&lt;&gt;"","Paid",IF($D155="","Not sent",IF(TODAY()&gt;$K155,"OVERDUE","Due"))))</f>
        <v/>
      </c>
    </row>
    <row r="156" customFormat="false" ht="15" hidden="false" customHeight="false" outlineLevel="0" collapsed="false">
      <c r="A156" s="23"/>
      <c r="B156" s="23"/>
      <c r="C156" s="34"/>
      <c r="D156" s="22"/>
      <c r="E156" s="22"/>
      <c r="F156" s="23"/>
      <c r="G156" s="31" t="str">
        <f aca="false">IF($B156="","",COUNTIFS('Cleans Log'!$M$5:$M$1004,$B156,'Cleans Log'!$Q$5:$Q$1004,$C156,'Cleans Log'!$N$5:$N$1004,"&gt;0"))</f>
        <v/>
      </c>
      <c r="H156" s="28" t="str">
        <f aca="false">IF($B156="","",SUMIFS('Cleans Log'!$N$5:$N$1004,'Cleans Log'!$M$5:$M$1004,$B156,'Cleans Log'!$Q$5:$Q$1004,$C156))</f>
        <v/>
      </c>
      <c r="I156" s="28" t="str">
        <f aca="false">IF($B156="","",SUMIFS(Purchases!$N$5:$N$1004,Purchases!$L$5:$L$1004,$B156,Purchases!$P$5:$P$1004,$C156))</f>
        <v/>
      </c>
      <c r="J156" s="28" t="str">
        <f aca="false">IF($B156="","",$H156+$I156)</f>
        <v/>
      </c>
      <c r="K156" s="30" t="str">
        <f aca="false">IF(OR($B156="",$D156=""),"",$D156+Settings!$B$12)</f>
        <v/>
      </c>
      <c r="L156" s="27" t="str">
        <f aca="true">IF($B156="","",IF($E156&lt;&gt;"","Paid",IF($D156="","Not sent",IF(TODAY()&gt;$K156,"OVERDUE","Due"))))</f>
        <v/>
      </c>
    </row>
    <row r="157" customFormat="false" ht="15" hidden="false" customHeight="false" outlineLevel="0" collapsed="false">
      <c r="A157" s="23"/>
      <c r="B157" s="23"/>
      <c r="C157" s="34"/>
      <c r="D157" s="22"/>
      <c r="E157" s="22"/>
      <c r="F157" s="23"/>
      <c r="G157" s="31" t="str">
        <f aca="false">IF($B157="","",COUNTIFS('Cleans Log'!$M$5:$M$1004,$B157,'Cleans Log'!$Q$5:$Q$1004,$C157,'Cleans Log'!$N$5:$N$1004,"&gt;0"))</f>
        <v/>
      </c>
      <c r="H157" s="28" t="str">
        <f aca="false">IF($B157="","",SUMIFS('Cleans Log'!$N$5:$N$1004,'Cleans Log'!$M$5:$M$1004,$B157,'Cleans Log'!$Q$5:$Q$1004,$C157))</f>
        <v/>
      </c>
      <c r="I157" s="28" t="str">
        <f aca="false">IF($B157="","",SUMIFS(Purchases!$N$5:$N$1004,Purchases!$L$5:$L$1004,$B157,Purchases!$P$5:$P$1004,$C157))</f>
        <v/>
      </c>
      <c r="J157" s="28" t="str">
        <f aca="false">IF($B157="","",$H157+$I157)</f>
        <v/>
      </c>
      <c r="K157" s="30" t="str">
        <f aca="false">IF(OR($B157="",$D157=""),"",$D157+Settings!$B$12)</f>
        <v/>
      </c>
      <c r="L157" s="27" t="str">
        <f aca="true">IF($B157="","",IF($E157&lt;&gt;"","Paid",IF($D157="","Not sent",IF(TODAY()&gt;$K157,"OVERDUE","Due"))))</f>
        <v/>
      </c>
    </row>
    <row r="158" customFormat="false" ht="15" hidden="false" customHeight="false" outlineLevel="0" collapsed="false">
      <c r="A158" s="23"/>
      <c r="B158" s="23"/>
      <c r="C158" s="34"/>
      <c r="D158" s="22"/>
      <c r="E158" s="22"/>
      <c r="F158" s="23"/>
      <c r="G158" s="31" t="str">
        <f aca="false">IF($B158="","",COUNTIFS('Cleans Log'!$M$5:$M$1004,$B158,'Cleans Log'!$Q$5:$Q$1004,$C158,'Cleans Log'!$N$5:$N$1004,"&gt;0"))</f>
        <v/>
      </c>
      <c r="H158" s="28" t="str">
        <f aca="false">IF($B158="","",SUMIFS('Cleans Log'!$N$5:$N$1004,'Cleans Log'!$M$5:$M$1004,$B158,'Cleans Log'!$Q$5:$Q$1004,$C158))</f>
        <v/>
      </c>
      <c r="I158" s="28" t="str">
        <f aca="false">IF($B158="","",SUMIFS(Purchases!$N$5:$N$1004,Purchases!$L$5:$L$1004,$B158,Purchases!$P$5:$P$1004,$C158))</f>
        <v/>
      </c>
      <c r="J158" s="28" t="str">
        <f aca="false">IF($B158="","",$H158+$I158)</f>
        <v/>
      </c>
      <c r="K158" s="30" t="str">
        <f aca="false">IF(OR($B158="",$D158=""),"",$D158+Settings!$B$12)</f>
        <v/>
      </c>
      <c r="L158" s="27" t="str">
        <f aca="true">IF($B158="","",IF($E158&lt;&gt;"","Paid",IF($D158="","Not sent",IF(TODAY()&gt;$K158,"OVERDUE","Due"))))</f>
        <v/>
      </c>
    </row>
    <row r="159" customFormat="false" ht="15" hidden="false" customHeight="false" outlineLevel="0" collapsed="false">
      <c r="A159" s="23"/>
      <c r="B159" s="23"/>
      <c r="C159" s="34"/>
      <c r="D159" s="22"/>
      <c r="E159" s="22"/>
      <c r="F159" s="23"/>
      <c r="G159" s="31" t="str">
        <f aca="false">IF($B159="","",COUNTIFS('Cleans Log'!$M$5:$M$1004,$B159,'Cleans Log'!$Q$5:$Q$1004,$C159,'Cleans Log'!$N$5:$N$1004,"&gt;0"))</f>
        <v/>
      </c>
      <c r="H159" s="28" t="str">
        <f aca="false">IF($B159="","",SUMIFS('Cleans Log'!$N$5:$N$1004,'Cleans Log'!$M$5:$M$1004,$B159,'Cleans Log'!$Q$5:$Q$1004,$C159))</f>
        <v/>
      </c>
      <c r="I159" s="28" t="str">
        <f aca="false">IF($B159="","",SUMIFS(Purchases!$N$5:$N$1004,Purchases!$L$5:$L$1004,$B159,Purchases!$P$5:$P$1004,$C159))</f>
        <v/>
      </c>
      <c r="J159" s="28" t="str">
        <f aca="false">IF($B159="","",$H159+$I159)</f>
        <v/>
      </c>
      <c r="K159" s="30" t="str">
        <f aca="false">IF(OR($B159="",$D159=""),"",$D159+Settings!$B$12)</f>
        <v/>
      </c>
      <c r="L159" s="27" t="str">
        <f aca="true">IF($B159="","",IF($E159&lt;&gt;"","Paid",IF($D159="","Not sent",IF(TODAY()&gt;$K159,"OVERDUE","Due"))))</f>
        <v/>
      </c>
    </row>
    <row r="160" customFormat="false" ht="15" hidden="false" customHeight="false" outlineLevel="0" collapsed="false">
      <c r="A160" s="23"/>
      <c r="B160" s="23"/>
      <c r="C160" s="34"/>
      <c r="D160" s="22"/>
      <c r="E160" s="22"/>
      <c r="F160" s="23"/>
      <c r="G160" s="31" t="str">
        <f aca="false">IF($B160="","",COUNTIFS('Cleans Log'!$M$5:$M$1004,$B160,'Cleans Log'!$Q$5:$Q$1004,$C160,'Cleans Log'!$N$5:$N$1004,"&gt;0"))</f>
        <v/>
      </c>
      <c r="H160" s="28" t="str">
        <f aca="false">IF($B160="","",SUMIFS('Cleans Log'!$N$5:$N$1004,'Cleans Log'!$M$5:$M$1004,$B160,'Cleans Log'!$Q$5:$Q$1004,$C160))</f>
        <v/>
      </c>
      <c r="I160" s="28" t="str">
        <f aca="false">IF($B160="","",SUMIFS(Purchases!$N$5:$N$1004,Purchases!$L$5:$L$1004,$B160,Purchases!$P$5:$P$1004,$C160))</f>
        <v/>
      </c>
      <c r="J160" s="28" t="str">
        <f aca="false">IF($B160="","",$H160+$I160)</f>
        <v/>
      </c>
      <c r="K160" s="30" t="str">
        <f aca="false">IF(OR($B160="",$D160=""),"",$D160+Settings!$B$12)</f>
        <v/>
      </c>
      <c r="L160" s="27" t="str">
        <f aca="true">IF($B160="","",IF($E160&lt;&gt;"","Paid",IF($D160="","Not sent",IF(TODAY()&gt;$K160,"OVERDUE","Due"))))</f>
        <v/>
      </c>
    </row>
    <row r="161" customFormat="false" ht="15" hidden="false" customHeight="false" outlineLevel="0" collapsed="false">
      <c r="A161" s="23"/>
      <c r="B161" s="23"/>
      <c r="C161" s="34"/>
      <c r="D161" s="22"/>
      <c r="E161" s="22"/>
      <c r="F161" s="23"/>
      <c r="G161" s="31" t="str">
        <f aca="false">IF($B161="","",COUNTIFS('Cleans Log'!$M$5:$M$1004,$B161,'Cleans Log'!$Q$5:$Q$1004,$C161,'Cleans Log'!$N$5:$N$1004,"&gt;0"))</f>
        <v/>
      </c>
      <c r="H161" s="28" t="str">
        <f aca="false">IF($B161="","",SUMIFS('Cleans Log'!$N$5:$N$1004,'Cleans Log'!$M$5:$M$1004,$B161,'Cleans Log'!$Q$5:$Q$1004,$C161))</f>
        <v/>
      </c>
      <c r="I161" s="28" t="str">
        <f aca="false">IF($B161="","",SUMIFS(Purchases!$N$5:$N$1004,Purchases!$L$5:$L$1004,$B161,Purchases!$P$5:$P$1004,$C161))</f>
        <v/>
      </c>
      <c r="J161" s="28" t="str">
        <f aca="false">IF($B161="","",$H161+$I161)</f>
        <v/>
      </c>
      <c r="K161" s="30" t="str">
        <f aca="false">IF(OR($B161="",$D161=""),"",$D161+Settings!$B$12)</f>
        <v/>
      </c>
      <c r="L161" s="27" t="str">
        <f aca="true">IF($B161="","",IF($E161&lt;&gt;"","Paid",IF($D161="","Not sent",IF(TODAY()&gt;$K161,"OVERDUE","Due"))))</f>
        <v/>
      </c>
    </row>
    <row r="162" customFormat="false" ht="15" hidden="false" customHeight="false" outlineLevel="0" collapsed="false">
      <c r="A162" s="23"/>
      <c r="B162" s="23"/>
      <c r="C162" s="34"/>
      <c r="D162" s="22"/>
      <c r="E162" s="22"/>
      <c r="F162" s="23"/>
      <c r="G162" s="31" t="str">
        <f aca="false">IF($B162="","",COUNTIFS('Cleans Log'!$M$5:$M$1004,$B162,'Cleans Log'!$Q$5:$Q$1004,$C162,'Cleans Log'!$N$5:$N$1004,"&gt;0"))</f>
        <v/>
      </c>
      <c r="H162" s="28" t="str">
        <f aca="false">IF($B162="","",SUMIFS('Cleans Log'!$N$5:$N$1004,'Cleans Log'!$M$5:$M$1004,$B162,'Cleans Log'!$Q$5:$Q$1004,$C162))</f>
        <v/>
      </c>
      <c r="I162" s="28" t="str">
        <f aca="false">IF($B162="","",SUMIFS(Purchases!$N$5:$N$1004,Purchases!$L$5:$L$1004,$B162,Purchases!$P$5:$P$1004,$C162))</f>
        <v/>
      </c>
      <c r="J162" s="28" t="str">
        <f aca="false">IF($B162="","",$H162+$I162)</f>
        <v/>
      </c>
      <c r="K162" s="30" t="str">
        <f aca="false">IF(OR($B162="",$D162=""),"",$D162+Settings!$B$12)</f>
        <v/>
      </c>
      <c r="L162" s="27" t="str">
        <f aca="true">IF($B162="","",IF($E162&lt;&gt;"","Paid",IF($D162="","Not sent",IF(TODAY()&gt;$K162,"OVERDUE","Due"))))</f>
        <v/>
      </c>
    </row>
    <row r="163" customFormat="false" ht="15" hidden="false" customHeight="false" outlineLevel="0" collapsed="false">
      <c r="A163" s="23"/>
      <c r="B163" s="23"/>
      <c r="C163" s="34"/>
      <c r="D163" s="22"/>
      <c r="E163" s="22"/>
      <c r="F163" s="23"/>
      <c r="G163" s="31" t="str">
        <f aca="false">IF($B163="","",COUNTIFS('Cleans Log'!$M$5:$M$1004,$B163,'Cleans Log'!$Q$5:$Q$1004,$C163,'Cleans Log'!$N$5:$N$1004,"&gt;0"))</f>
        <v/>
      </c>
      <c r="H163" s="28" t="str">
        <f aca="false">IF($B163="","",SUMIFS('Cleans Log'!$N$5:$N$1004,'Cleans Log'!$M$5:$M$1004,$B163,'Cleans Log'!$Q$5:$Q$1004,$C163))</f>
        <v/>
      </c>
      <c r="I163" s="28" t="str">
        <f aca="false">IF($B163="","",SUMIFS(Purchases!$N$5:$N$1004,Purchases!$L$5:$L$1004,$B163,Purchases!$P$5:$P$1004,$C163))</f>
        <v/>
      </c>
      <c r="J163" s="28" t="str">
        <f aca="false">IF($B163="","",$H163+$I163)</f>
        <v/>
      </c>
      <c r="K163" s="30" t="str">
        <f aca="false">IF(OR($B163="",$D163=""),"",$D163+Settings!$B$12)</f>
        <v/>
      </c>
      <c r="L163" s="27" t="str">
        <f aca="true">IF($B163="","",IF($E163&lt;&gt;"","Paid",IF($D163="","Not sent",IF(TODAY()&gt;$K163,"OVERDUE","Due"))))</f>
        <v/>
      </c>
    </row>
    <row r="164" customFormat="false" ht="15" hidden="false" customHeight="false" outlineLevel="0" collapsed="false">
      <c r="A164" s="23"/>
      <c r="B164" s="23"/>
      <c r="C164" s="34"/>
      <c r="D164" s="22"/>
      <c r="E164" s="22"/>
      <c r="F164" s="23"/>
      <c r="G164" s="31" t="str">
        <f aca="false">IF($B164="","",COUNTIFS('Cleans Log'!$M$5:$M$1004,$B164,'Cleans Log'!$Q$5:$Q$1004,$C164,'Cleans Log'!$N$5:$N$1004,"&gt;0"))</f>
        <v/>
      </c>
      <c r="H164" s="28" t="str">
        <f aca="false">IF($B164="","",SUMIFS('Cleans Log'!$N$5:$N$1004,'Cleans Log'!$M$5:$M$1004,$B164,'Cleans Log'!$Q$5:$Q$1004,$C164))</f>
        <v/>
      </c>
      <c r="I164" s="28" t="str">
        <f aca="false">IF($B164="","",SUMIFS(Purchases!$N$5:$N$1004,Purchases!$L$5:$L$1004,$B164,Purchases!$P$5:$P$1004,$C164))</f>
        <v/>
      </c>
      <c r="J164" s="28" t="str">
        <f aca="false">IF($B164="","",$H164+$I164)</f>
        <v/>
      </c>
      <c r="K164" s="30" t="str">
        <f aca="false">IF(OR($B164="",$D164=""),"",$D164+Settings!$B$12)</f>
        <v/>
      </c>
      <c r="L164" s="27" t="str">
        <f aca="true">IF($B164="","",IF($E164&lt;&gt;"","Paid",IF($D164="","Not sent",IF(TODAY()&gt;$K164,"OVERDUE","Due"))))</f>
        <v/>
      </c>
    </row>
    <row r="165" customFormat="false" ht="15" hidden="false" customHeight="false" outlineLevel="0" collapsed="false">
      <c r="A165" s="23"/>
      <c r="B165" s="23"/>
      <c r="C165" s="34"/>
      <c r="D165" s="22"/>
      <c r="E165" s="22"/>
      <c r="F165" s="23"/>
      <c r="G165" s="31" t="str">
        <f aca="false">IF($B165="","",COUNTIFS('Cleans Log'!$M$5:$M$1004,$B165,'Cleans Log'!$Q$5:$Q$1004,$C165,'Cleans Log'!$N$5:$N$1004,"&gt;0"))</f>
        <v/>
      </c>
      <c r="H165" s="28" t="str">
        <f aca="false">IF($B165="","",SUMIFS('Cleans Log'!$N$5:$N$1004,'Cleans Log'!$M$5:$M$1004,$B165,'Cleans Log'!$Q$5:$Q$1004,$C165))</f>
        <v/>
      </c>
      <c r="I165" s="28" t="str">
        <f aca="false">IF($B165="","",SUMIFS(Purchases!$N$5:$N$1004,Purchases!$L$5:$L$1004,$B165,Purchases!$P$5:$P$1004,$C165))</f>
        <v/>
      </c>
      <c r="J165" s="28" t="str">
        <f aca="false">IF($B165="","",$H165+$I165)</f>
        <v/>
      </c>
      <c r="K165" s="30" t="str">
        <f aca="false">IF(OR($B165="",$D165=""),"",$D165+Settings!$B$12)</f>
        <v/>
      </c>
      <c r="L165" s="27" t="str">
        <f aca="true">IF($B165="","",IF($E165&lt;&gt;"","Paid",IF($D165="","Not sent",IF(TODAY()&gt;$K165,"OVERDUE","Due"))))</f>
        <v/>
      </c>
    </row>
    <row r="166" customFormat="false" ht="15" hidden="false" customHeight="false" outlineLevel="0" collapsed="false">
      <c r="A166" s="23"/>
      <c r="B166" s="23"/>
      <c r="C166" s="34"/>
      <c r="D166" s="22"/>
      <c r="E166" s="22"/>
      <c r="F166" s="23"/>
      <c r="G166" s="31" t="str">
        <f aca="false">IF($B166="","",COUNTIFS('Cleans Log'!$M$5:$M$1004,$B166,'Cleans Log'!$Q$5:$Q$1004,$C166,'Cleans Log'!$N$5:$N$1004,"&gt;0"))</f>
        <v/>
      </c>
      <c r="H166" s="28" t="str">
        <f aca="false">IF($B166="","",SUMIFS('Cleans Log'!$N$5:$N$1004,'Cleans Log'!$M$5:$M$1004,$B166,'Cleans Log'!$Q$5:$Q$1004,$C166))</f>
        <v/>
      </c>
      <c r="I166" s="28" t="str">
        <f aca="false">IF($B166="","",SUMIFS(Purchases!$N$5:$N$1004,Purchases!$L$5:$L$1004,$B166,Purchases!$P$5:$P$1004,$C166))</f>
        <v/>
      </c>
      <c r="J166" s="28" t="str">
        <f aca="false">IF($B166="","",$H166+$I166)</f>
        <v/>
      </c>
      <c r="K166" s="30" t="str">
        <f aca="false">IF(OR($B166="",$D166=""),"",$D166+Settings!$B$12)</f>
        <v/>
      </c>
      <c r="L166" s="27" t="str">
        <f aca="true">IF($B166="","",IF($E166&lt;&gt;"","Paid",IF($D166="","Not sent",IF(TODAY()&gt;$K166,"OVERDUE","Due"))))</f>
        <v/>
      </c>
    </row>
    <row r="167" customFormat="false" ht="15" hidden="false" customHeight="false" outlineLevel="0" collapsed="false">
      <c r="A167" s="23"/>
      <c r="B167" s="23"/>
      <c r="C167" s="34"/>
      <c r="D167" s="22"/>
      <c r="E167" s="22"/>
      <c r="F167" s="23"/>
      <c r="G167" s="31" t="str">
        <f aca="false">IF($B167="","",COUNTIFS('Cleans Log'!$M$5:$M$1004,$B167,'Cleans Log'!$Q$5:$Q$1004,$C167,'Cleans Log'!$N$5:$N$1004,"&gt;0"))</f>
        <v/>
      </c>
      <c r="H167" s="28" t="str">
        <f aca="false">IF($B167="","",SUMIFS('Cleans Log'!$N$5:$N$1004,'Cleans Log'!$M$5:$M$1004,$B167,'Cleans Log'!$Q$5:$Q$1004,$C167))</f>
        <v/>
      </c>
      <c r="I167" s="28" t="str">
        <f aca="false">IF($B167="","",SUMIFS(Purchases!$N$5:$N$1004,Purchases!$L$5:$L$1004,$B167,Purchases!$P$5:$P$1004,$C167))</f>
        <v/>
      </c>
      <c r="J167" s="28" t="str">
        <f aca="false">IF($B167="","",$H167+$I167)</f>
        <v/>
      </c>
      <c r="K167" s="30" t="str">
        <f aca="false">IF(OR($B167="",$D167=""),"",$D167+Settings!$B$12)</f>
        <v/>
      </c>
      <c r="L167" s="27" t="str">
        <f aca="true">IF($B167="","",IF($E167&lt;&gt;"","Paid",IF($D167="","Not sent",IF(TODAY()&gt;$K167,"OVERDUE","Due"))))</f>
        <v/>
      </c>
    </row>
    <row r="168" customFormat="false" ht="15" hidden="false" customHeight="false" outlineLevel="0" collapsed="false">
      <c r="A168" s="23"/>
      <c r="B168" s="23"/>
      <c r="C168" s="34"/>
      <c r="D168" s="22"/>
      <c r="E168" s="22"/>
      <c r="F168" s="23"/>
      <c r="G168" s="31" t="str">
        <f aca="false">IF($B168="","",COUNTIFS('Cleans Log'!$M$5:$M$1004,$B168,'Cleans Log'!$Q$5:$Q$1004,$C168,'Cleans Log'!$N$5:$N$1004,"&gt;0"))</f>
        <v/>
      </c>
      <c r="H168" s="28" t="str">
        <f aca="false">IF($B168="","",SUMIFS('Cleans Log'!$N$5:$N$1004,'Cleans Log'!$M$5:$M$1004,$B168,'Cleans Log'!$Q$5:$Q$1004,$C168))</f>
        <v/>
      </c>
      <c r="I168" s="28" t="str">
        <f aca="false">IF($B168="","",SUMIFS(Purchases!$N$5:$N$1004,Purchases!$L$5:$L$1004,$B168,Purchases!$P$5:$P$1004,$C168))</f>
        <v/>
      </c>
      <c r="J168" s="28" t="str">
        <f aca="false">IF($B168="","",$H168+$I168)</f>
        <v/>
      </c>
      <c r="K168" s="30" t="str">
        <f aca="false">IF(OR($B168="",$D168=""),"",$D168+Settings!$B$12)</f>
        <v/>
      </c>
      <c r="L168" s="27" t="str">
        <f aca="true">IF($B168="","",IF($E168&lt;&gt;"","Paid",IF($D168="","Not sent",IF(TODAY()&gt;$K168,"OVERDUE","Due"))))</f>
        <v/>
      </c>
    </row>
    <row r="169" customFormat="false" ht="15" hidden="false" customHeight="false" outlineLevel="0" collapsed="false">
      <c r="A169" s="23"/>
      <c r="B169" s="23"/>
      <c r="C169" s="34"/>
      <c r="D169" s="22"/>
      <c r="E169" s="22"/>
      <c r="F169" s="23"/>
      <c r="G169" s="31" t="str">
        <f aca="false">IF($B169="","",COUNTIFS('Cleans Log'!$M$5:$M$1004,$B169,'Cleans Log'!$Q$5:$Q$1004,$C169,'Cleans Log'!$N$5:$N$1004,"&gt;0"))</f>
        <v/>
      </c>
      <c r="H169" s="28" t="str">
        <f aca="false">IF($B169="","",SUMIFS('Cleans Log'!$N$5:$N$1004,'Cleans Log'!$M$5:$M$1004,$B169,'Cleans Log'!$Q$5:$Q$1004,$C169))</f>
        <v/>
      </c>
      <c r="I169" s="28" t="str">
        <f aca="false">IF($B169="","",SUMIFS(Purchases!$N$5:$N$1004,Purchases!$L$5:$L$1004,$B169,Purchases!$P$5:$P$1004,$C169))</f>
        <v/>
      </c>
      <c r="J169" s="28" t="str">
        <f aca="false">IF($B169="","",$H169+$I169)</f>
        <v/>
      </c>
      <c r="K169" s="30" t="str">
        <f aca="false">IF(OR($B169="",$D169=""),"",$D169+Settings!$B$12)</f>
        <v/>
      </c>
      <c r="L169" s="27" t="str">
        <f aca="true">IF($B169="","",IF($E169&lt;&gt;"","Paid",IF($D169="","Not sent",IF(TODAY()&gt;$K169,"OVERDUE","Due"))))</f>
        <v/>
      </c>
    </row>
    <row r="170" customFormat="false" ht="15" hidden="false" customHeight="false" outlineLevel="0" collapsed="false">
      <c r="A170" s="23"/>
      <c r="B170" s="23"/>
      <c r="C170" s="34"/>
      <c r="D170" s="22"/>
      <c r="E170" s="22"/>
      <c r="F170" s="23"/>
      <c r="G170" s="31" t="str">
        <f aca="false">IF($B170="","",COUNTIFS('Cleans Log'!$M$5:$M$1004,$B170,'Cleans Log'!$Q$5:$Q$1004,$C170,'Cleans Log'!$N$5:$N$1004,"&gt;0"))</f>
        <v/>
      </c>
      <c r="H170" s="28" t="str">
        <f aca="false">IF($B170="","",SUMIFS('Cleans Log'!$N$5:$N$1004,'Cleans Log'!$M$5:$M$1004,$B170,'Cleans Log'!$Q$5:$Q$1004,$C170))</f>
        <v/>
      </c>
      <c r="I170" s="28" t="str">
        <f aca="false">IF($B170="","",SUMIFS(Purchases!$N$5:$N$1004,Purchases!$L$5:$L$1004,$B170,Purchases!$P$5:$P$1004,$C170))</f>
        <v/>
      </c>
      <c r="J170" s="28" t="str">
        <f aca="false">IF($B170="","",$H170+$I170)</f>
        <v/>
      </c>
      <c r="K170" s="30" t="str">
        <f aca="false">IF(OR($B170="",$D170=""),"",$D170+Settings!$B$12)</f>
        <v/>
      </c>
      <c r="L170" s="27" t="str">
        <f aca="true">IF($B170="","",IF($E170&lt;&gt;"","Paid",IF($D170="","Not sent",IF(TODAY()&gt;$K170,"OVERDUE","Due"))))</f>
        <v/>
      </c>
    </row>
    <row r="171" customFormat="false" ht="15" hidden="false" customHeight="false" outlineLevel="0" collapsed="false">
      <c r="A171" s="23"/>
      <c r="B171" s="23"/>
      <c r="C171" s="34"/>
      <c r="D171" s="22"/>
      <c r="E171" s="22"/>
      <c r="F171" s="23"/>
      <c r="G171" s="31" t="str">
        <f aca="false">IF($B171="","",COUNTIFS('Cleans Log'!$M$5:$M$1004,$B171,'Cleans Log'!$Q$5:$Q$1004,$C171,'Cleans Log'!$N$5:$N$1004,"&gt;0"))</f>
        <v/>
      </c>
      <c r="H171" s="28" t="str">
        <f aca="false">IF($B171="","",SUMIFS('Cleans Log'!$N$5:$N$1004,'Cleans Log'!$M$5:$M$1004,$B171,'Cleans Log'!$Q$5:$Q$1004,$C171))</f>
        <v/>
      </c>
      <c r="I171" s="28" t="str">
        <f aca="false">IF($B171="","",SUMIFS(Purchases!$N$5:$N$1004,Purchases!$L$5:$L$1004,$B171,Purchases!$P$5:$P$1004,$C171))</f>
        <v/>
      </c>
      <c r="J171" s="28" t="str">
        <f aca="false">IF($B171="","",$H171+$I171)</f>
        <v/>
      </c>
      <c r="K171" s="30" t="str">
        <f aca="false">IF(OR($B171="",$D171=""),"",$D171+Settings!$B$12)</f>
        <v/>
      </c>
      <c r="L171" s="27" t="str">
        <f aca="true">IF($B171="","",IF($E171&lt;&gt;"","Paid",IF($D171="","Not sent",IF(TODAY()&gt;$K171,"OVERDUE","Due"))))</f>
        <v/>
      </c>
    </row>
    <row r="172" customFormat="false" ht="15" hidden="false" customHeight="false" outlineLevel="0" collapsed="false">
      <c r="A172" s="23"/>
      <c r="B172" s="23"/>
      <c r="C172" s="34"/>
      <c r="D172" s="22"/>
      <c r="E172" s="22"/>
      <c r="F172" s="23"/>
      <c r="G172" s="31" t="str">
        <f aca="false">IF($B172="","",COUNTIFS('Cleans Log'!$M$5:$M$1004,$B172,'Cleans Log'!$Q$5:$Q$1004,$C172,'Cleans Log'!$N$5:$N$1004,"&gt;0"))</f>
        <v/>
      </c>
      <c r="H172" s="28" t="str">
        <f aca="false">IF($B172="","",SUMIFS('Cleans Log'!$N$5:$N$1004,'Cleans Log'!$M$5:$M$1004,$B172,'Cleans Log'!$Q$5:$Q$1004,$C172))</f>
        <v/>
      </c>
      <c r="I172" s="28" t="str">
        <f aca="false">IF($B172="","",SUMIFS(Purchases!$N$5:$N$1004,Purchases!$L$5:$L$1004,$B172,Purchases!$P$5:$P$1004,$C172))</f>
        <v/>
      </c>
      <c r="J172" s="28" t="str">
        <f aca="false">IF($B172="","",$H172+$I172)</f>
        <v/>
      </c>
      <c r="K172" s="30" t="str">
        <f aca="false">IF(OR($B172="",$D172=""),"",$D172+Settings!$B$12)</f>
        <v/>
      </c>
      <c r="L172" s="27" t="str">
        <f aca="true">IF($B172="","",IF($E172&lt;&gt;"","Paid",IF($D172="","Not sent",IF(TODAY()&gt;$K172,"OVERDUE","Due"))))</f>
        <v/>
      </c>
    </row>
    <row r="173" customFormat="false" ht="15" hidden="false" customHeight="false" outlineLevel="0" collapsed="false">
      <c r="A173" s="23"/>
      <c r="B173" s="23"/>
      <c r="C173" s="34"/>
      <c r="D173" s="22"/>
      <c r="E173" s="22"/>
      <c r="F173" s="23"/>
      <c r="G173" s="31" t="str">
        <f aca="false">IF($B173="","",COUNTIFS('Cleans Log'!$M$5:$M$1004,$B173,'Cleans Log'!$Q$5:$Q$1004,$C173,'Cleans Log'!$N$5:$N$1004,"&gt;0"))</f>
        <v/>
      </c>
      <c r="H173" s="28" t="str">
        <f aca="false">IF($B173="","",SUMIFS('Cleans Log'!$N$5:$N$1004,'Cleans Log'!$M$5:$M$1004,$B173,'Cleans Log'!$Q$5:$Q$1004,$C173))</f>
        <v/>
      </c>
      <c r="I173" s="28" t="str">
        <f aca="false">IF($B173="","",SUMIFS(Purchases!$N$5:$N$1004,Purchases!$L$5:$L$1004,$B173,Purchases!$P$5:$P$1004,$C173))</f>
        <v/>
      </c>
      <c r="J173" s="28" t="str">
        <f aca="false">IF($B173="","",$H173+$I173)</f>
        <v/>
      </c>
      <c r="K173" s="30" t="str">
        <f aca="false">IF(OR($B173="",$D173=""),"",$D173+Settings!$B$12)</f>
        <v/>
      </c>
      <c r="L173" s="27" t="str">
        <f aca="true">IF($B173="","",IF($E173&lt;&gt;"","Paid",IF($D173="","Not sent",IF(TODAY()&gt;$K173,"OVERDUE","Due"))))</f>
        <v/>
      </c>
    </row>
    <row r="174" customFormat="false" ht="15" hidden="false" customHeight="false" outlineLevel="0" collapsed="false">
      <c r="A174" s="23"/>
      <c r="B174" s="23"/>
      <c r="C174" s="34"/>
      <c r="D174" s="22"/>
      <c r="E174" s="22"/>
      <c r="F174" s="23"/>
      <c r="G174" s="31" t="str">
        <f aca="false">IF($B174="","",COUNTIFS('Cleans Log'!$M$5:$M$1004,$B174,'Cleans Log'!$Q$5:$Q$1004,$C174,'Cleans Log'!$N$5:$N$1004,"&gt;0"))</f>
        <v/>
      </c>
      <c r="H174" s="28" t="str">
        <f aca="false">IF($B174="","",SUMIFS('Cleans Log'!$N$5:$N$1004,'Cleans Log'!$M$5:$M$1004,$B174,'Cleans Log'!$Q$5:$Q$1004,$C174))</f>
        <v/>
      </c>
      <c r="I174" s="28" t="str">
        <f aca="false">IF($B174="","",SUMIFS(Purchases!$N$5:$N$1004,Purchases!$L$5:$L$1004,$B174,Purchases!$P$5:$P$1004,$C174))</f>
        <v/>
      </c>
      <c r="J174" s="28" t="str">
        <f aca="false">IF($B174="","",$H174+$I174)</f>
        <v/>
      </c>
      <c r="K174" s="30" t="str">
        <f aca="false">IF(OR($B174="",$D174=""),"",$D174+Settings!$B$12)</f>
        <v/>
      </c>
      <c r="L174" s="27" t="str">
        <f aca="true">IF($B174="","",IF($E174&lt;&gt;"","Paid",IF($D174="","Not sent",IF(TODAY()&gt;$K174,"OVERDUE","Due"))))</f>
        <v/>
      </c>
    </row>
    <row r="175" customFormat="false" ht="15" hidden="false" customHeight="false" outlineLevel="0" collapsed="false">
      <c r="A175" s="23"/>
      <c r="B175" s="23"/>
      <c r="C175" s="34"/>
      <c r="D175" s="22"/>
      <c r="E175" s="22"/>
      <c r="F175" s="23"/>
      <c r="G175" s="31" t="str">
        <f aca="false">IF($B175="","",COUNTIFS('Cleans Log'!$M$5:$M$1004,$B175,'Cleans Log'!$Q$5:$Q$1004,$C175,'Cleans Log'!$N$5:$N$1004,"&gt;0"))</f>
        <v/>
      </c>
      <c r="H175" s="28" t="str">
        <f aca="false">IF($B175="","",SUMIFS('Cleans Log'!$N$5:$N$1004,'Cleans Log'!$M$5:$M$1004,$B175,'Cleans Log'!$Q$5:$Q$1004,$C175))</f>
        <v/>
      </c>
      <c r="I175" s="28" t="str">
        <f aca="false">IF($B175="","",SUMIFS(Purchases!$N$5:$N$1004,Purchases!$L$5:$L$1004,$B175,Purchases!$P$5:$P$1004,$C175))</f>
        <v/>
      </c>
      <c r="J175" s="28" t="str">
        <f aca="false">IF($B175="","",$H175+$I175)</f>
        <v/>
      </c>
      <c r="K175" s="30" t="str">
        <f aca="false">IF(OR($B175="",$D175=""),"",$D175+Settings!$B$12)</f>
        <v/>
      </c>
      <c r="L175" s="27" t="str">
        <f aca="true">IF($B175="","",IF($E175&lt;&gt;"","Paid",IF($D175="","Not sent",IF(TODAY()&gt;$K175,"OVERDUE","Due"))))</f>
        <v/>
      </c>
    </row>
    <row r="176" customFormat="false" ht="15" hidden="false" customHeight="false" outlineLevel="0" collapsed="false">
      <c r="A176" s="23"/>
      <c r="B176" s="23"/>
      <c r="C176" s="34"/>
      <c r="D176" s="22"/>
      <c r="E176" s="22"/>
      <c r="F176" s="23"/>
      <c r="G176" s="31" t="str">
        <f aca="false">IF($B176="","",COUNTIFS('Cleans Log'!$M$5:$M$1004,$B176,'Cleans Log'!$Q$5:$Q$1004,$C176,'Cleans Log'!$N$5:$N$1004,"&gt;0"))</f>
        <v/>
      </c>
      <c r="H176" s="28" t="str">
        <f aca="false">IF($B176="","",SUMIFS('Cleans Log'!$N$5:$N$1004,'Cleans Log'!$M$5:$M$1004,$B176,'Cleans Log'!$Q$5:$Q$1004,$C176))</f>
        <v/>
      </c>
      <c r="I176" s="28" t="str">
        <f aca="false">IF($B176="","",SUMIFS(Purchases!$N$5:$N$1004,Purchases!$L$5:$L$1004,$B176,Purchases!$P$5:$P$1004,$C176))</f>
        <v/>
      </c>
      <c r="J176" s="28" t="str">
        <f aca="false">IF($B176="","",$H176+$I176)</f>
        <v/>
      </c>
      <c r="K176" s="30" t="str">
        <f aca="false">IF(OR($B176="",$D176=""),"",$D176+Settings!$B$12)</f>
        <v/>
      </c>
      <c r="L176" s="27" t="str">
        <f aca="true">IF($B176="","",IF($E176&lt;&gt;"","Paid",IF($D176="","Not sent",IF(TODAY()&gt;$K176,"OVERDUE","Due"))))</f>
        <v/>
      </c>
    </row>
    <row r="177" customFormat="false" ht="15" hidden="false" customHeight="false" outlineLevel="0" collapsed="false">
      <c r="A177" s="23"/>
      <c r="B177" s="23"/>
      <c r="C177" s="34"/>
      <c r="D177" s="22"/>
      <c r="E177" s="22"/>
      <c r="F177" s="23"/>
      <c r="G177" s="31" t="str">
        <f aca="false">IF($B177="","",COUNTIFS('Cleans Log'!$M$5:$M$1004,$B177,'Cleans Log'!$Q$5:$Q$1004,$C177,'Cleans Log'!$N$5:$N$1004,"&gt;0"))</f>
        <v/>
      </c>
      <c r="H177" s="28" t="str">
        <f aca="false">IF($B177="","",SUMIFS('Cleans Log'!$N$5:$N$1004,'Cleans Log'!$M$5:$M$1004,$B177,'Cleans Log'!$Q$5:$Q$1004,$C177))</f>
        <v/>
      </c>
      <c r="I177" s="28" t="str">
        <f aca="false">IF($B177="","",SUMIFS(Purchases!$N$5:$N$1004,Purchases!$L$5:$L$1004,$B177,Purchases!$P$5:$P$1004,$C177))</f>
        <v/>
      </c>
      <c r="J177" s="28" t="str">
        <f aca="false">IF($B177="","",$H177+$I177)</f>
        <v/>
      </c>
      <c r="K177" s="30" t="str">
        <f aca="false">IF(OR($B177="",$D177=""),"",$D177+Settings!$B$12)</f>
        <v/>
      </c>
      <c r="L177" s="27" t="str">
        <f aca="true">IF($B177="","",IF($E177&lt;&gt;"","Paid",IF($D177="","Not sent",IF(TODAY()&gt;$K177,"OVERDUE","Due"))))</f>
        <v/>
      </c>
    </row>
    <row r="178" customFormat="false" ht="15" hidden="false" customHeight="false" outlineLevel="0" collapsed="false">
      <c r="A178" s="23"/>
      <c r="B178" s="23"/>
      <c r="C178" s="34"/>
      <c r="D178" s="22"/>
      <c r="E178" s="22"/>
      <c r="F178" s="23"/>
      <c r="G178" s="31" t="str">
        <f aca="false">IF($B178="","",COUNTIFS('Cleans Log'!$M$5:$M$1004,$B178,'Cleans Log'!$Q$5:$Q$1004,$C178,'Cleans Log'!$N$5:$N$1004,"&gt;0"))</f>
        <v/>
      </c>
      <c r="H178" s="28" t="str">
        <f aca="false">IF($B178="","",SUMIFS('Cleans Log'!$N$5:$N$1004,'Cleans Log'!$M$5:$M$1004,$B178,'Cleans Log'!$Q$5:$Q$1004,$C178))</f>
        <v/>
      </c>
      <c r="I178" s="28" t="str">
        <f aca="false">IF($B178="","",SUMIFS(Purchases!$N$5:$N$1004,Purchases!$L$5:$L$1004,$B178,Purchases!$P$5:$P$1004,$C178))</f>
        <v/>
      </c>
      <c r="J178" s="28" t="str">
        <f aca="false">IF($B178="","",$H178+$I178)</f>
        <v/>
      </c>
      <c r="K178" s="30" t="str">
        <f aca="false">IF(OR($B178="",$D178=""),"",$D178+Settings!$B$12)</f>
        <v/>
      </c>
      <c r="L178" s="27" t="str">
        <f aca="true">IF($B178="","",IF($E178&lt;&gt;"","Paid",IF($D178="","Not sent",IF(TODAY()&gt;$K178,"OVERDUE","Due"))))</f>
        <v/>
      </c>
    </row>
    <row r="179" customFormat="false" ht="15" hidden="false" customHeight="false" outlineLevel="0" collapsed="false">
      <c r="A179" s="23"/>
      <c r="B179" s="23"/>
      <c r="C179" s="34"/>
      <c r="D179" s="22"/>
      <c r="E179" s="22"/>
      <c r="F179" s="23"/>
      <c r="G179" s="31" t="str">
        <f aca="false">IF($B179="","",COUNTIFS('Cleans Log'!$M$5:$M$1004,$B179,'Cleans Log'!$Q$5:$Q$1004,$C179,'Cleans Log'!$N$5:$N$1004,"&gt;0"))</f>
        <v/>
      </c>
      <c r="H179" s="28" t="str">
        <f aca="false">IF($B179="","",SUMIFS('Cleans Log'!$N$5:$N$1004,'Cleans Log'!$M$5:$M$1004,$B179,'Cleans Log'!$Q$5:$Q$1004,$C179))</f>
        <v/>
      </c>
      <c r="I179" s="28" t="str">
        <f aca="false">IF($B179="","",SUMIFS(Purchases!$N$5:$N$1004,Purchases!$L$5:$L$1004,$B179,Purchases!$P$5:$P$1004,$C179))</f>
        <v/>
      </c>
      <c r="J179" s="28" t="str">
        <f aca="false">IF($B179="","",$H179+$I179)</f>
        <v/>
      </c>
      <c r="K179" s="30" t="str">
        <f aca="false">IF(OR($B179="",$D179=""),"",$D179+Settings!$B$12)</f>
        <v/>
      </c>
      <c r="L179" s="27" t="str">
        <f aca="true">IF($B179="","",IF($E179&lt;&gt;"","Paid",IF($D179="","Not sent",IF(TODAY()&gt;$K179,"OVERDUE","Due"))))</f>
        <v/>
      </c>
    </row>
    <row r="180" customFormat="false" ht="15" hidden="false" customHeight="false" outlineLevel="0" collapsed="false">
      <c r="A180" s="23"/>
      <c r="B180" s="23"/>
      <c r="C180" s="34"/>
      <c r="D180" s="22"/>
      <c r="E180" s="22"/>
      <c r="F180" s="23"/>
      <c r="G180" s="31" t="str">
        <f aca="false">IF($B180="","",COUNTIFS('Cleans Log'!$M$5:$M$1004,$B180,'Cleans Log'!$Q$5:$Q$1004,$C180,'Cleans Log'!$N$5:$N$1004,"&gt;0"))</f>
        <v/>
      </c>
      <c r="H180" s="28" t="str">
        <f aca="false">IF($B180="","",SUMIFS('Cleans Log'!$N$5:$N$1004,'Cleans Log'!$M$5:$M$1004,$B180,'Cleans Log'!$Q$5:$Q$1004,$C180))</f>
        <v/>
      </c>
      <c r="I180" s="28" t="str">
        <f aca="false">IF($B180="","",SUMIFS(Purchases!$N$5:$N$1004,Purchases!$L$5:$L$1004,$B180,Purchases!$P$5:$P$1004,$C180))</f>
        <v/>
      </c>
      <c r="J180" s="28" t="str">
        <f aca="false">IF($B180="","",$H180+$I180)</f>
        <v/>
      </c>
      <c r="K180" s="30" t="str">
        <f aca="false">IF(OR($B180="",$D180=""),"",$D180+Settings!$B$12)</f>
        <v/>
      </c>
      <c r="L180" s="27" t="str">
        <f aca="true">IF($B180="","",IF($E180&lt;&gt;"","Paid",IF($D180="","Not sent",IF(TODAY()&gt;$K180,"OVERDUE","Due"))))</f>
        <v/>
      </c>
    </row>
    <row r="181" customFormat="false" ht="15" hidden="false" customHeight="false" outlineLevel="0" collapsed="false">
      <c r="A181" s="23"/>
      <c r="B181" s="23"/>
      <c r="C181" s="34"/>
      <c r="D181" s="22"/>
      <c r="E181" s="22"/>
      <c r="F181" s="23"/>
      <c r="G181" s="31" t="str">
        <f aca="false">IF($B181="","",COUNTIFS('Cleans Log'!$M$5:$M$1004,$B181,'Cleans Log'!$Q$5:$Q$1004,$C181,'Cleans Log'!$N$5:$N$1004,"&gt;0"))</f>
        <v/>
      </c>
      <c r="H181" s="28" t="str">
        <f aca="false">IF($B181="","",SUMIFS('Cleans Log'!$N$5:$N$1004,'Cleans Log'!$M$5:$M$1004,$B181,'Cleans Log'!$Q$5:$Q$1004,$C181))</f>
        <v/>
      </c>
      <c r="I181" s="28" t="str">
        <f aca="false">IF($B181="","",SUMIFS(Purchases!$N$5:$N$1004,Purchases!$L$5:$L$1004,$B181,Purchases!$P$5:$P$1004,$C181))</f>
        <v/>
      </c>
      <c r="J181" s="28" t="str">
        <f aca="false">IF($B181="","",$H181+$I181)</f>
        <v/>
      </c>
      <c r="K181" s="30" t="str">
        <f aca="false">IF(OR($B181="",$D181=""),"",$D181+Settings!$B$12)</f>
        <v/>
      </c>
      <c r="L181" s="27" t="str">
        <f aca="true">IF($B181="","",IF($E181&lt;&gt;"","Paid",IF($D181="","Not sent",IF(TODAY()&gt;$K181,"OVERDUE","Due"))))</f>
        <v/>
      </c>
    </row>
    <row r="182" customFormat="false" ht="15" hidden="false" customHeight="false" outlineLevel="0" collapsed="false">
      <c r="A182" s="23"/>
      <c r="B182" s="23"/>
      <c r="C182" s="34"/>
      <c r="D182" s="22"/>
      <c r="E182" s="22"/>
      <c r="F182" s="23"/>
      <c r="G182" s="31" t="str">
        <f aca="false">IF($B182="","",COUNTIFS('Cleans Log'!$M$5:$M$1004,$B182,'Cleans Log'!$Q$5:$Q$1004,$C182,'Cleans Log'!$N$5:$N$1004,"&gt;0"))</f>
        <v/>
      </c>
      <c r="H182" s="28" t="str">
        <f aca="false">IF($B182="","",SUMIFS('Cleans Log'!$N$5:$N$1004,'Cleans Log'!$M$5:$M$1004,$B182,'Cleans Log'!$Q$5:$Q$1004,$C182))</f>
        <v/>
      </c>
      <c r="I182" s="28" t="str">
        <f aca="false">IF($B182="","",SUMIFS(Purchases!$N$5:$N$1004,Purchases!$L$5:$L$1004,$B182,Purchases!$P$5:$P$1004,$C182))</f>
        <v/>
      </c>
      <c r="J182" s="28" t="str">
        <f aca="false">IF($B182="","",$H182+$I182)</f>
        <v/>
      </c>
      <c r="K182" s="30" t="str">
        <f aca="false">IF(OR($B182="",$D182=""),"",$D182+Settings!$B$12)</f>
        <v/>
      </c>
      <c r="L182" s="27" t="str">
        <f aca="true">IF($B182="","",IF($E182&lt;&gt;"","Paid",IF($D182="","Not sent",IF(TODAY()&gt;$K182,"OVERDUE","Due"))))</f>
        <v/>
      </c>
    </row>
    <row r="183" customFormat="false" ht="15" hidden="false" customHeight="false" outlineLevel="0" collapsed="false">
      <c r="A183" s="23"/>
      <c r="B183" s="23"/>
      <c r="C183" s="34"/>
      <c r="D183" s="22"/>
      <c r="E183" s="22"/>
      <c r="F183" s="23"/>
      <c r="G183" s="31" t="str">
        <f aca="false">IF($B183="","",COUNTIFS('Cleans Log'!$M$5:$M$1004,$B183,'Cleans Log'!$Q$5:$Q$1004,$C183,'Cleans Log'!$N$5:$N$1004,"&gt;0"))</f>
        <v/>
      </c>
      <c r="H183" s="28" t="str">
        <f aca="false">IF($B183="","",SUMIFS('Cleans Log'!$N$5:$N$1004,'Cleans Log'!$M$5:$M$1004,$B183,'Cleans Log'!$Q$5:$Q$1004,$C183))</f>
        <v/>
      </c>
      <c r="I183" s="28" t="str">
        <f aca="false">IF($B183="","",SUMIFS(Purchases!$N$5:$N$1004,Purchases!$L$5:$L$1004,$B183,Purchases!$P$5:$P$1004,$C183))</f>
        <v/>
      </c>
      <c r="J183" s="28" t="str">
        <f aca="false">IF($B183="","",$H183+$I183)</f>
        <v/>
      </c>
      <c r="K183" s="30" t="str">
        <f aca="false">IF(OR($B183="",$D183=""),"",$D183+Settings!$B$12)</f>
        <v/>
      </c>
      <c r="L183" s="27" t="str">
        <f aca="true">IF($B183="","",IF($E183&lt;&gt;"","Paid",IF($D183="","Not sent",IF(TODAY()&gt;$K183,"OVERDUE","Due"))))</f>
        <v/>
      </c>
    </row>
    <row r="184" customFormat="false" ht="15" hidden="false" customHeight="false" outlineLevel="0" collapsed="false">
      <c r="A184" s="23"/>
      <c r="B184" s="23"/>
      <c r="C184" s="34"/>
      <c r="D184" s="22"/>
      <c r="E184" s="22"/>
      <c r="F184" s="23"/>
      <c r="G184" s="31" t="str">
        <f aca="false">IF($B184="","",COUNTIFS('Cleans Log'!$M$5:$M$1004,$B184,'Cleans Log'!$Q$5:$Q$1004,$C184,'Cleans Log'!$N$5:$N$1004,"&gt;0"))</f>
        <v/>
      </c>
      <c r="H184" s="28" t="str">
        <f aca="false">IF($B184="","",SUMIFS('Cleans Log'!$N$5:$N$1004,'Cleans Log'!$M$5:$M$1004,$B184,'Cleans Log'!$Q$5:$Q$1004,$C184))</f>
        <v/>
      </c>
      <c r="I184" s="28" t="str">
        <f aca="false">IF($B184="","",SUMIFS(Purchases!$N$5:$N$1004,Purchases!$L$5:$L$1004,$B184,Purchases!$P$5:$P$1004,$C184))</f>
        <v/>
      </c>
      <c r="J184" s="28" t="str">
        <f aca="false">IF($B184="","",$H184+$I184)</f>
        <v/>
      </c>
      <c r="K184" s="30" t="str">
        <f aca="false">IF(OR($B184="",$D184=""),"",$D184+Settings!$B$12)</f>
        <v/>
      </c>
      <c r="L184" s="27" t="str">
        <f aca="true">IF($B184="","",IF($E184&lt;&gt;"","Paid",IF($D184="","Not sent",IF(TODAY()&gt;$K184,"OVERDUE","Due"))))</f>
        <v/>
      </c>
    </row>
    <row r="185" customFormat="false" ht="15" hidden="false" customHeight="false" outlineLevel="0" collapsed="false">
      <c r="A185" s="23"/>
      <c r="B185" s="23"/>
      <c r="C185" s="34"/>
      <c r="D185" s="22"/>
      <c r="E185" s="22"/>
      <c r="F185" s="23"/>
      <c r="G185" s="31" t="str">
        <f aca="false">IF($B185="","",COUNTIFS('Cleans Log'!$M$5:$M$1004,$B185,'Cleans Log'!$Q$5:$Q$1004,$C185,'Cleans Log'!$N$5:$N$1004,"&gt;0"))</f>
        <v/>
      </c>
      <c r="H185" s="28" t="str">
        <f aca="false">IF($B185="","",SUMIFS('Cleans Log'!$N$5:$N$1004,'Cleans Log'!$M$5:$M$1004,$B185,'Cleans Log'!$Q$5:$Q$1004,$C185))</f>
        <v/>
      </c>
      <c r="I185" s="28" t="str">
        <f aca="false">IF($B185="","",SUMIFS(Purchases!$N$5:$N$1004,Purchases!$L$5:$L$1004,$B185,Purchases!$P$5:$P$1004,$C185))</f>
        <v/>
      </c>
      <c r="J185" s="28" t="str">
        <f aca="false">IF($B185="","",$H185+$I185)</f>
        <v/>
      </c>
      <c r="K185" s="30" t="str">
        <f aca="false">IF(OR($B185="",$D185=""),"",$D185+Settings!$B$12)</f>
        <v/>
      </c>
      <c r="L185" s="27" t="str">
        <f aca="true">IF($B185="","",IF($E185&lt;&gt;"","Paid",IF($D185="","Not sent",IF(TODAY()&gt;$K185,"OVERDUE","Due"))))</f>
        <v/>
      </c>
    </row>
    <row r="186" customFormat="false" ht="15" hidden="false" customHeight="false" outlineLevel="0" collapsed="false">
      <c r="A186" s="23"/>
      <c r="B186" s="23"/>
      <c r="C186" s="34"/>
      <c r="D186" s="22"/>
      <c r="E186" s="22"/>
      <c r="F186" s="23"/>
      <c r="G186" s="31" t="str">
        <f aca="false">IF($B186="","",COUNTIFS('Cleans Log'!$M$5:$M$1004,$B186,'Cleans Log'!$Q$5:$Q$1004,$C186,'Cleans Log'!$N$5:$N$1004,"&gt;0"))</f>
        <v/>
      </c>
      <c r="H186" s="28" t="str">
        <f aca="false">IF($B186="","",SUMIFS('Cleans Log'!$N$5:$N$1004,'Cleans Log'!$M$5:$M$1004,$B186,'Cleans Log'!$Q$5:$Q$1004,$C186))</f>
        <v/>
      </c>
      <c r="I186" s="28" t="str">
        <f aca="false">IF($B186="","",SUMIFS(Purchases!$N$5:$N$1004,Purchases!$L$5:$L$1004,$B186,Purchases!$P$5:$P$1004,$C186))</f>
        <v/>
      </c>
      <c r="J186" s="28" t="str">
        <f aca="false">IF($B186="","",$H186+$I186)</f>
        <v/>
      </c>
      <c r="K186" s="30" t="str">
        <f aca="false">IF(OR($B186="",$D186=""),"",$D186+Settings!$B$12)</f>
        <v/>
      </c>
      <c r="L186" s="27" t="str">
        <f aca="true">IF($B186="","",IF($E186&lt;&gt;"","Paid",IF($D186="","Not sent",IF(TODAY()&gt;$K186,"OVERDUE","Due"))))</f>
        <v/>
      </c>
    </row>
    <row r="187" customFormat="false" ht="15" hidden="false" customHeight="false" outlineLevel="0" collapsed="false">
      <c r="A187" s="23"/>
      <c r="B187" s="23"/>
      <c r="C187" s="34"/>
      <c r="D187" s="22"/>
      <c r="E187" s="22"/>
      <c r="F187" s="23"/>
      <c r="G187" s="31" t="str">
        <f aca="false">IF($B187="","",COUNTIFS('Cleans Log'!$M$5:$M$1004,$B187,'Cleans Log'!$Q$5:$Q$1004,$C187,'Cleans Log'!$N$5:$N$1004,"&gt;0"))</f>
        <v/>
      </c>
      <c r="H187" s="28" t="str">
        <f aca="false">IF($B187="","",SUMIFS('Cleans Log'!$N$5:$N$1004,'Cleans Log'!$M$5:$M$1004,$B187,'Cleans Log'!$Q$5:$Q$1004,$C187))</f>
        <v/>
      </c>
      <c r="I187" s="28" t="str">
        <f aca="false">IF($B187="","",SUMIFS(Purchases!$N$5:$N$1004,Purchases!$L$5:$L$1004,$B187,Purchases!$P$5:$P$1004,$C187))</f>
        <v/>
      </c>
      <c r="J187" s="28" t="str">
        <f aca="false">IF($B187="","",$H187+$I187)</f>
        <v/>
      </c>
      <c r="K187" s="30" t="str">
        <f aca="false">IF(OR($B187="",$D187=""),"",$D187+Settings!$B$12)</f>
        <v/>
      </c>
      <c r="L187" s="27" t="str">
        <f aca="true">IF($B187="","",IF($E187&lt;&gt;"","Paid",IF($D187="","Not sent",IF(TODAY()&gt;$K187,"OVERDUE","Due"))))</f>
        <v/>
      </c>
    </row>
    <row r="188" customFormat="false" ht="15" hidden="false" customHeight="false" outlineLevel="0" collapsed="false">
      <c r="A188" s="23"/>
      <c r="B188" s="23"/>
      <c r="C188" s="34"/>
      <c r="D188" s="22"/>
      <c r="E188" s="22"/>
      <c r="F188" s="23"/>
      <c r="G188" s="31" t="str">
        <f aca="false">IF($B188="","",COUNTIFS('Cleans Log'!$M$5:$M$1004,$B188,'Cleans Log'!$Q$5:$Q$1004,$C188,'Cleans Log'!$N$5:$N$1004,"&gt;0"))</f>
        <v/>
      </c>
      <c r="H188" s="28" t="str">
        <f aca="false">IF($B188="","",SUMIFS('Cleans Log'!$N$5:$N$1004,'Cleans Log'!$M$5:$M$1004,$B188,'Cleans Log'!$Q$5:$Q$1004,$C188))</f>
        <v/>
      </c>
      <c r="I188" s="28" t="str">
        <f aca="false">IF($B188="","",SUMIFS(Purchases!$N$5:$N$1004,Purchases!$L$5:$L$1004,$B188,Purchases!$P$5:$P$1004,$C188))</f>
        <v/>
      </c>
      <c r="J188" s="28" t="str">
        <f aca="false">IF($B188="","",$H188+$I188)</f>
        <v/>
      </c>
      <c r="K188" s="30" t="str">
        <f aca="false">IF(OR($B188="",$D188=""),"",$D188+Settings!$B$12)</f>
        <v/>
      </c>
      <c r="L188" s="27" t="str">
        <f aca="true">IF($B188="","",IF($E188&lt;&gt;"","Paid",IF($D188="","Not sent",IF(TODAY()&gt;$K188,"OVERDUE","Due"))))</f>
        <v/>
      </c>
    </row>
    <row r="189" customFormat="false" ht="15" hidden="false" customHeight="false" outlineLevel="0" collapsed="false">
      <c r="A189" s="23"/>
      <c r="B189" s="23"/>
      <c r="C189" s="34"/>
      <c r="D189" s="22"/>
      <c r="E189" s="22"/>
      <c r="F189" s="23"/>
      <c r="G189" s="31" t="str">
        <f aca="false">IF($B189="","",COUNTIFS('Cleans Log'!$M$5:$M$1004,$B189,'Cleans Log'!$Q$5:$Q$1004,$C189,'Cleans Log'!$N$5:$N$1004,"&gt;0"))</f>
        <v/>
      </c>
      <c r="H189" s="28" t="str">
        <f aca="false">IF($B189="","",SUMIFS('Cleans Log'!$N$5:$N$1004,'Cleans Log'!$M$5:$M$1004,$B189,'Cleans Log'!$Q$5:$Q$1004,$C189))</f>
        <v/>
      </c>
      <c r="I189" s="28" t="str">
        <f aca="false">IF($B189="","",SUMIFS(Purchases!$N$5:$N$1004,Purchases!$L$5:$L$1004,$B189,Purchases!$P$5:$P$1004,$C189))</f>
        <v/>
      </c>
      <c r="J189" s="28" t="str">
        <f aca="false">IF($B189="","",$H189+$I189)</f>
        <v/>
      </c>
      <c r="K189" s="30" t="str">
        <f aca="false">IF(OR($B189="",$D189=""),"",$D189+Settings!$B$12)</f>
        <v/>
      </c>
      <c r="L189" s="27" t="str">
        <f aca="true">IF($B189="","",IF($E189&lt;&gt;"","Paid",IF($D189="","Not sent",IF(TODAY()&gt;$K189,"OVERDUE","Due"))))</f>
        <v/>
      </c>
    </row>
    <row r="190" customFormat="false" ht="15" hidden="false" customHeight="false" outlineLevel="0" collapsed="false">
      <c r="A190" s="23"/>
      <c r="B190" s="23"/>
      <c r="C190" s="34"/>
      <c r="D190" s="22"/>
      <c r="E190" s="22"/>
      <c r="F190" s="23"/>
      <c r="G190" s="31" t="str">
        <f aca="false">IF($B190="","",COUNTIFS('Cleans Log'!$M$5:$M$1004,$B190,'Cleans Log'!$Q$5:$Q$1004,$C190,'Cleans Log'!$N$5:$N$1004,"&gt;0"))</f>
        <v/>
      </c>
      <c r="H190" s="28" t="str">
        <f aca="false">IF($B190="","",SUMIFS('Cleans Log'!$N$5:$N$1004,'Cleans Log'!$M$5:$M$1004,$B190,'Cleans Log'!$Q$5:$Q$1004,$C190))</f>
        <v/>
      </c>
      <c r="I190" s="28" t="str">
        <f aca="false">IF($B190="","",SUMIFS(Purchases!$N$5:$N$1004,Purchases!$L$5:$L$1004,$B190,Purchases!$P$5:$P$1004,$C190))</f>
        <v/>
      </c>
      <c r="J190" s="28" t="str">
        <f aca="false">IF($B190="","",$H190+$I190)</f>
        <v/>
      </c>
      <c r="K190" s="30" t="str">
        <f aca="false">IF(OR($B190="",$D190=""),"",$D190+Settings!$B$12)</f>
        <v/>
      </c>
      <c r="L190" s="27" t="str">
        <f aca="true">IF($B190="","",IF($E190&lt;&gt;"","Paid",IF($D190="","Not sent",IF(TODAY()&gt;$K190,"OVERDUE","Due"))))</f>
        <v/>
      </c>
    </row>
    <row r="191" customFormat="false" ht="15" hidden="false" customHeight="false" outlineLevel="0" collapsed="false">
      <c r="A191" s="23"/>
      <c r="B191" s="23"/>
      <c r="C191" s="34"/>
      <c r="D191" s="22"/>
      <c r="E191" s="22"/>
      <c r="F191" s="23"/>
      <c r="G191" s="31" t="str">
        <f aca="false">IF($B191="","",COUNTIFS('Cleans Log'!$M$5:$M$1004,$B191,'Cleans Log'!$Q$5:$Q$1004,$C191,'Cleans Log'!$N$5:$N$1004,"&gt;0"))</f>
        <v/>
      </c>
      <c r="H191" s="28" t="str">
        <f aca="false">IF($B191="","",SUMIFS('Cleans Log'!$N$5:$N$1004,'Cleans Log'!$M$5:$M$1004,$B191,'Cleans Log'!$Q$5:$Q$1004,$C191))</f>
        <v/>
      </c>
      <c r="I191" s="28" t="str">
        <f aca="false">IF($B191="","",SUMIFS(Purchases!$N$5:$N$1004,Purchases!$L$5:$L$1004,$B191,Purchases!$P$5:$P$1004,$C191))</f>
        <v/>
      </c>
      <c r="J191" s="28" t="str">
        <f aca="false">IF($B191="","",$H191+$I191)</f>
        <v/>
      </c>
      <c r="K191" s="30" t="str">
        <f aca="false">IF(OR($B191="",$D191=""),"",$D191+Settings!$B$12)</f>
        <v/>
      </c>
      <c r="L191" s="27" t="str">
        <f aca="true">IF($B191="","",IF($E191&lt;&gt;"","Paid",IF($D191="","Not sent",IF(TODAY()&gt;$K191,"OVERDUE","Due"))))</f>
        <v/>
      </c>
    </row>
    <row r="192" customFormat="false" ht="15" hidden="false" customHeight="false" outlineLevel="0" collapsed="false">
      <c r="A192" s="23"/>
      <c r="B192" s="23"/>
      <c r="C192" s="34"/>
      <c r="D192" s="22"/>
      <c r="E192" s="22"/>
      <c r="F192" s="23"/>
      <c r="G192" s="31" t="str">
        <f aca="false">IF($B192="","",COUNTIFS('Cleans Log'!$M$5:$M$1004,$B192,'Cleans Log'!$Q$5:$Q$1004,$C192,'Cleans Log'!$N$5:$N$1004,"&gt;0"))</f>
        <v/>
      </c>
      <c r="H192" s="28" t="str">
        <f aca="false">IF($B192="","",SUMIFS('Cleans Log'!$N$5:$N$1004,'Cleans Log'!$M$5:$M$1004,$B192,'Cleans Log'!$Q$5:$Q$1004,$C192))</f>
        <v/>
      </c>
      <c r="I192" s="28" t="str">
        <f aca="false">IF($B192="","",SUMIFS(Purchases!$N$5:$N$1004,Purchases!$L$5:$L$1004,$B192,Purchases!$P$5:$P$1004,$C192))</f>
        <v/>
      </c>
      <c r="J192" s="28" t="str">
        <f aca="false">IF($B192="","",$H192+$I192)</f>
        <v/>
      </c>
      <c r="K192" s="30" t="str">
        <f aca="false">IF(OR($B192="",$D192=""),"",$D192+Settings!$B$12)</f>
        <v/>
      </c>
      <c r="L192" s="27" t="str">
        <f aca="true">IF($B192="","",IF($E192&lt;&gt;"","Paid",IF($D192="","Not sent",IF(TODAY()&gt;$K192,"OVERDUE","Due"))))</f>
        <v/>
      </c>
    </row>
    <row r="193" customFormat="false" ht="15" hidden="false" customHeight="false" outlineLevel="0" collapsed="false">
      <c r="A193" s="23"/>
      <c r="B193" s="23"/>
      <c r="C193" s="34"/>
      <c r="D193" s="22"/>
      <c r="E193" s="22"/>
      <c r="F193" s="23"/>
      <c r="G193" s="31" t="str">
        <f aca="false">IF($B193="","",COUNTIFS('Cleans Log'!$M$5:$M$1004,$B193,'Cleans Log'!$Q$5:$Q$1004,$C193,'Cleans Log'!$N$5:$N$1004,"&gt;0"))</f>
        <v/>
      </c>
      <c r="H193" s="28" t="str">
        <f aca="false">IF($B193="","",SUMIFS('Cleans Log'!$N$5:$N$1004,'Cleans Log'!$M$5:$M$1004,$B193,'Cleans Log'!$Q$5:$Q$1004,$C193))</f>
        <v/>
      </c>
      <c r="I193" s="28" t="str">
        <f aca="false">IF($B193="","",SUMIFS(Purchases!$N$5:$N$1004,Purchases!$L$5:$L$1004,$B193,Purchases!$P$5:$P$1004,$C193))</f>
        <v/>
      </c>
      <c r="J193" s="28" t="str">
        <f aca="false">IF($B193="","",$H193+$I193)</f>
        <v/>
      </c>
      <c r="K193" s="30" t="str">
        <f aca="false">IF(OR($B193="",$D193=""),"",$D193+Settings!$B$12)</f>
        <v/>
      </c>
      <c r="L193" s="27" t="str">
        <f aca="true">IF($B193="","",IF($E193&lt;&gt;"","Paid",IF($D193="","Not sent",IF(TODAY()&gt;$K193,"OVERDUE","Due"))))</f>
        <v/>
      </c>
    </row>
    <row r="194" customFormat="false" ht="15" hidden="false" customHeight="false" outlineLevel="0" collapsed="false">
      <c r="A194" s="23"/>
      <c r="B194" s="23"/>
      <c r="C194" s="34"/>
      <c r="D194" s="22"/>
      <c r="E194" s="22"/>
      <c r="F194" s="23"/>
      <c r="G194" s="31" t="str">
        <f aca="false">IF($B194="","",COUNTIFS('Cleans Log'!$M$5:$M$1004,$B194,'Cleans Log'!$Q$5:$Q$1004,$C194,'Cleans Log'!$N$5:$N$1004,"&gt;0"))</f>
        <v/>
      </c>
      <c r="H194" s="28" t="str">
        <f aca="false">IF($B194="","",SUMIFS('Cleans Log'!$N$5:$N$1004,'Cleans Log'!$M$5:$M$1004,$B194,'Cleans Log'!$Q$5:$Q$1004,$C194))</f>
        <v/>
      </c>
      <c r="I194" s="28" t="str">
        <f aca="false">IF($B194="","",SUMIFS(Purchases!$N$5:$N$1004,Purchases!$L$5:$L$1004,$B194,Purchases!$P$5:$P$1004,$C194))</f>
        <v/>
      </c>
      <c r="J194" s="28" t="str">
        <f aca="false">IF($B194="","",$H194+$I194)</f>
        <v/>
      </c>
      <c r="K194" s="30" t="str">
        <f aca="false">IF(OR($B194="",$D194=""),"",$D194+Settings!$B$12)</f>
        <v/>
      </c>
      <c r="L194" s="27" t="str">
        <f aca="true">IF($B194="","",IF($E194&lt;&gt;"","Paid",IF($D194="","Not sent",IF(TODAY()&gt;$K194,"OVERDUE","Due"))))</f>
        <v/>
      </c>
    </row>
    <row r="195" customFormat="false" ht="15" hidden="false" customHeight="false" outlineLevel="0" collapsed="false">
      <c r="A195" s="23"/>
      <c r="B195" s="23"/>
      <c r="C195" s="34"/>
      <c r="D195" s="22"/>
      <c r="E195" s="22"/>
      <c r="F195" s="23"/>
      <c r="G195" s="31" t="str">
        <f aca="false">IF($B195="","",COUNTIFS('Cleans Log'!$M$5:$M$1004,$B195,'Cleans Log'!$Q$5:$Q$1004,$C195,'Cleans Log'!$N$5:$N$1004,"&gt;0"))</f>
        <v/>
      </c>
      <c r="H195" s="28" t="str">
        <f aca="false">IF($B195="","",SUMIFS('Cleans Log'!$N$5:$N$1004,'Cleans Log'!$M$5:$M$1004,$B195,'Cleans Log'!$Q$5:$Q$1004,$C195))</f>
        <v/>
      </c>
      <c r="I195" s="28" t="str">
        <f aca="false">IF($B195="","",SUMIFS(Purchases!$N$5:$N$1004,Purchases!$L$5:$L$1004,$B195,Purchases!$P$5:$P$1004,$C195))</f>
        <v/>
      </c>
      <c r="J195" s="28" t="str">
        <f aca="false">IF($B195="","",$H195+$I195)</f>
        <v/>
      </c>
      <c r="K195" s="30" t="str">
        <f aca="false">IF(OR($B195="",$D195=""),"",$D195+Settings!$B$12)</f>
        <v/>
      </c>
      <c r="L195" s="27" t="str">
        <f aca="true">IF($B195="","",IF($E195&lt;&gt;"","Paid",IF($D195="","Not sent",IF(TODAY()&gt;$K195,"OVERDUE","Due"))))</f>
        <v/>
      </c>
    </row>
    <row r="196" customFormat="false" ht="15" hidden="false" customHeight="false" outlineLevel="0" collapsed="false">
      <c r="A196" s="23"/>
      <c r="B196" s="23"/>
      <c r="C196" s="34"/>
      <c r="D196" s="22"/>
      <c r="E196" s="22"/>
      <c r="F196" s="23"/>
      <c r="G196" s="31" t="str">
        <f aca="false">IF($B196="","",COUNTIFS('Cleans Log'!$M$5:$M$1004,$B196,'Cleans Log'!$Q$5:$Q$1004,$C196,'Cleans Log'!$N$5:$N$1004,"&gt;0"))</f>
        <v/>
      </c>
      <c r="H196" s="28" t="str">
        <f aca="false">IF($B196="","",SUMIFS('Cleans Log'!$N$5:$N$1004,'Cleans Log'!$M$5:$M$1004,$B196,'Cleans Log'!$Q$5:$Q$1004,$C196))</f>
        <v/>
      </c>
      <c r="I196" s="28" t="str">
        <f aca="false">IF($B196="","",SUMIFS(Purchases!$N$5:$N$1004,Purchases!$L$5:$L$1004,$B196,Purchases!$P$5:$P$1004,$C196))</f>
        <v/>
      </c>
      <c r="J196" s="28" t="str">
        <f aca="false">IF($B196="","",$H196+$I196)</f>
        <v/>
      </c>
      <c r="K196" s="30" t="str">
        <f aca="false">IF(OR($B196="",$D196=""),"",$D196+Settings!$B$12)</f>
        <v/>
      </c>
      <c r="L196" s="27" t="str">
        <f aca="true">IF($B196="","",IF($E196&lt;&gt;"","Paid",IF($D196="","Not sent",IF(TODAY()&gt;$K196,"OVERDUE","Due"))))</f>
        <v/>
      </c>
    </row>
    <row r="197" customFormat="false" ht="15" hidden="false" customHeight="false" outlineLevel="0" collapsed="false">
      <c r="A197" s="23"/>
      <c r="B197" s="23"/>
      <c r="C197" s="34"/>
      <c r="D197" s="22"/>
      <c r="E197" s="22"/>
      <c r="F197" s="23"/>
      <c r="G197" s="31" t="str">
        <f aca="false">IF($B197="","",COUNTIFS('Cleans Log'!$M$5:$M$1004,$B197,'Cleans Log'!$Q$5:$Q$1004,$C197,'Cleans Log'!$N$5:$N$1004,"&gt;0"))</f>
        <v/>
      </c>
      <c r="H197" s="28" t="str">
        <f aca="false">IF($B197="","",SUMIFS('Cleans Log'!$N$5:$N$1004,'Cleans Log'!$M$5:$M$1004,$B197,'Cleans Log'!$Q$5:$Q$1004,$C197))</f>
        <v/>
      </c>
      <c r="I197" s="28" t="str">
        <f aca="false">IF($B197="","",SUMIFS(Purchases!$N$5:$N$1004,Purchases!$L$5:$L$1004,$B197,Purchases!$P$5:$P$1004,$C197))</f>
        <v/>
      </c>
      <c r="J197" s="28" t="str">
        <f aca="false">IF($B197="","",$H197+$I197)</f>
        <v/>
      </c>
      <c r="K197" s="30" t="str">
        <f aca="false">IF(OR($B197="",$D197=""),"",$D197+Settings!$B$12)</f>
        <v/>
      </c>
      <c r="L197" s="27" t="str">
        <f aca="true">IF($B197="","",IF($E197&lt;&gt;"","Paid",IF($D197="","Not sent",IF(TODAY()&gt;$K197,"OVERDUE","Due"))))</f>
        <v/>
      </c>
    </row>
    <row r="198" customFormat="false" ht="15" hidden="false" customHeight="false" outlineLevel="0" collapsed="false">
      <c r="A198" s="23"/>
      <c r="B198" s="23"/>
      <c r="C198" s="34"/>
      <c r="D198" s="22"/>
      <c r="E198" s="22"/>
      <c r="F198" s="23"/>
      <c r="G198" s="31" t="str">
        <f aca="false">IF($B198="","",COUNTIFS('Cleans Log'!$M$5:$M$1004,$B198,'Cleans Log'!$Q$5:$Q$1004,$C198,'Cleans Log'!$N$5:$N$1004,"&gt;0"))</f>
        <v/>
      </c>
      <c r="H198" s="28" t="str">
        <f aca="false">IF($B198="","",SUMIFS('Cleans Log'!$N$5:$N$1004,'Cleans Log'!$M$5:$M$1004,$B198,'Cleans Log'!$Q$5:$Q$1004,$C198))</f>
        <v/>
      </c>
      <c r="I198" s="28" t="str">
        <f aca="false">IF($B198="","",SUMIFS(Purchases!$N$5:$N$1004,Purchases!$L$5:$L$1004,$B198,Purchases!$P$5:$P$1004,$C198))</f>
        <v/>
      </c>
      <c r="J198" s="28" t="str">
        <f aca="false">IF($B198="","",$H198+$I198)</f>
        <v/>
      </c>
      <c r="K198" s="30" t="str">
        <f aca="false">IF(OR($B198="",$D198=""),"",$D198+Settings!$B$12)</f>
        <v/>
      </c>
      <c r="L198" s="27" t="str">
        <f aca="true">IF($B198="","",IF($E198&lt;&gt;"","Paid",IF($D198="","Not sent",IF(TODAY()&gt;$K198,"OVERDUE","Due"))))</f>
        <v/>
      </c>
    </row>
    <row r="199" customFormat="false" ht="15" hidden="false" customHeight="false" outlineLevel="0" collapsed="false">
      <c r="A199" s="23"/>
      <c r="B199" s="23"/>
      <c r="C199" s="34"/>
      <c r="D199" s="22"/>
      <c r="E199" s="22"/>
      <c r="F199" s="23"/>
      <c r="G199" s="31" t="str">
        <f aca="false">IF($B199="","",COUNTIFS('Cleans Log'!$M$5:$M$1004,$B199,'Cleans Log'!$Q$5:$Q$1004,$C199,'Cleans Log'!$N$5:$N$1004,"&gt;0"))</f>
        <v/>
      </c>
      <c r="H199" s="28" t="str">
        <f aca="false">IF($B199="","",SUMIFS('Cleans Log'!$N$5:$N$1004,'Cleans Log'!$M$5:$M$1004,$B199,'Cleans Log'!$Q$5:$Q$1004,$C199))</f>
        <v/>
      </c>
      <c r="I199" s="28" t="str">
        <f aca="false">IF($B199="","",SUMIFS(Purchases!$N$5:$N$1004,Purchases!$L$5:$L$1004,$B199,Purchases!$P$5:$P$1004,$C199))</f>
        <v/>
      </c>
      <c r="J199" s="28" t="str">
        <f aca="false">IF($B199="","",$H199+$I199)</f>
        <v/>
      </c>
      <c r="K199" s="30" t="str">
        <f aca="false">IF(OR($B199="",$D199=""),"",$D199+Settings!$B$12)</f>
        <v/>
      </c>
      <c r="L199" s="27" t="str">
        <f aca="true">IF($B199="","",IF($E199&lt;&gt;"","Paid",IF($D199="","Not sent",IF(TODAY()&gt;$K199,"OVERDUE","Due"))))</f>
        <v/>
      </c>
    </row>
    <row r="200" customFormat="false" ht="15" hidden="false" customHeight="false" outlineLevel="0" collapsed="false">
      <c r="A200" s="23"/>
      <c r="B200" s="23"/>
      <c r="C200" s="34"/>
      <c r="D200" s="22"/>
      <c r="E200" s="22"/>
      <c r="F200" s="23"/>
      <c r="G200" s="31" t="str">
        <f aca="false">IF($B200="","",COUNTIFS('Cleans Log'!$M$5:$M$1004,$B200,'Cleans Log'!$Q$5:$Q$1004,$C200,'Cleans Log'!$N$5:$N$1004,"&gt;0"))</f>
        <v/>
      </c>
      <c r="H200" s="28" t="str">
        <f aca="false">IF($B200="","",SUMIFS('Cleans Log'!$N$5:$N$1004,'Cleans Log'!$M$5:$M$1004,$B200,'Cleans Log'!$Q$5:$Q$1004,$C200))</f>
        <v/>
      </c>
      <c r="I200" s="28" t="str">
        <f aca="false">IF($B200="","",SUMIFS(Purchases!$N$5:$N$1004,Purchases!$L$5:$L$1004,$B200,Purchases!$P$5:$P$1004,$C200))</f>
        <v/>
      </c>
      <c r="J200" s="28" t="str">
        <f aca="false">IF($B200="","",$H200+$I200)</f>
        <v/>
      </c>
      <c r="K200" s="30" t="str">
        <f aca="false">IF(OR($B200="",$D200=""),"",$D200+Settings!$B$12)</f>
        <v/>
      </c>
      <c r="L200" s="27" t="str">
        <f aca="true">IF($B200="","",IF($E200&lt;&gt;"","Paid",IF($D200="","Not sent",IF(TODAY()&gt;$K200,"OVERDUE","Due"))))</f>
        <v/>
      </c>
    </row>
    <row r="201" customFormat="false" ht="15" hidden="false" customHeight="false" outlineLevel="0" collapsed="false">
      <c r="A201" s="23"/>
      <c r="B201" s="23"/>
      <c r="C201" s="34"/>
      <c r="D201" s="22"/>
      <c r="E201" s="22"/>
      <c r="F201" s="23"/>
      <c r="G201" s="31" t="str">
        <f aca="false">IF($B201="","",COUNTIFS('Cleans Log'!$M$5:$M$1004,$B201,'Cleans Log'!$Q$5:$Q$1004,$C201,'Cleans Log'!$N$5:$N$1004,"&gt;0"))</f>
        <v/>
      </c>
      <c r="H201" s="28" t="str">
        <f aca="false">IF($B201="","",SUMIFS('Cleans Log'!$N$5:$N$1004,'Cleans Log'!$M$5:$M$1004,$B201,'Cleans Log'!$Q$5:$Q$1004,$C201))</f>
        <v/>
      </c>
      <c r="I201" s="28" t="str">
        <f aca="false">IF($B201="","",SUMIFS(Purchases!$N$5:$N$1004,Purchases!$L$5:$L$1004,$B201,Purchases!$P$5:$P$1004,$C201))</f>
        <v/>
      </c>
      <c r="J201" s="28" t="str">
        <f aca="false">IF($B201="","",$H201+$I201)</f>
        <v/>
      </c>
      <c r="K201" s="30" t="str">
        <f aca="false">IF(OR($B201="",$D201=""),"",$D201+Settings!$B$12)</f>
        <v/>
      </c>
      <c r="L201" s="27" t="str">
        <f aca="true">IF($B201="","",IF($E201&lt;&gt;"","Paid",IF($D201="","Not sent",IF(TODAY()&gt;$K201,"OVERDUE","Due"))))</f>
        <v/>
      </c>
    </row>
    <row r="202" customFormat="false" ht="15" hidden="false" customHeight="false" outlineLevel="0" collapsed="false">
      <c r="A202" s="23"/>
      <c r="B202" s="23"/>
      <c r="C202" s="34"/>
      <c r="D202" s="22"/>
      <c r="E202" s="22"/>
      <c r="F202" s="23"/>
      <c r="G202" s="31" t="str">
        <f aca="false">IF($B202="","",COUNTIFS('Cleans Log'!$M$5:$M$1004,$B202,'Cleans Log'!$Q$5:$Q$1004,$C202,'Cleans Log'!$N$5:$N$1004,"&gt;0"))</f>
        <v/>
      </c>
      <c r="H202" s="28" t="str">
        <f aca="false">IF($B202="","",SUMIFS('Cleans Log'!$N$5:$N$1004,'Cleans Log'!$M$5:$M$1004,$B202,'Cleans Log'!$Q$5:$Q$1004,$C202))</f>
        <v/>
      </c>
      <c r="I202" s="28" t="str">
        <f aca="false">IF($B202="","",SUMIFS(Purchases!$N$5:$N$1004,Purchases!$L$5:$L$1004,$B202,Purchases!$P$5:$P$1004,$C202))</f>
        <v/>
      </c>
      <c r="J202" s="28" t="str">
        <f aca="false">IF($B202="","",$H202+$I202)</f>
        <v/>
      </c>
      <c r="K202" s="30" t="str">
        <f aca="false">IF(OR($B202="",$D202=""),"",$D202+Settings!$B$12)</f>
        <v/>
      </c>
      <c r="L202" s="27" t="str">
        <f aca="true">IF($B202="","",IF($E202&lt;&gt;"","Paid",IF($D202="","Not sent",IF(TODAY()&gt;$K202,"OVERDUE","Due"))))</f>
        <v/>
      </c>
    </row>
    <row r="203" customFormat="false" ht="15" hidden="false" customHeight="false" outlineLevel="0" collapsed="false">
      <c r="A203" s="23"/>
      <c r="B203" s="23"/>
      <c r="C203" s="34"/>
      <c r="D203" s="22"/>
      <c r="E203" s="22"/>
      <c r="F203" s="23"/>
      <c r="G203" s="31" t="str">
        <f aca="false">IF($B203="","",COUNTIFS('Cleans Log'!$M$5:$M$1004,$B203,'Cleans Log'!$Q$5:$Q$1004,$C203,'Cleans Log'!$N$5:$N$1004,"&gt;0"))</f>
        <v/>
      </c>
      <c r="H203" s="28" t="str">
        <f aca="false">IF($B203="","",SUMIFS('Cleans Log'!$N$5:$N$1004,'Cleans Log'!$M$5:$M$1004,$B203,'Cleans Log'!$Q$5:$Q$1004,$C203))</f>
        <v/>
      </c>
      <c r="I203" s="28" t="str">
        <f aca="false">IF($B203="","",SUMIFS(Purchases!$N$5:$N$1004,Purchases!$L$5:$L$1004,$B203,Purchases!$P$5:$P$1004,$C203))</f>
        <v/>
      </c>
      <c r="J203" s="28" t="str">
        <f aca="false">IF($B203="","",$H203+$I203)</f>
        <v/>
      </c>
      <c r="K203" s="30" t="str">
        <f aca="false">IF(OR($B203="",$D203=""),"",$D203+Settings!$B$12)</f>
        <v/>
      </c>
      <c r="L203" s="27" t="str">
        <f aca="true">IF($B203="","",IF($E203&lt;&gt;"","Paid",IF($D203="","Not sent",IF(TODAY()&gt;$K203,"OVERDUE","Due"))))</f>
        <v/>
      </c>
    </row>
    <row r="204" customFormat="false" ht="15" hidden="false" customHeight="false" outlineLevel="0" collapsed="false">
      <c r="A204" s="23"/>
      <c r="B204" s="23"/>
      <c r="C204" s="34"/>
      <c r="D204" s="22"/>
      <c r="E204" s="22"/>
      <c r="F204" s="23"/>
      <c r="G204" s="31" t="str">
        <f aca="false">IF($B204="","",COUNTIFS('Cleans Log'!$M$5:$M$1004,$B204,'Cleans Log'!$Q$5:$Q$1004,$C204,'Cleans Log'!$N$5:$N$1004,"&gt;0"))</f>
        <v/>
      </c>
      <c r="H204" s="28" t="str">
        <f aca="false">IF($B204="","",SUMIFS('Cleans Log'!$N$5:$N$1004,'Cleans Log'!$M$5:$M$1004,$B204,'Cleans Log'!$Q$5:$Q$1004,$C204))</f>
        <v/>
      </c>
      <c r="I204" s="28" t="str">
        <f aca="false">IF($B204="","",SUMIFS(Purchases!$N$5:$N$1004,Purchases!$L$5:$L$1004,$B204,Purchases!$P$5:$P$1004,$C204))</f>
        <v/>
      </c>
      <c r="J204" s="28" t="str">
        <f aca="false">IF($B204="","",$H204+$I204)</f>
        <v/>
      </c>
      <c r="K204" s="30" t="str">
        <f aca="false">IF(OR($B204="",$D204=""),"",$D204+Settings!$B$12)</f>
        <v/>
      </c>
      <c r="L204" s="27" t="str">
        <f aca="true">IF($B204="","",IF($E204&lt;&gt;"","Paid",IF($D204="","Not sent",IF(TODAY()&gt;$K204,"OVERDUE","Due"))))</f>
        <v/>
      </c>
    </row>
    <row r="205" customFormat="false" ht="15" hidden="false" customHeight="false" outlineLevel="0" collapsed="false">
      <c r="A205" s="23"/>
      <c r="B205" s="23"/>
      <c r="C205" s="34"/>
      <c r="D205" s="22"/>
      <c r="E205" s="22"/>
      <c r="F205" s="23"/>
      <c r="G205" s="31" t="str">
        <f aca="false">IF($B205="","",COUNTIFS('Cleans Log'!$M$5:$M$1004,$B205,'Cleans Log'!$Q$5:$Q$1004,$C205,'Cleans Log'!$N$5:$N$1004,"&gt;0"))</f>
        <v/>
      </c>
      <c r="H205" s="28" t="str">
        <f aca="false">IF($B205="","",SUMIFS('Cleans Log'!$N$5:$N$1004,'Cleans Log'!$M$5:$M$1004,$B205,'Cleans Log'!$Q$5:$Q$1004,$C205))</f>
        <v/>
      </c>
      <c r="I205" s="28" t="str">
        <f aca="false">IF($B205="","",SUMIFS(Purchases!$N$5:$N$1004,Purchases!$L$5:$L$1004,$B205,Purchases!$P$5:$P$1004,$C205))</f>
        <v/>
      </c>
      <c r="J205" s="28" t="str">
        <f aca="false">IF($B205="","",$H205+$I205)</f>
        <v/>
      </c>
      <c r="K205" s="30" t="str">
        <f aca="false">IF(OR($B205="",$D205=""),"",$D205+Settings!$B$12)</f>
        <v/>
      </c>
      <c r="L205" s="27" t="str">
        <f aca="true">IF($B205="","",IF($E205&lt;&gt;"","Paid",IF($D205="","Not sent",IF(TODAY()&gt;$K205,"OVERDUE","Due"))))</f>
        <v/>
      </c>
    </row>
    <row r="206" customFormat="false" ht="15" hidden="false" customHeight="false" outlineLevel="0" collapsed="false">
      <c r="A206" s="23"/>
      <c r="B206" s="23"/>
      <c r="C206" s="34"/>
      <c r="D206" s="22"/>
      <c r="E206" s="22"/>
      <c r="F206" s="23"/>
      <c r="G206" s="31" t="str">
        <f aca="false">IF($B206="","",COUNTIFS('Cleans Log'!$M$5:$M$1004,$B206,'Cleans Log'!$Q$5:$Q$1004,$C206,'Cleans Log'!$N$5:$N$1004,"&gt;0"))</f>
        <v/>
      </c>
      <c r="H206" s="28" t="str">
        <f aca="false">IF($B206="","",SUMIFS('Cleans Log'!$N$5:$N$1004,'Cleans Log'!$M$5:$M$1004,$B206,'Cleans Log'!$Q$5:$Q$1004,$C206))</f>
        <v/>
      </c>
      <c r="I206" s="28" t="str">
        <f aca="false">IF($B206="","",SUMIFS(Purchases!$N$5:$N$1004,Purchases!$L$5:$L$1004,$B206,Purchases!$P$5:$P$1004,$C206))</f>
        <v/>
      </c>
      <c r="J206" s="28" t="str">
        <f aca="false">IF($B206="","",$H206+$I206)</f>
        <v/>
      </c>
      <c r="K206" s="30" t="str">
        <f aca="false">IF(OR($B206="",$D206=""),"",$D206+Settings!$B$12)</f>
        <v/>
      </c>
      <c r="L206" s="27" t="str">
        <f aca="true">IF($B206="","",IF($E206&lt;&gt;"","Paid",IF($D206="","Not sent",IF(TODAY()&gt;$K206,"OVERDUE","Due"))))</f>
        <v/>
      </c>
    </row>
    <row r="207" customFormat="false" ht="15" hidden="false" customHeight="false" outlineLevel="0" collapsed="false">
      <c r="A207" s="23"/>
      <c r="B207" s="23"/>
      <c r="C207" s="34"/>
      <c r="D207" s="22"/>
      <c r="E207" s="22"/>
      <c r="F207" s="23"/>
      <c r="G207" s="31" t="str">
        <f aca="false">IF($B207="","",COUNTIFS('Cleans Log'!$M$5:$M$1004,$B207,'Cleans Log'!$Q$5:$Q$1004,$C207,'Cleans Log'!$N$5:$N$1004,"&gt;0"))</f>
        <v/>
      </c>
      <c r="H207" s="28" t="str">
        <f aca="false">IF($B207="","",SUMIFS('Cleans Log'!$N$5:$N$1004,'Cleans Log'!$M$5:$M$1004,$B207,'Cleans Log'!$Q$5:$Q$1004,$C207))</f>
        <v/>
      </c>
      <c r="I207" s="28" t="str">
        <f aca="false">IF($B207="","",SUMIFS(Purchases!$N$5:$N$1004,Purchases!$L$5:$L$1004,$B207,Purchases!$P$5:$P$1004,$C207))</f>
        <v/>
      </c>
      <c r="J207" s="28" t="str">
        <f aca="false">IF($B207="","",$H207+$I207)</f>
        <v/>
      </c>
      <c r="K207" s="30" t="str">
        <f aca="false">IF(OR($B207="",$D207=""),"",$D207+Settings!$B$12)</f>
        <v/>
      </c>
      <c r="L207" s="27" t="str">
        <f aca="true">IF($B207="","",IF($E207&lt;&gt;"","Paid",IF($D207="","Not sent",IF(TODAY()&gt;$K207,"OVERDUE","Due"))))</f>
        <v/>
      </c>
    </row>
    <row r="208" customFormat="false" ht="15" hidden="false" customHeight="false" outlineLevel="0" collapsed="false">
      <c r="A208" s="23"/>
      <c r="B208" s="23"/>
      <c r="C208" s="34"/>
      <c r="D208" s="22"/>
      <c r="E208" s="22"/>
      <c r="F208" s="23"/>
      <c r="G208" s="31" t="str">
        <f aca="false">IF($B208="","",COUNTIFS('Cleans Log'!$M$5:$M$1004,$B208,'Cleans Log'!$Q$5:$Q$1004,$C208,'Cleans Log'!$N$5:$N$1004,"&gt;0"))</f>
        <v/>
      </c>
      <c r="H208" s="28" t="str">
        <f aca="false">IF($B208="","",SUMIFS('Cleans Log'!$N$5:$N$1004,'Cleans Log'!$M$5:$M$1004,$B208,'Cleans Log'!$Q$5:$Q$1004,$C208))</f>
        <v/>
      </c>
      <c r="I208" s="28" t="str">
        <f aca="false">IF($B208="","",SUMIFS(Purchases!$N$5:$N$1004,Purchases!$L$5:$L$1004,$B208,Purchases!$P$5:$P$1004,$C208))</f>
        <v/>
      </c>
      <c r="J208" s="28" t="str">
        <f aca="false">IF($B208="","",$H208+$I208)</f>
        <v/>
      </c>
      <c r="K208" s="30" t="str">
        <f aca="false">IF(OR($B208="",$D208=""),"",$D208+Settings!$B$12)</f>
        <v/>
      </c>
      <c r="L208" s="27" t="str">
        <f aca="true">IF($B208="","",IF($E208&lt;&gt;"","Paid",IF($D208="","Not sent",IF(TODAY()&gt;$K208,"OVERDUE","Due"))))</f>
        <v/>
      </c>
    </row>
    <row r="209" customFormat="false" ht="15" hidden="false" customHeight="false" outlineLevel="0" collapsed="false">
      <c r="A209" s="23"/>
      <c r="B209" s="23"/>
      <c r="C209" s="34"/>
      <c r="D209" s="22"/>
      <c r="E209" s="22"/>
      <c r="F209" s="23"/>
      <c r="G209" s="31" t="str">
        <f aca="false">IF($B209="","",COUNTIFS('Cleans Log'!$M$5:$M$1004,$B209,'Cleans Log'!$Q$5:$Q$1004,$C209,'Cleans Log'!$N$5:$N$1004,"&gt;0"))</f>
        <v/>
      </c>
      <c r="H209" s="28" t="str">
        <f aca="false">IF($B209="","",SUMIFS('Cleans Log'!$N$5:$N$1004,'Cleans Log'!$M$5:$M$1004,$B209,'Cleans Log'!$Q$5:$Q$1004,$C209))</f>
        <v/>
      </c>
      <c r="I209" s="28" t="str">
        <f aca="false">IF($B209="","",SUMIFS(Purchases!$N$5:$N$1004,Purchases!$L$5:$L$1004,$B209,Purchases!$P$5:$P$1004,$C209))</f>
        <v/>
      </c>
      <c r="J209" s="28" t="str">
        <f aca="false">IF($B209="","",$H209+$I209)</f>
        <v/>
      </c>
      <c r="K209" s="30" t="str">
        <f aca="false">IF(OR($B209="",$D209=""),"",$D209+Settings!$B$12)</f>
        <v/>
      </c>
      <c r="L209" s="27" t="str">
        <f aca="true">IF($B209="","",IF($E209&lt;&gt;"","Paid",IF($D209="","Not sent",IF(TODAY()&gt;$K209,"OVERDUE","Due"))))</f>
        <v/>
      </c>
    </row>
    <row r="210" customFormat="false" ht="15" hidden="false" customHeight="false" outlineLevel="0" collapsed="false">
      <c r="A210" s="23"/>
      <c r="B210" s="23"/>
      <c r="C210" s="34"/>
      <c r="D210" s="22"/>
      <c r="E210" s="22"/>
      <c r="F210" s="23"/>
      <c r="G210" s="31" t="str">
        <f aca="false">IF($B210="","",COUNTIFS('Cleans Log'!$M$5:$M$1004,$B210,'Cleans Log'!$Q$5:$Q$1004,$C210,'Cleans Log'!$N$5:$N$1004,"&gt;0"))</f>
        <v/>
      </c>
      <c r="H210" s="28" t="str">
        <f aca="false">IF($B210="","",SUMIFS('Cleans Log'!$N$5:$N$1004,'Cleans Log'!$M$5:$M$1004,$B210,'Cleans Log'!$Q$5:$Q$1004,$C210))</f>
        <v/>
      </c>
      <c r="I210" s="28" t="str">
        <f aca="false">IF($B210="","",SUMIFS(Purchases!$N$5:$N$1004,Purchases!$L$5:$L$1004,$B210,Purchases!$P$5:$P$1004,$C210))</f>
        <v/>
      </c>
      <c r="J210" s="28" t="str">
        <f aca="false">IF($B210="","",$H210+$I210)</f>
        <v/>
      </c>
      <c r="K210" s="30" t="str">
        <f aca="false">IF(OR($B210="",$D210=""),"",$D210+Settings!$B$12)</f>
        <v/>
      </c>
      <c r="L210" s="27" t="str">
        <f aca="true">IF($B210="","",IF($E210&lt;&gt;"","Paid",IF($D210="","Not sent",IF(TODAY()&gt;$K210,"OVERDUE","Due"))))</f>
        <v/>
      </c>
    </row>
    <row r="211" customFormat="false" ht="15" hidden="false" customHeight="false" outlineLevel="0" collapsed="false">
      <c r="A211" s="23"/>
      <c r="B211" s="23"/>
      <c r="C211" s="34"/>
      <c r="D211" s="22"/>
      <c r="E211" s="22"/>
      <c r="F211" s="23"/>
      <c r="G211" s="31" t="str">
        <f aca="false">IF($B211="","",COUNTIFS('Cleans Log'!$M$5:$M$1004,$B211,'Cleans Log'!$Q$5:$Q$1004,$C211,'Cleans Log'!$N$5:$N$1004,"&gt;0"))</f>
        <v/>
      </c>
      <c r="H211" s="28" t="str">
        <f aca="false">IF($B211="","",SUMIFS('Cleans Log'!$N$5:$N$1004,'Cleans Log'!$M$5:$M$1004,$B211,'Cleans Log'!$Q$5:$Q$1004,$C211))</f>
        <v/>
      </c>
      <c r="I211" s="28" t="str">
        <f aca="false">IF($B211="","",SUMIFS(Purchases!$N$5:$N$1004,Purchases!$L$5:$L$1004,$B211,Purchases!$P$5:$P$1004,$C211))</f>
        <v/>
      </c>
      <c r="J211" s="28" t="str">
        <f aca="false">IF($B211="","",$H211+$I211)</f>
        <v/>
      </c>
      <c r="K211" s="30" t="str">
        <f aca="false">IF(OR($B211="",$D211=""),"",$D211+Settings!$B$12)</f>
        <v/>
      </c>
      <c r="L211" s="27" t="str">
        <f aca="true">IF($B211="","",IF($E211&lt;&gt;"","Paid",IF($D211="","Not sent",IF(TODAY()&gt;$K211,"OVERDUE","Due"))))</f>
        <v/>
      </c>
    </row>
    <row r="212" customFormat="false" ht="15" hidden="false" customHeight="false" outlineLevel="0" collapsed="false">
      <c r="A212" s="23"/>
      <c r="B212" s="23"/>
      <c r="C212" s="34"/>
      <c r="D212" s="22"/>
      <c r="E212" s="22"/>
      <c r="F212" s="23"/>
      <c r="G212" s="31" t="str">
        <f aca="false">IF($B212="","",COUNTIFS('Cleans Log'!$M$5:$M$1004,$B212,'Cleans Log'!$Q$5:$Q$1004,$C212,'Cleans Log'!$N$5:$N$1004,"&gt;0"))</f>
        <v/>
      </c>
      <c r="H212" s="28" t="str">
        <f aca="false">IF($B212="","",SUMIFS('Cleans Log'!$N$5:$N$1004,'Cleans Log'!$M$5:$M$1004,$B212,'Cleans Log'!$Q$5:$Q$1004,$C212))</f>
        <v/>
      </c>
      <c r="I212" s="28" t="str">
        <f aca="false">IF($B212="","",SUMIFS(Purchases!$N$5:$N$1004,Purchases!$L$5:$L$1004,$B212,Purchases!$P$5:$P$1004,$C212))</f>
        <v/>
      </c>
      <c r="J212" s="28" t="str">
        <f aca="false">IF($B212="","",$H212+$I212)</f>
        <v/>
      </c>
      <c r="K212" s="30" t="str">
        <f aca="false">IF(OR($B212="",$D212=""),"",$D212+Settings!$B$12)</f>
        <v/>
      </c>
      <c r="L212" s="27" t="str">
        <f aca="true">IF($B212="","",IF($E212&lt;&gt;"","Paid",IF($D212="","Not sent",IF(TODAY()&gt;$K212,"OVERDUE","Due"))))</f>
        <v/>
      </c>
    </row>
    <row r="213" customFormat="false" ht="15" hidden="false" customHeight="false" outlineLevel="0" collapsed="false">
      <c r="A213" s="23"/>
      <c r="B213" s="23"/>
      <c r="C213" s="34"/>
      <c r="D213" s="22"/>
      <c r="E213" s="22"/>
      <c r="F213" s="23"/>
      <c r="G213" s="31" t="str">
        <f aca="false">IF($B213="","",COUNTIFS('Cleans Log'!$M$5:$M$1004,$B213,'Cleans Log'!$Q$5:$Q$1004,$C213,'Cleans Log'!$N$5:$N$1004,"&gt;0"))</f>
        <v/>
      </c>
      <c r="H213" s="28" t="str">
        <f aca="false">IF($B213="","",SUMIFS('Cleans Log'!$N$5:$N$1004,'Cleans Log'!$M$5:$M$1004,$B213,'Cleans Log'!$Q$5:$Q$1004,$C213))</f>
        <v/>
      </c>
      <c r="I213" s="28" t="str">
        <f aca="false">IF($B213="","",SUMIFS(Purchases!$N$5:$N$1004,Purchases!$L$5:$L$1004,$B213,Purchases!$P$5:$P$1004,$C213))</f>
        <v/>
      </c>
      <c r="J213" s="28" t="str">
        <f aca="false">IF($B213="","",$H213+$I213)</f>
        <v/>
      </c>
      <c r="K213" s="30" t="str">
        <f aca="false">IF(OR($B213="",$D213=""),"",$D213+Settings!$B$12)</f>
        <v/>
      </c>
      <c r="L213" s="27" t="str">
        <f aca="true">IF($B213="","",IF($E213&lt;&gt;"","Paid",IF($D213="","Not sent",IF(TODAY()&gt;$K213,"OVERDUE","Due"))))</f>
        <v/>
      </c>
    </row>
    <row r="214" customFormat="false" ht="15" hidden="false" customHeight="false" outlineLevel="0" collapsed="false">
      <c r="A214" s="23"/>
      <c r="B214" s="23"/>
      <c r="C214" s="34"/>
      <c r="D214" s="22"/>
      <c r="E214" s="22"/>
      <c r="F214" s="23"/>
      <c r="G214" s="31" t="str">
        <f aca="false">IF($B214="","",COUNTIFS('Cleans Log'!$M$5:$M$1004,$B214,'Cleans Log'!$Q$5:$Q$1004,$C214,'Cleans Log'!$N$5:$N$1004,"&gt;0"))</f>
        <v/>
      </c>
      <c r="H214" s="28" t="str">
        <f aca="false">IF($B214="","",SUMIFS('Cleans Log'!$N$5:$N$1004,'Cleans Log'!$M$5:$M$1004,$B214,'Cleans Log'!$Q$5:$Q$1004,$C214))</f>
        <v/>
      </c>
      <c r="I214" s="28" t="str">
        <f aca="false">IF($B214="","",SUMIFS(Purchases!$N$5:$N$1004,Purchases!$L$5:$L$1004,$B214,Purchases!$P$5:$P$1004,$C214))</f>
        <v/>
      </c>
      <c r="J214" s="28" t="str">
        <f aca="false">IF($B214="","",$H214+$I214)</f>
        <v/>
      </c>
      <c r="K214" s="30" t="str">
        <f aca="false">IF(OR($B214="",$D214=""),"",$D214+Settings!$B$12)</f>
        <v/>
      </c>
      <c r="L214" s="27" t="str">
        <f aca="true">IF($B214="","",IF($E214&lt;&gt;"","Paid",IF($D214="","Not sent",IF(TODAY()&gt;$K214,"OVERDUE","Due"))))</f>
        <v/>
      </c>
    </row>
    <row r="215" customFormat="false" ht="15" hidden="false" customHeight="false" outlineLevel="0" collapsed="false">
      <c r="A215" s="23"/>
      <c r="B215" s="23"/>
      <c r="C215" s="34"/>
      <c r="D215" s="22"/>
      <c r="E215" s="22"/>
      <c r="F215" s="23"/>
      <c r="G215" s="31" t="str">
        <f aca="false">IF($B215="","",COUNTIFS('Cleans Log'!$M$5:$M$1004,$B215,'Cleans Log'!$Q$5:$Q$1004,$C215,'Cleans Log'!$N$5:$N$1004,"&gt;0"))</f>
        <v/>
      </c>
      <c r="H215" s="28" t="str">
        <f aca="false">IF($B215="","",SUMIFS('Cleans Log'!$N$5:$N$1004,'Cleans Log'!$M$5:$M$1004,$B215,'Cleans Log'!$Q$5:$Q$1004,$C215))</f>
        <v/>
      </c>
      <c r="I215" s="28" t="str">
        <f aca="false">IF($B215="","",SUMIFS(Purchases!$N$5:$N$1004,Purchases!$L$5:$L$1004,$B215,Purchases!$P$5:$P$1004,$C215))</f>
        <v/>
      </c>
      <c r="J215" s="28" t="str">
        <f aca="false">IF($B215="","",$H215+$I215)</f>
        <v/>
      </c>
      <c r="K215" s="30" t="str">
        <f aca="false">IF(OR($B215="",$D215=""),"",$D215+Settings!$B$12)</f>
        <v/>
      </c>
      <c r="L215" s="27" t="str">
        <f aca="true">IF($B215="","",IF($E215&lt;&gt;"","Paid",IF($D215="","Not sent",IF(TODAY()&gt;$K215,"OVERDUE","Due"))))</f>
        <v/>
      </c>
    </row>
    <row r="216" customFormat="false" ht="15" hidden="false" customHeight="false" outlineLevel="0" collapsed="false">
      <c r="A216" s="23"/>
      <c r="B216" s="23"/>
      <c r="C216" s="34"/>
      <c r="D216" s="22"/>
      <c r="E216" s="22"/>
      <c r="F216" s="23"/>
      <c r="G216" s="31" t="str">
        <f aca="false">IF($B216="","",COUNTIFS('Cleans Log'!$M$5:$M$1004,$B216,'Cleans Log'!$Q$5:$Q$1004,$C216,'Cleans Log'!$N$5:$N$1004,"&gt;0"))</f>
        <v/>
      </c>
      <c r="H216" s="28" t="str">
        <f aca="false">IF($B216="","",SUMIFS('Cleans Log'!$N$5:$N$1004,'Cleans Log'!$M$5:$M$1004,$B216,'Cleans Log'!$Q$5:$Q$1004,$C216))</f>
        <v/>
      </c>
      <c r="I216" s="28" t="str">
        <f aca="false">IF($B216="","",SUMIFS(Purchases!$N$5:$N$1004,Purchases!$L$5:$L$1004,$B216,Purchases!$P$5:$P$1004,$C216))</f>
        <v/>
      </c>
      <c r="J216" s="28" t="str">
        <f aca="false">IF($B216="","",$H216+$I216)</f>
        <v/>
      </c>
      <c r="K216" s="30" t="str">
        <f aca="false">IF(OR($B216="",$D216=""),"",$D216+Settings!$B$12)</f>
        <v/>
      </c>
      <c r="L216" s="27" t="str">
        <f aca="true">IF($B216="","",IF($E216&lt;&gt;"","Paid",IF($D216="","Not sent",IF(TODAY()&gt;$K216,"OVERDUE","Due"))))</f>
        <v/>
      </c>
    </row>
    <row r="217" customFormat="false" ht="15" hidden="false" customHeight="false" outlineLevel="0" collapsed="false">
      <c r="A217" s="23"/>
      <c r="B217" s="23"/>
      <c r="C217" s="34"/>
      <c r="D217" s="22"/>
      <c r="E217" s="22"/>
      <c r="F217" s="23"/>
      <c r="G217" s="31" t="str">
        <f aca="false">IF($B217="","",COUNTIFS('Cleans Log'!$M$5:$M$1004,$B217,'Cleans Log'!$Q$5:$Q$1004,$C217,'Cleans Log'!$N$5:$N$1004,"&gt;0"))</f>
        <v/>
      </c>
      <c r="H217" s="28" t="str">
        <f aca="false">IF($B217="","",SUMIFS('Cleans Log'!$N$5:$N$1004,'Cleans Log'!$M$5:$M$1004,$B217,'Cleans Log'!$Q$5:$Q$1004,$C217))</f>
        <v/>
      </c>
      <c r="I217" s="28" t="str">
        <f aca="false">IF($B217="","",SUMIFS(Purchases!$N$5:$N$1004,Purchases!$L$5:$L$1004,$B217,Purchases!$P$5:$P$1004,$C217))</f>
        <v/>
      </c>
      <c r="J217" s="28" t="str">
        <f aca="false">IF($B217="","",$H217+$I217)</f>
        <v/>
      </c>
      <c r="K217" s="30" t="str">
        <f aca="false">IF(OR($B217="",$D217=""),"",$D217+Settings!$B$12)</f>
        <v/>
      </c>
      <c r="L217" s="27" t="str">
        <f aca="true">IF($B217="","",IF($E217&lt;&gt;"","Paid",IF($D217="","Not sent",IF(TODAY()&gt;$K217,"OVERDUE","Due"))))</f>
        <v/>
      </c>
    </row>
    <row r="218" customFormat="false" ht="15" hidden="false" customHeight="false" outlineLevel="0" collapsed="false">
      <c r="A218" s="23"/>
      <c r="B218" s="23"/>
      <c r="C218" s="34"/>
      <c r="D218" s="22"/>
      <c r="E218" s="22"/>
      <c r="F218" s="23"/>
      <c r="G218" s="31" t="str">
        <f aca="false">IF($B218="","",COUNTIFS('Cleans Log'!$M$5:$M$1004,$B218,'Cleans Log'!$Q$5:$Q$1004,$C218,'Cleans Log'!$N$5:$N$1004,"&gt;0"))</f>
        <v/>
      </c>
      <c r="H218" s="28" t="str">
        <f aca="false">IF($B218="","",SUMIFS('Cleans Log'!$N$5:$N$1004,'Cleans Log'!$M$5:$M$1004,$B218,'Cleans Log'!$Q$5:$Q$1004,$C218))</f>
        <v/>
      </c>
      <c r="I218" s="28" t="str">
        <f aca="false">IF($B218="","",SUMIFS(Purchases!$N$5:$N$1004,Purchases!$L$5:$L$1004,$B218,Purchases!$P$5:$P$1004,$C218))</f>
        <v/>
      </c>
      <c r="J218" s="28" t="str">
        <f aca="false">IF($B218="","",$H218+$I218)</f>
        <v/>
      </c>
      <c r="K218" s="30" t="str">
        <f aca="false">IF(OR($B218="",$D218=""),"",$D218+Settings!$B$12)</f>
        <v/>
      </c>
      <c r="L218" s="27" t="str">
        <f aca="true">IF($B218="","",IF($E218&lt;&gt;"","Paid",IF($D218="","Not sent",IF(TODAY()&gt;$K218,"OVERDUE","Due"))))</f>
        <v/>
      </c>
    </row>
    <row r="219" customFormat="false" ht="15" hidden="false" customHeight="false" outlineLevel="0" collapsed="false">
      <c r="A219" s="23"/>
      <c r="B219" s="23"/>
      <c r="C219" s="34"/>
      <c r="D219" s="22"/>
      <c r="E219" s="22"/>
      <c r="F219" s="23"/>
      <c r="G219" s="31" t="str">
        <f aca="false">IF($B219="","",COUNTIFS('Cleans Log'!$M$5:$M$1004,$B219,'Cleans Log'!$Q$5:$Q$1004,$C219,'Cleans Log'!$N$5:$N$1004,"&gt;0"))</f>
        <v/>
      </c>
      <c r="H219" s="28" t="str">
        <f aca="false">IF($B219="","",SUMIFS('Cleans Log'!$N$5:$N$1004,'Cleans Log'!$M$5:$M$1004,$B219,'Cleans Log'!$Q$5:$Q$1004,$C219))</f>
        <v/>
      </c>
      <c r="I219" s="28" t="str">
        <f aca="false">IF($B219="","",SUMIFS(Purchases!$N$5:$N$1004,Purchases!$L$5:$L$1004,$B219,Purchases!$P$5:$P$1004,$C219))</f>
        <v/>
      </c>
      <c r="J219" s="28" t="str">
        <f aca="false">IF($B219="","",$H219+$I219)</f>
        <v/>
      </c>
      <c r="K219" s="30" t="str">
        <f aca="false">IF(OR($B219="",$D219=""),"",$D219+Settings!$B$12)</f>
        <v/>
      </c>
      <c r="L219" s="27" t="str">
        <f aca="true">IF($B219="","",IF($E219&lt;&gt;"","Paid",IF($D219="","Not sent",IF(TODAY()&gt;$K219,"OVERDUE","Due"))))</f>
        <v/>
      </c>
    </row>
    <row r="220" customFormat="false" ht="15" hidden="false" customHeight="false" outlineLevel="0" collapsed="false">
      <c r="A220" s="23"/>
      <c r="B220" s="23"/>
      <c r="C220" s="34"/>
      <c r="D220" s="22"/>
      <c r="E220" s="22"/>
      <c r="F220" s="23"/>
      <c r="G220" s="31" t="str">
        <f aca="false">IF($B220="","",COUNTIFS('Cleans Log'!$M$5:$M$1004,$B220,'Cleans Log'!$Q$5:$Q$1004,$C220,'Cleans Log'!$N$5:$N$1004,"&gt;0"))</f>
        <v/>
      </c>
      <c r="H220" s="28" t="str">
        <f aca="false">IF($B220="","",SUMIFS('Cleans Log'!$N$5:$N$1004,'Cleans Log'!$M$5:$M$1004,$B220,'Cleans Log'!$Q$5:$Q$1004,$C220))</f>
        <v/>
      </c>
      <c r="I220" s="28" t="str">
        <f aca="false">IF($B220="","",SUMIFS(Purchases!$N$5:$N$1004,Purchases!$L$5:$L$1004,$B220,Purchases!$P$5:$P$1004,$C220))</f>
        <v/>
      </c>
      <c r="J220" s="28" t="str">
        <f aca="false">IF($B220="","",$H220+$I220)</f>
        <v/>
      </c>
      <c r="K220" s="30" t="str">
        <f aca="false">IF(OR($B220="",$D220=""),"",$D220+Settings!$B$12)</f>
        <v/>
      </c>
      <c r="L220" s="27" t="str">
        <f aca="true">IF($B220="","",IF($E220&lt;&gt;"","Paid",IF($D220="","Not sent",IF(TODAY()&gt;$K220,"OVERDUE","Due"))))</f>
        <v/>
      </c>
    </row>
    <row r="221" customFormat="false" ht="15" hidden="false" customHeight="false" outlineLevel="0" collapsed="false">
      <c r="A221" s="23"/>
      <c r="B221" s="23"/>
      <c r="C221" s="34"/>
      <c r="D221" s="22"/>
      <c r="E221" s="22"/>
      <c r="F221" s="23"/>
      <c r="G221" s="31" t="str">
        <f aca="false">IF($B221="","",COUNTIFS('Cleans Log'!$M$5:$M$1004,$B221,'Cleans Log'!$Q$5:$Q$1004,$C221,'Cleans Log'!$N$5:$N$1004,"&gt;0"))</f>
        <v/>
      </c>
      <c r="H221" s="28" t="str">
        <f aca="false">IF($B221="","",SUMIFS('Cleans Log'!$N$5:$N$1004,'Cleans Log'!$M$5:$M$1004,$B221,'Cleans Log'!$Q$5:$Q$1004,$C221))</f>
        <v/>
      </c>
      <c r="I221" s="28" t="str">
        <f aca="false">IF($B221="","",SUMIFS(Purchases!$N$5:$N$1004,Purchases!$L$5:$L$1004,$B221,Purchases!$P$5:$P$1004,$C221))</f>
        <v/>
      </c>
      <c r="J221" s="28" t="str">
        <f aca="false">IF($B221="","",$H221+$I221)</f>
        <v/>
      </c>
      <c r="K221" s="30" t="str">
        <f aca="false">IF(OR($B221="",$D221=""),"",$D221+Settings!$B$12)</f>
        <v/>
      </c>
      <c r="L221" s="27" t="str">
        <f aca="true">IF($B221="","",IF($E221&lt;&gt;"","Paid",IF($D221="","Not sent",IF(TODAY()&gt;$K221,"OVERDUE","Due"))))</f>
        <v/>
      </c>
    </row>
    <row r="222" customFormat="false" ht="15" hidden="false" customHeight="false" outlineLevel="0" collapsed="false">
      <c r="A222" s="23"/>
      <c r="B222" s="23"/>
      <c r="C222" s="34"/>
      <c r="D222" s="22"/>
      <c r="E222" s="22"/>
      <c r="F222" s="23"/>
      <c r="G222" s="31" t="str">
        <f aca="false">IF($B222="","",COUNTIFS('Cleans Log'!$M$5:$M$1004,$B222,'Cleans Log'!$Q$5:$Q$1004,$C222,'Cleans Log'!$N$5:$N$1004,"&gt;0"))</f>
        <v/>
      </c>
      <c r="H222" s="28" t="str">
        <f aca="false">IF($B222="","",SUMIFS('Cleans Log'!$N$5:$N$1004,'Cleans Log'!$M$5:$M$1004,$B222,'Cleans Log'!$Q$5:$Q$1004,$C222))</f>
        <v/>
      </c>
      <c r="I222" s="28" t="str">
        <f aca="false">IF($B222="","",SUMIFS(Purchases!$N$5:$N$1004,Purchases!$L$5:$L$1004,$B222,Purchases!$P$5:$P$1004,$C222))</f>
        <v/>
      </c>
      <c r="J222" s="28" t="str">
        <f aca="false">IF($B222="","",$H222+$I222)</f>
        <v/>
      </c>
      <c r="K222" s="30" t="str">
        <f aca="false">IF(OR($B222="",$D222=""),"",$D222+Settings!$B$12)</f>
        <v/>
      </c>
      <c r="L222" s="27" t="str">
        <f aca="true">IF($B222="","",IF($E222&lt;&gt;"","Paid",IF($D222="","Not sent",IF(TODAY()&gt;$K222,"OVERDUE","Due"))))</f>
        <v/>
      </c>
    </row>
    <row r="223" customFormat="false" ht="15" hidden="false" customHeight="false" outlineLevel="0" collapsed="false">
      <c r="A223" s="23"/>
      <c r="B223" s="23"/>
      <c r="C223" s="34"/>
      <c r="D223" s="22"/>
      <c r="E223" s="22"/>
      <c r="F223" s="23"/>
      <c r="G223" s="31" t="str">
        <f aca="false">IF($B223="","",COUNTIFS('Cleans Log'!$M$5:$M$1004,$B223,'Cleans Log'!$Q$5:$Q$1004,$C223,'Cleans Log'!$N$5:$N$1004,"&gt;0"))</f>
        <v/>
      </c>
      <c r="H223" s="28" t="str">
        <f aca="false">IF($B223="","",SUMIFS('Cleans Log'!$N$5:$N$1004,'Cleans Log'!$M$5:$M$1004,$B223,'Cleans Log'!$Q$5:$Q$1004,$C223))</f>
        <v/>
      </c>
      <c r="I223" s="28" t="str">
        <f aca="false">IF($B223="","",SUMIFS(Purchases!$N$5:$N$1004,Purchases!$L$5:$L$1004,$B223,Purchases!$P$5:$P$1004,$C223))</f>
        <v/>
      </c>
      <c r="J223" s="28" t="str">
        <f aca="false">IF($B223="","",$H223+$I223)</f>
        <v/>
      </c>
      <c r="K223" s="30" t="str">
        <f aca="false">IF(OR($B223="",$D223=""),"",$D223+Settings!$B$12)</f>
        <v/>
      </c>
      <c r="L223" s="27" t="str">
        <f aca="true">IF($B223="","",IF($E223&lt;&gt;"","Paid",IF($D223="","Not sent",IF(TODAY()&gt;$K223,"OVERDUE","Due"))))</f>
        <v/>
      </c>
    </row>
    <row r="224" customFormat="false" ht="15" hidden="false" customHeight="false" outlineLevel="0" collapsed="false">
      <c r="A224" s="23"/>
      <c r="B224" s="23"/>
      <c r="C224" s="34"/>
      <c r="D224" s="22"/>
      <c r="E224" s="22"/>
      <c r="F224" s="23"/>
      <c r="G224" s="31" t="str">
        <f aca="false">IF($B224="","",COUNTIFS('Cleans Log'!$M$5:$M$1004,$B224,'Cleans Log'!$Q$5:$Q$1004,$C224,'Cleans Log'!$N$5:$N$1004,"&gt;0"))</f>
        <v/>
      </c>
      <c r="H224" s="28" t="str">
        <f aca="false">IF($B224="","",SUMIFS('Cleans Log'!$N$5:$N$1004,'Cleans Log'!$M$5:$M$1004,$B224,'Cleans Log'!$Q$5:$Q$1004,$C224))</f>
        <v/>
      </c>
      <c r="I224" s="28" t="str">
        <f aca="false">IF($B224="","",SUMIFS(Purchases!$N$5:$N$1004,Purchases!$L$5:$L$1004,$B224,Purchases!$P$5:$P$1004,$C224))</f>
        <v/>
      </c>
      <c r="J224" s="28" t="str">
        <f aca="false">IF($B224="","",$H224+$I224)</f>
        <v/>
      </c>
      <c r="K224" s="30" t="str">
        <f aca="false">IF(OR($B224="",$D224=""),"",$D224+Settings!$B$12)</f>
        <v/>
      </c>
      <c r="L224" s="27" t="str">
        <f aca="true">IF($B224="","",IF($E224&lt;&gt;"","Paid",IF($D224="","Not sent",IF(TODAY()&gt;$K224,"OVERDUE","Due"))))</f>
        <v/>
      </c>
    </row>
    <row r="225" customFormat="false" ht="15" hidden="false" customHeight="false" outlineLevel="0" collapsed="false">
      <c r="A225" s="23"/>
      <c r="B225" s="23"/>
      <c r="C225" s="34"/>
      <c r="D225" s="22"/>
      <c r="E225" s="22"/>
      <c r="F225" s="23"/>
      <c r="G225" s="31" t="str">
        <f aca="false">IF($B225="","",COUNTIFS('Cleans Log'!$M$5:$M$1004,$B225,'Cleans Log'!$Q$5:$Q$1004,$C225,'Cleans Log'!$N$5:$N$1004,"&gt;0"))</f>
        <v/>
      </c>
      <c r="H225" s="28" t="str">
        <f aca="false">IF($B225="","",SUMIFS('Cleans Log'!$N$5:$N$1004,'Cleans Log'!$M$5:$M$1004,$B225,'Cleans Log'!$Q$5:$Q$1004,$C225))</f>
        <v/>
      </c>
      <c r="I225" s="28" t="str">
        <f aca="false">IF($B225="","",SUMIFS(Purchases!$N$5:$N$1004,Purchases!$L$5:$L$1004,$B225,Purchases!$P$5:$P$1004,$C225))</f>
        <v/>
      </c>
      <c r="J225" s="28" t="str">
        <f aca="false">IF($B225="","",$H225+$I225)</f>
        <v/>
      </c>
      <c r="K225" s="30" t="str">
        <f aca="false">IF(OR($B225="",$D225=""),"",$D225+Settings!$B$12)</f>
        <v/>
      </c>
      <c r="L225" s="27" t="str">
        <f aca="true">IF($B225="","",IF($E225&lt;&gt;"","Paid",IF($D225="","Not sent",IF(TODAY()&gt;$K225,"OVERDUE","Due"))))</f>
        <v/>
      </c>
    </row>
    <row r="226" customFormat="false" ht="15" hidden="false" customHeight="false" outlineLevel="0" collapsed="false">
      <c r="A226" s="23"/>
      <c r="B226" s="23"/>
      <c r="C226" s="34"/>
      <c r="D226" s="22"/>
      <c r="E226" s="22"/>
      <c r="F226" s="23"/>
      <c r="G226" s="31" t="str">
        <f aca="false">IF($B226="","",COUNTIFS('Cleans Log'!$M$5:$M$1004,$B226,'Cleans Log'!$Q$5:$Q$1004,$C226,'Cleans Log'!$N$5:$N$1004,"&gt;0"))</f>
        <v/>
      </c>
      <c r="H226" s="28" t="str">
        <f aca="false">IF($B226="","",SUMIFS('Cleans Log'!$N$5:$N$1004,'Cleans Log'!$M$5:$M$1004,$B226,'Cleans Log'!$Q$5:$Q$1004,$C226))</f>
        <v/>
      </c>
      <c r="I226" s="28" t="str">
        <f aca="false">IF($B226="","",SUMIFS(Purchases!$N$5:$N$1004,Purchases!$L$5:$L$1004,$B226,Purchases!$P$5:$P$1004,$C226))</f>
        <v/>
      </c>
      <c r="J226" s="28" t="str">
        <f aca="false">IF($B226="","",$H226+$I226)</f>
        <v/>
      </c>
      <c r="K226" s="30" t="str">
        <f aca="false">IF(OR($B226="",$D226=""),"",$D226+Settings!$B$12)</f>
        <v/>
      </c>
      <c r="L226" s="27" t="str">
        <f aca="true">IF($B226="","",IF($E226&lt;&gt;"","Paid",IF($D226="","Not sent",IF(TODAY()&gt;$K226,"OVERDUE","Due"))))</f>
        <v/>
      </c>
    </row>
    <row r="227" customFormat="false" ht="15" hidden="false" customHeight="false" outlineLevel="0" collapsed="false">
      <c r="A227" s="23"/>
      <c r="B227" s="23"/>
      <c r="C227" s="34"/>
      <c r="D227" s="22"/>
      <c r="E227" s="22"/>
      <c r="F227" s="23"/>
      <c r="G227" s="31" t="str">
        <f aca="false">IF($B227="","",COUNTIFS('Cleans Log'!$M$5:$M$1004,$B227,'Cleans Log'!$Q$5:$Q$1004,$C227,'Cleans Log'!$N$5:$N$1004,"&gt;0"))</f>
        <v/>
      </c>
      <c r="H227" s="28" t="str">
        <f aca="false">IF($B227="","",SUMIFS('Cleans Log'!$N$5:$N$1004,'Cleans Log'!$M$5:$M$1004,$B227,'Cleans Log'!$Q$5:$Q$1004,$C227))</f>
        <v/>
      </c>
      <c r="I227" s="28" t="str">
        <f aca="false">IF($B227="","",SUMIFS(Purchases!$N$5:$N$1004,Purchases!$L$5:$L$1004,$B227,Purchases!$P$5:$P$1004,$C227))</f>
        <v/>
      </c>
      <c r="J227" s="28" t="str">
        <f aca="false">IF($B227="","",$H227+$I227)</f>
        <v/>
      </c>
      <c r="K227" s="30" t="str">
        <f aca="false">IF(OR($B227="",$D227=""),"",$D227+Settings!$B$12)</f>
        <v/>
      </c>
      <c r="L227" s="27" t="str">
        <f aca="true">IF($B227="","",IF($E227&lt;&gt;"","Paid",IF($D227="","Not sent",IF(TODAY()&gt;$K227,"OVERDUE","Due"))))</f>
        <v/>
      </c>
    </row>
    <row r="228" customFormat="false" ht="15" hidden="false" customHeight="false" outlineLevel="0" collapsed="false">
      <c r="A228" s="23"/>
      <c r="B228" s="23"/>
      <c r="C228" s="34"/>
      <c r="D228" s="22"/>
      <c r="E228" s="22"/>
      <c r="F228" s="23"/>
      <c r="G228" s="31" t="str">
        <f aca="false">IF($B228="","",COUNTIFS('Cleans Log'!$M$5:$M$1004,$B228,'Cleans Log'!$Q$5:$Q$1004,$C228,'Cleans Log'!$N$5:$N$1004,"&gt;0"))</f>
        <v/>
      </c>
      <c r="H228" s="28" t="str">
        <f aca="false">IF($B228="","",SUMIFS('Cleans Log'!$N$5:$N$1004,'Cleans Log'!$M$5:$M$1004,$B228,'Cleans Log'!$Q$5:$Q$1004,$C228))</f>
        <v/>
      </c>
      <c r="I228" s="28" t="str">
        <f aca="false">IF($B228="","",SUMIFS(Purchases!$N$5:$N$1004,Purchases!$L$5:$L$1004,$B228,Purchases!$P$5:$P$1004,$C228))</f>
        <v/>
      </c>
      <c r="J228" s="28" t="str">
        <f aca="false">IF($B228="","",$H228+$I228)</f>
        <v/>
      </c>
      <c r="K228" s="30" t="str">
        <f aca="false">IF(OR($B228="",$D228=""),"",$D228+Settings!$B$12)</f>
        <v/>
      </c>
      <c r="L228" s="27" t="str">
        <f aca="true">IF($B228="","",IF($E228&lt;&gt;"","Paid",IF($D228="","Not sent",IF(TODAY()&gt;$K228,"OVERDUE","Due"))))</f>
        <v/>
      </c>
    </row>
    <row r="229" customFormat="false" ht="15" hidden="false" customHeight="false" outlineLevel="0" collapsed="false">
      <c r="A229" s="23"/>
      <c r="B229" s="23"/>
      <c r="C229" s="34"/>
      <c r="D229" s="22"/>
      <c r="E229" s="22"/>
      <c r="F229" s="23"/>
      <c r="G229" s="31" t="str">
        <f aca="false">IF($B229="","",COUNTIFS('Cleans Log'!$M$5:$M$1004,$B229,'Cleans Log'!$Q$5:$Q$1004,$C229,'Cleans Log'!$N$5:$N$1004,"&gt;0"))</f>
        <v/>
      </c>
      <c r="H229" s="28" t="str">
        <f aca="false">IF($B229="","",SUMIFS('Cleans Log'!$N$5:$N$1004,'Cleans Log'!$M$5:$M$1004,$B229,'Cleans Log'!$Q$5:$Q$1004,$C229))</f>
        <v/>
      </c>
      <c r="I229" s="28" t="str">
        <f aca="false">IF($B229="","",SUMIFS(Purchases!$N$5:$N$1004,Purchases!$L$5:$L$1004,$B229,Purchases!$P$5:$P$1004,$C229))</f>
        <v/>
      </c>
      <c r="J229" s="28" t="str">
        <f aca="false">IF($B229="","",$H229+$I229)</f>
        <v/>
      </c>
      <c r="K229" s="30" t="str">
        <f aca="false">IF(OR($B229="",$D229=""),"",$D229+Settings!$B$12)</f>
        <v/>
      </c>
      <c r="L229" s="27" t="str">
        <f aca="true">IF($B229="","",IF($E229&lt;&gt;"","Paid",IF($D229="","Not sent",IF(TODAY()&gt;$K229,"OVERDUE","Due"))))</f>
        <v/>
      </c>
    </row>
    <row r="230" customFormat="false" ht="15" hidden="false" customHeight="false" outlineLevel="0" collapsed="false">
      <c r="A230" s="23"/>
      <c r="B230" s="23"/>
      <c r="C230" s="34"/>
      <c r="D230" s="22"/>
      <c r="E230" s="22"/>
      <c r="F230" s="23"/>
      <c r="G230" s="31" t="str">
        <f aca="false">IF($B230="","",COUNTIFS('Cleans Log'!$M$5:$M$1004,$B230,'Cleans Log'!$Q$5:$Q$1004,$C230,'Cleans Log'!$N$5:$N$1004,"&gt;0"))</f>
        <v/>
      </c>
      <c r="H230" s="28" t="str">
        <f aca="false">IF($B230="","",SUMIFS('Cleans Log'!$N$5:$N$1004,'Cleans Log'!$M$5:$M$1004,$B230,'Cleans Log'!$Q$5:$Q$1004,$C230))</f>
        <v/>
      </c>
      <c r="I230" s="28" t="str">
        <f aca="false">IF($B230="","",SUMIFS(Purchases!$N$5:$N$1004,Purchases!$L$5:$L$1004,$B230,Purchases!$P$5:$P$1004,$C230))</f>
        <v/>
      </c>
      <c r="J230" s="28" t="str">
        <f aca="false">IF($B230="","",$H230+$I230)</f>
        <v/>
      </c>
      <c r="K230" s="30" t="str">
        <f aca="false">IF(OR($B230="",$D230=""),"",$D230+Settings!$B$12)</f>
        <v/>
      </c>
      <c r="L230" s="27" t="str">
        <f aca="true">IF($B230="","",IF($E230&lt;&gt;"","Paid",IF($D230="","Not sent",IF(TODAY()&gt;$K230,"OVERDUE","Due"))))</f>
        <v/>
      </c>
    </row>
    <row r="231" customFormat="false" ht="15" hidden="false" customHeight="false" outlineLevel="0" collapsed="false">
      <c r="A231" s="23"/>
      <c r="B231" s="23"/>
      <c r="C231" s="34"/>
      <c r="D231" s="22"/>
      <c r="E231" s="22"/>
      <c r="F231" s="23"/>
      <c r="G231" s="31" t="str">
        <f aca="false">IF($B231="","",COUNTIFS('Cleans Log'!$M$5:$M$1004,$B231,'Cleans Log'!$Q$5:$Q$1004,$C231,'Cleans Log'!$N$5:$N$1004,"&gt;0"))</f>
        <v/>
      </c>
      <c r="H231" s="28" t="str">
        <f aca="false">IF($B231="","",SUMIFS('Cleans Log'!$N$5:$N$1004,'Cleans Log'!$M$5:$M$1004,$B231,'Cleans Log'!$Q$5:$Q$1004,$C231))</f>
        <v/>
      </c>
      <c r="I231" s="28" t="str">
        <f aca="false">IF($B231="","",SUMIFS(Purchases!$N$5:$N$1004,Purchases!$L$5:$L$1004,$B231,Purchases!$P$5:$P$1004,$C231))</f>
        <v/>
      </c>
      <c r="J231" s="28" t="str">
        <f aca="false">IF($B231="","",$H231+$I231)</f>
        <v/>
      </c>
      <c r="K231" s="30" t="str">
        <f aca="false">IF(OR($B231="",$D231=""),"",$D231+Settings!$B$12)</f>
        <v/>
      </c>
      <c r="L231" s="27" t="str">
        <f aca="true">IF($B231="","",IF($E231&lt;&gt;"","Paid",IF($D231="","Not sent",IF(TODAY()&gt;$K231,"OVERDUE","Due"))))</f>
        <v/>
      </c>
    </row>
    <row r="232" customFormat="false" ht="15" hidden="false" customHeight="false" outlineLevel="0" collapsed="false">
      <c r="A232" s="23"/>
      <c r="B232" s="23"/>
      <c r="C232" s="34"/>
      <c r="D232" s="22"/>
      <c r="E232" s="22"/>
      <c r="F232" s="23"/>
      <c r="G232" s="31" t="str">
        <f aca="false">IF($B232="","",COUNTIFS('Cleans Log'!$M$5:$M$1004,$B232,'Cleans Log'!$Q$5:$Q$1004,$C232,'Cleans Log'!$N$5:$N$1004,"&gt;0"))</f>
        <v/>
      </c>
      <c r="H232" s="28" t="str">
        <f aca="false">IF($B232="","",SUMIFS('Cleans Log'!$N$5:$N$1004,'Cleans Log'!$M$5:$M$1004,$B232,'Cleans Log'!$Q$5:$Q$1004,$C232))</f>
        <v/>
      </c>
      <c r="I232" s="28" t="str">
        <f aca="false">IF($B232="","",SUMIFS(Purchases!$N$5:$N$1004,Purchases!$L$5:$L$1004,$B232,Purchases!$P$5:$P$1004,$C232))</f>
        <v/>
      </c>
      <c r="J232" s="28" t="str">
        <f aca="false">IF($B232="","",$H232+$I232)</f>
        <v/>
      </c>
      <c r="K232" s="30" t="str">
        <f aca="false">IF(OR($B232="",$D232=""),"",$D232+Settings!$B$12)</f>
        <v/>
      </c>
      <c r="L232" s="27" t="str">
        <f aca="true">IF($B232="","",IF($E232&lt;&gt;"","Paid",IF($D232="","Not sent",IF(TODAY()&gt;$K232,"OVERDUE","Due"))))</f>
        <v/>
      </c>
    </row>
    <row r="233" customFormat="false" ht="15" hidden="false" customHeight="false" outlineLevel="0" collapsed="false">
      <c r="A233" s="23"/>
      <c r="B233" s="23"/>
      <c r="C233" s="34"/>
      <c r="D233" s="22"/>
      <c r="E233" s="22"/>
      <c r="F233" s="23"/>
      <c r="G233" s="31" t="str">
        <f aca="false">IF($B233="","",COUNTIFS('Cleans Log'!$M$5:$M$1004,$B233,'Cleans Log'!$Q$5:$Q$1004,$C233,'Cleans Log'!$N$5:$N$1004,"&gt;0"))</f>
        <v/>
      </c>
      <c r="H233" s="28" t="str">
        <f aca="false">IF($B233="","",SUMIFS('Cleans Log'!$N$5:$N$1004,'Cleans Log'!$M$5:$M$1004,$B233,'Cleans Log'!$Q$5:$Q$1004,$C233))</f>
        <v/>
      </c>
      <c r="I233" s="28" t="str">
        <f aca="false">IF($B233="","",SUMIFS(Purchases!$N$5:$N$1004,Purchases!$L$5:$L$1004,$B233,Purchases!$P$5:$P$1004,$C233))</f>
        <v/>
      </c>
      <c r="J233" s="28" t="str">
        <f aca="false">IF($B233="","",$H233+$I233)</f>
        <v/>
      </c>
      <c r="K233" s="30" t="str">
        <f aca="false">IF(OR($B233="",$D233=""),"",$D233+Settings!$B$12)</f>
        <v/>
      </c>
      <c r="L233" s="27" t="str">
        <f aca="true">IF($B233="","",IF($E233&lt;&gt;"","Paid",IF($D233="","Not sent",IF(TODAY()&gt;$K233,"OVERDUE","Due"))))</f>
        <v/>
      </c>
    </row>
    <row r="234" customFormat="false" ht="15" hidden="false" customHeight="false" outlineLevel="0" collapsed="false">
      <c r="A234" s="23"/>
      <c r="B234" s="23"/>
      <c r="C234" s="34"/>
      <c r="D234" s="22"/>
      <c r="E234" s="22"/>
      <c r="F234" s="23"/>
      <c r="G234" s="31" t="str">
        <f aca="false">IF($B234="","",COUNTIFS('Cleans Log'!$M$5:$M$1004,$B234,'Cleans Log'!$Q$5:$Q$1004,$C234,'Cleans Log'!$N$5:$N$1004,"&gt;0"))</f>
        <v/>
      </c>
      <c r="H234" s="28" t="str">
        <f aca="false">IF($B234="","",SUMIFS('Cleans Log'!$N$5:$N$1004,'Cleans Log'!$M$5:$M$1004,$B234,'Cleans Log'!$Q$5:$Q$1004,$C234))</f>
        <v/>
      </c>
      <c r="I234" s="28" t="str">
        <f aca="false">IF($B234="","",SUMIFS(Purchases!$N$5:$N$1004,Purchases!$L$5:$L$1004,$B234,Purchases!$P$5:$P$1004,$C234))</f>
        <v/>
      </c>
      <c r="J234" s="28" t="str">
        <f aca="false">IF($B234="","",$H234+$I234)</f>
        <v/>
      </c>
      <c r="K234" s="30" t="str">
        <f aca="false">IF(OR($B234="",$D234=""),"",$D234+Settings!$B$12)</f>
        <v/>
      </c>
      <c r="L234" s="27" t="str">
        <f aca="true">IF($B234="","",IF($E234&lt;&gt;"","Paid",IF($D234="","Not sent",IF(TODAY()&gt;$K234,"OVERDUE","Due"))))</f>
        <v/>
      </c>
    </row>
    <row r="235" customFormat="false" ht="15" hidden="false" customHeight="false" outlineLevel="0" collapsed="false">
      <c r="A235" s="23"/>
      <c r="B235" s="23"/>
      <c r="C235" s="34"/>
      <c r="D235" s="22"/>
      <c r="E235" s="22"/>
      <c r="F235" s="23"/>
      <c r="G235" s="31" t="str">
        <f aca="false">IF($B235="","",COUNTIFS('Cleans Log'!$M$5:$M$1004,$B235,'Cleans Log'!$Q$5:$Q$1004,$C235,'Cleans Log'!$N$5:$N$1004,"&gt;0"))</f>
        <v/>
      </c>
      <c r="H235" s="28" t="str">
        <f aca="false">IF($B235="","",SUMIFS('Cleans Log'!$N$5:$N$1004,'Cleans Log'!$M$5:$M$1004,$B235,'Cleans Log'!$Q$5:$Q$1004,$C235))</f>
        <v/>
      </c>
      <c r="I235" s="28" t="str">
        <f aca="false">IF($B235="","",SUMIFS(Purchases!$N$5:$N$1004,Purchases!$L$5:$L$1004,$B235,Purchases!$P$5:$P$1004,$C235))</f>
        <v/>
      </c>
      <c r="J235" s="28" t="str">
        <f aca="false">IF($B235="","",$H235+$I235)</f>
        <v/>
      </c>
      <c r="K235" s="30" t="str">
        <f aca="false">IF(OR($B235="",$D235=""),"",$D235+Settings!$B$12)</f>
        <v/>
      </c>
      <c r="L235" s="27" t="str">
        <f aca="true">IF($B235="","",IF($E235&lt;&gt;"","Paid",IF($D235="","Not sent",IF(TODAY()&gt;$K235,"OVERDUE","Due"))))</f>
        <v/>
      </c>
    </row>
    <row r="236" customFormat="false" ht="15" hidden="false" customHeight="false" outlineLevel="0" collapsed="false">
      <c r="A236" s="23"/>
      <c r="B236" s="23"/>
      <c r="C236" s="34"/>
      <c r="D236" s="22"/>
      <c r="E236" s="22"/>
      <c r="F236" s="23"/>
      <c r="G236" s="31" t="str">
        <f aca="false">IF($B236="","",COUNTIFS('Cleans Log'!$M$5:$M$1004,$B236,'Cleans Log'!$Q$5:$Q$1004,$C236,'Cleans Log'!$N$5:$N$1004,"&gt;0"))</f>
        <v/>
      </c>
      <c r="H236" s="28" t="str">
        <f aca="false">IF($B236="","",SUMIFS('Cleans Log'!$N$5:$N$1004,'Cleans Log'!$M$5:$M$1004,$B236,'Cleans Log'!$Q$5:$Q$1004,$C236))</f>
        <v/>
      </c>
      <c r="I236" s="28" t="str">
        <f aca="false">IF($B236="","",SUMIFS(Purchases!$N$5:$N$1004,Purchases!$L$5:$L$1004,$B236,Purchases!$P$5:$P$1004,$C236))</f>
        <v/>
      </c>
      <c r="J236" s="28" t="str">
        <f aca="false">IF($B236="","",$H236+$I236)</f>
        <v/>
      </c>
      <c r="K236" s="30" t="str">
        <f aca="false">IF(OR($B236="",$D236=""),"",$D236+Settings!$B$12)</f>
        <v/>
      </c>
      <c r="L236" s="27" t="str">
        <f aca="true">IF($B236="","",IF($E236&lt;&gt;"","Paid",IF($D236="","Not sent",IF(TODAY()&gt;$K236,"OVERDUE","Due"))))</f>
        <v/>
      </c>
    </row>
    <row r="237" customFormat="false" ht="15" hidden="false" customHeight="false" outlineLevel="0" collapsed="false">
      <c r="A237" s="23"/>
      <c r="B237" s="23"/>
      <c r="C237" s="34"/>
      <c r="D237" s="22"/>
      <c r="E237" s="22"/>
      <c r="F237" s="23"/>
      <c r="G237" s="31" t="str">
        <f aca="false">IF($B237="","",COUNTIFS('Cleans Log'!$M$5:$M$1004,$B237,'Cleans Log'!$Q$5:$Q$1004,$C237,'Cleans Log'!$N$5:$N$1004,"&gt;0"))</f>
        <v/>
      </c>
      <c r="H237" s="28" t="str">
        <f aca="false">IF($B237="","",SUMIFS('Cleans Log'!$N$5:$N$1004,'Cleans Log'!$M$5:$M$1004,$B237,'Cleans Log'!$Q$5:$Q$1004,$C237))</f>
        <v/>
      </c>
      <c r="I237" s="28" t="str">
        <f aca="false">IF($B237="","",SUMIFS(Purchases!$N$5:$N$1004,Purchases!$L$5:$L$1004,$B237,Purchases!$P$5:$P$1004,$C237))</f>
        <v/>
      </c>
      <c r="J237" s="28" t="str">
        <f aca="false">IF($B237="","",$H237+$I237)</f>
        <v/>
      </c>
      <c r="K237" s="30" t="str">
        <f aca="false">IF(OR($B237="",$D237=""),"",$D237+Settings!$B$12)</f>
        <v/>
      </c>
      <c r="L237" s="27" t="str">
        <f aca="true">IF($B237="","",IF($E237&lt;&gt;"","Paid",IF($D237="","Not sent",IF(TODAY()&gt;$K237,"OVERDUE","Due"))))</f>
        <v/>
      </c>
    </row>
    <row r="238" customFormat="false" ht="15" hidden="false" customHeight="false" outlineLevel="0" collapsed="false">
      <c r="A238" s="23"/>
      <c r="B238" s="23"/>
      <c r="C238" s="34"/>
      <c r="D238" s="22"/>
      <c r="E238" s="22"/>
      <c r="F238" s="23"/>
      <c r="G238" s="31" t="str">
        <f aca="false">IF($B238="","",COUNTIFS('Cleans Log'!$M$5:$M$1004,$B238,'Cleans Log'!$Q$5:$Q$1004,$C238,'Cleans Log'!$N$5:$N$1004,"&gt;0"))</f>
        <v/>
      </c>
      <c r="H238" s="28" t="str">
        <f aca="false">IF($B238="","",SUMIFS('Cleans Log'!$N$5:$N$1004,'Cleans Log'!$M$5:$M$1004,$B238,'Cleans Log'!$Q$5:$Q$1004,$C238))</f>
        <v/>
      </c>
      <c r="I238" s="28" t="str">
        <f aca="false">IF($B238="","",SUMIFS(Purchases!$N$5:$N$1004,Purchases!$L$5:$L$1004,$B238,Purchases!$P$5:$P$1004,$C238))</f>
        <v/>
      </c>
      <c r="J238" s="28" t="str">
        <f aca="false">IF($B238="","",$H238+$I238)</f>
        <v/>
      </c>
      <c r="K238" s="30" t="str">
        <f aca="false">IF(OR($B238="",$D238=""),"",$D238+Settings!$B$12)</f>
        <v/>
      </c>
      <c r="L238" s="27" t="str">
        <f aca="true">IF($B238="","",IF($E238&lt;&gt;"","Paid",IF($D238="","Not sent",IF(TODAY()&gt;$K238,"OVERDUE","Due"))))</f>
        <v/>
      </c>
    </row>
    <row r="239" customFormat="false" ht="15" hidden="false" customHeight="false" outlineLevel="0" collapsed="false">
      <c r="A239" s="23"/>
      <c r="B239" s="23"/>
      <c r="C239" s="34"/>
      <c r="D239" s="22"/>
      <c r="E239" s="22"/>
      <c r="F239" s="23"/>
      <c r="G239" s="31" t="str">
        <f aca="false">IF($B239="","",COUNTIFS('Cleans Log'!$M$5:$M$1004,$B239,'Cleans Log'!$Q$5:$Q$1004,$C239,'Cleans Log'!$N$5:$N$1004,"&gt;0"))</f>
        <v/>
      </c>
      <c r="H239" s="28" t="str">
        <f aca="false">IF($B239="","",SUMIFS('Cleans Log'!$N$5:$N$1004,'Cleans Log'!$M$5:$M$1004,$B239,'Cleans Log'!$Q$5:$Q$1004,$C239))</f>
        <v/>
      </c>
      <c r="I239" s="28" t="str">
        <f aca="false">IF($B239="","",SUMIFS(Purchases!$N$5:$N$1004,Purchases!$L$5:$L$1004,$B239,Purchases!$P$5:$P$1004,$C239))</f>
        <v/>
      </c>
      <c r="J239" s="28" t="str">
        <f aca="false">IF($B239="","",$H239+$I239)</f>
        <v/>
      </c>
      <c r="K239" s="30" t="str">
        <f aca="false">IF(OR($B239="",$D239=""),"",$D239+Settings!$B$12)</f>
        <v/>
      </c>
      <c r="L239" s="27" t="str">
        <f aca="true">IF($B239="","",IF($E239&lt;&gt;"","Paid",IF($D239="","Not sent",IF(TODAY()&gt;$K239,"OVERDUE","Due"))))</f>
        <v/>
      </c>
    </row>
    <row r="240" customFormat="false" ht="15" hidden="false" customHeight="false" outlineLevel="0" collapsed="false">
      <c r="A240" s="23"/>
      <c r="B240" s="23"/>
      <c r="C240" s="34"/>
      <c r="D240" s="22"/>
      <c r="E240" s="22"/>
      <c r="F240" s="23"/>
      <c r="G240" s="31" t="str">
        <f aca="false">IF($B240="","",COUNTIFS('Cleans Log'!$M$5:$M$1004,$B240,'Cleans Log'!$Q$5:$Q$1004,$C240,'Cleans Log'!$N$5:$N$1004,"&gt;0"))</f>
        <v/>
      </c>
      <c r="H240" s="28" t="str">
        <f aca="false">IF($B240="","",SUMIFS('Cleans Log'!$N$5:$N$1004,'Cleans Log'!$M$5:$M$1004,$B240,'Cleans Log'!$Q$5:$Q$1004,$C240))</f>
        <v/>
      </c>
      <c r="I240" s="28" t="str">
        <f aca="false">IF($B240="","",SUMIFS(Purchases!$N$5:$N$1004,Purchases!$L$5:$L$1004,$B240,Purchases!$P$5:$P$1004,$C240))</f>
        <v/>
      </c>
      <c r="J240" s="28" t="str">
        <f aca="false">IF($B240="","",$H240+$I240)</f>
        <v/>
      </c>
      <c r="K240" s="30" t="str">
        <f aca="false">IF(OR($B240="",$D240=""),"",$D240+Settings!$B$12)</f>
        <v/>
      </c>
      <c r="L240" s="27" t="str">
        <f aca="true">IF($B240="","",IF($E240&lt;&gt;"","Paid",IF($D240="","Not sent",IF(TODAY()&gt;$K240,"OVERDUE","Due"))))</f>
        <v/>
      </c>
    </row>
    <row r="241" customFormat="false" ht="15" hidden="false" customHeight="false" outlineLevel="0" collapsed="false">
      <c r="A241" s="23"/>
      <c r="B241" s="23"/>
      <c r="C241" s="34"/>
      <c r="D241" s="22"/>
      <c r="E241" s="22"/>
      <c r="F241" s="23"/>
      <c r="G241" s="31" t="str">
        <f aca="false">IF($B241="","",COUNTIFS('Cleans Log'!$M$5:$M$1004,$B241,'Cleans Log'!$Q$5:$Q$1004,$C241,'Cleans Log'!$N$5:$N$1004,"&gt;0"))</f>
        <v/>
      </c>
      <c r="H241" s="28" t="str">
        <f aca="false">IF($B241="","",SUMIFS('Cleans Log'!$N$5:$N$1004,'Cleans Log'!$M$5:$M$1004,$B241,'Cleans Log'!$Q$5:$Q$1004,$C241))</f>
        <v/>
      </c>
      <c r="I241" s="28" t="str">
        <f aca="false">IF($B241="","",SUMIFS(Purchases!$N$5:$N$1004,Purchases!$L$5:$L$1004,$B241,Purchases!$P$5:$P$1004,$C241))</f>
        <v/>
      </c>
      <c r="J241" s="28" t="str">
        <f aca="false">IF($B241="","",$H241+$I241)</f>
        <v/>
      </c>
      <c r="K241" s="30" t="str">
        <f aca="false">IF(OR($B241="",$D241=""),"",$D241+Settings!$B$12)</f>
        <v/>
      </c>
      <c r="L241" s="27" t="str">
        <f aca="true">IF($B241="","",IF($E241&lt;&gt;"","Paid",IF($D241="","Not sent",IF(TODAY()&gt;$K241,"OVERDUE","Due"))))</f>
        <v/>
      </c>
    </row>
    <row r="242" customFormat="false" ht="15" hidden="false" customHeight="false" outlineLevel="0" collapsed="false">
      <c r="A242" s="23"/>
      <c r="B242" s="23"/>
      <c r="C242" s="34"/>
      <c r="D242" s="22"/>
      <c r="E242" s="22"/>
      <c r="F242" s="23"/>
      <c r="G242" s="31" t="str">
        <f aca="false">IF($B242="","",COUNTIFS('Cleans Log'!$M$5:$M$1004,$B242,'Cleans Log'!$Q$5:$Q$1004,$C242,'Cleans Log'!$N$5:$N$1004,"&gt;0"))</f>
        <v/>
      </c>
      <c r="H242" s="28" t="str">
        <f aca="false">IF($B242="","",SUMIFS('Cleans Log'!$N$5:$N$1004,'Cleans Log'!$M$5:$M$1004,$B242,'Cleans Log'!$Q$5:$Q$1004,$C242))</f>
        <v/>
      </c>
      <c r="I242" s="28" t="str">
        <f aca="false">IF($B242="","",SUMIFS(Purchases!$N$5:$N$1004,Purchases!$L$5:$L$1004,$B242,Purchases!$P$5:$P$1004,$C242))</f>
        <v/>
      </c>
      <c r="J242" s="28" t="str">
        <f aca="false">IF($B242="","",$H242+$I242)</f>
        <v/>
      </c>
      <c r="K242" s="30" t="str">
        <f aca="false">IF(OR($B242="",$D242=""),"",$D242+Settings!$B$12)</f>
        <v/>
      </c>
      <c r="L242" s="27" t="str">
        <f aca="true">IF($B242="","",IF($E242&lt;&gt;"","Paid",IF($D242="","Not sent",IF(TODAY()&gt;$K242,"OVERDUE","Due"))))</f>
        <v/>
      </c>
    </row>
    <row r="243" customFormat="false" ht="15" hidden="false" customHeight="false" outlineLevel="0" collapsed="false">
      <c r="A243" s="23"/>
      <c r="B243" s="23"/>
      <c r="C243" s="34"/>
      <c r="D243" s="22"/>
      <c r="E243" s="22"/>
      <c r="F243" s="23"/>
      <c r="G243" s="31" t="str">
        <f aca="false">IF($B243="","",COUNTIFS('Cleans Log'!$M$5:$M$1004,$B243,'Cleans Log'!$Q$5:$Q$1004,$C243,'Cleans Log'!$N$5:$N$1004,"&gt;0"))</f>
        <v/>
      </c>
      <c r="H243" s="28" t="str">
        <f aca="false">IF($B243="","",SUMIFS('Cleans Log'!$N$5:$N$1004,'Cleans Log'!$M$5:$M$1004,$B243,'Cleans Log'!$Q$5:$Q$1004,$C243))</f>
        <v/>
      </c>
      <c r="I243" s="28" t="str">
        <f aca="false">IF($B243="","",SUMIFS(Purchases!$N$5:$N$1004,Purchases!$L$5:$L$1004,$B243,Purchases!$P$5:$P$1004,$C243))</f>
        <v/>
      </c>
      <c r="J243" s="28" t="str">
        <f aca="false">IF($B243="","",$H243+$I243)</f>
        <v/>
      </c>
      <c r="K243" s="30" t="str">
        <f aca="false">IF(OR($B243="",$D243=""),"",$D243+Settings!$B$12)</f>
        <v/>
      </c>
      <c r="L243" s="27" t="str">
        <f aca="true">IF($B243="","",IF($E243&lt;&gt;"","Paid",IF($D243="","Not sent",IF(TODAY()&gt;$K243,"OVERDUE","Due"))))</f>
        <v/>
      </c>
    </row>
    <row r="244" customFormat="false" ht="15" hidden="false" customHeight="false" outlineLevel="0" collapsed="false">
      <c r="A244" s="23"/>
      <c r="B244" s="23"/>
      <c r="C244" s="34"/>
      <c r="D244" s="22"/>
      <c r="E244" s="22"/>
      <c r="F244" s="23"/>
      <c r="G244" s="31" t="str">
        <f aca="false">IF($B244="","",COUNTIFS('Cleans Log'!$M$5:$M$1004,$B244,'Cleans Log'!$Q$5:$Q$1004,$C244,'Cleans Log'!$N$5:$N$1004,"&gt;0"))</f>
        <v/>
      </c>
      <c r="H244" s="28" t="str">
        <f aca="false">IF($B244="","",SUMIFS('Cleans Log'!$N$5:$N$1004,'Cleans Log'!$M$5:$M$1004,$B244,'Cleans Log'!$Q$5:$Q$1004,$C244))</f>
        <v/>
      </c>
      <c r="I244" s="28" t="str">
        <f aca="false">IF($B244="","",SUMIFS(Purchases!$N$5:$N$1004,Purchases!$L$5:$L$1004,$B244,Purchases!$P$5:$P$1004,$C244))</f>
        <v/>
      </c>
      <c r="J244" s="28" t="str">
        <f aca="false">IF($B244="","",$H244+$I244)</f>
        <v/>
      </c>
      <c r="K244" s="30" t="str">
        <f aca="false">IF(OR($B244="",$D244=""),"",$D244+Settings!$B$12)</f>
        <v/>
      </c>
      <c r="L244" s="27" t="str">
        <f aca="true">IF($B244="","",IF($E244&lt;&gt;"","Paid",IF($D244="","Not sent",IF(TODAY()&gt;$K244,"OVERDUE","Due"))))</f>
        <v/>
      </c>
    </row>
    <row r="245" customFormat="false" ht="15" hidden="false" customHeight="false" outlineLevel="0" collapsed="false">
      <c r="A245" s="23"/>
      <c r="B245" s="23"/>
      <c r="C245" s="34"/>
      <c r="D245" s="22"/>
      <c r="E245" s="22"/>
      <c r="F245" s="23"/>
      <c r="G245" s="31" t="str">
        <f aca="false">IF($B245="","",COUNTIFS('Cleans Log'!$M$5:$M$1004,$B245,'Cleans Log'!$Q$5:$Q$1004,$C245,'Cleans Log'!$N$5:$N$1004,"&gt;0"))</f>
        <v/>
      </c>
      <c r="H245" s="28" t="str">
        <f aca="false">IF($B245="","",SUMIFS('Cleans Log'!$N$5:$N$1004,'Cleans Log'!$M$5:$M$1004,$B245,'Cleans Log'!$Q$5:$Q$1004,$C245))</f>
        <v/>
      </c>
      <c r="I245" s="28" t="str">
        <f aca="false">IF($B245="","",SUMIFS(Purchases!$N$5:$N$1004,Purchases!$L$5:$L$1004,$B245,Purchases!$P$5:$P$1004,$C245))</f>
        <v/>
      </c>
      <c r="J245" s="28" t="str">
        <f aca="false">IF($B245="","",$H245+$I245)</f>
        <v/>
      </c>
      <c r="K245" s="30" t="str">
        <f aca="false">IF(OR($B245="",$D245=""),"",$D245+Settings!$B$12)</f>
        <v/>
      </c>
      <c r="L245" s="27" t="str">
        <f aca="true">IF($B245="","",IF($E245&lt;&gt;"","Paid",IF($D245="","Not sent",IF(TODAY()&gt;$K245,"OVERDUE","Due"))))</f>
        <v/>
      </c>
    </row>
    <row r="246" customFormat="false" ht="15" hidden="false" customHeight="false" outlineLevel="0" collapsed="false">
      <c r="A246" s="23"/>
      <c r="B246" s="23"/>
      <c r="C246" s="34"/>
      <c r="D246" s="22"/>
      <c r="E246" s="22"/>
      <c r="F246" s="23"/>
      <c r="G246" s="31" t="str">
        <f aca="false">IF($B246="","",COUNTIFS('Cleans Log'!$M$5:$M$1004,$B246,'Cleans Log'!$Q$5:$Q$1004,$C246,'Cleans Log'!$N$5:$N$1004,"&gt;0"))</f>
        <v/>
      </c>
      <c r="H246" s="28" t="str">
        <f aca="false">IF($B246="","",SUMIFS('Cleans Log'!$N$5:$N$1004,'Cleans Log'!$M$5:$M$1004,$B246,'Cleans Log'!$Q$5:$Q$1004,$C246))</f>
        <v/>
      </c>
      <c r="I246" s="28" t="str">
        <f aca="false">IF($B246="","",SUMIFS(Purchases!$N$5:$N$1004,Purchases!$L$5:$L$1004,$B246,Purchases!$P$5:$P$1004,$C246))</f>
        <v/>
      </c>
      <c r="J246" s="28" t="str">
        <f aca="false">IF($B246="","",$H246+$I246)</f>
        <v/>
      </c>
      <c r="K246" s="30" t="str">
        <f aca="false">IF(OR($B246="",$D246=""),"",$D246+Settings!$B$12)</f>
        <v/>
      </c>
      <c r="L246" s="27" t="str">
        <f aca="true">IF($B246="","",IF($E246&lt;&gt;"","Paid",IF($D246="","Not sent",IF(TODAY()&gt;$K246,"OVERDUE","Due"))))</f>
        <v/>
      </c>
    </row>
    <row r="247" customFormat="false" ht="15" hidden="false" customHeight="false" outlineLevel="0" collapsed="false">
      <c r="A247" s="23"/>
      <c r="B247" s="23"/>
      <c r="C247" s="34"/>
      <c r="D247" s="22"/>
      <c r="E247" s="22"/>
      <c r="F247" s="23"/>
      <c r="G247" s="31" t="str">
        <f aca="false">IF($B247="","",COUNTIFS('Cleans Log'!$M$5:$M$1004,$B247,'Cleans Log'!$Q$5:$Q$1004,$C247,'Cleans Log'!$N$5:$N$1004,"&gt;0"))</f>
        <v/>
      </c>
      <c r="H247" s="28" t="str">
        <f aca="false">IF($B247="","",SUMIFS('Cleans Log'!$N$5:$N$1004,'Cleans Log'!$M$5:$M$1004,$B247,'Cleans Log'!$Q$5:$Q$1004,$C247))</f>
        <v/>
      </c>
      <c r="I247" s="28" t="str">
        <f aca="false">IF($B247="","",SUMIFS(Purchases!$N$5:$N$1004,Purchases!$L$5:$L$1004,$B247,Purchases!$P$5:$P$1004,$C247))</f>
        <v/>
      </c>
      <c r="J247" s="28" t="str">
        <f aca="false">IF($B247="","",$H247+$I247)</f>
        <v/>
      </c>
      <c r="K247" s="30" t="str">
        <f aca="false">IF(OR($B247="",$D247=""),"",$D247+Settings!$B$12)</f>
        <v/>
      </c>
      <c r="L247" s="27" t="str">
        <f aca="true">IF($B247="","",IF($E247&lt;&gt;"","Paid",IF($D247="","Not sent",IF(TODAY()&gt;$K247,"OVERDUE","Due"))))</f>
        <v/>
      </c>
    </row>
    <row r="248" customFormat="false" ht="15" hidden="false" customHeight="false" outlineLevel="0" collapsed="false">
      <c r="A248" s="23"/>
      <c r="B248" s="23"/>
      <c r="C248" s="34"/>
      <c r="D248" s="22"/>
      <c r="E248" s="22"/>
      <c r="F248" s="23"/>
      <c r="G248" s="31" t="str">
        <f aca="false">IF($B248="","",COUNTIFS('Cleans Log'!$M$5:$M$1004,$B248,'Cleans Log'!$Q$5:$Q$1004,$C248,'Cleans Log'!$N$5:$N$1004,"&gt;0"))</f>
        <v/>
      </c>
      <c r="H248" s="28" t="str">
        <f aca="false">IF($B248="","",SUMIFS('Cleans Log'!$N$5:$N$1004,'Cleans Log'!$M$5:$M$1004,$B248,'Cleans Log'!$Q$5:$Q$1004,$C248))</f>
        <v/>
      </c>
      <c r="I248" s="28" t="str">
        <f aca="false">IF($B248="","",SUMIFS(Purchases!$N$5:$N$1004,Purchases!$L$5:$L$1004,$B248,Purchases!$P$5:$P$1004,$C248))</f>
        <v/>
      </c>
      <c r="J248" s="28" t="str">
        <f aca="false">IF($B248="","",$H248+$I248)</f>
        <v/>
      </c>
      <c r="K248" s="30" t="str">
        <f aca="false">IF(OR($B248="",$D248=""),"",$D248+Settings!$B$12)</f>
        <v/>
      </c>
      <c r="L248" s="27" t="str">
        <f aca="true">IF($B248="","",IF($E248&lt;&gt;"","Paid",IF($D248="","Not sent",IF(TODAY()&gt;$K248,"OVERDUE","Due"))))</f>
        <v/>
      </c>
    </row>
    <row r="249" customFormat="false" ht="15" hidden="false" customHeight="false" outlineLevel="0" collapsed="false">
      <c r="A249" s="23"/>
      <c r="B249" s="23"/>
      <c r="C249" s="34"/>
      <c r="D249" s="22"/>
      <c r="E249" s="22"/>
      <c r="F249" s="23"/>
      <c r="G249" s="31" t="str">
        <f aca="false">IF($B249="","",COUNTIFS('Cleans Log'!$M$5:$M$1004,$B249,'Cleans Log'!$Q$5:$Q$1004,$C249,'Cleans Log'!$N$5:$N$1004,"&gt;0"))</f>
        <v/>
      </c>
      <c r="H249" s="28" t="str">
        <f aca="false">IF($B249="","",SUMIFS('Cleans Log'!$N$5:$N$1004,'Cleans Log'!$M$5:$M$1004,$B249,'Cleans Log'!$Q$5:$Q$1004,$C249))</f>
        <v/>
      </c>
      <c r="I249" s="28" t="str">
        <f aca="false">IF($B249="","",SUMIFS(Purchases!$N$5:$N$1004,Purchases!$L$5:$L$1004,$B249,Purchases!$P$5:$P$1004,$C249))</f>
        <v/>
      </c>
      <c r="J249" s="28" t="str">
        <f aca="false">IF($B249="","",$H249+$I249)</f>
        <v/>
      </c>
      <c r="K249" s="30" t="str">
        <f aca="false">IF(OR($B249="",$D249=""),"",$D249+Settings!$B$12)</f>
        <v/>
      </c>
      <c r="L249" s="27" t="str">
        <f aca="true">IF($B249="","",IF($E249&lt;&gt;"","Paid",IF($D249="","Not sent",IF(TODAY()&gt;$K249,"OVERDUE","Due"))))</f>
        <v/>
      </c>
    </row>
    <row r="250" customFormat="false" ht="15" hidden="false" customHeight="false" outlineLevel="0" collapsed="false">
      <c r="A250" s="23"/>
      <c r="B250" s="23"/>
      <c r="C250" s="34"/>
      <c r="D250" s="22"/>
      <c r="E250" s="22"/>
      <c r="F250" s="23"/>
      <c r="G250" s="31" t="str">
        <f aca="false">IF($B250="","",COUNTIFS('Cleans Log'!$M$5:$M$1004,$B250,'Cleans Log'!$Q$5:$Q$1004,$C250,'Cleans Log'!$N$5:$N$1004,"&gt;0"))</f>
        <v/>
      </c>
      <c r="H250" s="28" t="str">
        <f aca="false">IF($B250="","",SUMIFS('Cleans Log'!$N$5:$N$1004,'Cleans Log'!$M$5:$M$1004,$B250,'Cleans Log'!$Q$5:$Q$1004,$C250))</f>
        <v/>
      </c>
      <c r="I250" s="28" t="str">
        <f aca="false">IF($B250="","",SUMIFS(Purchases!$N$5:$N$1004,Purchases!$L$5:$L$1004,$B250,Purchases!$P$5:$P$1004,$C250))</f>
        <v/>
      </c>
      <c r="J250" s="28" t="str">
        <f aca="false">IF($B250="","",$H250+$I250)</f>
        <v/>
      </c>
      <c r="K250" s="30" t="str">
        <f aca="false">IF(OR($B250="",$D250=""),"",$D250+Settings!$B$12)</f>
        <v/>
      </c>
      <c r="L250" s="27" t="str">
        <f aca="true">IF($B250="","",IF($E250&lt;&gt;"","Paid",IF($D250="","Not sent",IF(TODAY()&gt;$K250,"OVERDUE","Due"))))</f>
        <v/>
      </c>
    </row>
    <row r="251" customFormat="false" ht="15" hidden="false" customHeight="false" outlineLevel="0" collapsed="false">
      <c r="A251" s="23"/>
      <c r="B251" s="23"/>
      <c r="C251" s="34"/>
      <c r="D251" s="22"/>
      <c r="E251" s="22"/>
      <c r="F251" s="23"/>
      <c r="G251" s="31" t="str">
        <f aca="false">IF($B251="","",COUNTIFS('Cleans Log'!$M$5:$M$1004,$B251,'Cleans Log'!$Q$5:$Q$1004,$C251,'Cleans Log'!$N$5:$N$1004,"&gt;0"))</f>
        <v/>
      </c>
      <c r="H251" s="28" t="str">
        <f aca="false">IF($B251="","",SUMIFS('Cleans Log'!$N$5:$N$1004,'Cleans Log'!$M$5:$M$1004,$B251,'Cleans Log'!$Q$5:$Q$1004,$C251))</f>
        <v/>
      </c>
      <c r="I251" s="28" t="str">
        <f aca="false">IF($B251="","",SUMIFS(Purchases!$N$5:$N$1004,Purchases!$L$5:$L$1004,$B251,Purchases!$P$5:$P$1004,$C251))</f>
        <v/>
      </c>
      <c r="J251" s="28" t="str">
        <f aca="false">IF($B251="","",$H251+$I251)</f>
        <v/>
      </c>
      <c r="K251" s="30" t="str">
        <f aca="false">IF(OR($B251="",$D251=""),"",$D251+Settings!$B$12)</f>
        <v/>
      </c>
      <c r="L251" s="27" t="str">
        <f aca="true">IF($B251="","",IF($E251&lt;&gt;"","Paid",IF($D251="","Not sent",IF(TODAY()&gt;$K251,"OVERDUE","Due"))))</f>
        <v/>
      </c>
    </row>
    <row r="252" customFormat="false" ht="15" hidden="false" customHeight="false" outlineLevel="0" collapsed="false">
      <c r="A252" s="23"/>
      <c r="B252" s="23"/>
      <c r="C252" s="34"/>
      <c r="D252" s="22"/>
      <c r="E252" s="22"/>
      <c r="F252" s="23"/>
      <c r="G252" s="31" t="str">
        <f aca="false">IF($B252="","",COUNTIFS('Cleans Log'!$M$5:$M$1004,$B252,'Cleans Log'!$Q$5:$Q$1004,$C252,'Cleans Log'!$N$5:$N$1004,"&gt;0"))</f>
        <v/>
      </c>
      <c r="H252" s="28" t="str">
        <f aca="false">IF($B252="","",SUMIFS('Cleans Log'!$N$5:$N$1004,'Cleans Log'!$M$5:$M$1004,$B252,'Cleans Log'!$Q$5:$Q$1004,$C252))</f>
        <v/>
      </c>
      <c r="I252" s="28" t="str">
        <f aca="false">IF($B252="","",SUMIFS(Purchases!$N$5:$N$1004,Purchases!$L$5:$L$1004,$B252,Purchases!$P$5:$P$1004,$C252))</f>
        <v/>
      </c>
      <c r="J252" s="28" t="str">
        <f aca="false">IF($B252="","",$H252+$I252)</f>
        <v/>
      </c>
      <c r="K252" s="30" t="str">
        <f aca="false">IF(OR($B252="",$D252=""),"",$D252+Settings!$B$12)</f>
        <v/>
      </c>
      <c r="L252" s="27" t="str">
        <f aca="true">IF($B252="","",IF($E252&lt;&gt;"","Paid",IF($D252="","Not sent",IF(TODAY()&gt;$K252,"OVERDUE","Due"))))</f>
        <v/>
      </c>
    </row>
    <row r="253" customFormat="false" ht="15" hidden="false" customHeight="false" outlineLevel="0" collapsed="false">
      <c r="A253" s="23"/>
      <c r="B253" s="23"/>
      <c r="C253" s="34"/>
      <c r="D253" s="22"/>
      <c r="E253" s="22"/>
      <c r="F253" s="23"/>
      <c r="G253" s="31" t="str">
        <f aca="false">IF($B253="","",COUNTIFS('Cleans Log'!$M$5:$M$1004,$B253,'Cleans Log'!$Q$5:$Q$1004,$C253,'Cleans Log'!$N$5:$N$1004,"&gt;0"))</f>
        <v/>
      </c>
      <c r="H253" s="28" t="str">
        <f aca="false">IF($B253="","",SUMIFS('Cleans Log'!$N$5:$N$1004,'Cleans Log'!$M$5:$M$1004,$B253,'Cleans Log'!$Q$5:$Q$1004,$C253))</f>
        <v/>
      </c>
      <c r="I253" s="28" t="str">
        <f aca="false">IF($B253="","",SUMIFS(Purchases!$N$5:$N$1004,Purchases!$L$5:$L$1004,$B253,Purchases!$P$5:$P$1004,$C253))</f>
        <v/>
      </c>
      <c r="J253" s="28" t="str">
        <f aca="false">IF($B253="","",$H253+$I253)</f>
        <v/>
      </c>
      <c r="K253" s="30" t="str">
        <f aca="false">IF(OR($B253="",$D253=""),"",$D253+Settings!$B$12)</f>
        <v/>
      </c>
      <c r="L253" s="27" t="str">
        <f aca="true">IF($B253="","",IF($E253&lt;&gt;"","Paid",IF($D253="","Not sent",IF(TODAY()&gt;$K253,"OVERDUE","Due"))))</f>
        <v/>
      </c>
    </row>
    <row r="254" customFormat="false" ht="15" hidden="false" customHeight="false" outlineLevel="0" collapsed="false">
      <c r="A254" s="23"/>
      <c r="B254" s="23"/>
      <c r="C254" s="34"/>
      <c r="D254" s="22"/>
      <c r="E254" s="22"/>
      <c r="F254" s="23"/>
      <c r="G254" s="31" t="str">
        <f aca="false">IF($B254="","",COUNTIFS('Cleans Log'!$M$5:$M$1004,$B254,'Cleans Log'!$Q$5:$Q$1004,$C254,'Cleans Log'!$N$5:$N$1004,"&gt;0"))</f>
        <v/>
      </c>
      <c r="H254" s="28" t="str">
        <f aca="false">IF($B254="","",SUMIFS('Cleans Log'!$N$5:$N$1004,'Cleans Log'!$M$5:$M$1004,$B254,'Cleans Log'!$Q$5:$Q$1004,$C254))</f>
        <v/>
      </c>
      <c r="I254" s="28" t="str">
        <f aca="false">IF($B254="","",SUMIFS(Purchases!$N$5:$N$1004,Purchases!$L$5:$L$1004,$B254,Purchases!$P$5:$P$1004,$C254))</f>
        <v/>
      </c>
      <c r="J254" s="28" t="str">
        <f aca="false">IF($B254="","",$H254+$I254)</f>
        <v/>
      </c>
      <c r="K254" s="30" t="str">
        <f aca="false">IF(OR($B254="",$D254=""),"",$D254+Settings!$B$12)</f>
        <v/>
      </c>
      <c r="L254" s="27" t="str">
        <f aca="true">IF($B254="","",IF($E254&lt;&gt;"","Paid",IF($D254="","Not sent",IF(TODAY()&gt;$K254,"OVERDUE","Due"))))</f>
        <v/>
      </c>
    </row>
    <row r="255" customFormat="false" ht="15" hidden="false" customHeight="false" outlineLevel="0" collapsed="false">
      <c r="A255" s="23"/>
      <c r="B255" s="23"/>
      <c r="C255" s="34"/>
      <c r="D255" s="22"/>
      <c r="E255" s="22"/>
      <c r="F255" s="23"/>
      <c r="G255" s="31" t="str">
        <f aca="false">IF($B255="","",COUNTIFS('Cleans Log'!$M$5:$M$1004,$B255,'Cleans Log'!$Q$5:$Q$1004,$C255,'Cleans Log'!$N$5:$N$1004,"&gt;0"))</f>
        <v/>
      </c>
      <c r="H255" s="28" t="str">
        <f aca="false">IF($B255="","",SUMIFS('Cleans Log'!$N$5:$N$1004,'Cleans Log'!$M$5:$M$1004,$B255,'Cleans Log'!$Q$5:$Q$1004,$C255))</f>
        <v/>
      </c>
      <c r="I255" s="28" t="str">
        <f aca="false">IF($B255="","",SUMIFS(Purchases!$N$5:$N$1004,Purchases!$L$5:$L$1004,$B255,Purchases!$P$5:$P$1004,$C255))</f>
        <v/>
      </c>
      <c r="J255" s="28" t="str">
        <f aca="false">IF($B255="","",$H255+$I255)</f>
        <v/>
      </c>
      <c r="K255" s="30" t="str">
        <f aca="false">IF(OR($B255="",$D255=""),"",$D255+Settings!$B$12)</f>
        <v/>
      </c>
      <c r="L255" s="27" t="str">
        <f aca="true">IF($B255="","",IF($E255&lt;&gt;"","Paid",IF($D255="","Not sent",IF(TODAY()&gt;$K255,"OVERDUE","Due"))))</f>
        <v/>
      </c>
    </row>
    <row r="256" customFormat="false" ht="15" hidden="false" customHeight="false" outlineLevel="0" collapsed="false">
      <c r="A256" s="23"/>
      <c r="B256" s="23"/>
      <c r="C256" s="34"/>
      <c r="D256" s="22"/>
      <c r="E256" s="22"/>
      <c r="F256" s="23"/>
      <c r="G256" s="31" t="str">
        <f aca="false">IF($B256="","",COUNTIFS('Cleans Log'!$M$5:$M$1004,$B256,'Cleans Log'!$Q$5:$Q$1004,$C256,'Cleans Log'!$N$5:$N$1004,"&gt;0"))</f>
        <v/>
      </c>
      <c r="H256" s="28" t="str">
        <f aca="false">IF($B256="","",SUMIFS('Cleans Log'!$N$5:$N$1004,'Cleans Log'!$M$5:$M$1004,$B256,'Cleans Log'!$Q$5:$Q$1004,$C256))</f>
        <v/>
      </c>
      <c r="I256" s="28" t="str">
        <f aca="false">IF($B256="","",SUMIFS(Purchases!$N$5:$N$1004,Purchases!$L$5:$L$1004,$B256,Purchases!$P$5:$P$1004,$C256))</f>
        <v/>
      </c>
      <c r="J256" s="28" t="str">
        <f aca="false">IF($B256="","",$H256+$I256)</f>
        <v/>
      </c>
      <c r="K256" s="30" t="str">
        <f aca="false">IF(OR($B256="",$D256=""),"",$D256+Settings!$B$12)</f>
        <v/>
      </c>
      <c r="L256" s="27" t="str">
        <f aca="true">IF($B256="","",IF($E256&lt;&gt;"","Paid",IF($D256="","Not sent",IF(TODAY()&gt;$K256,"OVERDUE","Due"))))</f>
        <v/>
      </c>
    </row>
    <row r="257" customFormat="false" ht="15" hidden="false" customHeight="false" outlineLevel="0" collapsed="false">
      <c r="A257" s="23"/>
      <c r="B257" s="23"/>
      <c r="C257" s="34"/>
      <c r="D257" s="22"/>
      <c r="E257" s="22"/>
      <c r="F257" s="23"/>
      <c r="G257" s="31" t="str">
        <f aca="false">IF($B257="","",COUNTIFS('Cleans Log'!$M$5:$M$1004,$B257,'Cleans Log'!$Q$5:$Q$1004,$C257,'Cleans Log'!$N$5:$N$1004,"&gt;0"))</f>
        <v/>
      </c>
      <c r="H257" s="28" t="str">
        <f aca="false">IF($B257="","",SUMIFS('Cleans Log'!$N$5:$N$1004,'Cleans Log'!$M$5:$M$1004,$B257,'Cleans Log'!$Q$5:$Q$1004,$C257))</f>
        <v/>
      </c>
      <c r="I257" s="28" t="str">
        <f aca="false">IF($B257="","",SUMIFS(Purchases!$N$5:$N$1004,Purchases!$L$5:$L$1004,$B257,Purchases!$P$5:$P$1004,$C257))</f>
        <v/>
      </c>
      <c r="J257" s="28" t="str">
        <f aca="false">IF($B257="","",$H257+$I257)</f>
        <v/>
      </c>
      <c r="K257" s="30" t="str">
        <f aca="false">IF(OR($B257="",$D257=""),"",$D257+Settings!$B$12)</f>
        <v/>
      </c>
      <c r="L257" s="27" t="str">
        <f aca="true">IF($B257="","",IF($E257&lt;&gt;"","Paid",IF($D257="","Not sent",IF(TODAY()&gt;$K257,"OVERDUE","Due"))))</f>
        <v/>
      </c>
    </row>
    <row r="258" customFormat="false" ht="15" hidden="false" customHeight="false" outlineLevel="0" collapsed="false">
      <c r="A258" s="23"/>
      <c r="B258" s="23"/>
      <c r="C258" s="34"/>
      <c r="D258" s="22"/>
      <c r="E258" s="22"/>
      <c r="F258" s="23"/>
      <c r="G258" s="31" t="str">
        <f aca="false">IF($B258="","",COUNTIFS('Cleans Log'!$M$5:$M$1004,$B258,'Cleans Log'!$Q$5:$Q$1004,$C258,'Cleans Log'!$N$5:$N$1004,"&gt;0"))</f>
        <v/>
      </c>
      <c r="H258" s="28" t="str">
        <f aca="false">IF($B258="","",SUMIFS('Cleans Log'!$N$5:$N$1004,'Cleans Log'!$M$5:$M$1004,$B258,'Cleans Log'!$Q$5:$Q$1004,$C258))</f>
        <v/>
      </c>
      <c r="I258" s="28" t="str">
        <f aca="false">IF($B258="","",SUMIFS(Purchases!$N$5:$N$1004,Purchases!$L$5:$L$1004,$B258,Purchases!$P$5:$P$1004,$C258))</f>
        <v/>
      </c>
      <c r="J258" s="28" t="str">
        <f aca="false">IF($B258="","",$H258+$I258)</f>
        <v/>
      </c>
      <c r="K258" s="30" t="str">
        <f aca="false">IF(OR($B258="",$D258=""),"",$D258+Settings!$B$12)</f>
        <v/>
      </c>
      <c r="L258" s="27" t="str">
        <f aca="true">IF($B258="","",IF($E258&lt;&gt;"","Paid",IF($D258="","Not sent",IF(TODAY()&gt;$K258,"OVERDUE","Due"))))</f>
        <v/>
      </c>
    </row>
    <row r="259" customFormat="false" ht="15" hidden="false" customHeight="false" outlineLevel="0" collapsed="false">
      <c r="A259" s="23"/>
      <c r="B259" s="23"/>
      <c r="C259" s="34"/>
      <c r="D259" s="22"/>
      <c r="E259" s="22"/>
      <c r="F259" s="23"/>
      <c r="G259" s="31" t="str">
        <f aca="false">IF($B259="","",COUNTIFS('Cleans Log'!$M$5:$M$1004,$B259,'Cleans Log'!$Q$5:$Q$1004,$C259,'Cleans Log'!$N$5:$N$1004,"&gt;0"))</f>
        <v/>
      </c>
      <c r="H259" s="28" t="str">
        <f aca="false">IF($B259="","",SUMIFS('Cleans Log'!$N$5:$N$1004,'Cleans Log'!$M$5:$M$1004,$B259,'Cleans Log'!$Q$5:$Q$1004,$C259))</f>
        <v/>
      </c>
      <c r="I259" s="28" t="str">
        <f aca="false">IF($B259="","",SUMIFS(Purchases!$N$5:$N$1004,Purchases!$L$5:$L$1004,$B259,Purchases!$P$5:$P$1004,$C259))</f>
        <v/>
      </c>
      <c r="J259" s="28" t="str">
        <f aca="false">IF($B259="","",$H259+$I259)</f>
        <v/>
      </c>
      <c r="K259" s="30" t="str">
        <f aca="false">IF(OR($B259="",$D259=""),"",$D259+Settings!$B$12)</f>
        <v/>
      </c>
      <c r="L259" s="27" t="str">
        <f aca="true">IF($B259="","",IF($E259&lt;&gt;"","Paid",IF($D259="","Not sent",IF(TODAY()&gt;$K259,"OVERDUE","Due"))))</f>
        <v/>
      </c>
    </row>
    <row r="260" customFormat="false" ht="15" hidden="false" customHeight="false" outlineLevel="0" collapsed="false">
      <c r="A260" s="23"/>
      <c r="B260" s="23"/>
      <c r="C260" s="34"/>
      <c r="D260" s="22"/>
      <c r="E260" s="22"/>
      <c r="F260" s="23"/>
      <c r="G260" s="31" t="str">
        <f aca="false">IF($B260="","",COUNTIFS('Cleans Log'!$M$5:$M$1004,$B260,'Cleans Log'!$Q$5:$Q$1004,$C260,'Cleans Log'!$N$5:$N$1004,"&gt;0"))</f>
        <v/>
      </c>
      <c r="H260" s="28" t="str">
        <f aca="false">IF($B260="","",SUMIFS('Cleans Log'!$N$5:$N$1004,'Cleans Log'!$M$5:$M$1004,$B260,'Cleans Log'!$Q$5:$Q$1004,$C260))</f>
        <v/>
      </c>
      <c r="I260" s="28" t="str">
        <f aca="false">IF($B260="","",SUMIFS(Purchases!$N$5:$N$1004,Purchases!$L$5:$L$1004,$B260,Purchases!$P$5:$P$1004,$C260))</f>
        <v/>
      </c>
      <c r="J260" s="28" t="str">
        <f aca="false">IF($B260="","",$H260+$I260)</f>
        <v/>
      </c>
      <c r="K260" s="30" t="str">
        <f aca="false">IF(OR($B260="",$D260=""),"",$D260+Settings!$B$12)</f>
        <v/>
      </c>
      <c r="L260" s="27" t="str">
        <f aca="true">IF($B260="","",IF($E260&lt;&gt;"","Paid",IF($D260="","Not sent",IF(TODAY()&gt;$K260,"OVERDUE","Due"))))</f>
        <v/>
      </c>
    </row>
    <row r="261" customFormat="false" ht="15" hidden="false" customHeight="false" outlineLevel="0" collapsed="false">
      <c r="A261" s="23"/>
      <c r="B261" s="23"/>
      <c r="C261" s="34"/>
      <c r="D261" s="22"/>
      <c r="E261" s="22"/>
      <c r="F261" s="23"/>
      <c r="G261" s="31" t="str">
        <f aca="false">IF($B261="","",COUNTIFS('Cleans Log'!$M$5:$M$1004,$B261,'Cleans Log'!$Q$5:$Q$1004,$C261,'Cleans Log'!$N$5:$N$1004,"&gt;0"))</f>
        <v/>
      </c>
      <c r="H261" s="28" t="str">
        <f aca="false">IF($B261="","",SUMIFS('Cleans Log'!$N$5:$N$1004,'Cleans Log'!$M$5:$M$1004,$B261,'Cleans Log'!$Q$5:$Q$1004,$C261))</f>
        <v/>
      </c>
      <c r="I261" s="28" t="str">
        <f aca="false">IF($B261="","",SUMIFS(Purchases!$N$5:$N$1004,Purchases!$L$5:$L$1004,$B261,Purchases!$P$5:$P$1004,$C261))</f>
        <v/>
      </c>
      <c r="J261" s="28" t="str">
        <f aca="false">IF($B261="","",$H261+$I261)</f>
        <v/>
      </c>
      <c r="K261" s="30" t="str">
        <f aca="false">IF(OR($B261="",$D261=""),"",$D261+Settings!$B$12)</f>
        <v/>
      </c>
      <c r="L261" s="27" t="str">
        <f aca="true">IF($B261="","",IF($E261&lt;&gt;"","Paid",IF($D261="","Not sent",IF(TODAY()&gt;$K261,"OVERDUE","Due"))))</f>
        <v/>
      </c>
    </row>
    <row r="262" customFormat="false" ht="15" hidden="false" customHeight="false" outlineLevel="0" collapsed="false">
      <c r="A262" s="23"/>
      <c r="B262" s="23"/>
      <c r="C262" s="34"/>
      <c r="D262" s="22"/>
      <c r="E262" s="22"/>
      <c r="F262" s="23"/>
      <c r="G262" s="31" t="str">
        <f aca="false">IF($B262="","",COUNTIFS('Cleans Log'!$M$5:$M$1004,$B262,'Cleans Log'!$Q$5:$Q$1004,$C262,'Cleans Log'!$N$5:$N$1004,"&gt;0"))</f>
        <v/>
      </c>
      <c r="H262" s="28" t="str">
        <f aca="false">IF($B262="","",SUMIFS('Cleans Log'!$N$5:$N$1004,'Cleans Log'!$M$5:$M$1004,$B262,'Cleans Log'!$Q$5:$Q$1004,$C262))</f>
        <v/>
      </c>
      <c r="I262" s="28" t="str">
        <f aca="false">IF($B262="","",SUMIFS(Purchases!$N$5:$N$1004,Purchases!$L$5:$L$1004,$B262,Purchases!$P$5:$P$1004,$C262))</f>
        <v/>
      </c>
      <c r="J262" s="28" t="str">
        <f aca="false">IF($B262="","",$H262+$I262)</f>
        <v/>
      </c>
      <c r="K262" s="30" t="str">
        <f aca="false">IF(OR($B262="",$D262=""),"",$D262+Settings!$B$12)</f>
        <v/>
      </c>
      <c r="L262" s="27" t="str">
        <f aca="true">IF($B262="","",IF($E262&lt;&gt;"","Paid",IF($D262="","Not sent",IF(TODAY()&gt;$K262,"OVERDUE","Due"))))</f>
        <v/>
      </c>
    </row>
    <row r="263" customFormat="false" ht="15" hidden="false" customHeight="false" outlineLevel="0" collapsed="false">
      <c r="A263" s="23"/>
      <c r="B263" s="23"/>
      <c r="C263" s="34"/>
      <c r="D263" s="22"/>
      <c r="E263" s="22"/>
      <c r="F263" s="23"/>
      <c r="G263" s="31" t="str">
        <f aca="false">IF($B263="","",COUNTIFS('Cleans Log'!$M$5:$M$1004,$B263,'Cleans Log'!$Q$5:$Q$1004,$C263,'Cleans Log'!$N$5:$N$1004,"&gt;0"))</f>
        <v/>
      </c>
      <c r="H263" s="28" t="str">
        <f aca="false">IF($B263="","",SUMIFS('Cleans Log'!$N$5:$N$1004,'Cleans Log'!$M$5:$M$1004,$B263,'Cleans Log'!$Q$5:$Q$1004,$C263))</f>
        <v/>
      </c>
      <c r="I263" s="28" t="str">
        <f aca="false">IF($B263="","",SUMIFS(Purchases!$N$5:$N$1004,Purchases!$L$5:$L$1004,$B263,Purchases!$P$5:$P$1004,$C263))</f>
        <v/>
      </c>
      <c r="J263" s="28" t="str">
        <f aca="false">IF($B263="","",$H263+$I263)</f>
        <v/>
      </c>
      <c r="K263" s="30" t="str">
        <f aca="false">IF(OR($B263="",$D263=""),"",$D263+Settings!$B$12)</f>
        <v/>
      </c>
      <c r="L263" s="27" t="str">
        <f aca="true">IF($B263="","",IF($E263&lt;&gt;"","Paid",IF($D263="","Not sent",IF(TODAY()&gt;$K263,"OVERDUE","Due"))))</f>
        <v/>
      </c>
    </row>
    <row r="264" customFormat="false" ht="15" hidden="false" customHeight="false" outlineLevel="0" collapsed="false">
      <c r="A264" s="23"/>
      <c r="B264" s="23"/>
      <c r="C264" s="34"/>
      <c r="D264" s="22"/>
      <c r="E264" s="22"/>
      <c r="F264" s="23"/>
      <c r="G264" s="31" t="str">
        <f aca="false">IF($B264="","",COUNTIFS('Cleans Log'!$M$5:$M$1004,$B264,'Cleans Log'!$Q$5:$Q$1004,$C264,'Cleans Log'!$N$5:$N$1004,"&gt;0"))</f>
        <v/>
      </c>
      <c r="H264" s="28" t="str">
        <f aca="false">IF($B264="","",SUMIFS('Cleans Log'!$N$5:$N$1004,'Cleans Log'!$M$5:$M$1004,$B264,'Cleans Log'!$Q$5:$Q$1004,$C264))</f>
        <v/>
      </c>
      <c r="I264" s="28" t="str">
        <f aca="false">IF($B264="","",SUMIFS(Purchases!$N$5:$N$1004,Purchases!$L$5:$L$1004,$B264,Purchases!$P$5:$P$1004,$C264))</f>
        <v/>
      </c>
      <c r="J264" s="28" t="str">
        <f aca="false">IF($B264="","",$H264+$I264)</f>
        <v/>
      </c>
      <c r="K264" s="30" t="str">
        <f aca="false">IF(OR($B264="",$D264=""),"",$D264+Settings!$B$12)</f>
        <v/>
      </c>
      <c r="L264" s="27" t="str">
        <f aca="true">IF($B264="","",IF($E264&lt;&gt;"","Paid",IF($D264="","Not sent",IF(TODAY()&gt;$K264,"OVERDUE","Due"))))</f>
        <v/>
      </c>
    </row>
    <row r="265" customFormat="false" ht="15" hidden="false" customHeight="false" outlineLevel="0" collapsed="false">
      <c r="A265" s="23"/>
      <c r="B265" s="23"/>
      <c r="C265" s="34"/>
      <c r="D265" s="22"/>
      <c r="E265" s="22"/>
      <c r="F265" s="23"/>
      <c r="G265" s="31" t="str">
        <f aca="false">IF($B265="","",COUNTIFS('Cleans Log'!$M$5:$M$1004,$B265,'Cleans Log'!$Q$5:$Q$1004,$C265,'Cleans Log'!$N$5:$N$1004,"&gt;0"))</f>
        <v/>
      </c>
      <c r="H265" s="28" t="str">
        <f aca="false">IF($B265="","",SUMIFS('Cleans Log'!$N$5:$N$1004,'Cleans Log'!$M$5:$M$1004,$B265,'Cleans Log'!$Q$5:$Q$1004,$C265))</f>
        <v/>
      </c>
      <c r="I265" s="28" t="str">
        <f aca="false">IF($B265="","",SUMIFS(Purchases!$N$5:$N$1004,Purchases!$L$5:$L$1004,$B265,Purchases!$P$5:$P$1004,$C265))</f>
        <v/>
      </c>
      <c r="J265" s="28" t="str">
        <f aca="false">IF($B265="","",$H265+$I265)</f>
        <v/>
      </c>
      <c r="K265" s="30" t="str">
        <f aca="false">IF(OR($B265="",$D265=""),"",$D265+Settings!$B$12)</f>
        <v/>
      </c>
      <c r="L265" s="27" t="str">
        <f aca="true">IF($B265="","",IF($E265&lt;&gt;"","Paid",IF($D265="","Not sent",IF(TODAY()&gt;$K265,"OVERDUE","Due"))))</f>
        <v/>
      </c>
    </row>
    <row r="266" customFormat="false" ht="15" hidden="false" customHeight="false" outlineLevel="0" collapsed="false">
      <c r="A266" s="23"/>
      <c r="B266" s="23"/>
      <c r="C266" s="34"/>
      <c r="D266" s="22"/>
      <c r="E266" s="22"/>
      <c r="F266" s="23"/>
      <c r="G266" s="31" t="str">
        <f aca="false">IF($B266="","",COUNTIFS('Cleans Log'!$M$5:$M$1004,$B266,'Cleans Log'!$Q$5:$Q$1004,$C266,'Cleans Log'!$N$5:$N$1004,"&gt;0"))</f>
        <v/>
      </c>
      <c r="H266" s="28" t="str">
        <f aca="false">IF($B266="","",SUMIFS('Cleans Log'!$N$5:$N$1004,'Cleans Log'!$M$5:$M$1004,$B266,'Cleans Log'!$Q$5:$Q$1004,$C266))</f>
        <v/>
      </c>
      <c r="I266" s="28" t="str">
        <f aca="false">IF($B266="","",SUMIFS(Purchases!$N$5:$N$1004,Purchases!$L$5:$L$1004,$B266,Purchases!$P$5:$P$1004,$C266))</f>
        <v/>
      </c>
      <c r="J266" s="28" t="str">
        <f aca="false">IF($B266="","",$H266+$I266)</f>
        <v/>
      </c>
      <c r="K266" s="30" t="str">
        <f aca="false">IF(OR($B266="",$D266=""),"",$D266+Settings!$B$12)</f>
        <v/>
      </c>
      <c r="L266" s="27" t="str">
        <f aca="true">IF($B266="","",IF($E266&lt;&gt;"","Paid",IF($D266="","Not sent",IF(TODAY()&gt;$K266,"OVERDUE","Due"))))</f>
        <v/>
      </c>
    </row>
    <row r="267" customFormat="false" ht="15" hidden="false" customHeight="false" outlineLevel="0" collapsed="false">
      <c r="A267" s="23"/>
      <c r="B267" s="23"/>
      <c r="C267" s="34"/>
      <c r="D267" s="22"/>
      <c r="E267" s="22"/>
      <c r="F267" s="23"/>
      <c r="G267" s="31" t="str">
        <f aca="false">IF($B267="","",COUNTIFS('Cleans Log'!$M$5:$M$1004,$B267,'Cleans Log'!$Q$5:$Q$1004,$C267,'Cleans Log'!$N$5:$N$1004,"&gt;0"))</f>
        <v/>
      </c>
      <c r="H267" s="28" t="str">
        <f aca="false">IF($B267="","",SUMIFS('Cleans Log'!$N$5:$N$1004,'Cleans Log'!$M$5:$M$1004,$B267,'Cleans Log'!$Q$5:$Q$1004,$C267))</f>
        <v/>
      </c>
      <c r="I267" s="28" t="str">
        <f aca="false">IF($B267="","",SUMIFS(Purchases!$N$5:$N$1004,Purchases!$L$5:$L$1004,$B267,Purchases!$P$5:$P$1004,$C267))</f>
        <v/>
      </c>
      <c r="J267" s="28" t="str">
        <f aca="false">IF($B267="","",$H267+$I267)</f>
        <v/>
      </c>
      <c r="K267" s="30" t="str">
        <f aca="false">IF(OR($B267="",$D267=""),"",$D267+Settings!$B$12)</f>
        <v/>
      </c>
      <c r="L267" s="27" t="str">
        <f aca="true">IF($B267="","",IF($E267&lt;&gt;"","Paid",IF($D267="","Not sent",IF(TODAY()&gt;$K267,"OVERDUE","Due"))))</f>
        <v/>
      </c>
    </row>
    <row r="268" customFormat="false" ht="15" hidden="false" customHeight="false" outlineLevel="0" collapsed="false">
      <c r="A268" s="23"/>
      <c r="B268" s="23"/>
      <c r="C268" s="34"/>
      <c r="D268" s="22"/>
      <c r="E268" s="22"/>
      <c r="F268" s="23"/>
      <c r="G268" s="31" t="str">
        <f aca="false">IF($B268="","",COUNTIFS('Cleans Log'!$M$5:$M$1004,$B268,'Cleans Log'!$Q$5:$Q$1004,$C268,'Cleans Log'!$N$5:$N$1004,"&gt;0"))</f>
        <v/>
      </c>
      <c r="H268" s="28" t="str">
        <f aca="false">IF($B268="","",SUMIFS('Cleans Log'!$N$5:$N$1004,'Cleans Log'!$M$5:$M$1004,$B268,'Cleans Log'!$Q$5:$Q$1004,$C268))</f>
        <v/>
      </c>
      <c r="I268" s="28" t="str">
        <f aca="false">IF($B268="","",SUMIFS(Purchases!$N$5:$N$1004,Purchases!$L$5:$L$1004,$B268,Purchases!$P$5:$P$1004,$C268))</f>
        <v/>
      </c>
      <c r="J268" s="28" t="str">
        <f aca="false">IF($B268="","",$H268+$I268)</f>
        <v/>
      </c>
      <c r="K268" s="30" t="str">
        <f aca="false">IF(OR($B268="",$D268=""),"",$D268+Settings!$B$12)</f>
        <v/>
      </c>
      <c r="L268" s="27" t="str">
        <f aca="true">IF($B268="","",IF($E268&lt;&gt;"","Paid",IF($D268="","Not sent",IF(TODAY()&gt;$K268,"OVERDUE","Due"))))</f>
        <v/>
      </c>
    </row>
    <row r="269" customFormat="false" ht="15" hidden="false" customHeight="false" outlineLevel="0" collapsed="false">
      <c r="A269" s="23"/>
      <c r="B269" s="23"/>
      <c r="C269" s="34"/>
      <c r="D269" s="22"/>
      <c r="E269" s="22"/>
      <c r="F269" s="23"/>
      <c r="G269" s="31" t="str">
        <f aca="false">IF($B269="","",COUNTIFS('Cleans Log'!$M$5:$M$1004,$B269,'Cleans Log'!$Q$5:$Q$1004,$C269,'Cleans Log'!$N$5:$N$1004,"&gt;0"))</f>
        <v/>
      </c>
      <c r="H269" s="28" t="str">
        <f aca="false">IF($B269="","",SUMIFS('Cleans Log'!$N$5:$N$1004,'Cleans Log'!$M$5:$M$1004,$B269,'Cleans Log'!$Q$5:$Q$1004,$C269))</f>
        <v/>
      </c>
      <c r="I269" s="28" t="str">
        <f aca="false">IF($B269="","",SUMIFS(Purchases!$N$5:$N$1004,Purchases!$L$5:$L$1004,$B269,Purchases!$P$5:$P$1004,$C269))</f>
        <v/>
      </c>
      <c r="J269" s="28" t="str">
        <f aca="false">IF($B269="","",$H269+$I269)</f>
        <v/>
      </c>
      <c r="K269" s="30" t="str">
        <f aca="false">IF(OR($B269="",$D269=""),"",$D269+Settings!$B$12)</f>
        <v/>
      </c>
      <c r="L269" s="27" t="str">
        <f aca="true">IF($B269="","",IF($E269&lt;&gt;"","Paid",IF($D269="","Not sent",IF(TODAY()&gt;$K269,"OVERDUE","Due"))))</f>
        <v/>
      </c>
    </row>
    <row r="270" customFormat="false" ht="15" hidden="false" customHeight="false" outlineLevel="0" collapsed="false">
      <c r="A270" s="23"/>
      <c r="B270" s="23"/>
      <c r="C270" s="34"/>
      <c r="D270" s="22"/>
      <c r="E270" s="22"/>
      <c r="F270" s="23"/>
      <c r="G270" s="31" t="str">
        <f aca="false">IF($B270="","",COUNTIFS('Cleans Log'!$M$5:$M$1004,$B270,'Cleans Log'!$Q$5:$Q$1004,$C270,'Cleans Log'!$N$5:$N$1004,"&gt;0"))</f>
        <v/>
      </c>
      <c r="H270" s="28" t="str">
        <f aca="false">IF($B270="","",SUMIFS('Cleans Log'!$N$5:$N$1004,'Cleans Log'!$M$5:$M$1004,$B270,'Cleans Log'!$Q$5:$Q$1004,$C270))</f>
        <v/>
      </c>
      <c r="I270" s="28" t="str">
        <f aca="false">IF($B270="","",SUMIFS(Purchases!$N$5:$N$1004,Purchases!$L$5:$L$1004,$B270,Purchases!$P$5:$P$1004,$C270))</f>
        <v/>
      </c>
      <c r="J270" s="28" t="str">
        <f aca="false">IF($B270="","",$H270+$I270)</f>
        <v/>
      </c>
      <c r="K270" s="30" t="str">
        <f aca="false">IF(OR($B270="",$D270=""),"",$D270+Settings!$B$12)</f>
        <v/>
      </c>
      <c r="L270" s="27" t="str">
        <f aca="true">IF($B270="","",IF($E270&lt;&gt;"","Paid",IF($D270="","Not sent",IF(TODAY()&gt;$K270,"OVERDUE","Due"))))</f>
        <v/>
      </c>
    </row>
    <row r="271" customFormat="false" ht="15" hidden="false" customHeight="false" outlineLevel="0" collapsed="false">
      <c r="A271" s="23"/>
      <c r="B271" s="23"/>
      <c r="C271" s="34"/>
      <c r="D271" s="22"/>
      <c r="E271" s="22"/>
      <c r="F271" s="23"/>
      <c r="G271" s="31" t="str">
        <f aca="false">IF($B271="","",COUNTIFS('Cleans Log'!$M$5:$M$1004,$B271,'Cleans Log'!$Q$5:$Q$1004,$C271,'Cleans Log'!$N$5:$N$1004,"&gt;0"))</f>
        <v/>
      </c>
      <c r="H271" s="28" t="str">
        <f aca="false">IF($B271="","",SUMIFS('Cleans Log'!$N$5:$N$1004,'Cleans Log'!$M$5:$M$1004,$B271,'Cleans Log'!$Q$5:$Q$1004,$C271))</f>
        <v/>
      </c>
      <c r="I271" s="28" t="str">
        <f aca="false">IF($B271="","",SUMIFS(Purchases!$N$5:$N$1004,Purchases!$L$5:$L$1004,$B271,Purchases!$P$5:$P$1004,$C271))</f>
        <v/>
      </c>
      <c r="J271" s="28" t="str">
        <f aca="false">IF($B271="","",$H271+$I271)</f>
        <v/>
      </c>
      <c r="K271" s="30" t="str">
        <f aca="false">IF(OR($B271="",$D271=""),"",$D271+Settings!$B$12)</f>
        <v/>
      </c>
      <c r="L271" s="27" t="str">
        <f aca="true">IF($B271="","",IF($E271&lt;&gt;"","Paid",IF($D271="","Not sent",IF(TODAY()&gt;$K271,"OVERDUE","Due"))))</f>
        <v/>
      </c>
    </row>
    <row r="272" customFormat="false" ht="15" hidden="false" customHeight="false" outlineLevel="0" collapsed="false">
      <c r="A272" s="23"/>
      <c r="B272" s="23"/>
      <c r="C272" s="34"/>
      <c r="D272" s="22"/>
      <c r="E272" s="22"/>
      <c r="F272" s="23"/>
      <c r="G272" s="31" t="str">
        <f aca="false">IF($B272="","",COUNTIFS('Cleans Log'!$M$5:$M$1004,$B272,'Cleans Log'!$Q$5:$Q$1004,$C272,'Cleans Log'!$N$5:$N$1004,"&gt;0"))</f>
        <v/>
      </c>
      <c r="H272" s="28" t="str">
        <f aca="false">IF($B272="","",SUMIFS('Cleans Log'!$N$5:$N$1004,'Cleans Log'!$M$5:$M$1004,$B272,'Cleans Log'!$Q$5:$Q$1004,$C272))</f>
        <v/>
      </c>
      <c r="I272" s="28" t="str">
        <f aca="false">IF($B272="","",SUMIFS(Purchases!$N$5:$N$1004,Purchases!$L$5:$L$1004,$B272,Purchases!$P$5:$P$1004,$C272))</f>
        <v/>
      </c>
      <c r="J272" s="28" t="str">
        <f aca="false">IF($B272="","",$H272+$I272)</f>
        <v/>
      </c>
      <c r="K272" s="30" t="str">
        <f aca="false">IF(OR($B272="",$D272=""),"",$D272+Settings!$B$12)</f>
        <v/>
      </c>
      <c r="L272" s="27" t="str">
        <f aca="true">IF($B272="","",IF($E272&lt;&gt;"","Paid",IF($D272="","Not sent",IF(TODAY()&gt;$K272,"OVERDUE","Due"))))</f>
        <v/>
      </c>
    </row>
    <row r="273" customFormat="false" ht="15" hidden="false" customHeight="false" outlineLevel="0" collapsed="false">
      <c r="A273" s="23"/>
      <c r="B273" s="23"/>
      <c r="C273" s="34"/>
      <c r="D273" s="22"/>
      <c r="E273" s="22"/>
      <c r="F273" s="23"/>
      <c r="G273" s="31" t="str">
        <f aca="false">IF($B273="","",COUNTIFS('Cleans Log'!$M$5:$M$1004,$B273,'Cleans Log'!$Q$5:$Q$1004,$C273,'Cleans Log'!$N$5:$N$1004,"&gt;0"))</f>
        <v/>
      </c>
      <c r="H273" s="28" t="str">
        <f aca="false">IF($B273="","",SUMIFS('Cleans Log'!$N$5:$N$1004,'Cleans Log'!$M$5:$M$1004,$B273,'Cleans Log'!$Q$5:$Q$1004,$C273))</f>
        <v/>
      </c>
      <c r="I273" s="28" t="str">
        <f aca="false">IF($B273="","",SUMIFS(Purchases!$N$5:$N$1004,Purchases!$L$5:$L$1004,$B273,Purchases!$P$5:$P$1004,$C273))</f>
        <v/>
      </c>
      <c r="J273" s="28" t="str">
        <f aca="false">IF($B273="","",$H273+$I273)</f>
        <v/>
      </c>
      <c r="K273" s="30" t="str">
        <f aca="false">IF(OR($B273="",$D273=""),"",$D273+Settings!$B$12)</f>
        <v/>
      </c>
      <c r="L273" s="27" t="str">
        <f aca="true">IF($B273="","",IF($E273&lt;&gt;"","Paid",IF($D273="","Not sent",IF(TODAY()&gt;$K273,"OVERDUE","Due"))))</f>
        <v/>
      </c>
    </row>
    <row r="274" customFormat="false" ht="15" hidden="false" customHeight="false" outlineLevel="0" collapsed="false">
      <c r="A274" s="23"/>
      <c r="B274" s="23"/>
      <c r="C274" s="34"/>
      <c r="D274" s="22"/>
      <c r="E274" s="22"/>
      <c r="F274" s="23"/>
      <c r="G274" s="31" t="str">
        <f aca="false">IF($B274="","",COUNTIFS('Cleans Log'!$M$5:$M$1004,$B274,'Cleans Log'!$Q$5:$Q$1004,$C274,'Cleans Log'!$N$5:$N$1004,"&gt;0"))</f>
        <v/>
      </c>
      <c r="H274" s="28" t="str">
        <f aca="false">IF($B274="","",SUMIFS('Cleans Log'!$N$5:$N$1004,'Cleans Log'!$M$5:$M$1004,$B274,'Cleans Log'!$Q$5:$Q$1004,$C274))</f>
        <v/>
      </c>
      <c r="I274" s="28" t="str">
        <f aca="false">IF($B274="","",SUMIFS(Purchases!$N$5:$N$1004,Purchases!$L$5:$L$1004,$B274,Purchases!$P$5:$P$1004,$C274))</f>
        <v/>
      </c>
      <c r="J274" s="28" t="str">
        <f aca="false">IF($B274="","",$H274+$I274)</f>
        <v/>
      </c>
      <c r="K274" s="30" t="str">
        <f aca="false">IF(OR($B274="",$D274=""),"",$D274+Settings!$B$12)</f>
        <v/>
      </c>
      <c r="L274" s="27" t="str">
        <f aca="true">IF($B274="","",IF($E274&lt;&gt;"","Paid",IF($D274="","Not sent",IF(TODAY()&gt;$K274,"OVERDUE","Due"))))</f>
        <v/>
      </c>
    </row>
    <row r="275" customFormat="false" ht="15" hidden="false" customHeight="false" outlineLevel="0" collapsed="false">
      <c r="A275" s="23"/>
      <c r="B275" s="23"/>
      <c r="C275" s="34"/>
      <c r="D275" s="22"/>
      <c r="E275" s="22"/>
      <c r="F275" s="23"/>
      <c r="G275" s="31" t="str">
        <f aca="false">IF($B275="","",COUNTIFS('Cleans Log'!$M$5:$M$1004,$B275,'Cleans Log'!$Q$5:$Q$1004,$C275,'Cleans Log'!$N$5:$N$1004,"&gt;0"))</f>
        <v/>
      </c>
      <c r="H275" s="28" t="str">
        <f aca="false">IF($B275="","",SUMIFS('Cleans Log'!$N$5:$N$1004,'Cleans Log'!$M$5:$M$1004,$B275,'Cleans Log'!$Q$5:$Q$1004,$C275))</f>
        <v/>
      </c>
      <c r="I275" s="28" t="str">
        <f aca="false">IF($B275="","",SUMIFS(Purchases!$N$5:$N$1004,Purchases!$L$5:$L$1004,$B275,Purchases!$P$5:$P$1004,$C275))</f>
        <v/>
      </c>
      <c r="J275" s="28" t="str">
        <f aca="false">IF($B275="","",$H275+$I275)</f>
        <v/>
      </c>
      <c r="K275" s="30" t="str">
        <f aca="false">IF(OR($B275="",$D275=""),"",$D275+Settings!$B$12)</f>
        <v/>
      </c>
      <c r="L275" s="27" t="str">
        <f aca="true">IF($B275="","",IF($E275&lt;&gt;"","Paid",IF($D275="","Not sent",IF(TODAY()&gt;$K275,"OVERDUE","Due"))))</f>
        <v/>
      </c>
    </row>
    <row r="276" customFormat="false" ht="15" hidden="false" customHeight="false" outlineLevel="0" collapsed="false">
      <c r="A276" s="23"/>
      <c r="B276" s="23"/>
      <c r="C276" s="34"/>
      <c r="D276" s="22"/>
      <c r="E276" s="22"/>
      <c r="F276" s="23"/>
      <c r="G276" s="31" t="str">
        <f aca="false">IF($B276="","",COUNTIFS('Cleans Log'!$M$5:$M$1004,$B276,'Cleans Log'!$Q$5:$Q$1004,$C276,'Cleans Log'!$N$5:$N$1004,"&gt;0"))</f>
        <v/>
      </c>
      <c r="H276" s="28" t="str">
        <f aca="false">IF($B276="","",SUMIFS('Cleans Log'!$N$5:$N$1004,'Cleans Log'!$M$5:$M$1004,$B276,'Cleans Log'!$Q$5:$Q$1004,$C276))</f>
        <v/>
      </c>
      <c r="I276" s="28" t="str">
        <f aca="false">IF($B276="","",SUMIFS(Purchases!$N$5:$N$1004,Purchases!$L$5:$L$1004,$B276,Purchases!$P$5:$P$1004,$C276))</f>
        <v/>
      </c>
      <c r="J276" s="28" t="str">
        <f aca="false">IF($B276="","",$H276+$I276)</f>
        <v/>
      </c>
      <c r="K276" s="30" t="str">
        <f aca="false">IF(OR($B276="",$D276=""),"",$D276+Settings!$B$12)</f>
        <v/>
      </c>
      <c r="L276" s="27" t="str">
        <f aca="true">IF($B276="","",IF($E276&lt;&gt;"","Paid",IF($D276="","Not sent",IF(TODAY()&gt;$K276,"OVERDUE","Due"))))</f>
        <v/>
      </c>
    </row>
    <row r="277" customFormat="false" ht="15" hidden="false" customHeight="false" outlineLevel="0" collapsed="false">
      <c r="A277" s="23"/>
      <c r="B277" s="23"/>
      <c r="C277" s="34"/>
      <c r="D277" s="22"/>
      <c r="E277" s="22"/>
      <c r="F277" s="23"/>
      <c r="G277" s="31" t="str">
        <f aca="false">IF($B277="","",COUNTIFS('Cleans Log'!$M$5:$M$1004,$B277,'Cleans Log'!$Q$5:$Q$1004,$C277,'Cleans Log'!$N$5:$N$1004,"&gt;0"))</f>
        <v/>
      </c>
      <c r="H277" s="28" t="str">
        <f aca="false">IF($B277="","",SUMIFS('Cleans Log'!$N$5:$N$1004,'Cleans Log'!$M$5:$M$1004,$B277,'Cleans Log'!$Q$5:$Q$1004,$C277))</f>
        <v/>
      </c>
      <c r="I277" s="28" t="str">
        <f aca="false">IF($B277="","",SUMIFS(Purchases!$N$5:$N$1004,Purchases!$L$5:$L$1004,$B277,Purchases!$P$5:$P$1004,$C277))</f>
        <v/>
      </c>
      <c r="J277" s="28" t="str">
        <f aca="false">IF($B277="","",$H277+$I277)</f>
        <v/>
      </c>
      <c r="K277" s="30" t="str">
        <f aca="false">IF(OR($B277="",$D277=""),"",$D277+Settings!$B$12)</f>
        <v/>
      </c>
      <c r="L277" s="27" t="str">
        <f aca="true">IF($B277="","",IF($E277&lt;&gt;"","Paid",IF($D277="","Not sent",IF(TODAY()&gt;$K277,"OVERDUE","Due"))))</f>
        <v/>
      </c>
    </row>
    <row r="278" customFormat="false" ht="15" hidden="false" customHeight="false" outlineLevel="0" collapsed="false">
      <c r="A278" s="23"/>
      <c r="B278" s="23"/>
      <c r="C278" s="34"/>
      <c r="D278" s="22"/>
      <c r="E278" s="22"/>
      <c r="F278" s="23"/>
      <c r="G278" s="31" t="str">
        <f aca="false">IF($B278="","",COUNTIFS('Cleans Log'!$M$5:$M$1004,$B278,'Cleans Log'!$Q$5:$Q$1004,$C278,'Cleans Log'!$N$5:$N$1004,"&gt;0"))</f>
        <v/>
      </c>
      <c r="H278" s="28" t="str">
        <f aca="false">IF($B278="","",SUMIFS('Cleans Log'!$N$5:$N$1004,'Cleans Log'!$M$5:$M$1004,$B278,'Cleans Log'!$Q$5:$Q$1004,$C278))</f>
        <v/>
      </c>
      <c r="I278" s="28" t="str">
        <f aca="false">IF($B278="","",SUMIFS(Purchases!$N$5:$N$1004,Purchases!$L$5:$L$1004,$B278,Purchases!$P$5:$P$1004,$C278))</f>
        <v/>
      </c>
      <c r="J278" s="28" t="str">
        <f aca="false">IF($B278="","",$H278+$I278)</f>
        <v/>
      </c>
      <c r="K278" s="30" t="str">
        <f aca="false">IF(OR($B278="",$D278=""),"",$D278+Settings!$B$12)</f>
        <v/>
      </c>
      <c r="L278" s="27" t="str">
        <f aca="true">IF($B278="","",IF($E278&lt;&gt;"","Paid",IF($D278="","Not sent",IF(TODAY()&gt;$K278,"OVERDUE","Due"))))</f>
        <v/>
      </c>
    </row>
    <row r="279" customFormat="false" ht="15" hidden="false" customHeight="false" outlineLevel="0" collapsed="false">
      <c r="A279" s="23"/>
      <c r="B279" s="23"/>
      <c r="C279" s="34"/>
      <c r="D279" s="22"/>
      <c r="E279" s="22"/>
      <c r="F279" s="23"/>
      <c r="G279" s="31" t="str">
        <f aca="false">IF($B279="","",COUNTIFS('Cleans Log'!$M$5:$M$1004,$B279,'Cleans Log'!$Q$5:$Q$1004,$C279,'Cleans Log'!$N$5:$N$1004,"&gt;0"))</f>
        <v/>
      </c>
      <c r="H279" s="28" t="str">
        <f aca="false">IF($B279="","",SUMIFS('Cleans Log'!$N$5:$N$1004,'Cleans Log'!$M$5:$M$1004,$B279,'Cleans Log'!$Q$5:$Q$1004,$C279))</f>
        <v/>
      </c>
      <c r="I279" s="28" t="str">
        <f aca="false">IF($B279="","",SUMIFS(Purchases!$N$5:$N$1004,Purchases!$L$5:$L$1004,$B279,Purchases!$P$5:$P$1004,$C279))</f>
        <v/>
      </c>
      <c r="J279" s="28" t="str">
        <f aca="false">IF($B279="","",$H279+$I279)</f>
        <v/>
      </c>
      <c r="K279" s="30" t="str">
        <f aca="false">IF(OR($B279="",$D279=""),"",$D279+Settings!$B$12)</f>
        <v/>
      </c>
      <c r="L279" s="27" t="str">
        <f aca="true">IF($B279="","",IF($E279&lt;&gt;"","Paid",IF($D279="","Not sent",IF(TODAY()&gt;$K279,"OVERDUE","Due"))))</f>
        <v/>
      </c>
    </row>
    <row r="280" customFormat="false" ht="15" hidden="false" customHeight="false" outlineLevel="0" collapsed="false">
      <c r="A280" s="23"/>
      <c r="B280" s="23"/>
      <c r="C280" s="34"/>
      <c r="D280" s="22"/>
      <c r="E280" s="22"/>
      <c r="F280" s="23"/>
      <c r="G280" s="31" t="str">
        <f aca="false">IF($B280="","",COUNTIFS('Cleans Log'!$M$5:$M$1004,$B280,'Cleans Log'!$Q$5:$Q$1004,$C280,'Cleans Log'!$N$5:$N$1004,"&gt;0"))</f>
        <v/>
      </c>
      <c r="H280" s="28" t="str">
        <f aca="false">IF($B280="","",SUMIFS('Cleans Log'!$N$5:$N$1004,'Cleans Log'!$M$5:$M$1004,$B280,'Cleans Log'!$Q$5:$Q$1004,$C280))</f>
        <v/>
      </c>
      <c r="I280" s="28" t="str">
        <f aca="false">IF($B280="","",SUMIFS(Purchases!$N$5:$N$1004,Purchases!$L$5:$L$1004,$B280,Purchases!$P$5:$P$1004,$C280))</f>
        <v/>
      </c>
      <c r="J280" s="28" t="str">
        <f aca="false">IF($B280="","",$H280+$I280)</f>
        <v/>
      </c>
      <c r="K280" s="30" t="str">
        <f aca="false">IF(OR($B280="",$D280=""),"",$D280+Settings!$B$12)</f>
        <v/>
      </c>
      <c r="L280" s="27" t="str">
        <f aca="true">IF($B280="","",IF($E280&lt;&gt;"","Paid",IF($D280="","Not sent",IF(TODAY()&gt;$K280,"OVERDUE","Due"))))</f>
        <v/>
      </c>
    </row>
    <row r="281" customFormat="false" ht="15" hidden="false" customHeight="false" outlineLevel="0" collapsed="false">
      <c r="A281" s="23"/>
      <c r="B281" s="23"/>
      <c r="C281" s="34"/>
      <c r="D281" s="22"/>
      <c r="E281" s="22"/>
      <c r="F281" s="23"/>
      <c r="G281" s="31" t="str">
        <f aca="false">IF($B281="","",COUNTIFS('Cleans Log'!$M$5:$M$1004,$B281,'Cleans Log'!$Q$5:$Q$1004,$C281,'Cleans Log'!$N$5:$N$1004,"&gt;0"))</f>
        <v/>
      </c>
      <c r="H281" s="28" t="str">
        <f aca="false">IF($B281="","",SUMIFS('Cleans Log'!$N$5:$N$1004,'Cleans Log'!$M$5:$M$1004,$B281,'Cleans Log'!$Q$5:$Q$1004,$C281))</f>
        <v/>
      </c>
      <c r="I281" s="28" t="str">
        <f aca="false">IF($B281="","",SUMIFS(Purchases!$N$5:$N$1004,Purchases!$L$5:$L$1004,$B281,Purchases!$P$5:$P$1004,$C281))</f>
        <v/>
      </c>
      <c r="J281" s="28" t="str">
        <f aca="false">IF($B281="","",$H281+$I281)</f>
        <v/>
      </c>
      <c r="K281" s="30" t="str">
        <f aca="false">IF(OR($B281="",$D281=""),"",$D281+Settings!$B$12)</f>
        <v/>
      </c>
      <c r="L281" s="27" t="str">
        <f aca="true">IF($B281="","",IF($E281&lt;&gt;"","Paid",IF($D281="","Not sent",IF(TODAY()&gt;$K281,"OVERDUE","Due"))))</f>
        <v/>
      </c>
    </row>
    <row r="282" customFormat="false" ht="15" hidden="false" customHeight="false" outlineLevel="0" collapsed="false">
      <c r="A282" s="23"/>
      <c r="B282" s="23"/>
      <c r="C282" s="34"/>
      <c r="D282" s="22"/>
      <c r="E282" s="22"/>
      <c r="F282" s="23"/>
      <c r="G282" s="31" t="str">
        <f aca="false">IF($B282="","",COUNTIFS('Cleans Log'!$M$5:$M$1004,$B282,'Cleans Log'!$Q$5:$Q$1004,$C282,'Cleans Log'!$N$5:$N$1004,"&gt;0"))</f>
        <v/>
      </c>
      <c r="H282" s="28" t="str">
        <f aca="false">IF($B282="","",SUMIFS('Cleans Log'!$N$5:$N$1004,'Cleans Log'!$M$5:$M$1004,$B282,'Cleans Log'!$Q$5:$Q$1004,$C282))</f>
        <v/>
      </c>
      <c r="I282" s="28" t="str">
        <f aca="false">IF($B282="","",SUMIFS(Purchases!$N$5:$N$1004,Purchases!$L$5:$L$1004,$B282,Purchases!$P$5:$P$1004,$C282))</f>
        <v/>
      </c>
      <c r="J282" s="28" t="str">
        <f aca="false">IF($B282="","",$H282+$I282)</f>
        <v/>
      </c>
      <c r="K282" s="30" t="str">
        <f aca="false">IF(OR($B282="",$D282=""),"",$D282+Settings!$B$12)</f>
        <v/>
      </c>
      <c r="L282" s="27" t="str">
        <f aca="true">IF($B282="","",IF($E282&lt;&gt;"","Paid",IF($D282="","Not sent",IF(TODAY()&gt;$K282,"OVERDUE","Due"))))</f>
        <v/>
      </c>
    </row>
    <row r="283" customFormat="false" ht="15" hidden="false" customHeight="false" outlineLevel="0" collapsed="false">
      <c r="A283" s="23"/>
      <c r="B283" s="23"/>
      <c r="C283" s="34"/>
      <c r="D283" s="22"/>
      <c r="E283" s="22"/>
      <c r="F283" s="23"/>
      <c r="G283" s="31" t="str">
        <f aca="false">IF($B283="","",COUNTIFS('Cleans Log'!$M$5:$M$1004,$B283,'Cleans Log'!$Q$5:$Q$1004,$C283,'Cleans Log'!$N$5:$N$1004,"&gt;0"))</f>
        <v/>
      </c>
      <c r="H283" s="28" t="str">
        <f aca="false">IF($B283="","",SUMIFS('Cleans Log'!$N$5:$N$1004,'Cleans Log'!$M$5:$M$1004,$B283,'Cleans Log'!$Q$5:$Q$1004,$C283))</f>
        <v/>
      </c>
      <c r="I283" s="28" t="str">
        <f aca="false">IF($B283="","",SUMIFS(Purchases!$N$5:$N$1004,Purchases!$L$5:$L$1004,$B283,Purchases!$P$5:$P$1004,$C283))</f>
        <v/>
      </c>
      <c r="J283" s="28" t="str">
        <f aca="false">IF($B283="","",$H283+$I283)</f>
        <v/>
      </c>
      <c r="K283" s="30" t="str">
        <f aca="false">IF(OR($B283="",$D283=""),"",$D283+Settings!$B$12)</f>
        <v/>
      </c>
      <c r="L283" s="27" t="str">
        <f aca="true">IF($B283="","",IF($E283&lt;&gt;"","Paid",IF($D283="","Not sent",IF(TODAY()&gt;$K283,"OVERDUE","Due"))))</f>
        <v/>
      </c>
    </row>
    <row r="284" customFormat="false" ht="15" hidden="false" customHeight="false" outlineLevel="0" collapsed="false">
      <c r="A284" s="23"/>
      <c r="B284" s="23"/>
      <c r="C284" s="34"/>
      <c r="D284" s="22"/>
      <c r="E284" s="22"/>
      <c r="F284" s="23"/>
      <c r="G284" s="31" t="str">
        <f aca="false">IF($B284="","",COUNTIFS('Cleans Log'!$M$5:$M$1004,$B284,'Cleans Log'!$Q$5:$Q$1004,$C284,'Cleans Log'!$N$5:$N$1004,"&gt;0"))</f>
        <v/>
      </c>
      <c r="H284" s="28" t="str">
        <f aca="false">IF($B284="","",SUMIFS('Cleans Log'!$N$5:$N$1004,'Cleans Log'!$M$5:$M$1004,$B284,'Cleans Log'!$Q$5:$Q$1004,$C284))</f>
        <v/>
      </c>
      <c r="I284" s="28" t="str">
        <f aca="false">IF($B284="","",SUMIFS(Purchases!$N$5:$N$1004,Purchases!$L$5:$L$1004,$B284,Purchases!$P$5:$P$1004,$C284))</f>
        <v/>
      </c>
      <c r="J284" s="28" t="str">
        <f aca="false">IF($B284="","",$H284+$I284)</f>
        <v/>
      </c>
      <c r="K284" s="30" t="str">
        <f aca="false">IF(OR($B284="",$D284=""),"",$D284+Settings!$B$12)</f>
        <v/>
      </c>
      <c r="L284" s="27" t="str">
        <f aca="true">IF($B284="","",IF($E284&lt;&gt;"","Paid",IF($D284="","Not sent",IF(TODAY()&gt;$K284,"OVERDUE","Due"))))</f>
        <v/>
      </c>
    </row>
    <row r="285" customFormat="false" ht="15" hidden="false" customHeight="false" outlineLevel="0" collapsed="false">
      <c r="A285" s="23"/>
      <c r="B285" s="23"/>
      <c r="C285" s="34"/>
      <c r="D285" s="22"/>
      <c r="E285" s="22"/>
      <c r="F285" s="23"/>
      <c r="G285" s="31" t="str">
        <f aca="false">IF($B285="","",COUNTIFS('Cleans Log'!$M$5:$M$1004,$B285,'Cleans Log'!$Q$5:$Q$1004,$C285,'Cleans Log'!$N$5:$N$1004,"&gt;0"))</f>
        <v/>
      </c>
      <c r="H285" s="28" t="str">
        <f aca="false">IF($B285="","",SUMIFS('Cleans Log'!$N$5:$N$1004,'Cleans Log'!$M$5:$M$1004,$B285,'Cleans Log'!$Q$5:$Q$1004,$C285))</f>
        <v/>
      </c>
      <c r="I285" s="28" t="str">
        <f aca="false">IF($B285="","",SUMIFS(Purchases!$N$5:$N$1004,Purchases!$L$5:$L$1004,$B285,Purchases!$P$5:$P$1004,$C285))</f>
        <v/>
      </c>
      <c r="J285" s="28" t="str">
        <f aca="false">IF($B285="","",$H285+$I285)</f>
        <v/>
      </c>
      <c r="K285" s="30" t="str">
        <f aca="false">IF(OR($B285="",$D285=""),"",$D285+Settings!$B$12)</f>
        <v/>
      </c>
      <c r="L285" s="27" t="str">
        <f aca="true">IF($B285="","",IF($E285&lt;&gt;"","Paid",IF($D285="","Not sent",IF(TODAY()&gt;$K285,"OVERDUE","Due"))))</f>
        <v/>
      </c>
    </row>
    <row r="286" customFormat="false" ht="15" hidden="false" customHeight="false" outlineLevel="0" collapsed="false">
      <c r="A286" s="23"/>
      <c r="B286" s="23"/>
      <c r="C286" s="34"/>
      <c r="D286" s="22"/>
      <c r="E286" s="22"/>
      <c r="F286" s="23"/>
      <c r="G286" s="31" t="str">
        <f aca="false">IF($B286="","",COUNTIFS('Cleans Log'!$M$5:$M$1004,$B286,'Cleans Log'!$Q$5:$Q$1004,$C286,'Cleans Log'!$N$5:$N$1004,"&gt;0"))</f>
        <v/>
      </c>
      <c r="H286" s="28" t="str">
        <f aca="false">IF($B286="","",SUMIFS('Cleans Log'!$N$5:$N$1004,'Cleans Log'!$M$5:$M$1004,$B286,'Cleans Log'!$Q$5:$Q$1004,$C286))</f>
        <v/>
      </c>
      <c r="I286" s="28" t="str">
        <f aca="false">IF($B286="","",SUMIFS(Purchases!$N$5:$N$1004,Purchases!$L$5:$L$1004,$B286,Purchases!$P$5:$P$1004,$C286))</f>
        <v/>
      </c>
      <c r="J286" s="28" t="str">
        <f aca="false">IF($B286="","",$H286+$I286)</f>
        <v/>
      </c>
      <c r="K286" s="30" t="str">
        <f aca="false">IF(OR($B286="",$D286=""),"",$D286+Settings!$B$12)</f>
        <v/>
      </c>
      <c r="L286" s="27" t="str">
        <f aca="true">IF($B286="","",IF($E286&lt;&gt;"","Paid",IF($D286="","Not sent",IF(TODAY()&gt;$K286,"OVERDUE","Due"))))</f>
        <v/>
      </c>
    </row>
    <row r="287" customFormat="false" ht="15" hidden="false" customHeight="false" outlineLevel="0" collapsed="false">
      <c r="A287" s="23"/>
      <c r="B287" s="23"/>
      <c r="C287" s="34"/>
      <c r="D287" s="22"/>
      <c r="E287" s="22"/>
      <c r="F287" s="23"/>
      <c r="G287" s="31" t="str">
        <f aca="false">IF($B287="","",COUNTIFS('Cleans Log'!$M$5:$M$1004,$B287,'Cleans Log'!$Q$5:$Q$1004,$C287,'Cleans Log'!$N$5:$N$1004,"&gt;0"))</f>
        <v/>
      </c>
      <c r="H287" s="28" t="str">
        <f aca="false">IF($B287="","",SUMIFS('Cleans Log'!$N$5:$N$1004,'Cleans Log'!$M$5:$M$1004,$B287,'Cleans Log'!$Q$5:$Q$1004,$C287))</f>
        <v/>
      </c>
      <c r="I287" s="28" t="str">
        <f aca="false">IF($B287="","",SUMIFS(Purchases!$N$5:$N$1004,Purchases!$L$5:$L$1004,$B287,Purchases!$P$5:$P$1004,$C287))</f>
        <v/>
      </c>
      <c r="J287" s="28" t="str">
        <f aca="false">IF($B287="","",$H287+$I287)</f>
        <v/>
      </c>
      <c r="K287" s="30" t="str">
        <f aca="false">IF(OR($B287="",$D287=""),"",$D287+Settings!$B$12)</f>
        <v/>
      </c>
      <c r="L287" s="27" t="str">
        <f aca="true">IF($B287="","",IF($E287&lt;&gt;"","Paid",IF($D287="","Not sent",IF(TODAY()&gt;$K287,"OVERDUE","Due"))))</f>
        <v/>
      </c>
    </row>
    <row r="288" customFormat="false" ht="15" hidden="false" customHeight="false" outlineLevel="0" collapsed="false">
      <c r="A288" s="23"/>
      <c r="B288" s="23"/>
      <c r="C288" s="34"/>
      <c r="D288" s="22"/>
      <c r="E288" s="22"/>
      <c r="F288" s="23"/>
      <c r="G288" s="31" t="str">
        <f aca="false">IF($B288="","",COUNTIFS('Cleans Log'!$M$5:$M$1004,$B288,'Cleans Log'!$Q$5:$Q$1004,$C288,'Cleans Log'!$N$5:$N$1004,"&gt;0"))</f>
        <v/>
      </c>
      <c r="H288" s="28" t="str">
        <f aca="false">IF($B288="","",SUMIFS('Cleans Log'!$N$5:$N$1004,'Cleans Log'!$M$5:$M$1004,$B288,'Cleans Log'!$Q$5:$Q$1004,$C288))</f>
        <v/>
      </c>
      <c r="I288" s="28" t="str">
        <f aca="false">IF($B288="","",SUMIFS(Purchases!$N$5:$N$1004,Purchases!$L$5:$L$1004,$B288,Purchases!$P$5:$P$1004,$C288))</f>
        <v/>
      </c>
      <c r="J288" s="28" t="str">
        <f aca="false">IF($B288="","",$H288+$I288)</f>
        <v/>
      </c>
      <c r="K288" s="30" t="str">
        <f aca="false">IF(OR($B288="",$D288=""),"",$D288+Settings!$B$12)</f>
        <v/>
      </c>
      <c r="L288" s="27" t="str">
        <f aca="true">IF($B288="","",IF($E288&lt;&gt;"","Paid",IF($D288="","Not sent",IF(TODAY()&gt;$K288,"OVERDUE","Due"))))</f>
        <v/>
      </c>
    </row>
    <row r="289" customFormat="false" ht="15" hidden="false" customHeight="false" outlineLevel="0" collapsed="false">
      <c r="A289" s="23"/>
      <c r="B289" s="23"/>
      <c r="C289" s="34"/>
      <c r="D289" s="22"/>
      <c r="E289" s="22"/>
      <c r="F289" s="23"/>
      <c r="G289" s="31" t="str">
        <f aca="false">IF($B289="","",COUNTIFS('Cleans Log'!$M$5:$M$1004,$B289,'Cleans Log'!$Q$5:$Q$1004,$C289,'Cleans Log'!$N$5:$N$1004,"&gt;0"))</f>
        <v/>
      </c>
      <c r="H289" s="28" t="str">
        <f aca="false">IF($B289="","",SUMIFS('Cleans Log'!$N$5:$N$1004,'Cleans Log'!$M$5:$M$1004,$B289,'Cleans Log'!$Q$5:$Q$1004,$C289))</f>
        <v/>
      </c>
      <c r="I289" s="28" t="str">
        <f aca="false">IF($B289="","",SUMIFS(Purchases!$N$5:$N$1004,Purchases!$L$5:$L$1004,$B289,Purchases!$P$5:$P$1004,$C289))</f>
        <v/>
      </c>
      <c r="J289" s="28" t="str">
        <f aca="false">IF($B289="","",$H289+$I289)</f>
        <v/>
      </c>
      <c r="K289" s="30" t="str">
        <f aca="false">IF(OR($B289="",$D289=""),"",$D289+Settings!$B$12)</f>
        <v/>
      </c>
      <c r="L289" s="27" t="str">
        <f aca="true">IF($B289="","",IF($E289&lt;&gt;"","Paid",IF($D289="","Not sent",IF(TODAY()&gt;$K289,"OVERDUE","Due"))))</f>
        <v/>
      </c>
    </row>
    <row r="290" customFormat="false" ht="15" hidden="false" customHeight="false" outlineLevel="0" collapsed="false">
      <c r="A290" s="23"/>
      <c r="B290" s="23"/>
      <c r="C290" s="34"/>
      <c r="D290" s="22"/>
      <c r="E290" s="22"/>
      <c r="F290" s="23"/>
      <c r="G290" s="31" t="str">
        <f aca="false">IF($B290="","",COUNTIFS('Cleans Log'!$M$5:$M$1004,$B290,'Cleans Log'!$Q$5:$Q$1004,$C290,'Cleans Log'!$N$5:$N$1004,"&gt;0"))</f>
        <v/>
      </c>
      <c r="H290" s="28" t="str">
        <f aca="false">IF($B290="","",SUMIFS('Cleans Log'!$N$5:$N$1004,'Cleans Log'!$M$5:$M$1004,$B290,'Cleans Log'!$Q$5:$Q$1004,$C290))</f>
        <v/>
      </c>
      <c r="I290" s="28" t="str">
        <f aca="false">IF($B290="","",SUMIFS(Purchases!$N$5:$N$1004,Purchases!$L$5:$L$1004,$B290,Purchases!$P$5:$P$1004,$C290))</f>
        <v/>
      </c>
      <c r="J290" s="28" t="str">
        <f aca="false">IF($B290="","",$H290+$I290)</f>
        <v/>
      </c>
      <c r="K290" s="30" t="str">
        <f aca="false">IF(OR($B290="",$D290=""),"",$D290+Settings!$B$12)</f>
        <v/>
      </c>
      <c r="L290" s="27" t="str">
        <f aca="true">IF($B290="","",IF($E290&lt;&gt;"","Paid",IF($D290="","Not sent",IF(TODAY()&gt;$K290,"OVERDUE","Due"))))</f>
        <v/>
      </c>
    </row>
    <row r="291" customFormat="false" ht="15" hidden="false" customHeight="false" outlineLevel="0" collapsed="false">
      <c r="A291" s="23"/>
      <c r="B291" s="23"/>
      <c r="C291" s="34"/>
      <c r="D291" s="22"/>
      <c r="E291" s="22"/>
      <c r="F291" s="23"/>
      <c r="G291" s="31" t="str">
        <f aca="false">IF($B291="","",COUNTIFS('Cleans Log'!$M$5:$M$1004,$B291,'Cleans Log'!$Q$5:$Q$1004,$C291,'Cleans Log'!$N$5:$N$1004,"&gt;0"))</f>
        <v/>
      </c>
      <c r="H291" s="28" t="str">
        <f aca="false">IF($B291="","",SUMIFS('Cleans Log'!$N$5:$N$1004,'Cleans Log'!$M$5:$M$1004,$B291,'Cleans Log'!$Q$5:$Q$1004,$C291))</f>
        <v/>
      </c>
      <c r="I291" s="28" t="str">
        <f aca="false">IF($B291="","",SUMIFS(Purchases!$N$5:$N$1004,Purchases!$L$5:$L$1004,$B291,Purchases!$P$5:$P$1004,$C291))</f>
        <v/>
      </c>
      <c r="J291" s="28" t="str">
        <f aca="false">IF($B291="","",$H291+$I291)</f>
        <v/>
      </c>
      <c r="K291" s="30" t="str">
        <f aca="false">IF(OR($B291="",$D291=""),"",$D291+Settings!$B$12)</f>
        <v/>
      </c>
      <c r="L291" s="27" t="str">
        <f aca="true">IF($B291="","",IF($E291&lt;&gt;"","Paid",IF($D291="","Not sent",IF(TODAY()&gt;$K291,"OVERDUE","Due"))))</f>
        <v/>
      </c>
    </row>
    <row r="292" customFormat="false" ht="15" hidden="false" customHeight="false" outlineLevel="0" collapsed="false">
      <c r="A292" s="23"/>
      <c r="B292" s="23"/>
      <c r="C292" s="34"/>
      <c r="D292" s="22"/>
      <c r="E292" s="22"/>
      <c r="F292" s="23"/>
      <c r="G292" s="31" t="str">
        <f aca="false">IF($B292="","",COUNTIFS('Cleans Log'!$M$5:$M$1004,$B292,'Cleans Log'!$Q$5:$Q$1004,$C292,'Cleans Log'!$N$5:$N$1004,"&gt;0"))</f>
        <v/>
      </c>
      <c r="H292" s="28" t="str">
        <f aca="false">IF($B292="","",SUMIFS('Cleans Log'!$N$5:$N$1004,'Cleans Log'!$M$5:$M$1004,$B292,'Cleans Log'!$Q$5:$Q$1004,$C292))</f>
        <v/>
      </c>
      <c r="I292" s="28" t="str">
        <f aca="false">IF($B292="","",SUMIFS(Purchases!$N$5:$N$1004,Purchases!$L$5:$L$1004,$B292,Purchases!$P$5:$P$1004,$C292))</f>
        <v/>
      </c>
      <c r="J292" s="28" t="str">
        <f aca="false">IF($B292="","",$H292+$I292)</f>
        <v/>
      </c>
      <c r="K292" s="30" t="str">
        <f aca="false">IF(OR($B292="",$D292=""),"",$D292+Settings!$B$12)</f>
        <v/>
      </c>
      <c r="L292" s="27" t="str">
        <f aca="true">IF($B292="","",IF($E292&lt;&gt;"","Paid",IF($D292="","Not sent",IF(TODAY()&gt;$K292,"OVERDUE","Due"))))</f>
        <v/>
      </c>
    </row>
    <row r="293" customFormat="false" ht="15" hidden="false" customHeight="false" outlineLevel="0" collapsed="false">
      <c r="A293" s="23"/>
      <c r="B293" s="23"/>
      <c r="C293" s="34"/>
      <c r="D293" s="22"/>
      <c r="E293" s="22"/>
      <c r="F293" s="23"/>
      <c r="G293" s="31" t="str">
        <f aca="false">IF($B293="","",COUNTIFS('Cleans Log'!$M$5:$M$1004,$B293,'Cleans Log'!$Q$5:$Q$1004,$C293,'Cleans Log'!$N$5:$N$1004,"&gt;0"))</f>
        <v/>
      </c>
      <c r="H293" s="28" t="str">
        <f aca="false">IF($B293="","",SUMIFS('Cleans Log'!$N$5:$N$1004,'Cleans Log'!$M$5:$M$1004,$B293,'Cleans Log'!$Q$5:$Q$1004,$C293))</f>
        <v/>
      </c>
      <c r="I293" s="28" t="str">
        <f aca="false">IF($B293="","",SUMIFS(Purchases!$N$5:$N$1004,Purchases!$L$5:$L$1004,$B293,Purchases!$P$5:$P$1004,$C293))</f>
        <v/>
      </c>
      <c r="J293" s="28" t="str">
        <f aca="false">IF($B293="","",$H293+$I293)</f>
        <v/>
      </c>
      <c r="K293" s="30" t="str">
        <f aca="false">IF(OR($B293="",$D293=""),"",$D293+Settings!$B$12)</f>
        <v/>
      </c>
      <c r="L293" s="27" t="str">
        <f aca="true">IF($B293="","",IF($E293&lt;&gt;"","Paid",IF($D293="","Not sent",IF(TODAY()&gt;$K293,"OVERDUE","Due"))))</f>
        <v/>
      </c>
    </row>
    <row r="294" customFormat="false" ht="15" hidden="false" customHeight="false" outlineLevel="0" collapsed="false">
      <c r="A294" s="23"/>
      <c r="B294" s="23"/>
      <c r="C294" s="34"/>
      <c r="D294" s="22"/>
      <c r="E294" s="22"/>
      <c r="F294" s="23"/>
      <c r="G294" s="31" t="str">
        <f aca="false">IF($B294="","",COUNTIFS('Cleans Log'!$M$5:$M$1004,$B294,'Cleans Log'!$Q$5:$Q$1004,$C294,'Cleans Log'!$N$5:$N$1004,"&gt;0"))</f>
        <v/>
      </c>
      <c r="H294" s="28" t="str">
        <f aca="false">IF($B294="","",SUMIFS('Cleans Log'!$N$5:$N$1004,'Cleans Log'!$M$5:$M$1004,$B294,'Cleans Log'!$Q$5:$Q$1004,$C294))</f>
        <v/>
      </c>
      <c r="I294" s="28" t="str">
        <f aca="false">IF($B294="","",SUMIFS(Purchases!$N$5:$N$1004,Purchases!$L$5:$L$1004,$B294,Purchases!$P$5:$P$1004,$C294))</f>
        <v/>
      </c>
      <c r="J294" s="28" t="str">
        <f aca="false">IF($B294="","",$H294+$I294)</f>
        <v/>
      </c>
      <c r="K294" s="30" t="str">
        <f aca="false">IF(OR($B294="",$D294=""),"",$D294+Settings!$B$12)</f>
        <v/>
      </c>
      <c r="L294" s="27" t="str">
        <f aca="true">IF($B294="","",IF($E294&lt;&gt;"","Paid",IF($D294="","Not sent",IF(TODAY()&gt;$K294,"OVERDUE","Due"))))</f>
        <v/>
      </c>
    </row>
    <row r="295" customFormat="false" ht="15" hidden="false" customHeight="false" outlineLevel="0" collapsed="false">
      <c r="A295" s="23"/>
      <c r="B295" s="23"/>
      <c r="C295" s="34"/>
      <c r="D295" s="22"/>
      <c r="E295" s="22"/>
      <c r="F295" s="23"/>
      <c r="G295" s="31" t="str">
        <f aca="false">IF($B295="","",COUNTIFS('Cleans Log'!$M$5:$M$1004,$B295,'Cleans Log'!$Q$5:$Q$1004,$C295,'Cleans Log'!$N$5:$N$1004,"&gt;0"))</f>
        <v/>
      </c>
      <c r="H295" s="28" t="str">
        <f aca="false">IF($B295="","",SUMIFS('Cleans Log'!$N$5:$N$1004,'Cleans Log'!$M$5:$M$1004,$B295,'Cleans Log'!$Q$5:$Q$1004,$C295))</f>
        <v/>
      </c>
      <c r="I295" s="28" t="str">
        <f aca="false">IF($B295="","",SUMIFS(Purchases!$N$5:$N$1004,Purchases!$L$5:$L$1004,$B295,Purchases!$P$5:$P$1004,$C295))</f>
        <v/>
      </c>
      <c r="J295" s="28" t="str">
        <f aca="false">IF($B295="","",$H295+$I295)</f>
        <v/>
      </c>
      <c r="K295" s="30" t="str">
        <f aca="false">IF(OR($B295="",$D295=""),"",$D295+Settings!$B$12)</f>
        <v/>
      </c>
      <c r="L295" s="27" t="str">
        <f aca="true">IF($B295="","",IF($E295&lt;&gt;"","Paid",IF($D295="","Not sent",IF(TODAY()&gt;$K295,"OVERDUE","Due"))))</f>
        <v/>
      </c>
    </row>
    <row r="296" customFormat="false" ht="15" hidden="false" customHeight="false" outlineLevel="0" collapsed="false">
      <c r="A296" s="23"/>
      <c r="B296" s="23"/>
      <c r="C296" s="34"/>
      <c r="D296" s="22"/>
      <c r="E296" s="22"/>
      <c r="F296" s="23"/>
      <c r="G296" s="31" t="str">
        <f aca="false">IF($B296="","",COUNTIFS('Cleans Log'!$M$5:$M$1004,$B296,'Cleans Log'!$Q$5:$Q$1004,$C296,'Cleans Log'!$N$5:$N$1004,"&gt;0"))</f>
        <v/>
      </c>
      <c r="H296" s="28" t="str">
        <f aca="false">IF($B296="","",SUMIFS('Cleans Log'!$N$5:$N$1004,'Cleans Log'!$M$5:$M$1004,$B296,'Cleans Log'!$Q$5:$Q$1004,$C296))</f>
        <v/>
      </c>
      <c r="I296" s="28" t="str">
        <f aca="false">IF($B296="","",SUMIFS(Purchases!$N$5:$N$1004,Purchases!$L$5:$L$1004,$B296,Purchases!$P$5:$P$1004,$C296))</f>
        <v/>
      </c>
      <c r="J296" s="28" t="str">
        <f aca="false">IF($B296="","",$H296+$I296)</f>
        <v/>
      </c>
      <c r="K296" s="30" t="str">
        <f aca="false">IF(OR($B296="",$D296=""),"",$D296+Settings!$B$12)</f>
        <v/>
      </c>
      <c r="L296" s="27" t="str">
        <f aca="true">IF($B296="","",IF($E296&lt;&gt;"","Paid",IF($D296="","Not sent",IF(TODAY()&gt;$K296,"OVERDUE","Due"))))</f>
        <v/>
      </c>
    </row>
    <row r="297" customFormat="false" ht="15" hidden="false" customHeight="false" outlineLevel="0" collapsed="false">
      <c r="A297" s="23"/>
      <c r="B297" s="23"/>
      <c r="C297" s="34"/>
      <c r="D297" s="22"/>
      <c r="E297" s="22"/>
      <c r="F297" s="23"/>
      <c r="G297" s="31" t="str">
        <f aca="false">IF($B297="","",COUNTIFS('Cleans Log'!$M$5:$M$1004,$B297,'Cleans Log'!$Q$5:$Q$1004,$C297,'Cleans Log'!$N$5:$N$1004,"&gt;0"))</f>
        <v/>
      </c>
      <c r="H297" s="28" t="str">
        <f aca="false">IF($B297="","",SUMIFS('Cleans Log'!$N$5:$N$1004,'Cleans Log'!$M$5:$M$1004,$B297,'Cleans Log'!$Q$5:$Q$1004,$C297))</f>
        <v/>
      </c>
      <c r="I297" s="28" t="str">
        <f aca="false">IF($B297="","",SUMIFS(Purchases!$N$5:$N$1004,Purchases!$L$5:$L$1004,$B297,Purchases!$P$5:$P$1004,$C297))</f>
        <v/>
      </c>
      <c r="J297" s="28" t="str">
        <f aca="false">IF($B297="","",$H297+$I297)</f>
        <v/>
      </c>
      <c r="K297" s="30" t="str">
        <f aca="false">IF(OR($B297="",$D297=""),"",$D297+Settings!$B$12)</f>
        <v/>
      </c>
      <c r="L297" s="27" t="str">
        <f aca="true">IF($B297="","",IF($E297&lt;&gt;"","Paid",IF($D297="","Not sent",IF(TODAY()&gt;$K297,"OVERDUE","Due"))))</f>
        <v/>
      </c>
    </row>
    <row r="298" customFormat="false" ht="15" hidden="false" customHeight="false" outlineLevel="0" collapsed="false">
      <c r="A298" s="23"/>
      <c r="B298" s="23"/>
      <c r="C298" s="34"/>
      <c r="D298" s="22"/>
      <c r="E298" s="22"/>
      <c r="F298" s="23"/>
      <c r="G298" s="31" t="str">
        <f aca="false">IF($B298="","",COUNTIFS('Cleans Log'!$M$5:$M$1004,$B298,'Cleans Log'!$Q$5:$Q$1004,$C298,'Cleans Log'!$N$5:$N$1004,"&gt;0"))</f>
        <v/>
      </c>
      <c r="H298" s="28" t="str">
        <f aca="false">IF($B298="","",SUMIFS('Cleans Log'!$N$5:$N$1004,'Cleans Log'!$M$5:$M$1004,$B298,'Cleans Log'!$Q$5:$Q$1004,$C298))</f>
        <v/>
      </c>
      <c r="I298" s="28" t="str">
        <f aca="false">IF($B298="","",SUMIFS(Purchases!$N$5:$N$1004,Purchases!$L$5:$L$1004,$B298,Purchases!$P$5:$P$1004,$C298))</f>
        <v/>
      </c>
      <c r="J298" s="28" t="str">
        <f aca="false">IF($B298="","",$H298+$I298)</f>
        <v/>
      </c>
      <c r="K298" s="30" t="str">
        <f aca="false">IF(OR($B298="",$D298=""),"",$D298+Settings!$B$12)</f>
        <v/>
      </c>
      <c r="L298" s="27" t="str">
        <f aca="true">IF($B298="","",IF($E298&lt;&gt;"","Paid",IF($D298="","Not sent",IF(TODAY()&gt;$K298,"OVERDUE","Due"))))</f>
        <v/>
      </c>
    </row>
    <row r="299" customFormat="false" ht="15" hidden="false" customHeight="false" outlineLevel="0" collapsed="false">
      <c r="A299" s="23"/>
      <c r="B299" s="23"/>
      <c r="C299" s="34"/>
      <c r="D299" s="22"/>
      <c r="E299" s="22"/>
      <c r="F299" s="23"/>
      <c r="G299" s="31" t="str">
        <f aca="false">IF($B299="","",COUNTIFS('Cleans Log'!$M$5:$M$1004,$B299,'Cleans Log'!$Q$5:$Q$1004,$C299,'Cleans Log'!$N$5:$N$1004,"&gt;0"))</f>
        <v/>
      </c>
      <c r="H299" s="28" t="str">
        <f aca="false">IF($B299="","",SUMIFS('Cleans Log'!$N$5:$N$1004,'Cleans Log'!$M$5:$M$1004,$B299,'Cleans Log'!$Q$5:$Q$1004,$C299))</f>
        <v/>
      </c>
      <c r="I299" s="28" t="str">
        <f aca="false">IF($B299="","",SUMIFS(Purchases!$N$5:$N$1004,Purchases!$L$5:$L$1004,$B299,Purchases!$P$5:$P$1004,$C299))</f>
        <v/>
      </c>
      <c r="J299" s="28" t="str">
        <f aca="false">IF($B299="","",$H299+$I299)</f>
        <v/>
      </c>
      <c r="K299" s="30" t="str">
        <f aca="false">IF(OR($B299="",$D299=""),"",$D299+Settings!$B$12)</f>
        <v/>
      </c>
      <c r="L299" s="27" t="str">
        <f aca="true">IF($B299="","",IF($E299&lt;&gt;"","Paid",IF($D299="","Not sent",IF(TODAY()&gt;$K299,"OVERDUE","Due"))))</f>
        <v/>
      </c>
    </row>
    <row r="300" customFormat="false" ht="15" hidden="false" customHeight="false" outlineLevel="0" collapsed="false">
      <c r="A300" s="23"/>
      <c r="B300" s="23"/>
      <c r="C300" s="34"/>
      <c r="D300" s="22"/>
      <c r="E300" s="22"/>
      <c r="F300" s="23"/>
      <c r="G300" s="31" t="str">
        <f aca="false">IF($B300="","",COUNTIFS('Cleans Log'!$M$5:$M$1004,$B300,'Cleans Log'!$Q$5:$Q$1004,$C300,'Cleans Log'!$N$5:$N$1004,"&gt;0"))</f>
        <v/>
      </c>
      <c r="H300" s="28" t="str">
        <f aca="false">IF($B300="","",SUMIFS('Cleans Log'!$N$5:$N$1004,'Cleans Log'!$M$5:$M$1004,$B300,'Cleans Log'!$Q$5:$Q$1004,$C300))</f>
        <v/>
      </c>
      <c r="I300" s="28" t="str">
        <f aca="false">IF($B300="","",SUMIFS(Purchases!$N$5:$N$1004,Purchases!$L$5:$L$1004,$B300,Purchases!$P$5:$P$1004,$C300))</f>
        <v/>
      </c>
      <c r="J300" s="28" t="str">
        <f aca="false">IF($B300="","",$H300+$I300)</f>
        <v/>
      </c>
      <c r="K300" s="30" t="str">
        <f aca="false">IF(OR($B300="",$D300=""),"",$D300+Settings!$B$12)</f>
        <v/>
      </c>
      <c r="L300" s="27" t="str">
        <f aca="true">IF($B300="","",IF($E300&lt;&gt;"","Paid",IF($D300="","Not sent",IF(TODAY()&gt;$K300,"OVERDUE","Due"))))</f>
        <v/>
      </c>
    </row>
    <row r="301" customFormat="false" ht="15" hidden="false" customHeight="false" outlineLevel="0" collapsed="false">
      <c r="A301" s="23"/>
      <c r="B301" s="23"/>
      <c r="C301" s="34"/>
      <c r="D301" s="22"/>
      <c r="E301" s="22"/>
      <c r="F301" s="23"/>
      <c r="G301" s="31" t="str">
        <f aca="false">IF($B301="","",COUNTIFS('Cleans Log'!$M$5:$M$1004,$B301,'Cleans Log'!$Q$5:$Q$1004,$C301,'Cleans Log'!$N$5:$N$1004,"&gt;0"))</f>
        <v/>
      </c>
      <c r="H301" s="28" t="str">
        <f aca="false">IF($B301="","",SUMIFS('Cleans Log'!$N$5:$N$1004,'Cleans Log'!$M$5:$M$1004,$B301,'Cleans Log'!$Q$5:$Q$1004,$C301))</f>
        <v/>
      </c>
      <c r="I301" s="28" t="str">
        <f aca="false">IF($B301="","",SUMIFS(Purchases!$N$5:$N$1004,Purchases!$L$5:$L$1004,$B301,Purchases!$P$5:$P$1004,$C301))</f>
        <v/>
      </c>
      <c r="J301" s="28" t="str">
        <f aca="false">IF($B301="","",$H301+$I301)</f>
        <v/>
      </c>
      <c r="K301" s="30" t="str">
        <f aca="false">IF(OR($B301="",$D301=""),"",$D301+Settings!$B$12)</f>
        <v/>
      </c>
      <c r="L301" s="27" t="str">
        <f aca="true">IF($B301="","",IF($E301&lt;&gt;"","Paid",IF($D301="","Not sent",IF(TODAY()&gt;$K301,"OVERDUE","Due"))))</f>
        <v/>
      </c>
    </row>
    <row r="302" customFormat="false" ht="15" hidden="false" customHeight="false" outlineLevel="0" collapsed="false">
      <c r="A302" s="23"/>
      <c r="B302" s="23"/>
      <c r="C302" s="34"/>
      <c r="D302" s="22"/>
      <c r="E302" s="22"/>
      <c r="F302" s="23"/>
      <c r="G302" s="31" t="str">
        <f aca="false">IF($B302="","",COUNTIFS('Cleans Log'!$M$5:$M$1004,$B302,'Cleans Log'!$Q$5:$Q$1004,$C302,'Cleans Log'!$N$5:$N$1004,"&gt;0"))</f>
        <v/>
      </c>
      <c r="H302" s="28" t="str">
        <f aca="false">IF($B302="","",SUMIFS('Cleans Log'!$N$5:$N$1004,'Cleans Log'!$M$5:$M$1004,$B302,'Cleans Log'!$Q$5:$Q$1004,$C302))</f>
        <v/>
      </c>
      <c r="I302" s="28" t="str">
        <f aca="false">IF($B302="","",SUMIFS(Purchases!$N$5:$N$1004,Purchases!$L$5:$L$1004,$B302,Purchases!$P$5:$P$1004,$C302))</f>
        <v/>
      </c>
      <c r="J302" s="28" t="str">
        <f aca="false">IF($B302="","",$H302+$I302)</f>
        <v/>
      </c>
      <c r="K302" s="30" t="str">
        <f aca="false">IF(OR($B302="",$D302=""),"",$D302+Settings!$B$12)</f>
        <v/>
      </c>
      <c r="L302" s="27" t="str">
        <f aca="true">IF($B302="","",IF($E302&lt;&gt;"","Paid",IF($D302="","Not sent",IF(TODAY()&gt;$K302,"OVERDUE","Due"))))</f>
        <v/>
      </c>
    </row>
    <row r="303" customFormat="false" ht="15" hidden="false" customHeight="false" outlineLevel="0" collapsed="false">
      <c r="A303" s="23"/>
      <c r="B303" s="23"/>
      <c r="C303" s="34"/>
      <c r="D303" s="22"/>
      <c r="E303" s="22"/>
      <c r="F303" s="23"/>
      <c r="G303" s="31" t="str">
        <f aca="false">IF($B303="","",COUNTIFS('Cleans Log'!$M$5:$M$1004,$B303,'Cleans Log'!$Q$5:$Q$1004,$C303,'Cleans Log'!$N$5:$N$1004,"&gt;0"))</f>
        <v/>
      </c>
      <c r="H303" s="28" t="str">
        <f aca="false">IF($B303="","",SUMIFS('Cleans Log'!$N$5:$N$1004,'Cleans Log'!$M$5:$M$1004,$B303,'Cleans Log'!$Q$5:$Q$1004,$C303))</f>
        <v/>
      </c>
      <c r="I303" s="28" t="str">
        <f aca="false">IF($B303="","",SUMIFS(Purchases!$N$5:$N$1004,Purchases!$L$5:$L$1004,$B303,Purchases!$P$5:$P$1004,$C303))</f>
        <v/>
      </c>
      <c r="J303" s="28" t="str">
        <f aca="false">IF($B303="","",$H303+$I303)</f>
        <v/>
      </c>
      <c r="K303" s="30" t="str">
        <f aca="false">IF(OR($B303="",$D303=""),"",$D303+Settings!$B$12)</f>
        <v/>
      </c>
      <c r="L303" s="27" t="str">
        <f aca="true">IF($B303="","",IF($E303&lt;&gt;"","Paid",IF($D303="","Not sent",IF(TODAY()&gt;$K303,"OVERDUE","Due"))))</f>
        <v/>
      </c>
    </row>
    <row r="304" customFormat="false" ht="15" hidden="false" customHeight="false" outlineLevel="0" collapsed="false">
      <c r="A304" s="23"/>
      <c r="B304" s="23"/>
      <c r="C304" s="34"/>
      <c r="D304" s="22"/>
      <c r="E304" s="22"/>
      <c r="F304" s="23"/>
      <c r="G304" s="31" t="str">
        <f aca="false">IF($B304="","",COUNTIFS('Cleans Log'!$M$5:$M$1004,$B304,'Cleans Log'!$Q$5:$Q$1004,$C304,'Cleans Log'!$N$5:$N$1004,"&gt;0"))</f>
        <v/>
      </c>
      <c r="H304" s="28" t="str">
        <f aca="false">IF($B304="","",SUMIFS('Cleans Log'!$N$5:$N$1004,'Cleans Log'!$M$5:$M$1004,$B304,'Cleans Log'!$Q$5:$Q$1004,$C304))</f>
        <v/>
      </c>
      <c r="I304" s="28" t="str">
        <f aca="false">IF($B304="","",SUMIFS(Purchases!$N$5:$N$1004,Purchases!$L$5:$L$1004,$B304,Purchases!$P$5:$P$1004,$C304))</f>
        <v/>
      </c>
      <c r="J304" s="28" t="str">
        <f aca="false">IF($B304="","",$H304+$I304)</f>
        <v/>
      </c>
      <c r="K304" s="30" t="str">
        <f aca="false">IF(OR($B304="",$D304=""),"",$D304+Settings!$B$12)</f>
        <v/>
      </c>
      <c r="L304" s="27" t="str">
        <f aca="true">IF($B304="","",IF($E304&lt;&gt;"","Paid",IF($D304="","Not sent",IF(TODAY()&gt;$K304,"OVERDUE","Due"))))</f>
        <v/>
      </c>
    </row>
    <row r="305" customFormat="false" ht="15" hidden="false" customHeight="false" outlineLevel="0" collapsed="false">
      <c r="A305" s="23"/>
      <c r="B305" s="23"/>
      <c r="C305" s="34"/>
      <c r="D305" s="22"/>
      <c r="E305" s="22"/>
      <c r="F305" s="23"/>
      <c r="G305" s="31" t="str">
        <f aca="false">IF($B305="","",COUNTIFS('Cleans Log'!$M$5:$M$1004,$B305,'Cleans Log'!$Q$5:$Q$1004,$C305,'Cleans Log'!$N$5:$N$1004,"&gt;0"))</f>
        <v/>
      </c>
      <c r="H305" s="28" t="str">
        <f aca="false">IF($B305="","",SUMIFS('Cleans Log'!$N$5:$N$1004,'Cleans Log'!$M$5:$M$1004,$B305,'Cleans Log'!$Q$5:$Q$1004,$C305))</f>
        <v/>
      </c>
      <c r="I305" s="28" t="str">
        <f aca="false">IF($B305="","",SUMIFS(Purchases!$N$5:$N$1004,Purchases!$L$5:$L$1004,$B305,Purchases!$P$5:$P$1004,$C305))</f>
        <v/>
      </c>
      <c r="J305" s="28" t="str">
        <f aca="false">IF($B305="","",$H305+$I305)</f>
        <v/>
      </c>
      <c r="K305" s="30" t="str">
        <f aca="false">IF(OR($B305="",$D305=""),"",$D305+Settings!$B$12)</f>
        <v/>
      </c>
      <c r="L305" s="27" t="str">
        <f aca="true">IF($B305="","",IF($E305&lt;&gt;"","Paid",IF($D305="","Not sent",IF(TODAY()&gt;$K305,"OVERDUE","Due"))))</f>
        <v/>
      </c>
    </row>
    <row r="306" customFormat="false" ht="15" hidden="false" customHeight="false" outlineLevel="0" collapsed="false">
      <c r="A306" s="23"/>
      <c r="B306" s="23"/>
      <c r="C306" s="34"/>
      <c r="D306" s="22"/>
      <c r="E306" s="22"/>
      <c r="F306" s="23"/>
      <c r="G306" s="31" t="str">
        <f aca="false">IF($B306="","",COUNTIFS('Cleans Log'!$M$5:$M$1004,$B306,'Cleans Log'!$Q$5:$Q$1004,$C306,'Cleans Log'!$N$5:$N$1004,"&gt;0"))</f>
        <v/>
      </c>
      <c r="H306" s="28" t="str">
        <f aca="false">IF($B306="","",SUMIFS('Cleans Log'!$N$5:$N$1004,'Cleans Log'!$M$5:$M$1004,$B306,'Cleans Log'!$Q$5:$Q$1004,$C306))</f>
        <v/>
      </c>
      <c r="I306" s="28" t="str">
        <f aca="false">IF($B306="","",SUMIFS(Purchases!$N$5:$N$1004,Purchases!$L$5:$L$1004,$B306,Purchases!$P$5:$P$1004,$C306))</f>
        <v/>
      </c>
      <c r="J306" s="28" t="str">
        <f aca="false">IF($B306="","",$H306+$I306)</f>
        <v/>
      </c>
      <c r="K306" s="30" t="str">
        <f aca="false">IF(OR($B306="",$D306=""),"",$D306+Settings!$B$12)</f>
        <v/>
      </c>
      <c r="L306" s="27" t="str">
        <f aca="true">IF($B306="","",IF($E306&lt;&gt;"","Paid",IF($D306="","Not sent",IF(TODAY()&gt;$K306,"OVERDUE","Due"))))</f>
        <v/>
      </c>
    </row>
  </sheetData>
  <conditionalFormatting sqref="L7:L306">
    <cfRule type="expression" priority="2" aboveAverage="0" equalAverage="0" bottom="0" percent="0" rank="0" text="" dxfId="2">
      <formula>L7="OVERDUE"</formula>
    </cfRule>
    <cfRule type="expression" priority="3" aboveAverage="0" equalAverage="0" bottom="0" percent="0" rank="0" text="" dxfId="1">
      <formula>L7="Not sent"</formula>
    </cfRule>
    <cfRule type="expression" priority="4" aboveAverage="0" equalAverage="0" bottom="0" percent="0" rank="0" text="" dxfId="1">
      <formula>L7="Due"</formula>
    </cfRule>
    <cfRule type="expression" priority="5" aboveAverage="0" equalAverage="0" bottom="0" percent="0" rank="0" text="" dxfId="3">
      <formula>L7="Paid"</formula>
    </cfRule>
  </conditionalFormatting>
  <dataValidations count="1">
    <dataValidation allowBlank="true" errorStyle="stop" operator="between" showDropDown="false" showErrorMessage="false" showInputMessage="false" sqref="B7:B306" type="list">
      <formula1>Hosts!$A$5:$A$54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A86A"/>
    <pageSetUpPr fitToPage="false"/>
  </sheetPr>
  <dimension ref="A1:E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207</v>
      </c>
      <c r="B1" s="2"/>
      <c r="C1" s="2"/>
      <c r="D1" s="2"/>
      <c r="E1" s="2"/>
    </row>
    <row r="2" customFormat="false" ht="15" hidden="false" customHeight="false" outlineLevel="0" collapsed="false">
      <c r="A2" s="3" t="s">
        <v>208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5" customFormat="false" ht="15" hidden="false" customHeight="false" outlineLevel="0" collapsed="false">
      <c r="B5" s="7" t="s">
        <v>110</v>
      </c>
      <c r="C5" s="35" t="s">
        <v>206</v>
      </c>
    </row>
    <row r="6" customFormat="false" ht="15" hidden="false" customHeight="false" outlineLevel="0" collapsed="false">
      <c r="B6" s="7" t="s">
        <v>209</v>
      </c>
      <c r="C6" s="36" t="n">
        <v>46296</v>
      </c>
    </row>
    <row r="7" customFormat="false" ht="15" hidden="false" customHeight="false" outlineLevel="0" collapsed="false">
      <c r="B7" s="7" t="s">
        <v>210</v>
      </c>
      <c r="C7" s="0" t="str">
        <f aca="false">IFERROR(INDEX(Hosts!$B$5:$B$54,MATCH($C$5,Hosts!$A$5:$A$54,0)),"")</f>
        <v>First client</v>
      </c>
    </row>
    <row r="8" customFormat="false" ht="15" hidden="false" customHeight="false" outlineLevel="0" collapsed="false">
      <c r="B8" s="7" t="s">
        <v>211</v>
      </c>
      <c r="C8" s="37" t="n">
        <f aca="false">IFERROR(INDEX(Hosts!$D$5:$D$54,MATCH($C$5,Hosts!$A$5:$A$54,0)),"")</f>
        <v>0</v>
      </c>
    </row>
    <row r="10" customFormat="false" ht="15" hidden="false" customHeight="false" outlineLevel="0" collapsed="false">
      <c r="A10" s="38" t="s">
        <v>212</v>
      </c>
      <c r="B10" s="38" t="s">
        <v>98</v>
      </c>
      <c r="C10" s="38" t="s">
        <v>213</v>
      </c>
      <c r="D10" s="38" t="s">
        <v>214</v>
      </c>
      <c r="E10" s="38" t="s">
        <v>215</v>
      </c>
    </row>
    <row r="11" customFormat="false" ht="15" hidden="false" customHeight="false" outlineLevel="0" collapsed="false">
      <c r="A11" s="39" t="n">
        <v>1</v>
      </c>
      <c r="B11" s="40" t="n">
        <f aca="false">IFERROR(INDEX('Cleans Log'!$A$5:$A$1004,MATCH($A11,'Cleans Log'!$S$5:$S$1004,0)),"")</f>
        <v>46298</v>
      </c>
      <c r="C11" s="5" t="str">
        <f aca="false">IFERROR(INDEX(Properties!$B$5:$B$104,MATCH(INDEX('Cleans Log'!$B$5:$B$1004,MATCH($A11,'Cleans Log'!$S$5:$S$1004,0)),Properties!$A$5:$A$104,0)),"")</f>
        <v>First client (EXAMPLE)</v>
      </c>
      <c r="D11" s="5" t="str">
        <f aca="false">IFERROR(IF(INDEX('Cleans Log'!$D$5:$D$1004,MATCH($A11,'Cleans Log'!$S$5:$S$1004,0))="Completed","Changeover clean",IF(INDEX('Cleans Log'!$D$5:$D$1004,MATCH($A11,'Cleans Log'!$S$5:$S$1004,0))="Late cancel","Late cancellation (50%)",INDEX('Cleans Log'!$D$5:$D$1004,MATCH($A11,'Cleans Log'!$S$5:$S$1004,0))))&amp;IF(INDEX('Cleans Log'!$G$5:$G$1004,MATCH($A11,'Cleans Log'!$S$5:$S$1004,0))="Y"," + same-day rush","")&amp;IF(INDEX('Cleans Log'!$H$5:$H$1004,MATCH($A11,'Cleans Log'!$S$5:$S$1004,0))="Y"," + hot tub check",""),"")</f>
        <v>Changeover clean</v>
      </c>
      <c r="E11" s="16" t="n">
        <f aca="false">IFERROR(INDEX('Cleans Log'!$N$5:$N$1004,MATCH($A11,'Cleans Log'!$S$5:$S$1004,0)),"")</f>
        <v>60</v>
      </c>
    </row>
    <row r="12" customFormat="false" ht="15" hidden="false" customHeight="false" outlineLevel="0" collapsed="false">
      <c r="A12" s="39" t="n">
        <v>2</v>
      </c>
      <c r="B12" s="40" t="n">
        <f aca="false">IFERROR(INDEX('Cleans Log'!$A$5:$A$1004,MATCH($A12,'Cleans Log'!$S$5:$S$1004,0)),"")</f>
        <v>46305</v>
      </c>
      <c r="C12" s="5" t="str">
        <f aca="false">IFERROR(INDEX(Properties!$B$5:$B$104,MATCH(INDEX('Cleans Log'!$B$5:$B$1004,MATCH($A12,'Cleans Log'!$S$5:$S$1004,0)),Properties!$A$5:$A$104,0)),"")</f>
        <v>First client (EXAMPLE)</v>
      </c>
      <c r="D12" s="5" t="str">
        <f aca="false">IFERROR(IF(INDEX('Cleans Log'!$D$5:$D$1004,MATCH($A12,'Cleans Log'!$S$5:$S$1004,0))="Completed","Changeover clean",IF(INDEX('Cleans Log'!$D$5:$D$1004,MATCH($A12,'Cleans Log'!$S$5:$S$1004,0))="Late cancel","Late cancellation (50%)",INDEX('Cleans Log'!$D$5:$D$1004,MATCH($A12,'Cleans Log'!$S$5:$S$1004,0))))&amp;IF(INDEX('Cleans Log'!$G$5:$G$1004,MATCH($A12,'Cleans Log'!$S$5:$S$1004,0))="Y"," + same-day rush","")&amp;IF(INDEX('Cleans Log'!$H$5:$H$1004,MATCH($A12,'Cleans Log'!$S$5:$S$1004,0))="Y"," + hot tub check",""),"")</f>
        <v>Changeover clean</v>
      </c>
      <c r="E12" s="16" t="n">
        <f aca="false">IFERROR(INDEX('Cleans Log'!$N$5:$N$1004,MATCH($A12,'Cleans Log'!$S$5:$S$1004,0)),"")</f>
        <v>60</v>
      </c>
    </row>
    <row r="13" customFormat="false" ht="15" hidden="false" customHeight="false" outlineLevel="0" collapsed="false">
      <c r="A13" s="39" t="n">
        <v>3</v>
      </c>
      <c r="B13" s="40" t="n">
        <f aca="false">IFERROR(INDEX('Cleans Log'!$A$5:$A$1004,MATCH($A13,'Cleans Log'!$S$5:$S$1004,0)),"")</f>
        <v>46312</v>
      </c>
      <c r="C13" s="5" t="str">
        <f aca="false">IFERROR(INDEX(Properties!$B$5:$B$104,MATCH(INDEX('Cleans Log'!$B$5:$B$1004,MATCH($A13,'Cleans Log'!$S$5:$S$1004,0)),Properties!$A$5:$A$104,0)),"")</f>
        <v>First client (EXAMPLE)</v>
      </c>
      <c r="D13" s="5" t="str">
        <f aca="false">IFERROR(IF(INDEX('Cleans Log'!$D$5:$D$1004,MATCH($A13,'Cleans Log'!$S$5:$S$1004,0))="Completed","Changeover clean",IF(INDEX('Cleans Log'!$D$5:$D$1004,MATCH($A13,'Cleans Log'!$S$5:$S$1004,0))="Late cancel","Late cancellation (50%)",INDEX('Cleans Log'!$D$5:$D$1004,MATCH($A13,'Cleans Log'!$S$5:$S$1004,0))))&amp;IF(INDEX('Cleans Log'!$G$5:$G$1004,MATCH($A13,'Cleans Log'!$S$5:$S$1004,0))="Y"," + same-day rush","")&amp;IF(INDEX('Cleans Log'!$H$5:$H$1004,MATCH($A13,'Cleans Log'!$S$5:$S$1004,0))="Y"," + hot tub check",""),"")</f>
        <v>Changeover clean + same-day rush</v>
      </c>
      <c r="E13" s="16" t="n">
        <f aca="false">IFERROR(INDEX('Cleans Log'!$N$5:$N$1004,MATCH($A13,'Cleans Log'!$S$5:$S$1004,0)),"")</f>
        <v>75</v>
      </c>
    </row>
    <row r="14" customFormat="false" ht="15" hidden="false" customHeight="false" outlineLevel="0" collapsed="false">
      <c r="A14" s="39" t="n">
        <v>4</v>
      </c>
      <c r="B14" s="40" t="n">
        <f aca="false">IFERROR(INDEX('Cleans Log'!$A$5:$A$1004,MATCH($A14,'Cleans Log'!$S$5:$S$1004,0)),"")</f>
        <v>46319</v>
      </c>
      <c r="C14" s="5" t="str">
        <f aca="false">IFERROR(INDEX(Properties!$B$5:$B$104,MATCH(INDEX('Cleans Log'!$B$5:$B$1004,MATCH($A14,'Cleans Log'!$S$5:$S$1004,0)),Properties!$A$5:$A$104,0)),"")</f>
        <v>First client (EXAMPLE)</v>
      </c>
      <c r="D14" s="5" t="str">
        <f aca="false">IFERROR(IF(INDEX('Cleans Log'!$D$5:$D$1004,MATCH($A14,'Cleans Log'!$S$5:$S$1004,0))="Completed","Changeover clean",IF(INDEX('Cleans Log'!$D$5:$D$1004,MATCH($A14,'Cleans Log'!$S$5:$S$1004,0))="Late cancel","Late cancellation (50%)",INDEX('Cleans Log'!$D$5:$D$1004,MATCH($A14,'Cleans Log'!$S$5:$S$1004,0))))&amp;IF(INDEX('Cleans Log'!$G$5:$G$1004,MATCH($A14,'Cleans Log'!$S$5:$S$1004,0))="Y"," + same-day rush","")&amp;IF(INDEX('Cleans Log'!$H$5:$H$1004,MATCH($A14,'Cleans Log'!$S$5:$S$1004,0))="Y"," + hot tub check",""),"")</f>
        <v>Late cancellation (50%)</v>
      </c>
      <c r="E14" s="16" t="n">
        <f aca="false">IFERROR(INDEX('Cleans Log'!$N$5:$N$1004,MATCH($A14,'Cleans Log'!$S$5:$S$1004,0)),"")</f>
        <v>30</v>
      </c>
    </row>
    <row r="15" customFormat="false" ht="15" hidden="false" customHeight="false" outlineLevel="0" collapsed="false">
      <c r="A15" s="39" t="n">
        <v>5</v>
      </c>
      <c r="B15" s="40" t="str">
        <f aca="false">IFERROR(INDEX('Cleans Log'!$A$5:$A$1004,MATCH($A15,'Cleans Log'!$S$5:$S$1004,0)),"")</f>
        <v/>
      </c>
      <c r="C15" s="5" t="str">
        <f aca="false">IFERROR(INDEX(Properties!$B$5:$B$104,MATCH(INDEX('Cleans Log'!$B$5:$B$1004,MATCH($A15,'Cleans Log'!$S$5:$S$1004,0)),Properties!$A$5:$A$104,0)),"")</f>
        <v/>
      </c>
      <c r="D15" s="5" t="str">
        <f aca="false">IFERROR(IF(INDEX('Cleans Log'!$D$5:$D$1004,MATCH($A15,'Cleans Log'!$S$5:$S$1004,0))="Completed","Changeover clean",IF(INDEX('Cleans Log'!$D$5:$D$1004,MATCH($A15,'Cleans Log'!$S$5:$S$1004,0))="Late cancel","Late cancellation (50%)",INDEX('Cleans Log'!$D$5:$D$1004,MATCH($A15,'Cleans Log'!$S$5:$S$1004,0))))&amp;IF(INDEX('Cleans Log'!$G$5:$G$1004,MATCH($A15,'Cleans Log'!$S$5:$S$1004,0))="Y"," + same-day rush","")&amp;IF(INDEX('Cleans Log'!$H$5:$H$1004,MATCH($A15,'Cleans Log'!$S$5:$S$1004,0))="Y"," + hot tub check",""),"")</f>
        <v/>
      </c>
      <c r="E15" s="16" t="str">
        <f aca="false">IFERROR(INDEX('Cleans Log'!$N$5:$N$1004,MATCH($A15,'Cleans Log'!$S$5:$S$1004,0)),"")</f>
        <v/>
      </c>
    </row>
    <row r="16" customFormat="false" ht="15" hidden="false" customHeight="false" outlineLevel="0" collapsed="false">
      <c r="A16" s="39" t="n">
        <v>6</v>
      </c>
      <c r="B16" s="40" t="str">
        <f aca="false">IFERROR(INDEX('Cleans Log'!$A$5:$A$1004,MATCH($A16,'Cleans Log'!$S$5:$S$1004,0)),"")</f>
        <v/>
      </c>
      <c r="C16" s="5" t="str">
        <f aca="false">IFERROR(INDEX(Properties!$B$5:$B$104,MATCH(INDEX('Cleans Log'!$B$5:$B$1004,MATCH($A16,'Cleans Log'!$S$5:$S$1004,0)),Properties!$A$5:$A$104,0)),"")</f>
        <v/>
      </c>
      <c r="D16" s="5" t="str">
        <f aca="false">IFERROR(IF(INDEX('Cleans Log'!$D$5:$D$1004,MATCH($A16,'Cleans Log'!$S$5:$S$1004,0))="Completed","Changeover clean",IF(INDEX('Cleans Log'!$D$5:$D$1004,MATCH($A16,'Cleans Log'!$S$5:$S$1004,0))="Late cancel","Late cancellation (50%)",INDEX('Cleans Log'!$D$5:$D$1004,MATCH($A16,'Cleans Log'!$S$5:$S$1004,0))))&amp;IF(INDEX('Cleans Log'!$G$5:$G$1004,MATCH($A16,'Cleans Log'!$S$5:$S$1004,0))="Y"," + same-day rush","")&amp;IF(INDEX('Cleans Log'!$H$5:$H$1004,MATCH($A16,'Cleans Log'!$S$5:$S$1004,0))="Y"," + hot tub check",""),"")</f>
        <v/>
      </c>
      <c r="E16" s="16" t="str">
        <f aca="false">IFERROR(INDEX('Cleans Log'!$N$5:$N$1004,MATCH($A16,'Cleans Log'!$S$5:$S$1004,0)),"")</f>
        <v/>
      </c>
    </row>
    <row r="17" customFormat="false" ht="15" hidden="false" customHeight="false" outlineLevel="0" collapsed="false">
      <c r="A17" s="39" t="n">
        <v>7</v>
      </c>
      <c r="B17" s="40" t="str">
        <f aca="false">IFERROR(INDEX('Cleans Log'!$A$5:$A$1004,MATCH($A17,'Cleans Log'!$S$5:$S$1004,0)),"")</f>
        <v/>
      </c>
      <c r="C17" s="5" t="str">
        <f aca="false">IFERROR(INDEX(Properties!$B$5:$B$104,MATCH(INDEX('Cleans Log'!$B$5:$B$1004,MATCH($A17,'Cleans Log'!$S$5:$S$1004,0)),Properties!$A$5:$A$104,0)),"")</f>
        <v/>
      </c>
      <c r="D17" s="5" t="str">
        <f aca="false">IFERROR(IF(INDEX('Cleans Log'!$D$5:$D$1004,MATCH($A17,'Cleans Log'!$S$5:$S$1004,0))="Completed","Changeover clean",IF(INDEX('Cleans Log'!$D$5:$D$1004,MATCH($A17,'Cleans Log'!$S$5:$S$1004,0))="Late cancel","Late cancellation (50%)",INDEX('Cleans Log'!$D$5:$D$1004,MATCH($A17,'Cleans Log'!$S$5:$S$1004,0))))&amp;IF(INDEX('Cleans Log'!$G$5:$G$1004,MATCH($A17,'Cleans Log'!$S$5:$S$1004,0))="Y"," + same-day rush","")&amp;IF(INDEX('Cleans Log'!$H$5:$H$1004,MATCH($A17,'Cleans Log'!$S$5:$S$1004,0))="Y"," + hot tub check",""),"")</f>
        <v/>
      </c>
      <c r="E17" s="16" t="str">
        <f aca="false">IFERROR(INDEX('Cleans Log'!$N$5:$N$1004,MATCH($A17,'Cleans Log'!$S$5:$S$1004,0)),"")</f>
        <v/>
      </c>
    </row>
    <row r="18" customFormat="false" ht="15" hidden="false" customHeight="false" outlineLevel="0" collapsed="false">
      <c r="A18" s="39" t="n">
        <v>8</v>
      </c>
      <c r="B18" s="40" t="str">
        <f aca="false">IFERROR(INDEX('Cleans Log'!$A$5:$A$1004,MATCH($A18,'Cleans Log'!$S$5:$S$1004,0)),"")</f>
        <v/>
      </c>
      <c r="C18" s="5" t="str">
        <f aca="false">IFERROR(INDEX(Properties!$B$5:$B$104,MATCH(INDEX('Cleans Log'!$B$5:$B$1004,MATCH($A18,'Cleans Log'!$S$5:$S$1004,0)),Properties!$A$5:$A$104,0)),"")</f>
        <v/>
      </c>
      <c r="D18" s="5" t="str">
        <f aca="false">IFERROR(IF(INDEX('Cleans Log'!$D$5:$D$1004,MATCH($A18,'Cleans Log'!$S$5:$S$1004,0))="Completed","Changeover clean",IF(INDEX('Cleans Log'!$D$5:$D$1004,MATCH($A18,'Cleans Log'!$S$5:$S$1004,0))="Late cancel","Late cancellation (50%)",INDEX('Cleans Log'!$D$5:$D$1004,MATCH($A18,'Cleans Log'!$S$5:$S$1004,0))))&amp;IF(INDEX('Cleans Log'!$G$5:$G$1004,MATCH($A18,'Cleans Log'!$S$5:$S$1004,0))="Y"," + same-day rush","")&amp;IF(INDEX('Cleans Log'!$H$5:$H$1004,MATCH($A18,'Cleans Log'!$S$5:$S$1004,0))="Y"," + hot tub check",""),"")</f>
        <v/>
      </c>
      <c r="E18" s="16" t="str">
        <f aca="false">IFERROR(INDEX('Cleans Log'!$N$5:$N$1004,MATCH($A18,'Cleans Log'!$S$5:$S$1004,0)),"")</f>
        <v/>
      </c>
    </row>
    <row r="19" customFormat="false" ht="15" hidden="false" customHeight="false" outlineLevel="0" collapsed="false">
      <c r="A19" s="39" t="n">
        <v>9</v>
      </c>
      <c r="B19" s="40" t="str">
        <f aca="false">IFERROR(INDEX('Cleans Log'!$A$5:$A$1004,MATCH($A19,'Cleans Log'!$S$5:$S$1004,0)),"")</f>
        <v/>
      </c>
      <c r="C19" s="5" t="str">
        <f aca="false">IFERROR(INDEX(Properties!$B$5:$B$104,MATCH(INDEX('Cleans Log'!$B$5:$B$1004,MATCH($A19,'Cleans Log'!$S$5:$S$1004,0)),Properties!$A$5:$A$104,0)),"")</f>
        <v/>
      </c>
      <c r="D19" s="5" t="str">
        <f aca="false">IFERROR(IF(INDEX('Cleans Log'!$D$5:$D$1004,MATCH($A19,'Cleans Log'!$S$5:$S$1004,0))="Completed","Changeover clean",IF(INDEX('Cleans Log'!$D$5:$D$1004,MATCH($A19,'Cleans Log'!$S$5:$S$1004,0))="Late cancel","Late cancellation (50%)",INDEX('Cleans Log'!$D$5:$D$1004,MATCH($A19,'Cleans Log'!$S$5:$S$1004,0))))&amp;IF(INDEX('Cleans Log'!$G$5:$G$1004,MATCH($A19,'Cleans Log'!$S$5:$S$1004,0))="Y"," + same-day rush","")&amp;IF(INDEX('Cleans Log'!$H$5:$H$1004,MATCH($A19,'Cleans Log'!$S$5:$S$1004,0))="Y"," + hot tub check",""),"")</f>
        <v/>
      </c>
      <c r="E19" s="16" t="str">
        <f aca="false">IFERROR(INDEX('Cleans Log'!$N$5:$N$1004,MATCH($A19,'Cleans Log'!$S$5:$S$1004,0)),"")</f>
        <v/>
      </c>
    </row>
    <row r="20" customFormat="false" ht="15" hidden="false" customHeight="false" outlineLevel="0" collapsed="false">
      <c r="A20" s="39" t="n">
        <v>10</v>
      </c>
      <c r="B20" s="40" t="str">
        <f aca="false">IFERROR(INDEX('Cleans Log'!$A$5:$A$1004,MATCH($A20,'Cleans Log'!$S$5:$S$1004,0)),"")</f>
        <v/>
      </c>
      <c r="C20" s="5" t="str">
        <f aca="false">IFERROR(INDEX(Properties!$B$5:$B$104,MATCH(INDEX('Cleans Log'!$B$5:$B$1004,MATCH($A20,'Cleans Log'!$S$5:$S$1004,0)),Properties!$A$5:$A$104,0)),"")</f>
        <v/>
      </c>
      <c r="D20" s="5" t="str">
        <f aca="false">IFERROR(IF(INDEX('Cleans Log'!$D$5:$D$1004,MATCH($A20,'Cleans Log'!$S$5:$S$1004,0))="Completed","Changeover clean",IF(INDEX('Cleans Log'!$D$5:$D$1004,MATCH($A20,'Cleans Log'!$S$5:$S$1004,0))="Late cancel","Late cancellation (50%)",INDEX('Cleans Log'!$D$5:$D$1004,MATCH($A20,'Cleans Log'!$S$5:$S$1004,0))))&amp;IF(INDEX('Cleans Log'!$G$5:$G$1004,MATCH($A20,'Cleans Log'!$S$5:$S$1004,0))="Y"," + same-day rush","")&amp;IF(INDEX('Cleans Log'!$H$5:$H$1004,MATCH($A20,'Cleans Log'!$S$5:$S$1004,0))="Y"," + hot tub check",""),"")</f>
        <v/>
      </c>
      <c r="E20" s="16" t="str">
        <f aca="false">IFERROR(INDEX('Cleans Log'!$N$5:$N$1004,MATCH($A20,'Cleans Log'!$S$5:$S$1004,0)),"")</f>
        <v/>
      </c>
    </row>
    <row r="21" customFormat="false" ht="15" hidden="false" customHeight="false" outlineLevel="0" collapsed="false">
      <c r="A21" s="39" t="n">
        <v>11</v>
      </c>
      <c r="B21" s="40" t="str">
        <f aca="false">IFERROR(INDEX('Cleans Log'!$A$5:$A$1004,MATCH($A21,'Cleans Log'!$S$5:$S$1004,0)),"")</f>
        <v/>
      </c>
      <c r="C21" s="5" t="str">
        <f aca="false">IFERROR(INDEX(Properties!$B$5:$B$104,MATCH(INDEX('Cleans Log'!$B$5:$B$1004,MATCH($A21,'Cleans Log'!$S$5:$S$1004,0)),Properties!$A$5:$A$104,0)),"")</f>
        <v/>
      </c>
      <c r="D21" s="5" t="str">
        <f aca="false">IFERROR(IF(INDEX('Cleans Log'!$D$5:$D$1004,MATCH($A21,'Cleans Log'!$S$5:$S$1004,0))="Completed","Changeover clean",IF(INDEX('Cleans Log'!$D$5:$D$1004,MATCH($A21,'Cleans Log'!$S$5:$S$1004,0))="Late cancel","Late cancellation (50%)",INDEX('Cleans Log'!$D$5:$D$1004,MATCH($A21,'Cleans Log'!$S$5:$S$1004,0))))&amp;IF(INDEX('Cleans Log'!$G$5:$G$1004,MATCH($A21,'Cleans Log'!$S$5:$S$1004,0))="Y"," + same-day rush","")&amp;IF(INDEX('Cleans Log'!$H$5:$H$1004,MATCH($A21,'Cleans Log'!$S$5:$S$1004,0))="Y"," + hot tub check",""),"")</f>
        <v/>
      </c>
      <c r="E21" s="16" t="str">
        <f aca="false">IFERROR(INDEX('Cleans Log'!$N$5:$N$1004,MATCH($A21,'Cleans Log'!$S$5:$S$1004,0)),"")</f>
        <v/>
      </c>
    </row>
    <row r="22" customFormat="false" ht="15" hidden="false" customHeight="false" outlineLevel="0" collapsed="false">
      <c r="A22" s="39" t="n">
        <v>12</v>
      </c>
      <c r="B22" s="40" t="str">
        <f aca="false">IFERROR(INDEX('Cleans Log'!$A$5:$A$1004,MATCH($A22,'Cleans Log'!$S$5:$S$1004,0)),"")</f>
        <v/>
      </c>
      <c r="C22" s="5" t="str">
        <f aca="false">IFERROR(INDEX(Properties!$B$5:$B$104,MATCH(INDEX('Cleans Log'!$B$5:$B$1004,MATCH($A22,'Cleans Log'!$S$5:$S$1004,0)),Properties!$A$5:$A$104,0)),"")</f>
        <v/>
      </c>
      <c r="D22" s="5" t="str">
        <f aca="false">IFERROR(IF(INDEX('Cleans Log'!$D$5:$D$1004,MATCH($A22,'Cleans Log'!$S$5:$S$1004,0))="Completed","Changeover clean",IF(INDEX('Cleans Log'!$D$5:$D$1004,MATCH($A22,'Cleans Log'!$S$5:$S$1004,0))="Late cancel","Late cancellation (50%)",INDEX('Cleans Log'!$D$5:$D$1004,MATCH($A22,'Cleans Log'!$S$5:$S$1004,0))))&amp;IF(INDEX('Cleans Log'!$G$5:$G$1004,MATCH($A22,'Cleans Log'!$S$5:$S$1004,0))="Y"," + same-day rush","")&amp;IF(INDEX('Cleans Log'!$H$5:$H$1004,MATCH($A22,'Cleans Log'!$S$5:$S$1004,0))="Y"," + hot tub check",""),"")</f>
        <v/>
      </c>
      <c r="E22" s="16" t="str">
        <f aca="false">IFERROR(INDEX('Cleans Log'!$N$5:$N$1004,MATCH($A22,'Cleans Log'!$S$5:$S$1004,0)),"")</f>
        <v/>
      </c>
    </row>
    <row r="23" customFormat="false" ht="15" hidden="false" customHeight="false" outlineLevel="0" collapsed="false">
      <c r="A23" s="39" t="n">
        <v>13</v>
      </c>
      <c r="B23" s="40" t="str">
        <f aca="false">IFERROR(INDEX('Cleans Log'!$A$5:$A$1004,MATCH($A23,'Cleans Log'!$S$5:$S$1004,0)),"")</f>
        <v/>
      </c>
      <c r="C23" s="5" t="str">
        <f aca="false">IFERROR(INDEX(Properties!$B$5:$B$104,MATCH(INDEX('Cleans Log'!$B$5:$B$1004,MATCH($A23,'Cleans Log'!$S$5:$S$1004,0)),Properties!$A$5:$A$104,0)),"")</f>
        <v/>
      </c>
      <c r="D23" s="5" t="str">
        <f aca="false">IFERROR(IF(INDEX('Cleans Log'!$D$5:$D$1004,MATCH($A23,'Cleans Log'!$S$5:$S$1004,0))="Completed","Changeover clean",IF(INDEX('Cleans Log'!$D$5:$D$1004,MATCH($A23,'Cleans Log'!$S$5:$S$1004,0))="Late cancel","Late cancellation (50%)",INDEX('Cleans Log'!$D$5:$D$1004,MATCH($A23,'Cleans Log'!$S$5:$S$1004,0))))&amp;IF(INDEX('Cleans Log'!$G$5:$G$1004,MATCH($A23,'Cleans Log'!$S$5:$S$1004,0))="Y"," + same-day rush","")&amp;IF(INDEX('Cleans Log'!$H$5:$H$1004,MATCH($A23,'Cleans Log'!$S$5:$S$1004,0))="Y"," + hot tub check",""),"")</f>
        <v/>
      </c>
      <c r="E23" s="16" t="str">
        <f aca="false">IFERROR(INDEX('Cleans Log'!$N$5:$N$1004,MATCH($A23,'Cleans Log'!$S$5:$S$1004,0)),"")</f>
        <v/>
      </c>
    </row>
    <row r="24" customFormat="false" ht="15" hidden="false" customHeight="false" outlineLevel="0" collapsed="false">
      <c r="A24" s="39" t="n">
        <v>14</v>
      </c>
      <c r="B24" s="40" t="str">
        <f aca="false">IFERROR(INDEX('Cleans Log'!$A$5:$A$1004,MATCH($A24,'Cleans Log'!$S$5:$S$1004,0)),"")</f>
        <v/>
      </c>
      <c r="C24" s="5" t="str">
        <f aca="false">IFERROR(INDEX(Properties!$B$5:$B$104,MATCH(INDEX('Cleans Log'!$B$5:$B$1004,MATCH($A24,'Cleans Log'!$S$5:$S$1004,0)),Properties!$A$5:$A$104,0)),"")</f>
        <v/>
      </c>
      <c r="D24" s="5" t="str">
        <f aca="false">IFERROR(IF(INDEX('Cleans Log'!$D$5:$D$1004,MATCH($A24,'Cleans Log'!$S$5:$S$1004,0))="Completed","Changeover clean",IF(INDEX('Cleans Log'!$D$5:$D$1004,MATCH($A24,'Cleans Log'!$S$5:$S$1004,0))="Late cancel","Late cancellation (50%)",INDEX('Cleans Log'!$D$5:$D$1004,MATCH($A24,'Cleans Log'!$S$5:$S$1004,0))))&amp;IF(INDEX('Cleans Log'!$G$5:$G$1004,MATCH($A24,'Cleans Log'!$S$5:$S$1004,0))="Y"," + same-day rush","")&amp;IF(INDEX('Cleans Log'!$H$5:$H$1004,MATCH($A24,'Cleans Log'!$S$5:$S$1004,0))="Y"," + hot tub check",""),"")</f>
        <v/>
      </c>
      <c r="E24" s="16" t="str">
        <f aca="false">IFERROR(INDEX('Cleans Log'!$N$5:$N$1004,MATCH($A24,'Cleans Log'!$S$5:$S$1004,0)),"")</f>
        <v/>
      </c>
    </row>
    <row r="25" customFormat="false" ht="15" hidden="false" customHeight="false" outlineLevel="0" collapsed="false">
      <c r="A25" s="39" t="n">
        <v>15</v>
      </c>
      <c r="B25" s="40" t="str">
        <f aca="false">IFERROR(INDEX('Cleans Log'!$A$5:$A$1004,MATCH($A25,'Cleans Log'!$S$5:$S$1004,0)),"")</f>
        <v/>
      </c>
      <c r="C25" s="5" t="str">
        <f aca="false">IFERROR(INDEX(Properties!$B$5:$B$104,MATCH(INDEX('Cleans Log'!$B$5:$B$1004,MATCH($A25,'Cleans Log'!$S$5:$S$1004,0)),Properties!$A$5:$A$104,0)),"")</f>
        <v/>
      </c>
      <c r="D25" s="5" t="str">
        <f aca="false">IFERROR(IF(INDEX('Cleans Log'!$D$5:$D$1004,MATCH($A25,'Cleans Log'!$S$5:$S$1004,0))="Completed","Changeover clean",IF(INDEX('Cleans Log'!$D$5:$D$1004,MATCH($A25,'Cleans Log'!$S$5:$S$1004,0))="Late cancel","Late cancellation (50%)",INDEX('Cleans Log'!$D$5:$D$1004,MATCH($A25,'Cleans Log'!$S$5:$S$1004,0))))&amp;IF(INDEX('Cleans Log'!$G$5:$G$1004,MATCH($A25,'Cleans Log'!$S$5:$S$1004,0))="Y"," + same-day rush","")&amp;IF(INDEX('Cleans Log'!$H$5:$H$1004,MATCH($A25,'Cleans Log'!$S$5:$S$1004,0))="Y"," + hot tub check",""),"")</f>
        <v/>
      </c>
      <c r="E25" s="16" t="str">
        <f aca="false">IFERROR(INDEX('Cleans Log'!$N$5:$N$1004,MATCH($A25,'Cleans Log'!$S$5:$S$1004,0)),"")</f>
        <v/>
      </c>
    </row>
    <row r="26" customFormat="false" ht="15" hidden="false" customHeight="false" outlineLevel="0" collapsed="false">
      <c r="A26" s="39" t="n">
        <v>16</v>
      </c>
      <c r="B26" s="40" t="str">
        <f aca="false">IFERROR(INDEX('Cleans Log'!$A$5:$A$1004,MATCH($A26,'Cleans Log'!$S$5:$S$1004,0)),"")</f>
        <v/>
      </c>
      <c r="C26" s="5" t="str">
        <f aca="false">IFERROR(INDEX(Properties!$B$5:$B$104,MATCH(INDEX('Cleans Log'!$B$5:$B$1004,MATCH($A26,'Cleans Log'!$S$5:$S$1004,0)),Properties!$A$5:$A$104,0)),"")</f>
        <v/>
      </c>
      <c r="D26" s="5" t="str">
        <f aca="false">IFERROR(IF(INDEX('Cleans Log'!$D$5:$D$1004,MATCH($A26,'Cleans Log'!$S$5:$S$1004,0))="Completed","Changeover clean",IF(INDEX('Cleans Log'!$D$5:$D$1004,MATCH($A26,'Cleans Log'!$S$5:$S$1004,0))="Late cancel","Late cancellation (50%)",INDEX('Cleans Log'!$D$5:$D$1004,MATCH($A26,'Cleans Log'!$S$5:$S$1004,0))))&amp;IF(INDEX('Cleans Log'!$G$5:$G$1004,MATCH($A26,'Cleans Log'!$S$5:$S$1004,0))="Y"," + same-day rush","")&amp;IF(INDEX('Cleans Log'!$H$5:$H$1004,MATCH($A26,'Cleans Log'!$S$5:$S$1004,0))="Y"," + hot tub check",""),"")</f>
        <v/>
      </c>
      <c r="E26" s="16" t="str">
        <f aca="false">IFERROR(INDEX('Cleans Log'!$N$5:$N$1004,MATCH($A26,'Cleans Log'!$S$5:$S$1004,0)),"")</f>
        <v/>
      </c>
    </row>
    <row r="27" customFormat="false" ht="15" hidden="false" customHeight="false" outlineLevel="0" collapsed="false">
      <c r="A27" s="39" t="n">
        <v>17</v>
      </c>
      <c r="B27" s="40" t="str">
        <f aca="false">IFERROR(INDEX('Cleans Log'!$A$5:$A$1004,MATCH($A27,'Cleans Log'!$S$5:$S$1004,0)),"")</f>
        <v/>
      </c>
      <c r="C27" s="5" t="str">
        <f aca="false">IFERROR(INDEX(Properties!$B$5:$B$104,MATCH(INDEX('Cleans Log'!$B$5:$B$1004,MATCH($A27,'Cleans Log'!$S$5:$S$1004,0)),Properties!$A$5:$A$104,0)),"")</f>
        <v/>
      </c>
      <c r="D27" s="5" t="str">
        <f aca="false">IFERROR(IF(INDEX('Cleans Log'!$D$5:$D$1004,MATCH($A27,'Cleans Log'!$S$5:$S$1004,0))="Completed","Changeover clean",IF(INDEX('Cleans Log'!$D$5:$D$1004,MATCH($A27,'Cleans Log'!$S$5:$S$1004,0))="Late cancel","Late cancellation (50%)",INDEX('Cleans Log'!$D$5:$D$1004,MATCH($A27,'Cleans Log'!$S$5:$S$1004,0))))&amp;IF(INDEX('Cleans Log'!$G$5:$G$1004,MATCH($A27,'Cleans Log'!$S$5:$S$1004,0))="Y"," + same-day rush","")&amp;IF(INDEX('Cleans Log'!$H$5:$H$1004,MATCH($A27,'Cleans Log'!$S$5:$S$1004,0))="Y"," + hot tub check",""),"")</f>
        <v/>
      </c>
      <c r="E27" s="16" t="str">
        <f aca="false">IFERROR(INDEX('Cleans Log'!$N$5:$N$1004,MATCH($A27,'Cleans Log'!$S$5:$S$1004,0)),"")</f>
        <v/>
      </c>
    </row>
    <row r="28" customFormat="false" ht="15" hidden="false" customHeight="false" outlineLevel="0" collapsed="false">
      <c r="A28" s="39" t="n">
        <v>18</v>
      </c>
      <c r="B28" s="40" t="str">
        <f aca="false">IFERROR(INDEX('Cleans Log'!$A$5:$A$1004,MATCH($A28,'Cleans Log'!$S$5:$S$1004,0)),"")</f>
        <v/>
      </c>
      <c r="C28" s="5" t="str">
        <f aca="false">IFERROR(INDEX(Properties!$B$5:$B$104,MATCH(INDEX('Cleans Log'!$B$5:$B$1004,MATCH($A28,'Cleans Log'!$S$5:$S$1004,0)),Properties!$A$5:$A$104,0)),"")</f>
        <v/>
      </c>
      <c r="D28" s="5" t="str">
        <f aca="false">IFERROR(IF(INDEX('Cleans Log'!$D$5:$D$1004,MATCH($A28,'Cleans Log'!$S$5:$S$1004,0))="Completed","Changeover clean",IF(INDEX('Cleans Log'!$D$5:$D$1004,MATCH($A28,'Cleans Log'!$S$5:$S$1004,0))="Late cancel","Late cancellation (50%)",INDEX('Cleans Log'!$D$5:$D$1004,MATCH($A28,'Cleans Log'!$S$5:$S$1004,0))))&amp;IF(INDEX('Cleans Log'!$G$5:$G$1004,MATCH($A28,'Cleans Log'!$S$5:$S$1004,0))="Y"," + same-day rush","")&amp;IF(INDEX('Cleans Log'!$H$5:$H$1004,MATCH($A28,'Cleans Log'!$S$5:$S$1004,0))="Y"," + hot tub check",""),"")</f>
        <v/>
      </c>
      <c r="E28" s="16" t="str">
        <f aca="false">IFERROR(INDEX('Cleans Log'!$N$5:$N$1004,MATCH($A28,'Cleans Log'!$S$5:$S$1004,0)),"")</f>
        <v/>
      </c>
    </row>
    <row r="29" customFormat="false" ht="15" hidden="false" customHeight="false" outlineLevel="0" collapsed="false">
      <c r="A29" s="39" t="n">
        <v>19</v>
      </c>
      <c r="B29" s="40" t="str">
        <f aca="false">IFERROR(INDEX('Cleans Log'!$A$5:$A$1004,MATCH($A29,'Cleans Log'!$S$5:$S$1004,0)),"")</f>
        <v/>
      </c>
      <c r="C29" s="5" t="str">
        <f aca="false">IFERROR(INDEX(Properties!$B$5:$B$104,MATCH(INDEX('Cleans Log'!$B$5:$B$1004,MATCH($A29,'Cleans Log'!$S$5:$S$1004,0)),Properties!$A$5:$A$104,0)),"")</f>
        <v/>
      </c>
      <c r="D29" s="5" t="str">
        <f aca="false">IFERROR(IF(INDEX('Cleans Log'!$D$5:$D$1004,MATCH($A29,'Cleans Log'!$S$5:$S$1004,0))="Completed","Changeover clean",IF(INDEX('Cleans Log'!$D$5:$D$1004,MATCH($A29,'Cleans Log'!$S$5:$S$1004,0))="Late cancel","Late cancellation (50%)",INDEX('Cleans Log'!$D$5:$D$1004,MATCH($A29,'Cleans Log'!$S$5:$S$1004,0))))&amp;IF(INDEX('Cleans Log'!$G$5:$G$1004,MATCH($A29,'Cleans Log'!$S$5:$S$1004,0))="Y"," + same-day rush","")&amp;IF(INDEX('Cleans Log'!$H$5:$H$1004,MATCH($A29,'Cleans Log'!$S$5:$S$1004,0))="Y"," + hot tub check",""),"")</f>
        <v/>
      </c>
      <c r="E29" s="16" t="str">
        <f aca="false">IFERROR(INDEX('Cleans Log'!$N$5:$N$1004,MATCH($A29,'Cleans Log'!$S$5:$S$1004,0)),"")</f>
        <v/>
      </c>
    </row>
    <row r="30" customFormat="false" ht="15" hidden="false" customHeight="false" outlineLevel="0" collapsed="false">
      <c r="A30" s="39" t="n">
        <v>20</v>
      </c>
      <c r="B30" s="40" t="str">
        <f aca="false">IFERROR(INDEX('Cleans Log'!$A$5:$A$1004,MATCH($A30,'Cleans Log'!$S$5:$S$1004,0)),"")</f>
        <v/>
      </c>
      <c r="C30" s="5" t="str">
        <f aca="false">IFERROR(INDEX(Properties!$B$5:$B$104,MATCH(INDEX('Cleans Log'!$B$5:$B$1004,MATCH($A30,'Cleans Log'!$S$5:$S$1004,0)),Properties!$A$5:$A$104,0)),"")</f>
        <v/>
      </c>
      <c r="D30" s="5" t="str">
        <f aca="false">IFERROR(IF(INDEX('Cleans Log'!$D$5:$D$1004,MATCH($A30,'Cleans Log'!$S$5:$S$1004,0))="Completed","Changeover clean",IF(INDEX('Cleans Log'!$D$5:$D$1004,MATCH($A30,'Cleans Log'!$S$5:$S$1004,0))="Late cancel","Late cancellation (50%)",INDEX('Cleans Log'!$D$5:$D$1004,MATCH($A30,'Cleans Log'!$S$5:$S$1004,0))))&amp;IF(INDEX('Cleans Log'!$G$5:$G$1004,MATCH($A30,'Cleans Log'!$S$5:$S$1004,0))="Y"," + same-day rush","")&amp;IF(INDEX('Cleans Log'!$H$5:$H$1004,MATCH($A30,'Cleans Log'!$S$5:$S$1004,0))="Y"," + hot tub check",""),"")</f>
        <v/>
      </c>
      <c r="E30" s="16" t="str">
        <f aca="false">IFERROR(INDEX('Cleans Log'!$N$5:$N$1004,MATCH($A30,'Cleans Log'!$S$5:$S$1004,0)),"")</f>
        <v/>
      </c>
    </row>
    <row r="31" customFormat="false" ht="15" hidden="false" customHeight="false" outlineLevel="0" collapsed="false">
      <c r="A31" s="39" t="n">
        <v>21</v>
      </c>
      <c r="B31" s="40" t="str">
        <f aca="false">IFERROR(INDEX('Cleans Log'!$A$5:$A$1004,MATCH($A31,'Cleans Log'!$S$5:$S$1004,0)),"")</f>
        <v/>
      </c>
      <c r="C31" s="5" t="str">
        <f aca="false">IFERROR(INDEX(Properties!$B$5:$B$104,MATCH(INDEX('Cleans Log'!$B$5:$B$1004,MATCH($A31,'Cleans Log'!$S$5:$S$1004,0)),Properties!$A$5:$A$104,0)),"")</f>
        <v/>
      </c>
      <c r="D31" s="5" t="str">
        <f aca="false">IFERROR(IF(INDEX('Cleans Log'!$D$5:$D$1004,MATCH($A31,'Cleans Log'!$S$5:$S$1004,0))="Completed","Changeover clean",IF(INDEX('Cleans Log'!$D$5:$D$1004,MATCH($A31,'Cleans Log'!$S$5:$S$1004,0))="Late cancel","Late cancellation (50%)",INDEX('Cleans Log'!$D$5:$D$1004,MATCH($A31,'Cleans Log'!$S$5:$S$1004,0))))&amp;IF(INDEX('Cleans Log'!$G$5:$G$1004,MATCH($A31,'Cleans Log'!$S$5:$S$1004,0))="Y"," + same-day rush","")&amp;IF(INDEX('Cleans Log'!$H$5:$H$1004,MATCH($A31,'Cleans Log'!$S$5:$S$1004,0))="Y"," + hot tub check",""),"")</f>
        <v/>
      </c>
      <c r="E31" s="16" t="str">
        <f aca="false">IFERROR(INDEX('Cleans Log'!$N$5:$N$1004,MATCH($A31,'Cleans Log'!$S$5:$S$1004,0)),"")</f>
        <v/>
      </c>
    </row>
    <row r="32" customFormat="false" ht="15" hidden="false" customHeight="false" outlineLevel="0" collapsed="false">
      <c r="A32" s="39" t="n">
        <v>22</v>
      </c>
      <c r="B32" s="40" t="str">
        <f aca="false">IFERROR(INDEX('Cleans Log'!$A$5:$A$1004,MATCH($A32,'Cleans Log'!$S$5:$S$1004,0)),"")</f>
        <v/>
      </c>
      <c r="C32" s="5" t="str">
        <f aca="false">IFERROR(INDEX(Properties!$B$5:$B$104,MATCH(INDEX('Cleans Log'!$B$5:$B$1004,MATCH($A32,'Cleans Log'!$S$5:$S$1004,0)),Properties!$A$5:$A$104,0)),"")</f>
        <v/>
      </c>
      <c r="D32" s="5" t="str">
        <f aca="false">IFERROR(IF(INDEX('Cleans Log'!$D$5:$D$1004,MATCH($A32,'Cleans Log'!$S$5:$S$1004,0))="Completed","Changeover clean",IF(INDEX('Cleans Log'!$D$5:$D$1004,MATCH($A32,'Cleans Log'!$S$5:$S$1004,0))="Late cancel","Late cancellation (50%)",INDEX('Cleans Log'!$D$5:$D$1004,MATCH($A32,'Cleans Log'!$S$5:$S$1004,0))))&amp;IF(INDEX('Cleans Log'!$G$5:$G$1004,MATCH($A32,'Cleans Log'!$S$5:$S$1004,0))="Y"," + same-day rush","")&amp;IF(INDEX('Cleans Log'!$H$5:$H$1004,MATCH($A32,'Cleans Log'!$S$5:$S$1004,0))="Y"," + hot tub check",""),"")</f>
        <v/>
      </c>
      <c r="E32" s="16" t="str">
        <f aca="false">IFERROR(INDEX('Cleans Log'!$N$5:$N$1004,MATCH($A32,'Cleans Log'!$S$5:$S$1004,0)),"")</f>
        <v/>
      </c>
    </row>
    <row r="33" customFormat="false" ht="15" hidden="false" customHeight="false" outlineLevel="0" collapsed="false">
      <c r="A33" s="39" t="n">
        <v>23</v>
      </c>
      <c r="B33" s="40" t="str">
        <f aca="false">IFERROR(INDEX('Cleans Log'!$A$5:$A$1004,MATCH($A33,'Cleans Log'!$S$5:$S$1004,0)),"")</f>
        <v/>
      </c>
      <c r="C33" s="5" t="str">
        <f aca="false">IFERROR(INDEX(Properties!$B$5:$B$104,MATCH(INDEX('Cleans Log'!$B$5:$B$1004,MATCH($A33,'Cleans Log'!$S$5:$S$1004,0)),Properties!$A$5:$A$104,0)),"")</f>
        <v/>
      </c>
      <c r="D33" s="5" t="str">
        <f aca="false">IFERROR(IF(INDEX('Cleans Log'!$D$5:$D$1004,MATCH($A33,'Cleans Log'!$S$5:$S$1004,0))="Completed","Changeover clean",IF(INDEX('Cleans Log'!$D$5:$D$1004,MATCH($A33,'Cleans Log'!$S$5:$S$1004,0))="Late cancel","Late cancellation (50%)",INDEX('Cleans Log'!$D$5:$D$1004,MATCH($A33,'Cleans Log'!$S$5:$S$1004,0))))&amp;IF(INDEX('Cleans Log'!$G$5:$G$1004,MATCH($A33,'Cleans Log'!$S$5:$S$1004,0))="Y"," + same-day rush","")&amp;IF(INDEX('Cleans Log'!$H$5:$H$1004,MATCH($A33,'Cleans Log'!$S$5:$S$1004,0))="Y"," + hot tub check",""),"")</f>
        <v/>
      </c>
      <c r="E33" s="16" t="str">
        <f aca="false">IFERROR(INDEX('Cleans Log'!$N$5:$N$1004,MATCH($A33,'Cleans Log'!$S$5:$S$1004,0)),"")</f>
        <v/>
      </c>
    </row>
    <row r="34" customFormat="false" ht="15" hidden="false" customHeight="false" outlineLevel="0" collapsed="false">
      <c r="A34" s="39" t="n">
        <v>24</v>
      </c>
      <c r="B34" s="40" t="str">
        <f aca="false">IFERROR(INDEX('Cleans Log'!$A$5:$A$1004,MATCH($A34,'Cleans Log'!$S$5:$S$1004,0)),"")</f>
        <v/>
      </c>
      <c r="C34" s="5" t="str">
        <f aca="false">IFERROR(INDEX(Properties!$B$5:$B$104,MATCH(INDEX('Cleans Log'!$B$5:$B$1004,MATCH($A34,'Cleans Log'!$S$5:$S$1004,0)),Properties!$A$5:$A$104,0)),"")</f>
        <v/>
      </c>
      <c r="D34" s="5" t="str">
        <f aca="false">IFERROR(IF(INDEX('Cleans Log'!$D$5:$D$1004,MATCH($A34,'Cleans Log'!$S$5:$S$1004,0))="Completed","Changeover clean",IF(INDEX('Cleans Log'!$D$5:$D$1004,MATCH($A34,'Cleans Log'!$S$5:$S$1004,0))="Late cancel","Late cancellation (50%)",INDEX('Cleans Log'!$D$5:$D$1004,MATCH($A34,'Cleans Log'!$S$5:$S$1004,0))))&amp;IF(INDEX('Cleans Log'!$G$5:$G$1004,MATCH($A34,'Cleans Log'!$S$5:$S$1004,0))="Y"," + same-day rush","")&amp;IF(INDEX('Cleans Log'!$H$5:$H$1004,MATCH($A34,'Cleans Log'!$S$5:$S$1004,0))="Y"," + hot tub check",""),"")</f>
        <v/>
      </c>
      <c r="E34" s="16" t="str">
        <f aca="false">IFERROR(INDEX('Cleans Log'!$N$5:$N$1004,MATCH($A34,'Cleans Log'!$S$5:$S$1004,0)),"")</f>
        <v/>
      </c>
    </row>
    <row r="35" customFormat="false" ht="15" hidden="false" customHeight="false" outlineLevel="0" collapsed="false">
      <c r="A35" s="39" t="n">
        <v>25</v>
      </c>
      <c r="B35" s="40" t="str">
        <f aca="false">IFERROR(INDEX('Cleans Log'!$A$5:$A$1004,MATCH($A35,'Cleans Log'!$S$5:$S$1004,0)),"")</f>
        <v/>
      </c>
      <c r="C35" s="5" t="str">
        <f aca="false">IFERROR(INDEX(Properties!$B$5:$B$104,MATCH(INDEX('Cleans Log'!$B$5:$B$1004,MATCH($A35,'Cleans Log'!$S$5:$S$1004,0)),Properties!$A$5:$A$104,0)),"")</f>
        <v/>
      </c>
      <c r="D35" s="5" t="str">
        <f aca="false">IFERROR(IF(INDEX('Cleans Log'!$D$5:$D$1004,MATCH($A35,'Cleans Log'!$S$5:$S$1004,0))="Completed","Changeover clean",IF(INDEX('Cleans Log'!$D$5:$D$1004,MATCH($A35,'Cleans Log'!$S$5:$S$1004,0))="Late cancel","Late cancellation (50%)",INDEX('Cleans Log'!$D$5:$D$1004,MATCH($A35,'Cleans Log'!$S$5:$S$1004,0))))&amp;IF(INDEX('Cleans Log'!$G$5:$G$1004,MATCH($A35,'Cleans Log'!$S$5:$S$1004,0))="Y"," + same-day rush","")&amp;IF(INDEX('Cleans Log'!$H$5:$H$1004,MATCH($A35,'Cleans Log'!$S$5:$S$1004,0))="Y"," + hot tub check",""),"")</f>
        <v/>
      </c>
      <c r="E35" s="16" t="str">
        <f aca="false">IFERROR(INDEX('Cleans Log'!$N$5:$N$1004,MATCH($A35,'Cleans Log'!$S$5:$S$1004,0)),"")</f>
        <v/>
      </c>
    </row>
    <row r="36" customFormat="false" ht="15" hidden="false" customHeight="false" outlineLevel="0" collapsed="false">
      <c r="A36" s="39" t="n">
        <v>26</v>
      </c>
      <c r="B36" s="40" t="str">
        <f aca="false">IFERROR(INDEX('Cleans Log'!$A$5:$A$1004,MATCH($A36,'Cleans Log'!$S$5:$S$1004,0)),"")</f>
        <v/>
      </c>
      <c r="C36" s="5" t="str">
        <f aca="false">IFERROR(INDEX(Properties!$B$5:$B$104,MATCH(INDEX('Cleans Log'!$B$5:$B$1004,MATCH($A36,'Cleans Log'!$S$5:$S$1004,0)),Properties!$A$5:$A$104,0)),"")</f>
        <v/>
      </c>
      <c r="D36" s="5" t="str">
        <f aca="false">IFERROR(IF(INDEX('Cleans Log'!$D$5:$D$1004,MATCH($A36,'Cleans Log'!$S$5:$S$1004,0))="Completed","Changeover clean",IF(INDEX('Cleans Log'!$D$5:$D$1004,MATCH($A36,'Cleans Log'!$S$5:$S$1004,0))="Late cancel","Late cancellation (50%)",INDEX('Cleans Log'!$D$5:$D$1004,MATCH($A36,'Cleans Log'!$S$5:$S$1004,0))))&amp;IF(INDEX('Cleans Log'!$G$5:$G$1004,MATCH($A36,'Cleans Log'!$S$5:$S$1004,0))="Y"," + same-day rush","")&amp;IF(INDEX('Cleans Log'!$H$5:$H$1004,MATCH($A36,'Cleans Log'!$S$5:$S$1004,0))="Y"," + hot tub check",""),"")</f>
        <v/>
      </c>
      <c r="E36" s="16" t="str">
        <f aca="false">IFERROR(INDEX('Cleans Log'!$N$5:$N$1004,MATCH($A36,'Cleans Log'!$S$5:$S$1004,0)),"")</f>
        <v/>
      </c>
    </row>
    <row r="37" customFormat="false" ht="15" hidden="false" customHeight="false" outlineLevel="0" collapsed="false">
      <c r="A37" s="39" t="n">
        <v>27</v>
      </c>
      <c r="B37" s="40" t="str">
        <f aca="false">IFERROR(INDEX('Cleans Log'!$A$5:$A$1004,MATCH($A37,'Cleans Log'!$S$5:$S$1004,0)),"")</f>
        <v/>
      </c>
      <c r="C37" s="5" t="str">
        <f aca="false">IFERROR(INDEX(Properties!$B$5:$B$104,MATCH(INDEX('Cleans Log'!$B$5:$B$1004,MATCH($A37,'Cleans Log'!$S$5:$S$1004,0)),Properties!$A$5:$A$104,0)),"")</f>
        <v/>
      </c>
      <c r="D37" s="5" t="str">
        <f aca="false">IFERROR(IF(INDEX('Cleans Log'!$D$5:$D$1004,MATCH($A37,'Cleans Log'!$S$5:$S$1004,0))="Completed","Changeover clean",IF(INDEX('Cleans Log'!$D$5:$D$1004,MATCH($A37,'Cleans Log'!$S$5:$S$1004,0))="Late cancel","Late cancellation (50%)",INDEX('Cleans Log'!$D$5:$D$1004,MATCH($A37,'Cleans Log'!$S$5:$S$1004,0))))&amp;IF(INDEX('Cleans Log'!$G$5:$G$1004,MATCH($A37,'Cleans Log'!$S$5:$S$1004,0))="Y"," + same-day rush","")&amp;IF(INDEX('Cleans Log'!$H$5:$H$1004,MATCH($A37,'Cleans Log'!$S$5:$S$1004,0))="Y"," + hot tub check",""),"")</f>
        <v/>
      </c>
      <c r="E37" s="16" t="str">
        <f aca="false">IFERROR(INDEX('Cleans Log'!$N$5:$N$1004,MATCH($A37,'Cleans Log'!$S$5:$S$1004,0)),"")</f>
        <v/>
      </c>
    </row>
    <row r="38" customFormat="false" ht="15" hidden="false" customHeight="false" outlineLevel="0" collapsed="false">
      <c r="A38" s="39" t="n">
        <v>28</v>
      </c>
      <c r="B38" s="40" t="str">
        <f aca="false">IFERROR(INDEX('Cleans Log'!$A$5:$A$1004,MATCH($A38,'Cleans Log'!$S$5:$S$1004,0)),"")</f>
        <v/>
      </c>
      <c r="C38" s="5" t="str">
        <f aca="false">IFERROR(INDEX(Properties!$B$5:$B$104,MATCH(INDEX('Cleans Log'!$B$5:$B$1004,MATCH($A38,'Cleans Log'!$S$5:$S$1004,0)),Properties!$A$5:$A$104,0)),"")</f>
        <v/>
      </c>
      <c r="D38" s="5" t="str">
        <f aca="false">IFERROR(IF(INDEX('Cleans Log'!$D$5:$D$1004,MATCH($A38,'Cleans Log'!$S$5:$S$1004,0))="Completed","Changeover clean",IF(INDEX('Cleans Log'!$D$5:$D$1004,MATCH($A38,'Cleans Log'!$S$5:$S$1004,0))="Late cancel","Late cancellation (50%)",INDEX('Cleans Log'!$D$5:$D$1004,MATCH($A38,'Cleans Log'!$S$5:$S$1004,0))))&amp;IF(INDEX('Cleans Log'!$G$5:$G$1004,MATCH($A38,'Cleans Log'!$S$5:$S$1004,0))="Y"," + same-day rush","")&amp;IF(INDEX('Cleans Log'!$H$5:$H$1004,MATCH($A38,'Cleans Log'!$S$5:$S$1004,0))="Y"," + hot tub check",""),"")</f>
        <v/>
      </c>
      <c r="E38" s="16" t="str">
        <f aca="false">IFERROR(INDEX('Cleans Log'!$N$5:$N$1004,MATCH($A38,'Cleans Log'!$S$5:$S$1004,0)),"")</f>
        <v/>
      </c>
    </row>
    <row r="39" customFormat="false" ht="15" hidden="false" customHeight="false" outlineLevel="0" collapsed="false">
      <c r="A39" s="39" t="n">
        <v>29</v>
      </c>
      <c r="B39" s="40" t="str">
        <f aca="false">IFERROR(INDEX('Cleans Log'!$A$5:$A$1004,MATCH($A39,'Cleans Log'!$S$5:$S$1004,0)),"")</f>
        <v/>
      </c>
      <c r="C39" s="5" t="str">
        <f aca="false">IFERROR(INDEX(Properties!$B$5:$B$104,MATCH(INDEX('Cleans Log'!$B$5:$B$1004,MATCH($A39,'Cleans Log'!$S$5:$S$1004,0)),Properties!$A$5:$A$104,0)),"")</f>
        <v/>
      </c>
      <c r="D39" s="5" t="str">
        <f aca="false">IFERROR(IF(INDEX('Cleans Log'!$D$5:$D$1004,MATCH($A39,'Cleans Log'!$S$5:$S$1004,0))="Completed","Changeover clean",IF(INDEX('Cleans Log'!$D$5:$D$1004,MATCH($A39,'Cleans Log'!$S$5:$S$1004,0))="Late cancel","Late cancellation (50%)",INDEX('Cleans Log'!$D$5:$D$1004,MATCH($A39,'Cleans Log'!$S$5:$S$1004,0))))&amp;IF(INDEX('Cleans Log'!$G$5:$G$1004,MATCH($A39,'Cleans Log'!$S$5:$S$1004,0))="Y"," + same-day rush","")&amp;IF(INDEX('Cleans Log'!$H$5:$H$1004,MATCH($A39,'Cleans Log'!$S$5:$S$1004,0))="Y"," + hot tub check",""),"")</f>
        <v/>
      </c>
      <c r="E39" s="16" t="str">
        <f aca="false">IFERROR(INDEX('Cleans Log'!$N$5:$N$1004,MATCH($A39,'Cleans Log'!$S$5:$S$1004,0)),"")</f>
        <v/>
      </c>
    </row>
    <row r="40" customFormat="false" ht="15" hidden="false" customHeight="false" outlineLevel="0" collapsed="false">
      <c r="A40" s="39" t="n">
        <v>30</v>
      </c>
      <c r="B40" s="40" t="str">
        <f aca="false">IFERROR(INDEX('Cleans Log'!$A$5:$A$1004,MATCH($A40,'Cleans Log'!$S$5:$S$1004,0)),"")</f>
        <v/>
      </c>
      <c r="C40" s="5" t="str">
        <f aca="false">IFERROR(INDEX(Properties!$B$5:$B$104,MATCH(INDEX('Cleans Log'!$B$5:$B$1004,MATCH($A40,'Cleans Log'!$S$5:$S$1004,0)),Properties!$A$5:$A$104,0)),"")</f>
        <v/>
      </c>
      <c r="D40" s="5" t="str">
        <f aca="false">IFERROR(IF(INDEX('Cleans Log'!$D$5:$D$1004,MATCH($A40,'Cleans Log'!$S$5:$S$1004,0))="Completed","Changeover clean",IF(INDEX('Cleans Log'!$D$5:$D$1004,MATCH($A40,'Cleans Log'!$S$5:$S$1004,0))="Late cancel","Late cancellation (50%)",INDEX('Cleans Log'!$D$5:$D$1004,MATCH($A40,'Cleans Log'!$S$5:$S$1004,0))))&amp;IF(INDEX('Cleans Log'!$G$5:$G$1004,MATCH($A40,'Cleans Log'!$S$5:$S$1004,0))="Y"," + same-day rush","")&amp;IF(INDEX('Cleans Log'!$H$5:$H$1004,MATCH($A40,'Cleans Log'!$S$5:$S$1004,0))="Y"," + hot tub check",""),"")</f>
        <v/>
      </c>
      <c r="E40" s="16" t="str">
        <f aca="false">IFERROR(INDEX('Cleans Log'!$N$5:$N$1004,MATCH($A40,'Cleans Log'!$S$5:$S$1004,0)),"")</f>
        <v/>
      </c>
    </row>
    <row r="41" customFormat="false" ht="15" hidden="false" customHeight="false" outlineLevel="0" collapsed="false">
      <c r="A41" s="39" t="n">
        <v>31</v>
      </c>
      <c r="B41" s="40" t="str">
        <f aca="false">IFERROR(INDEX('Cleans Log'!$A$5:$A$1004,MATCH($A41,'Cleans Log'!$S$5:$S$1004,0)),"")</f>
        <v/>
      </c>
      <c r="C41" s="5" t="str">
        <f aca="false">IFERROR(INDEX(Properties!$B$5:$B$104,MATCH(INDEX('Cleans Log'!$B$5:$B$1004,MATCH($A41,'Cleans Log'!$S$5:$S$1004,0)),Properties!$A$5:$A$104,0)),"")</f>
        <v/>
      </c>
      <c r="D41" s="5" t="str">
        <f aca="false">IFERROR(IF(INDEX('Cleans Log'!$D$5:$D$1004,MATCH($A41,'Cleans Log'!$S$5:$S$1004,0))="Completed","Changeover clean",IF(INDEX('Cleans Log'!$D$5:$D$1004,MATCH($A41,'Cleans Log'!$S$5:$S$1004,0))="Late cancel","Late cancellation (50%)",INDEX('Cleans Log'!$D$5:$D$1004,MATCH($A41,'Cleans Log'!$S$5:$S$1004,0))))&amp;IF(INDEX('Cleans Log'!$G$5:$G$1004,MATCH($A41,'Cleans Log'!$S$5:$S$1004,0))="Y"," + same-day rush","")&amp;IF(INDEX('Cleans Log'!$H$5:$H$1004,MATCH($A41,'Cleans Log'!$S$5:$S$1004,0))="Y"," + hot tub check",""),"")</f>
        <v/>
      </c>
      <c r="E41" s="16" t="str">
        <f aca="false">IFERROR(INDEX('Cleans Log'!$N$5:$N$1004,MATCH($A41,'Cleans Log'!$S$5:$S$1004,0)),"")</f>
        <v/>
      </c>
    </row>
    <row r="42" customFormat="false" ht="15" hidden="false" customHeight="false" outlineLevel="0" collapsed="false">
      <c r="A42" s="39" t="n">
        <v>32</v>
      </c>
      <c r="B42" s="40" t="str">
        <f aca="false">IFERROR(INDEX('Cleans Log'!$A$5:$A$1004,MATCH($A42,'Cleans Log'!$S$5:$S$1004,0)),"")</f>
        <v/>
      </c>
      <c r="C42" s="5" t="str">
        <f aca="false">IFERROR(INDEX(Properties!$B$5:$B$104,MATCH(INDEX('Cleans Log'!$B$5:$B$1004,MATCH($A42,'Cleans Log'!$S$5:$S$1004,0)),Properties!$A$5:$A$104,0)),"")</f>
        <v/>
      </c>
      <c r="D42" s="5" t="str">
        <f aca="false">IFERROR(IF(INDEX('Cleans Log'!$D$5:$D$1004,MATCH($A42,'Cleans Log'!$S$5:$S$1004,0))="Completed","Changeover clean",IF(INDEX('Cleans Log'!$D$5:$D$1004,MATCH($A42,'Cleans Log'!$S$5:$S$1004,0))="Late cancel","Late cancellation (50%)",INDEX('Cleans Log'!$D$5:$D$1004,MATCH($A42,'Cleans Log'!$S$5:$S$1004,0))))&amp;IF(INDEX('Cleans Log'!$G$5:$G$1004,MATCH($A42,'Cleans Log'!$S$5:$S$1004,0))="Y"," + same-day rush","")&amp;IF(INDEX('Cleans Log'!$H$5:$H$1004,MATCH($A42,'Cleans Log'!$S$5:$S$1004,0))="Y"," + hot tub check",""),"")</f>
        <v/>
      </c>
      <c r="E42" s="16" t="str">
        <f aca="false">IFERROR(INDEX('Cleans Log'!$N$5:$N$1004,MATCH($A42,'Cleans Log'!$S$5:$S$1004,0)),"")</f>
        <v/>
      </c>
    </row>
    <row r="43" customFormat="false" ht="15" hidden="false" customHeight="false" outlineLevel="0" collapsed="false">
      <c r="A43" s="39" t="n">
        <v>33</v>
      </c>
      <c r="B43" s="40" t="str">
        <f aca="false">IFERROR(INDEX('Cleans Log'!$A$5:$A$1004,MATCH($A43,'Cleans Log'!$S$5:$S$1004,0)),"")</f>
        <v/>
      </c>
      <c r="C43" s="5" t="str">
        <f aca="false">IFERROR(INDEX(Properties!$B$5:$B$104,MATCH(INDEX('Cleans Log'!$B$5:$B$1004,MATCH($A43,'Cleans Log'!$S$5:$S$1004,0)),Properties!$A$5:$A$104,0)),"")</f>
        <v/>
      </c>
      <c r="D43" s="5" t="str">
        <f aca="false">IFERROR(IF(INDEX('Cleans Log'!$D$5:$D$1004,MATCH($A43,'Cleans Log'!$S$5:$S$1004,0))="Completed","Changeover clean",IF(INDEX('Cleans Log'!$D$5:$D$1004,MATCH($A43,'Cleans Log'!$S$5:$S$1004,0))="Late cancel","Late cancellation (50%)",INDEX('Cleans Log'!$D$5:$D$1004,MATCH($A43,'Cleans Log'!$S$5:$S$1004,0))))&amp;IF(INDEX('Cleans Log'!$G$5:$G$1004,MATCH($A43,'Cleans Log'!$S$5:$S$1004,0))="Y"," + same-day rush","")&amp;IF(INDEX('Cleans Log'!$H$5:$H$1004,MATCH($A43,'Cleans Log'!$S$5:$S$1004,0))="Y"," + hot tub check",""),"")</f>
        <v/>
      </c>
      <c r="E43" s="16" t="str">
        <f aca="false">IFERROR(INDEX('Cleans Log'!$N$5:$N$1004,MATCH($A43,'Cleans Log'!$S$5:$S$1004,0)),"")</f>
        <v/>
      </c>
    </row>
    <row r="44" customFormat="false" ht="15" hidden="false" customHeight="false" outlineLevel="0" collapsed="false">
      <c r="A44" s="39" t="n">
        <v>34</v>
      </c>
      <c r="B44" s="40" t="str">
        <f aca="false">IFERROR(INDEX('Cleans Log'!$A$5:$A$1004,MATCH($A44,'Cleans Log'!$S$5:$S$1004,0)),"")</f>
        <v/>
      </c>
      <c r="C44" s="5" t="str">
        <f aca="false">IFERROR(INDEX(Properties!$B$5:$B$104,MATCH(INDEX('Cleans Log'!$B$5:$B$1004,MATCH($A44,'Cleans Log'!$S$5:$S$1004,0)),Properties!$A$5:$A$104,0)),"")</f>
        <v/>
      </c>
      <c r="D44" s="5" t="str">
        <f aca="false">IFERROR(IF(INDEX('Cleans Log'!$D$5:$D$1004,MATCH($A44,'Cleans Log'!$S$5:$S$1004,0))="Completed","Changeover clean",IF(INDEX('Cleans Log'!$D$5:$D$1004,MATCH($A44,'Cleans Log'!$S$5:$S$1004,0))="Late cancel","Late cancellation (50%)",INDEX('Cleans Log'!$D$5:$D$1004,MATCH($A44,'Cleans Log'!$S$5:$S$1004,0))))&amp;IF(INDEX('Cleans Log'!$G$5:$G$1004,MATCH($A44,'Cleans Log'!$S$5:$S$1004,0))="Y"," + same-day rush","")&amp;IF(INDEX('Cleans Log'!$H$5:$H$1004,MATCH($A44,'Cleans Log'!$S$5:$S$1004,0))="Y"," + hot tub check",""),"")</f>
        <v/>
      </c>
      <c r="E44" s="16" t="str">
        <f aca="false">IFERROR(INDEX('Cleans Log'!$N$5:$N$1004,MATCH($A44,'Cleans Log'!$S$5:$S$1004,0)),"")</f>
        <v/>
      </c>
    </row>
    <row r="45" customFormat="false" ht="15" hidden="false" customHeight="false" outlineLevel="0" collapsed="false">
      <c r="A45" s="39" t="n">
        <v>35</v>
      </c>
      <c r="B45" s="40" t="str">
        <f aca="false">IFERROR(INDEX('Cleans Log'!$A$5:$A$1004,MATCH($A45,'Cleans Log'!$S$5:$S$1004,0)),"")</f>
        <v/>
      </c>
      <c r="C45" s="5" t="str">
        <f aca="false">IFERROR(INDEX(Properties!$B$5:$B$104,MATCH(INDEX('Cleans Log'!$B$5:$B$1004,MATCH($A45,'Cleans Log'!$S$5:$S$1004,0)),Properties!$A$5:$A$104,0)),"")</f>
        <v/>
      </c>
      <c r="D45" s="5" t="str">
        <f aca="false">IFERROR(IF(INDEX('Cleans Log'!$D$5:$D$1004,MATCH($A45,'Cleans Log'!$S$5:$S$1004,0))="Completed","Changeover clean",IF(INDEX('Cleans Log'!$D$5:$D$1004,MATCH($A45,'Cleans Log'!$S$5:$S$1004,0))="Late cancel","Late cancellation (50%)",INDEX('Cleans Log'!$D$5:$D$1004,MATCH($A45,'Cleans Log'!$S$5:$S$1004,0))))&amp;IF(INDEX('Cleans Log'!$G$5:$G$1004,MATCH($A45,'Cleans Log'!$S$5:$S$1004,0))="Y"," + same-day rush","")&amp;IF(INDEX('Cleans Log'!$H$5:$H$1004,MATCH($A45,'Cleans Log'!$S$5:$S$1004,0))="Y"," + hot tub check",""),"")</f>
        <v/>
      </c>
      <c r="E45" s="16" t="str">
        <f aca="false">IFERROR(INDEX('Cleans Log'!$N$5:$N$1004,MATCH($A45,'Cleans Log'!$S$5:$S$1004,0)),"")</f>
        <v/>
      </c>
    </row>
    <row r="46" customFormat="false" ht="15" hidden="false" customHeight="false" outlineLevel="0" collapsed="false">
      <c r="A46" s="39" t="n">
        <v>36</v>
      </c>
      <c r="B46" s="40" t="str">
        <f aca="false">IFERROR(INDEX('Cleans Log'!$A$5:$A$1004,MATCH($A46,'Cleans Log'!$S$5:$S$1004,0)),"")</f>
        <v/>
      </c>
      <c r="C46" s="5" t="str">
        <f aca="false">IFERROR(INDEX(Properties!$B$5:$B$104,MATCH(INDEX('Cleans Log'!$B$5:$B$1004,MATCH($A46,'Cleans Log'!$S$5:$S$1004,0)),Properties!$A$5:$A$104,0)),"")</f>
        <v/>
      </c>
      <c r="D46" s="5" t="str">
        <f aca="false">IFERROR(IF(INDEX('Cleans Log'!$D$5:$D$1004,MATCH($A46,'Cleans Log'!$S$5:$S$1004,0))="Completed","Changeover clean",IF(INDEX('Cleans Log'!$D$5:$D$1004,MATCH($A46,'Cleans Log'!$S$5:$S$1004,0))="Late cancel","Late cancellation (50%)",INDEX('Cleans Log'!$D$5:$D$1004,MATCH($A46,'Cleans Log'!$S$5:$S$1004,0))))&amp;IF(INDEX('Cleans Log'!$G$5:$G$1004,MATCH($A46,'Cleans Log'!$S$5:$S$1004,0))="Y"," + same-day rush","")&amp;IF(INDEX('Cleans Log'!$H$5:$H$1004,MATCH($A46,'Cleans Log'!$S$5:$S$1004,0))="Y"," + hot tub check",""),"")</f>
        <v/>
      </c>
      <c r="E46" s="16" t="str">
        <f aca="false">IFERROR(INDEX('Cleans Log'!$N$5:$N$1004,MATCH($A46,'Cleans Log'!$S$5:$S$1004,0)),"")</f>
        <v/>
      </c>
    </row>
    <row r="47" customFormat="false" ht="15" hidden="false" customHeight="false" outlineLevel="0" collapsed="false">
      <c r="A47" s="39" t="n">
        <v>37</v>
      </c>
      <c r="B47" s="40" t="str">
        <f aca="false">IFERROR(INDEX('Cleans Log'!$A$5:$A$1004,MATCH($A47,'Cleans Log'!$S$5:$S$1004,0)),"")</f>
        <v/>
      </c>
      <c r="C47" s="5" t="str">
        <f aca="false">IFERROR(INDEX(Properties!$B$5:$B$104,MATCH(INDEX('Cleans Log'!$B$5:$B$1004,MATCH($A47,'Cleans Log'!$S$5:$S$1004,0)),Properties!$A$5:$A$104,0)),"")</f>
        <v/>
      </c>
      <c r="D47" s="5" t="str">
        <f aca="false">IFERROR(IF(INDEX('Cleans Log'!$D$5:$D$1004,MATCH($A47,'Cleans Log'!$S$5:$S$1004,0))="Completed","Changeover clean",IF(INDEX('Cleans Log'!$D$5:$D$1004,MATCH($A47,'Cleans Log'!$S$5:$S$1004,0))="Late cancel","Late cancellation (50%)",INDEX('Cleans Log'!$D$5:$D$1004,MATCH($A47,'Cleans Log'!$S$5:$S$1004,0))))&amp;IF(INDEX('Cleans Log'!$G$5:$G$1004,MATCH($A47,'Cleans Log'!$S$5:$S$1004,0))="Y"," + same-day rush","")&amp;IF(INDEX('Cleans Log'!$H$5:$H$1004,MATCH($A47,'Cleans Log'!$S$5:$S$1004,0))="Y"," + hot tub check",""),"")</f>
        <v/>
      </c>
      <c r="E47" s="16" t="str">
        <f aca="false">IFERROR(INDEX('Cleans Log'!$N$5:$N$1004,MATCH($A47,'Cleans Log'!$S$5:$S$1004,0)),"")</f>
        <v/>
      </c>
    </row>
    <row r="48" customFormat="false" ht="15" hidden="false" customHeight="false" outlineLevel="0" collapsed="false">
      <c r="A48" s="39" t="n">
        <v>38</v>
      </c>
      <c r="B48" s="40" t="str">
        <f aca="false">IFERROR(INDEX('Cleans Log'!$A$5:$A$1004,MATCH($A48,'Cleans Log'!$S$5:$S$1004,0)),"")</f>
        <v/>
      </c>
      <c r="C48" s="5" t="str">
        <f aca="false">IFERROR(INDEX(Properties!$B$5:$B$104,MATCH(INDEX('Cleans Log'!$B$5:$B$1004,MATCH($A48,'Cleans Log'!$S$5:$S$1004,0)),Properties!$A$5:$A$104,0)),"")</f>
        <v/>
      </c>
      <c r="D48" s="5" t="str">
        <f aca="false">IFERROR(IF(INDEX('Cleans Log'!$D$5:$D$1004,MATCH($A48,'Cleans Log'!$S$5:$S$1004,0))="Completed","Changeover clean",IF(INDEX('Cleans Log'!$D$5:$D$1004,MATCH($A48,'Cleans Log'!$S$5:$S$1004,0))="Late cancel","Late cancellation (50%)",INDEX('Cleans Log'!$D$5:$D$1004,MATCH($A48,'Cleans Log'!$S$5:$S$1004,0))))&amp;IF(INDEX('Cleans Log'!$G$5:$G$1004,MATCH($A48,'Cleans Log'!$S$5:$S$1004,0))="Y"," + same-day rush","")&amp;IF(INDEX('Cleans Log'!$H$5:$H$1004,MATCH($A48,'Cleans Log'!$S$5:$S$1004,0))="Y"," + hot tub check",""),"")</f>
        <v/>
      </c>
      <c r="E48" s="16" t="str">
        <f aca="false">IFERROR(INDEX('Cleans Log'!$N$5:$N$1004,MATCH($A48,'Cleans Log'!$S$5:$S$1004,0)),"")</f>
        <v/>
      </c>
    </row>
    <row r="49" customFormat="false" ht="15" hidden="false" customHeight="false" outlineLevel="0" collapsed="false">
      <c r="A49" s="39" t="n">
        <v>39</v>
      </c>
      <c r="B49" s="40" t="str">
        <f aca="false">IFERROR(INDEX('Cleans Log'!$A$5:$A$1004,MATCH($A49,'Cleans Log'!$S$5:$S$1004,0)),"")</f>
        <v/>
      </c>
      <c r="C49" s="5" t="str">
        <f aca="false">IFERROR(INDEX(Properties!$B$5:$B$104,MATCH(INDEX('Cleans Log'!$B$5:$B$1004,MATCH($A49,'Cleans Log'!$S$5:$S$1004,0)),Properties!$A$5:$A$104,0)),"")</f>
        <v/>
      </c>
      <c r="D49" s="5" t="str">
        <f aca="false">IFERROR(IF(INDEX('Cleans Log'!$D$5:$D$1004,MATCH($A49,'Cleans Log'!$S$5:$S$1004,0))="Completed","Changeover clean",IF(INDEX('Cleans Log'!$D$5:$D$1004,MATCH($A49,'Cleans Log'!$S$5:$S$1004,0))="Late cancel","Late cancellation (50%)",INDEX('Cleans Log'!$D$5:$D$1004,MATCH($A49,'Cleans Log'!$S$5:$S$1004,0))))&amp;IF(INDEX('Cleans Log'!$G$5:$G$1004,MATCH($A49,'Cleans Log'!$S$5:$S$1004,0))="Y"," + same-day rush","")&amp;IF(INDEX('Cleans Log'!$H$5:$H$1004,MATCH($A49,'Cleans Log'!$S$5:$S$1004,0))="Y"," + hot tub check",""),"")</f>
        <v/>
      </c>
      <c r="E49" s="16" t="str">
        <f aca="false">IFERROR(INDEX('Cleans Log'!$N$5:$N$1004,MATCH($A49,'Cleans Log'!$S$5:$S$1004,0)),"")</f>
        <v/>
      </c>
    </row>
    <row r="50" customFormat="false" ht="15" hidden="false" customHeight="false" outlineLevel="0" collapsed="false">
      <c r="A50" s="39" t="n">
        <v>40</v>
      </c>
      <c r="B50" s="40" t="str">
        <f aca="false">IFERROR(INDEX('Cleans Log'!$A$5:$A$1004,MATCH($A50,'Cleans Log'!$S$5:$S$1004,0)),"")</f>
        <v/>
      </c>
      <c r="C50" s="5" t="str">
        <f aca="false">IFERROR(INDEX(Properties!$B$5:$B$104,MATCH(INDEX('Cleans Log'!$B$5:$B$1004,MATCH($A50,'Cleans Log'!$S$5:$S$1004,0)),Properties!$A$5:$A$104,0)),"")</f>
        <v/>
      </c>
      <c r="D50" s="5" t="str">
        <f aca="false">IFERROR(IF(INDEX('Cleans Log'!$D$5:$D$1004,MATCH($A50,'Cleans Log'!$S$5:$S$1004,0))="Completed","Changeover clean",IF(INDEX('Cleans Log'!$D$5:$D$1004,MATCH($A50,'Cleans Log'!$S$5:$S$1004,0))="Late cancel","Late cancellation (50%)",INDEX('Cleans Log'!$D$5:$D$1004,MATCH($A50,'Cleans Log'!$S$5:$S$1004,0))))&amp;IF(INDEX('Cleans Log'!$G$5:$G$1004,MATCH($A50,'Cleans Log'!$S$5:$S$1004,0))="Y"," + same-day rush","")&amp;IF(INDEX('Cleans Log'!$H$5:$H$1004,MATCH($A50,'Cleans Log'!$S$5:$S$1004,0))="Y"," + hot tub check",""),"")</f>
        <v/>
      </c>
      <c r="E50" s="16" t="str">
        <f aca="false">IFERROR(INDEX('Cleans Log'!$N$5:$N$1004,MATCH($A50,'Cleans Log'!$S$5:$S$1004,0)),"")</f>
        <v/>
      </c>
    </row>
    <row r="51" customFormat="false" ht="15" hidden="false" customHeight="false" outlineLevel="0" collapsed="false">
      <c r="A51" s="39" t="n">
        <v>41</v>
      </c>
      <c r="B51" s="40" t="str">
        <f aca="false">IFERROR(INDEX('Cleans Log'!$A$5:$A$1004,MATCH($A51,'Cleans Log'!$S$5:$S$1004,0)),"")</f>
        <v/>
      </c>
      <c r="C51" s="5" t="str">
        <f aca="false">IFERROR(INDEX(Properties!$B$5:$B$104,MATCH(INDEX('Cleans Log'!$B$5:$B$1004,MATCH($A51,'Cleans Log'!$S$5:$S$1004,0)),Properties!$A$5:$A$104,0)),"")</f>
        <v/>
      </c>
      <c r="D51" s="5" t="str">
        <f aca="false">IFERROR(IF(INDEX('Cleans Log'!$D$5:$D$1004,MATCH($A51,'Cleans Log'!$S$5:$S$1004,0))="Completed","Changeover clean",IF(INDEX('Cleans Log'!$D$5:$D$1004,MATCH($A51,'Cleans Log'!$S$5:$S$1004,0))="Late cancel","Late cancellation (50%)",INDEX('Cleans Log'!$D$5:$D$1004,MATCH($A51,'Cleans Log'!$S$5:$S$1004,0))))&amp;IF(INDEX('Cleans Log'!$G$5:$G$1004,MATCH($A51,'Cleans Log'!$S$5:$S$1004,0))="Y"," + same-day rush","")&amp;IF(INDEX('Cleans Log'!$H$5:$H$1004,MATCH($A51,'Cleans Log'!$S$5:$S$1004,0))="Y"," + hot tub check",""),"")</f>
        <v/>
      </c>
      <c r="E51" s="16" t="str">
        <f aca="false">IFERROR(INDEX('Cleans Log'!$N$5:$N$1004,MATCH($A51,'Cleans Log'!$S$5:$S$1004,0)),"")</f>
        <v/>
      </c>
    </row>
    <row r="52" customFormat="false" ht="15" hidden="false" customHeight="false" outlineLevel="0" collapsed="false">
      <c r="A52" s="39" t="n">
        <v>42</v>
      </c>
      <c r="B52" s="40" t="str">
        <f aca="false">IFERROR(INDEX('Cleans Log'!$A$5:$A$1004,MATCH($A52,'Cleans Log'!$S$5:$S$1004,0)),"")</f>
        <v/>
      </c>
      <c r="C52" s="5" t="str">
        <f aca="false">IFERROR(INDEX(Properties!$B$5:$B$104,MATCH(INDEX('Cleans Log'!$B$5:$B$1004,MATCH($A52,'Cleans Log'!$S$5:$S$1004,0)),Properties!$A$5:$A$104,0)),"")</f>
        <v/>
      </c>
      <c r="D52" s="5" t="str">
        <f aca="false">IFERROR(IF(INDEX('Cleans Log'!$D$5:$D$1004,MATCH($A52,'Cleans Log'!$S$5:$S$1004,0))="Completed","Changeover clean",IF(INDEX('Cleans Log'!$D$5:$D$1004,MATCH($A52,'Cleans Log'!$S$5:$S$1004,0))="Late cancel","Late cancellation (50%)",INDEX('Cleans Log'!$D$5:$D$1004,MATCH($A52,'Cleans Log'!$S$5:$S$1004,0))))&amp;IF(INDEX('Cleans Log'!$G$5:$G$1004,MATCH($A52,'Cleans Log'!$S$5:$S$1004,0))="Y"," + same-day rush","")&amp;IF(INDEX('Cleans Log'!$H$5:$H$1004,MATCH($A52,'Cleans Log'!$S$5:$S$1004,0))="Y"," + hot tub check",""),"")</f>
        <v/>
      </c>
      <c r="E52" s="16" t="str">
        <f aca="false">IFERROR(INDEX('Cleans Log'!$N$5:$N$1004,MATCH($A52,'Cleans Log'!$S$5:$S$1004,0)),"")</f>
        <v/>
      </c>
    </row>
    <row r="53" customFormat="false" ht="15" hidden="false" customHeight="false" outlineLevel="0" collapsed="false">
      <c r="A53" s="39" t="n">
        <v>43</v>
      </c>
      <c r="B53" s="40" t="str">
        <f aca="false">IFERROR(INDEX('Cleans Log'!$A$5:$A$1004,MATCH($A53,'Cleans Log'!$S$5:$S$1004,0)),"")</f>
        <v/>
      </c>
      <c r="C53" s="5" t="str">
        <f aca="false">IFERROR(INDEX(Properties!$B$5:$B$104,MATCH(INDEX('Cleans Log'!$B$5:$B$1004,MATCH($A53,'Cleans Log'!$S$5:$S$1004,0)),Properties!$A$5:$A$104,0)),"")</f>
        <v/>
      </c>
      <c r="D53" s="5" t="str">
        <f aca="false">IFERROR(IF(INDEX('Cleans Log'!$D$5:$D$1004,MATCH($A53,'Cleans Log'!$S$5:$S$1004,0))="Completed","Changeover clean",IF(INDEX('Cleans Log'!$D$5:$D$1004,MATCH($A53,'Cleans Log'!$S$5:$S$1004,0))="Late cancel","Late cancellation (50%)",INDEX('Cleans Log'!$D$5:$D$1004,MATCH($A53,'Cleans Log'!$S$5:$S$1004,0))))&amp;IF(INDEX('Cleans Log'!$G$5:$G$1004,MATCH($A53,'Cleans Log'!$S$5:$S$1004,0))="Y"," + same-day rush","")&amp;IF(INDEX('Cleans Log'!$H$5:$H$1004,MATCH($A53,'Cleans Log'!$S$5:$S$1004,0))="Y"," + hot tub check",""),"")</f>
        <v/>
      </c>
      <c r="E53" s="16" t="str">
        <f aca="false">IFERROR(INDEX('Cleans Log'!$N$5:$N$1004,MATCH($A53,'Cleans Log'!$S$5:$S$1004,0)),"")</f>
        <v/>
      </c>
    </row>
    <row r="54" customFormat="false" ht="15" hidden="false" customHeight="false" outlineLevel="0" collapsed="false">
      <c r="A54" s="39" t="n">
        <v>44</v>
      </c>
      <c r="B54" s="40" t="str">
        <f aca="false">IFERROR(INDEX('Cleans Log'!$A$5:$A$1004,MATCH($A54,'Cleans Log'!$S$5:$S$1004,0)),"")</f>
        <v/>
      </c>
      <c r="C54" s="5" t="str">
        <f aca="false">IFERROR(INDEX(Properties!$B$5:$B$104,MATCH(INDEX('Cleans Log'!$B$5:$B$1004,MATCH($A54,'Cleans Log'!$S$5:$S$1004,0)),Properties!$A$5:$A$104,0)),"")</f>
        <v/>
      </c>
      <c r="D54" s="5" t="str">
        <f aca="false">IFERROR(IF(INDEX('Cleans Log'!$D$5:$D$1004,MATCH($A54,'Cleans Log'!$S$5:$S$1004,0))="Completed","Changeover clean",IF(INDEX('Cleans Log'!$D$5:$D$1004,MATCH($A54,'Cleans Log'!$S$5:$S$1004,0))="Late cancel","Late cancellation (50%)",INDEX('Cleans Log'!$D$5:$D$1004,MATCH($A54,'Cleans Log'!$S$5:$S$1004,0))))&amp;IF(INDEX('Cleans Log'!$G$5:$G$1004,MATCH($A54,'Cleans Log'!$S$5:$S$1004,0))="Y"," + same-day rush","")&amp;IF(INDEX('Cleans Log'!$H$5:$H$1004,MATCH($A54,'Cleans Log'!$S$5:$S$1004,0))="Y"," + hot tub check",""),"")</f>
        <v/>
      </c>
      <c r="E54" s="16" t="str">
        <f aca="false">IFERROR(INDEX('Cleans Log'!$N$5:$N$1004,MATCH($A54,'Cleans Log'!$S$5:$S$1004,0)),"")</f>
        <v/>
      </c>
    </row>
    <row r="55" customFormat="false" ht="15" hidden="false" customHeight="false" outlineLevel="0" collapsed="false">
      <c r="A55" s="39" t="n">
        <v>45</v>
      </c>
      <c r="B55" s="40" t="str">
        <f aca="false">IFERROR(INDEX('Cleans Log'!$A$5:$A$1004,MATCH($A55,'Cleans Log'!$S$5:$S$1004,0)),"")</f>
        <v/>
      </c>
      <c r="C55" s="5" t="str">
        <f aca="false">IFERROR(INDEX(Properties!$B$5:$B$104,MATCH(INDEX('Cleans Log'!$B$5:$B$1004,MATCH($A55,'Cleans Log'!$S$5:$S$1004,0)),Properties!$A$5:$A$104,0)),"")</f>
        <v/>
      </c>
      <c r="D55" s="5" t="str">
        <f aca="false">IFERROR(IF(INDEX('Cleans Log'!$D$5:$D$1004,MATCH($A55,'Cleans Log'!$S$5:$S$1004,0))="Completed","Changeover clean",IF(INDEX('Cleans Log'!$D$5:$D$1004,MATCH($A55,'Cleans Log'!$S$5:$S$1004,0))="Late cancel","Late cancellation (50%)",INDEX('Cleans Log'!$D$5:$D$1004,MATCH($A55,'Cleans Log'!$S$5:$S$1004,0))))&amp;IF(INDEX('Cleans Log'!$G$5:$G$1004,MATCH($A55,'Cleans Log'!$S$5:$S$1004,0))="Y"," + same-day rush","")&amp;IF(INDEX('Cleans Log'!$H$5:$H$1004,MATCH($A55,'Cleans Log'!$S$5:$S$1004,0))="Y"," + hot tub check",""),"")</f>
        <v/>
      </c>
      <c r="E55" s="16" t="str">
        <f aca="false">IFERROR(INDEX('Cleans Log'!$N$5:$N$1004,MATCH($A55,'Cleans Log'!$S$5:$S$1004,0)),"")</f>
        <v/>
      </c>
    </row>
    <row r="57" customFormat="false" ht="15" hidden="false" customHeight="false" outlineLevel="0" collapsed="false">
      <c r="A57" s="38" t="s">
        <v>212</v>
      </c>
      <c r="B57" s="38" t="s">
        <v>98</v>
      </c>
      <c r="C57" s="38" t="s">
        <v>213</v>
      </c>
      <c r="D57" s="38" t="s">
        <v>216</v>
      </c>
      <c r="E57" s="38" t="s">
        <v>215</v>
      </c>
    </row>
    <row r="58" customFormat="false" ht="15" hidden="false" customHeight="false" outlineLevel="0" collapsed="false">
      <c r="A58" s="39" t="n">
        <v>1</v>
      </c>
      <c r="B58" s="40" t="n">
        <f aca="false">IFERROR(INDEX(Purchases!$A$5:$A$1004,MATCH($A58,Purchases!$Q$5:$Q$1004,0)),"")</f>
        <v>46304</v>
      </c>
      <c r="C58" s="5" t="str">
        <f aca="false">IFERROR(INDEX(Properties!$B$5:$B$104,MATCH(INDEX(Purchases!$B$5:$B$1004,MATCH($A58,Purchases!$Q$5:$Q$1004,0)),Properties!$A$5:$A$104,0)),"")</f>
        <v>First client (EXAMPLE)</v>
      </c>
      <c r="D58" s="5" t="str">
        <f aca="false">IFERROR(INDEX(Purchases!$D$5:$D$1004,MATCH($A58,Purchases!$Q$5:$Q$1004,0))&amp;" x"&amp;INDEX(Purchases!$E$5:$E$1004,MATCH($A58,Purchases!$Q$5:$Q$1004,0))&amp;" ("&amp;INDEX(Purchases!$G$5:$G$1004,MATCH($A58,Purchases!$Q$5:$Q$1004,0))&amp;")","")</f>
        <v>LED bulb E27 x1 (Replacement)</v>
      </c>
      <c r="E58" s="16" t="n">
        <f aca="false">IFERROR(INDEX(Purchases!$N$5:$N$1004,MATCH($A58,Purchases!$Q$5:$Q$1004,0)),"")</f>
        <v>1.65</v>
      </c>
    </row>
    <row r="59" customFormat="false" ht="15" hidden="false" customHeight="false" outlineLevel="0" collapsed="false">
      <c r="A59" s="39" t="n">
        <v>2</v>
      </c>
      <c r="B59" s="40" t="n">
        <f aca="false">IFERROR(INDEX(Purchases!$A$5:$A$1004,MATCH($A59,Purchases!$Q$5:$Q$1004,0)),"")</f>
        <v>46320</v>
      </c>
      <c r="C59" s="5" t="str">
        <f aca="false">IFERROR(INDEX(Properties!$B$5:$B$104,MATCH(INDEX(Purchases!$B$5:$B$1004,MATCH($A59,Purchases!$Q$5:$Q$1004,0)),Properties!$A$5:$A$104,0)),"")</f>
        <v>First client (EXAMPLE)</v>
      </c>
      <c r="D59" s="5" t="str">
        <f aca="false">IFERROR(INDEX(Purchases!$D$5:$D$1004,MATCH($A59,Purchases!$Q$5:$Q$1004,0))&amp;" x"&amp;INDEX(Purchases!$E$5:$E$1004,MATCH($A59,Purchases!$Q$5:$Q$1004,0))&amp;" ("&amp;INDEX(Purchases!$G$5:$G$1004,MATCH($A59,Purchases!$Q$5:$Q$1004,0))&amp;")","")</f>
        <v>UHT milk portions x12 (Restock)</v>
      </c>
      <c r="E59" s="16" t="n">
        <f aca="false">IFERROR(INDEX(Purchases!$N$5:$N$1004,MATCH($A59,Purchases!$Q$5:$Q$1004,0)),"")</f>
        <v>0.99</v>
      </c>
    </row>
    <row r="60" customFormat="false" ht="15" hidden="false" customHeight="false" outlineLevel="0" collapsed="false">
      <c r="A60" s="39" t="n">
        <v>3</v>
      </c>
      <c r="B60" s="40" t="n">
        <f aca="false">IFERROR(INDEX(Purchases!$A$5:$A$1004,MATCH($A60,Purchases!$Q$5:$Q$1004,0)),"")</f>
        <v>46320</v>
      </c>
      <c r="C60" s="5" t="str">
        <f aca="false">IFERROR(INDEX(Properties!$B$5:$B$104,MATCH(INDEX(Purchases!$B$5:$B$1004,MATCH($A60,Purchases!$Q$5:$Q$1004,0)),Properties!$A$5:$A$104,0)),"")</f>
        <v>First client (EXAMPLE)</v>
      </c>
      <c r="D60" s="5" t="str">
        <f aca="false">IFERROR(INDEX(Purchases!$D$5:$D$1004,MATCH($A60,Purchases!$Q$5:$Q$1004,0))&amp;" x"&amp;INDEX(Purchases!$E$5:$E$1004,MATCH($A60,Purchases!$Q$5:$Q$1004,0))&amp;" ("&amp;INDEX(Purchases!$G$5:$G$1004,MATCH($A60,Purchases!$Q$5:$Q$1004,0))&amp;")","")</f>
        <v>Wine glasses (guest broke 2) x2 (Guest damage)</v>
      </c>
      <c r="E60" s="16" t="n">
        <f aca="false">IFERROR(INDEX(Purchases!$N$5:$N$1004,MATCH($A60,Purchases!$Q$5:$Q$1004,0)),"")</f>
        <v>4.4</v>
      </c>
    </row>
    <row r="61" customFormat="false" ht="15" hidden="false" customHeight="false" outlineLevel="0" collapsed="false">
      <c r="A61" s="39" t="n">
        <v>4</v>
      </c>
      <c r="B61" s="40" t="str">
        <f aca="false">IFERROR(INDEX(Purchases!$A$5:$A$1004,MATCH($A61,Purchases!$Q$5:$Q$1004,0)),"")</f>
        <v/>
      </c>
      <c r="C61" s="5" t="str">
        <f aca="false">IFERROR(INDEX(Properties!$B$5:$B$104,MATCH(INDEX(Purchases!$B$5:$B$1004,MATCH($A61,Purchases!$Q$5:$Q$1004,0)),Properties!$A$5:$A$104,0)),"")</f>
        <v/>
      </c>
      <c r="D61" s="5" t="str">
        <f aca="false">IFERROR(INDEX(Purchases!$D$5:$D$1004,MATCH($A61,Purchases!$Q$5:$Q$1004,0))&amp;" x"&amp;INDEX(Purchases!$E$5:$E$1004,MATCH($A61,Purchases!$Q$5:$Q$1004,0))&amp;" ("&amp;INDEX(Purchases!$G$5:$G$1004,MATCH($A61,Purchases!$Q$5:$Q$1004,0))&amp;")","")</f>
        <v/>
      </c>
      <c r="E61" s="16" t="str">
        <f aca="false">IFERROR(INDEX(Purchases!$N$5:$N$1004,MATCH($A61,Purchases!$Q$5:$Q$1004,0)),"")</f>
        <v/>
      </c>
    </row>
    <row r="62" customFormat="false" ht="15" hidden="false" customHeight="false" outlineLevel="0" collapsed="false">
      <c r="A62" s="39" t="n">
        <v>5</v>
      </c>
      <c r="B62" s="40" t="str">
        <f aca="false">IFERROR(INDEX(Purchases!$A$5:$A$1004,MATCH($A62,Purchases!$Q$5:$Q$1004,0)),"")</f>
        <v/>
      </c>
      <c r="C62" s="5" t="str">
        <f aca="false">IFERROR(INDEX(Properties!$B$5:$B$104,MATCH(INDEX(Purchases!$B$5:$B$1004,MATCH($A62,Purchases!$Q$5:$Q$1004,0)),Properties!$A$5:$A$104,0)),"")</f>
        <v/>
      </c>
      <c r="D62" s="5" t="str">
        <f aca="false">IFERROR(INDEX(Purchases!$D$5:$D$1004,MATCH($A62,Purchases!$Q$5:$Q$1004,0))&amp;" x"&amp;INDEX(Purchases!$E$5:$E$1004,MATCH($A62,Purchases!$Q$5:$Q$1004,0))&amp;" ("&amp;INDEX(Purchases!$G$5:$G$1004,MATCH($A62,Purchases!$Q$5:$Q$1004,0))&amp;")","")</f>
        <v/>
      </c>
      <c r="E62" s="16" t="str">
        <f aca="false">IFERROR(INDEX(Purchases!$N$5:$N$1004,MATCH($A62,Purchases!$Q$5:$Q$1004,0)),"")</f>
        <v/>
      </c>
    </row>
    <row r="63" customFormat="false" ht="15" hidden="false" customHeight="false" outlineLevel="0" collapsed="false">
      <c r="A63" s="39" t="n">
        <v>6</v>
      </c>
      <c r="B63" s="40" t="str">
        <f aca="false">IFERROR(INDEX(Purchases!$A$5:$A$1004,MATCH($A63,Purchases!$Q$5:$Q$1004,0)),"")</f>
        <v/>
      </c>
      <c r="C63" s="5" t="str">
        <f aca="false">IFERROR(INDEX(Properties!$B$5:$B$104,MATCH(INDEX(Purchases!$B$5:$B$1004,MATCH($A63,Purchases!$Q$5:$Q$1004,0)),Properties!$A$5:$A$104,0)),"")</f>
        <v/>
      </c>
      <c r="D63" s="5" t="str">
        <f aca="false">IFERROR(INDEX(Purchases!$D$5:$D$1004,MATCH($A63,Purchases!$Q$5:$Q$1004,0))&amp;" x"&amp;INDEX(Purchases!$E$5:$E$1004,MATCH($A63,Purchases!$Q$5:$Q$1004,0))&amp;" ("&amp;INDEX(Purchases!$G$5:$G$1004,MATCH($A63,Purchases!$Q$5:$Q$1004,0))&amp;")","")</f>
        <v/>
      </c>
      <c r="E63" s="16" t="str">
        <f aca="false">IFERROR(INDEX(Purchases!$N$5:$N$1004,MATCH($A63,Purchases!$Q$5:$Q$1004,0)),"")</f>
        <v/>
      </c>
    </row>
    <row r="64" customFormat="false" ht="15" hidden="false" customHeight="false" outlineLevel="0" collapsed="false">
      <c r="A64" s="39" t="n">
        <v>7</v>
      </c>
      <c r="B64" s="40" t="str">
        <f aca="false">IFERROR(INDEX(Purchases!$A$5:$A$1004,MATCH($A64,Purchases!$Q$5:$Q$1004,0)),"")</f>
        <v/>
      </c>
      <c r="C64" s="5" t="str">
        <f aca="false">IFERROR(INDEX(Properties!$B$5:$B$104,MATCH(INDEX(Purchases!$B$5:$B$1004,MATCH($A64,Purchases!$Q$5:$Q$1004,0)),Properties!$A$5:$A$104,0)),"")</f>
        <v/>
      </c>
      <c r="D64" s="5" t="str">
        <f aca="false">IFERROR(INDEX(Purchases!$D$5:$D$1004,MATCH($A64,Purchases!$Q$5:$Q$1004,0))&amp;" x"&amp;INDEX(Purchases!$E$5:$E$1004,MATCH($A64,Purchases!$Q$5:$Q$1004,0))&amp;" ("&amp;INDEX(Purchases!$G$5:$G$1004,MATCH($A64,Purchases!$Q$5:$Q$1004,0))&amp;")","")</f>
        <v/>
      </c>
      <c r="E64" s="16" t="str">
        <f aca="false">IFERROR(INDEX(Purchases!$N$5:$N$1004,MATCH($A64,Purchases!$Q$5:$Q$1004,0)),"")</f>
        <v/>
      </c>
    </row>
    <row r="65" customFormat="false" ht="15" hidden="false" customHeight="false" outlineLevel="0" collapsed="false">
      <c r="A65" s="39" t="n">
        <v>8</v>
      </c>
      <c r="B65" s="40" t="str">
        <f aca="false">IFERROR(INDEX(Purchases!$A$5:$A$1004,MATCH($A65,Purchases!$Q$5:$Q$1004,0)),"")</f>
        <v/>
      </c>
      <c r="C65" s="5" t="str">
        <f aca="false">IFERROR(INDEX(Properties!$B$5:$B$104,MATCH(INDEX(Purchases!$B$5:$B$1004,MATCH($A65,Purchases!$Q$5:$Q$1004,0)),Properties!$A$5:$A$104,0)),"")</f>
        <v/>
      </c>
      <c r="D65" s="5" t="str">
        <f aca="false">IFERROR(INDEX(Purchases!$D$5:$D$1004,MATCH($A65,Purchases!$Q$5:$Q$1004,0))&amp;" x"&amp;INDEX(Purchases!$E$5:$E$1004,MATCH($A65,Purchases!$Q$5:$Q$1004,0))&amp;" ("&amp;INDEX(Purchases!$G$5:$G$1004,MATCH($A65,Purchases!$Q$5:$Q$1004,0))&amp;")","")</f>
        <v/>
      </c>
      <c r="E65" s="16" t="str">
        <f aca="false">IFERROR(INDEX(Purchases!$N$5:$N$1004,MATCH($A65,Purchases!$Q$5:$Q$1004,0)),"")</f>
        <v/>
      </c>
    </row>
    <row r="66" customFormat="false" ht="15" hidden="false" customHeight="false" outlineLevel="0" collapsed="false">
      <c r="A66" s="39" t="n">
        <v>9</v>
      </c>
      <c r="B66" s="40" t="str">
        <f aca="false">IFERROR(INDEX(Purchases!$A$5:$A$1004,MATCH($A66,Purchases!$Q$5:$Q$1004,0)),"")</f>
        <v/>
      </c>
      <c r="C66" s="5" t="str">
        <f aca="false">IFERROR(INDEX(Properties!$B$5:$B$104,MATCH(INDEX(Purchases!$B$5:$B$1004,MATCH($A66,Purchases!$Q$5:$Q$1004,0)),Properties!$A$5:$A$104,0)),"")</f>
        <v/>
      </c>
      <c r="D66" s="5" t="str">
        <f aca="false">IFERROR(INDEX(Purchases!$D$5:$D$1004,MATCH($A66,Purchases!$Q$5:$Q$1004,0))&amp;" x"&amp;INDEX(Purchases!$E$5:$E$1004,MATCH($A66,Purchases!$Q$5:$Q$1004,0))&amp;" ("&amp;INDEX(Purchases!$G$5:$G$1004,MATCH($A66,Purchases!$Q$5:$Q$1004,0))&amp;")","")</f>
        <v/>
      </c>
      <c r="E66" s="16" t="str">
        <f aca="false">IFERROR(INDEX(Purchases!$N$5:$N$1004,MATCH($A66,Purchases!$Q$5:$Q$1004,0)),"")</f>
        <v/>
      </c>
    </row>
    <row r="67" customFormat="false" ht="15" hidden="false" customHeight="false" outlineLevel="0" collapsed="false">
      <c r="A67" s="39" t="n">
        <v>10</v>
      </c>
      <c r="B67" s="40" t="str">
        <f aca="false">IFERROR(INDEX(Purchases!$A$5:$A$1004,MATCH($A67,Purchases!$Q$5:$Q$1004,0)),"")</f>
        <v/>
      </c>
      <c r="C67" s="5" t="str">
        <f aca="false">IFERROR(INDEX(Properties!$B$5:$B$104,MATCH(INDEX(Purchases!$B$5:$B$1004,MATCH($A67,Purchases!$Q$5:$Q$1004,0)),Properties!$A$5:$A$104,0)),"")</f>
        <v/>
      </c>
      <c r="D67" s="5" t="str">
        <f aca="false">IFERROR(INDEX(Purchases!$D$5:$D$1004,MATCH($A67,Purchases!$Q$5:$Q$1004,0))&amp;" x"&amp;INDEX(Purchases!$E$5:$E$1004,MATCH($A67,Purchases!$Q$5:$Q$1004,0))&amp;" ("&amp;INDEX(Purchases!$G$5:$G$1004,MATCH($A67,Purchases!$Q$5:$Q$1004,0))&amp;")","")</f>
        <v/>
      </c>
      <c r="E67" s="16" t="str">
        <f aca="false">IFERROR(INDEX(Purchases!$N$5:$N$1004,MATCH($A67,Purchases!$Q$5:$Q$1004,0)),"")</f>
        <v/>
      </c>
    </row>
    <row r="68" customFormat="false" ht="15" hidden="false" customHeight="false" outlineLevel="0" collapsed="false">
      <c r="A68" s="39" t="n">
        <v>11</v>
      </c>
      <c r="B68" s="40" t="str">
        <f aca="false">IFERROR(INDEX(Purchases!$A$5:$A$1004,MATCH($A68,Purchases!$Q$5:$Q$1004,0)),"")</f>
        <v/>
      </c>
      <c r="C68" s="5" t="str">
        <f aca="false">IFERROR(INDEX(Properties!$B$5:$B$104,MATCH(INDEX(Purchases!$B$5:$B$1004,MATCH($A68,Purchases!$Q$5:$Q$1004,0)),Properties!$A$5:$A$104,0)),"")</f>
        <v/>
      </c>
      <c r="D68" s="5" t="str">
        <f aca="false">IFERROR(INDEX(Purchases!$D$5:$D$1004,MATCH($A68,Purchases!$Q$5:$Q$1004,0))&amp;" x"&amp;INDEX(Purchases!$E$5:$E$1004,MATCH($A68,Purchases!$Q$5:$Q$1004,0))&amp;" ("&amp;INDEX(Purchases!$G$5:$G$1004,MATCH($A68,Purchases!$Q$5:$Q$1004,0))&amp;")","")</f>
        <v/>
      </c>
      <c r="E68" s="16" t="str">
        <f aca="false">IFERROR(INDEX(Purchases!$N$5:$N$1004,MATCH($A68,Purchases!$Q$5:$Q$1004,0)),"")</f>
        <v/>
      </c>
    </row>
    <row r="69" customFormat="false" ht="15" hidden="false" customHeight="false" outlineLevel="0" collapsed="false">
      <c r="A69" s="39" t="n">
        <v>12</v>
      </c>
      <c r="B69" s="40" t="str">
        <f aca="false">IFERROR(INDEX(Purchases!$A$5:$A$1004,MATCH($A69,Purchases!$Q$5:$Q$1004,0)),"")</f>
        <v/>
      </c>
      <c r="C69" s="5" t="str">
        <f aca="false">IFERROR(INDEX(Properties!$B$5:$B$104,MATCH(INDEX(Purchases!$B$5:$B$1004,MATCH($A69,Purchases!$Q$5:$Q$1004,0)),Properties!$A$5:$A$104,0)),"")</f>
        <v/>
      </c>
      <c r="D69" s="5" t="str">
        <f aca="false">IFERROR(INDEX(Purchases!$D$5:$D$1004,MATCH($A69,Purchases!$Q$5:$Q$1004,0))&amp;" x"&amp;INDEX(Purchases!$E$5:$E$1004,MATCH($A69,Purchases!$Q$5:$Q$1004,0))&amp;" ("&amp;INDEX(Purchases!$G$5:$G$1004,MATCH($A69,Purchases!$Q$5:$Q$1004,0))&amp;")","")</f>
        <v/>
      </c>
      <c r="E69" s="16" t="str">
        <f aca="false">IFERROR(INDEX(Purchases!$N$5:$N$1004,MATCH($A69,Purchases!$Q$5:$Q$1004,0)),"")</f>
        <v/>
      </c>
    </row>
    <row r="70" customFormat="false" ht="15" hidden="false" customHeight="false" outlineLevel="0" collapsed="false">
      <c r="A70" s="39" t="n">
        <v>13</v>
      </c>
      <c r="B70" s="40" t="str">
        <f aca="false">IFERROR(INDEX(Purchases!$A$5:$A$1004,MATCH($A70,Purchases!$Q$5:$Q$1004,0)),"")</f>
        <v/>
      </c>
      <c r="C70" s="5" t="str">
        <f aca="false">IFERROR(INDEX(Properties!$B$5:$B$104,MATCH(INDEX(Purchases!$B$5:$B$1004,MATCH($A70,Purchases!$Q$5:$Q$1004,0)),Properties!$A$5:$A$104,0)),"")</f>
        <v/>
      </c>
      <c r="D70" s="5" t="str">
        <f aca="false">IFERROR(INDEX(Purchases!$D$5:$D$1004,MATCH($A70,Purchases!$Q$5:$Q$1004,0))&amp;" x"&amp;INDEX(Purchases!$E$5:$E$1004,MATCH($A70,Purchases!$Q$5:$Q$1004,0))&amp;" ("&amp;INDEX(Purchases!$G$5:$G$1004,MATCH($A70,Purchases!$Q$5:$Q$1004,0))&amp;")","")</f>
        <v/>
      </c>
      <c r="E70" s="16" t="str">
        <f aca="false">IFERROR(INDEX(Purchases!$N$5:$N$1004,MATCH($A70,Purchases!$Q$5:$Q$1004,0)),"")</f>
        <v/>
      </c>
    </row>
    <row r="71" customFormat="false" ht="15" hidden="false" customHeight="false" outlineLevel="0" collapsed="false">
      <c r="A71" s="39" t="n">
        <v>14</v>
      </c>
      <c r="B71" s="40" t="str">
        <f aca="false">IFERROR(INDEX(Purchases!$A$5:$A$1004,MATCH($A71,Purchases!$Q$5:$Q$1004,0)),"")</f>
        <v/>
      </c>
      <c r="C71" s="5" t="str">
        <f aca="false">IFERROR(INDEX(Properties!$B$5:$B$104,MATCH(INDEX(Purchases!$B$5:$B$1004,MATCH($A71,Purchases!$Q$5:$Q$1004,0)),Properties!$A$5:$A$104,0)),"")</f>
        <v/>
      </c>
      <c r="D71" s="5" t="str">
        <f aca="false">IFERROR(INDEX(Purchases!$D$5:$D$1004,MATCH($A71,Purchases!$Q$5:$Q$1004,0))&amp;" x"&amp;INDEX(Purchases!$E$5:$E$1004,MATCH($A71,Purchases!$Q$5:$Q$1004,0))&amp;" ("&amp;INDEX(Purchases!$G$5:$G$1004,MATCH($A71,Purchases!$Q$5:$Q$1004,0))&amp;")","")</f>
        <v/>
      </c>
      <c r="E71" s="16" t="str">
        <f aca="false">IFERROR(INDEX(Purchases!$N$5:$N$1004,MATCH($A71,Purchases!$Q$5:$Q$1004,0)),"")</f>
        <v/>
      </c>
    </row>
    <row r="72" customFormat="false" ht="15" hidden="false" customHeight="false" outlineLevel="0" collapsed="false">
      <c r="A72" s="39" t="n">
        <v>15</v>
      </c>
      <c r="B72" s="40" t="str">
        <f aca="false">IFERROR(INDEX(Purchases!$A$5:$A$1004,MATCH($A72,Purchases!$Q$5:$Q$1004,0)),"")</f>
        <v/>
      </c>
      <c r="C72" s="5" t="str">
        <f aca="false">IFERROR(INDEX(Properties!$B$5:$B$104,MATCH(INDEX(Purchases!$B$5:$B$1004,MATCH($A72,Purchases!$Q$5:$Q$1004,0)),Properties!$A$5:$A$104,0)),"")</f>
        <v/>
      </c>
      <c r="D72" s="5" t="str">
        <f aca="false">IFERROR(INDEX(Purchases!$D$5:$D$1004,MATCH($A72,Purchases!$Q$5:$Q$1004,0))&amp;" x"&amp;INDEX(Purchases!$E$5:$E$1004,MATCH($A72,Purchases!$Q$5:$Q$1004,0))&amp;" ("&amp;INDEX(Purchases!$G$5:$G$1004,MATCH($A72,Purchases!$Q$5:$Q$1004,0))&amp;")","")</f>
        <v/>
      </c>
      <c r="E72" s="16" t="str">
        <f aca="false">IFERROR(INDEX(Purchases!$N$5:$N$1004,MATCH($A72,Purchases!$Q$5:$Q$1004,0)),"")</f>
        <v/>
      </c>
    </row>
    <row r="73" customFormat="false" ht="15" hidden="false" customHeight="false" outlineLevel="0" collapsed="false">
      <c r="A73" s="39" t="n">
        <v>16</v>
      </c>
      <c r="B73" s="40" t="str">
        <f aca="false">IFERROR(INDEX(Purchases!$A$5:$A$1004,MATCH($A73,Purchases!$Q$5:$Q$1004,0)),"")</f>
        <v/>
      </c>
      <c r="C73" s="5" t="str">
        <f aca="false">IFERROR(INDEX(Properties!$B$5:$B$104,MATCH(INDEX(Purchases!$B$5:$B$1004,MATCH($A73,Purchases!$Q$5:$Q$1004,0)),Properties!$A$5:$A$104,0)),"")</f>
        <v/>
      </c>
      <c r="D73" s="5" t="str">
        <f aca="false">IFERROR(INDEX(Purchases!$D$5:$D$1004,MATCH($A73,Purchases!$Q$5:$Q$1004,0))&amp;" x"&amp;INDEX(Purchases!$E$5:$E$1004,MATCH($A73,Purchases!$Q$5:$Q$1004,0))&amp;" ("&amp;INDEX(Purchases!$G$5:$G$1004,MATCH($A73,Purchases!$Q$5:$Q$1004,0))&amp;")","")</f>
        <v/>
      </c>
      <c r="E73" s="16" t="str">
        <f aca="false">IFERROR(INDEX(Purchases!$N$5:$N$1004,MATCH($A73,Purchases!$Q$5:$Q$1004,0)),"")</f>
        <v/>
      </c>
    </row>
    <row r="74" customFormat="false" ht="15" hidden="false" customHeight="false" outlineLevel="0" collapsed="false">
      <c r="A74" s="39" t="n">
        <v>17</v>
      </c>
      <c r="B74" s="40" t="str">
        <f aca="false">IFERROR(INDEX(Purchases!$A$5:$A$1004,MATCH($A74,Purchases!$Q$5:$Q$1004,0)),"")</f>
        <v/>
      </c>
      <c r="C74" s="5" t="str">
        <f aca="false">IFERROR(INDEX(Properties!$B$5:$B$104,MATCH(INDEX(Purchases!$B$5:$B$1004,MATCH($A74,Purchases!$Q$5:$Q$1004,0)),Properties!$A$5:$A$104,0)),"")</f>
        <v/>
      </c>
      <c r="D74" s="5" t="str">
        <f aca="false">IFERROR(INDEX(Purchases!$D$5:$D$1004,MATCH($A74,Purchases!$Q$5:$Q$1004,0))&amp;" x"&amp;INDEX(Purchases!$E$5:$E$1004,MATCH($A74,Purchases!$Q$5:$Q$1004,0))&amp;" ("&amp;INDEX(Purchases!$G$5:$G$1004,MATCH($A74,Purchases!$Q$5:$Q$1004,0))&amp;")","")</f>
        <v/>
      </c>
      <c r="E74" s="16" t="str">
        <f aca="false">IFERROR(INDEX(Purchases!$N$5:$N$1004,MATCH($A74,Purchases!$Q$5:$Q$1004,0)),"")</f>
        <v/>
      </c>
    </row>
    <row r="75" customFormat="false" ht="15" hidden="false" customHeight="false" outlineLevel="0" collapsed="false">
      <c r="A75" s="39" t="n">
        <v>18</v>
      </c>
      <c r="B75" s="40" t="str">
        <f aca="false">IFERROR(INDEX(Purchases!$A$5:$A$1004,MATCH($A75,Purchases!$Q$5:$Q$1004,0)),"")</f>
        <v/>
      </c>
      <c r="C75" s="5" t="str">
        <f aca="false">IFERROR(INDEX(Properties!$B$5:$B$104,MATCH(INDEX(Purchases!$B$5:$B$1004,MATCH($A75,Purchases!$Q$5:$Q$1004,0)),Properties!$A$5:$A$104,0)),"")</f>
        <v/>
      </c>
      <c r="D75" s="5" t="str">
        <f aca="false">IFERROR(INDEX(Purchases!$D$5:$D$1004,MATCH($A75,Purchases!$Q$5:$Q$1004,0))&amp;" x"&amp;INDEX(Purchases!$E$5:$E$1004,MATCH($A75,Purchases!$Q$5:$Q$1004,0))&amp;" ("&amp;INDEX(Purchases!$G$5:$G$1004,MATCH($A75,Purchases!$Q$5:$Q$1004,0))&amp;")","")</f>
        <v/>
      </c>
      <c r="E75" s="16" t="str">
        <f aca="false">IFERROR(INDEX(Purchases!$N$5:$N$1004,MATCH($A75,Purchases!$Q$5:$Q$1004,0)),"")</f>
        <v/>
      </c>
    </row>
    <row r="76" customFormat="false" ht="15" hidden="false" customHeight="false" outlineLevel="0" collapsed="false">
      <c r="A76" s="39" t="n">
        <v>19</v>
      </c>
      <c r="B76" s="40" t="str">
        <f aca="false">IFERROR(INDEX(Purchases!$A$5:$A$1004,MATCH($A76,Purchases!$Q$5:$Q$1004,0)),"")</f>
        <v/>
      </c>
      <c r="C76" s="5" t="str">
        <f aca="false">IFERROR(INDEX(Properties!$B$5:$B$104,MATCH(INDEX(Purchases!$B$5:$B$1004,MATCH($A76,Purchases!$Q$5:$Q$1004,0)),Properties!$A$5:$A$104,0)),"")</f>
        <v/>
      </c>
      <c r="D76" s="5" t="str">
        <f aca="false">IFERROR(INDEX(Purchases!$D$5:$D$1004,MATCH($A76,Purchases!$Q$5:$Q$1004,0))&amp;" x"&amp;INDEX(Purchases!$E$5:$E$1004,MATCH($A76,Purchases!$Q$5:$Q$1004,0))&amp;" ("&amp;INDEX(Purchases!$G$5:$G$1004,MATCH($A76,Purchases!$Q$5:$Q$1004,0))&amp;")","")</f>
        <v/>
      </c>
      <c r="E76" s="16" t="str">
        <f aca="false">IFERROR(INDEX(Purchases!$N$5:$N$1004,MATCH($A76,Purchases!$Q$5:$Q$1004,0)),"")</f>
        <v/>
      </c>
    </row>
    <row r="77" customFormat="false" ht="15" hidden="false" customHeight="false" outlineLevel="0" collapsed="false">
      <c r="A77" s="39" t="n">
        <v>20</v>
      </c>
      <c r="B77" s="40" t="str">
        <f aca="false">IFERROR(INDEX(Purchases!$A$5:$A$1004,MATCH($A77,Purchases!$Q$5:$Q$1004,0)),"")</f>
        <v/>
      </c>
      <c r="C77" s="5" t="str">
        <f aca="false">IFERROR(INDEX(Properties!$B$5:$B$104,MATCH(INDEX(Purchases!$B$5:$B$1004,MATCH($A77,Purchases!$Q$5:$Q$1004,0)),Properties!$A$5:$A$104,0)),"")</f>
        <v/>
      </c>
      <c r="D77" s="5" t="str">
        <f aca="false">IFERROR(INDEX(Purchases!$D$5:$D$1004,MATCH($A77,Purchases!$Q$5:$Q$1004,0))&amp;" x"&amp;INDEX(Purchases!$E$5:$E$1004,MATCH($A77,Purchases!$Q$5:$Q$1004,0))&amp;" ("&amp;INDEX(Purchases!$G$5:$G$1004,MATCH($A77,Purchases!$Q$5:$Q$1004,0))&amp;")","")</f>
        <v/>
      </c>
      <c r="E77" s="16" t="str">
        <f aca="false">IFERROR(INDEX(Purchases!$N$5:$N$1004,MATCH($A77,Purchases!$Q$5:$Q$1004,0)),"")</f>
        <v/>
      </c>
    </row>
    <row r="78" customFormat="false" ht="15" hidden="false" customHeight="false" outlineLevel="0" collapsed="false">
      <c r="A78" s="39" t="n">
        <v>21</v>
      </c>
      <c r="B78" s="40" t="str">
        <f aca="false">IFERROR(INDEX(Purchases!$A$5:$A$1004,MATCH($A78,Purchases!$Q$5:$Q$1004,0)),"")</f>
        <v/>
      </c>
      <c r="C78" s="5" t="str">
        <f aca="false">IFERROR(INDEX(Properties!$B$5:$B$104,MATCH(INDEX(Purchases!$B$5:$B$1004,MATCH($A78,Purchases!$Q$5:$Q$1004,0)),Properties!$A$5:$A$104,0)),"")</f>
        <v/>
      </c>
      <c r="D78" s="5" t="str">
        <f aca="false">IFERROR(INDEX(Purchases!$D$5:$D$1004,MATCH($A78,Purchases!$Q$5:$Q$1004,0))&amp;" x"&amp;INDEX(Purchases!$E$5:$E$1004,MATCH($A78,Purchases!$Q$5:$Q$1004,0))&amp;" ("&amp;INDEX(Purchases!$G$5:$G$1004,MATCH($A78,Purchases!$Q$5:$Q$1004,0))&amp;")","")</f>
        <v/>
      </c>
      <c r="E78" s="16" t="str">
        <f aca="false">IFERROR(INDEX(Purchases!$N$5:$N$1004,MATCH($A78,Purchases!$Q$5:$Q$1004,0)),"")</f>
        <v/>
      </c>
    </row>
    <row r="79" customFormat="false" ht="15" hidden="false" customHeight="false" outlineLevel="0" collapsed="false">
      <c r="A79" s="39" t="n">
        <v>22</v>
      </c>
      <c r="B79" s="40" t="str">
        <f aca="false">IFERROR(INDEX(Purchases!$A$5:$A$1004,MATCH($A79,Purchases!$Q$5:$Q$1004,0)),"")</f>
        <v/>
      </c>
      <c r="C79" s="5" t="str">
        <f aca="false">IFERROR(INDEX(Properties!$B$5:$B$104,MATCH(INDEX(Purchases!$B$5:$B$1004,MATCH($A79,Purchases!$Q$5:$Q$1004,0)),Properties!$A$5:$A$104,0)),"")</f>
        <v/>
      </c>
      <c r="D79" s="5" t="str">
        <f aca="false">IFERROR(INDEX(Purchases!$D$5:$D$1004,MATCH($A79,Purchases!$Q$5:$Q$1004,0))&amp;" x"&amp;INDEX(Purchases!$E$5:$E$1004,MATCH($A79,Purchases!$Q$5:$Q$1004,0))&amp;" ("&amp;INDEX(Purchases!$G$5:$G$1004,MATCH($A79,Purchases!$Q$5:$Q$1004,0))&amp;")","")</f>
        <v/>
      </c>
      <c r="E79" s="16" t="str">
        <f aca="false">IFERROR(INDEX(Purchases!$N$5:$N$1004,MATCH($A79,Purchases!$Q$5:$Q$1004,0)),"")</f>
        <v/>
      </c>
    </row>
    <row r="80" customFormat="false" ht="15" hidden="false" customHeight="false" outlineLevel="0" collapsed="false">
      <c r="A80" s="39" t="n">
        <v>23</v>
      </c>
      <c r="B80" s="40" t="str">
        <f aca="false">IFERROR(INDEX(Purchases!$A$5:$A$1004,MATCH($A80,Purchases!$Q$5:$Q$1004,0)),"")</f>
        <v/>
      </c>
      <c r="C80" s="5" t="str">
        <f aca="false">IFERROR(INDEX(Properties!$B$5:$B$104,MATCH(INDEX(Purchases!$B$5:$B$1004,MATCH($A80,Purchases!$Q$5:$Q$1004,0)),Properties!$A$5:$A$104,0)),"")</f>
        <v/>
      </c>
      <c r="D80" s="5" t="str">
        <f aca="false">IFERROR(INDEX(Purchases!$D$5:$D$1004,MATCH($A80,Purchases!$Q$5:$Q$1004,0))&amp;" x"&amp;INDEX(Purchases!$E$5:$E$1004,MATCH($A80,Purchases!$Q$5:$Q$1004,0))&amp;" ("&amp;INDEX(Purchases!$G$5:$G$1004,MATCH($A80,Purchases!$Q$5:$Q$1004,0))&amp;")","")</f>
        <v/>
      </c>
      <c r="E80" s="16" t="str">
        <f aca="false">IFERROR(INDEX(Purchases!$N$5:$N$1004,MATCH($A80,Purchases!$Q$5:$Q$1004,0)),"")</f>
        <v/>
      </c>
    </row>
    <row r="81" customFormat="false" ht="15" hidden="false" customHeight="false" outlineLevel="0" collapsed="false">
      <c r="A81" s="39" t="n">
        <v>24</v>
      </c>
      <c r="B81" s="40" t="str">
        <f aca="false">IFERROR(INDEX(Purchases!$A$5:$A$1004,MATCH($A81,Purchases!$Q$5:$Q$1004,0)),"")</f>
        <v/>
      </c>
      <c r="C81" s="5" t="str">
        <f aca="false">IFERROR(INDEX(Properties!$B$5:$B$104,MATCH(INDEX(Purchases!$B$5:$B$1004,MATCH($A81,Purchases!$Q$5:$Q$1004,0)),Properties!$A$5:$A$104,0)),"")</f>
        <v/>
      </c>
      <c r="D81" s="5" t="str">
        <f aca="false">IFERROR(INDEX(Purchases!$D$5:$D$1004,MATCH($A81,Purchases!$Q$5:$Q$1004,0))&amp;" x"&amp;INDEX(Purchases!$E$5:$E$1004,MATCH($A81,Purchases!$Q$5:$Q$1004,0))&amp;" ("&amp;INDEX(Purchases!$G$5:$G$1004,MATCH($A81,Purchases!$Q$5:$Q$1004,0))&amp;")","")</f>
        <v/>
      </c>
      <c r="E81" s="16" t="str">
        <f aca="false">IFERROR(INDEX(Purchases!$N$5:$N$1004,MATCH($A81,Purchases!$Q$5:$Q$1004,0)),"")</f>
        <v/>
      </c>
    </row>
    <row r="82" customFormat="false" ht="15" hidden="false" customHeight="false" outlineLevel="0" collapsed="false">
      <c r="A82" s="39" t="n">
        <v>25</v>
      </c>
      <c r="B82" s="40" t="str">
        <f aca="false">IFERROR(INDEX(Purchases!$A$5:$A$1004,MATCH($A82,Purchases!$Q$5:$Q$1004,0)),"")</f>
        <v/>
      </c>
      <c r="C82" s="5" t="str">
        <f aca="false">IFERROR(INDEX(Properties!$B$5:$B$104,MATCH(INDEX(Purchases!$B$5:$B$1004,MATCH($A82,Purchases!$Q$5:$Q$1004,0)),Properties!$A$5:$A$104,0)),"")</f>
        <v/>
      </c>
      <c r="D82" s="5" t="str">
        <f aca="false">IFERROR(INDEX(Purchases!$D$5:$D$1004,MATCH($A82,Purchases!$Q$5:$Q$1004,0))&amp;" x"&amp;INDEX(Purchases!$E$5:$E$1004,MATCH($A82,Purchases!$Q$5:$Q$1004,0))&amp;" ("&amp;INDEX(Purchases!$G$5:$G$1004,MATCH($A82,Purchases!$Q$5:$Q$1004,0))&amp;")","")</f>
        <v/>
      </c>
      <c r="E82" s="16" t="str">
        <f aca="false">IFERROR(INDEX(Purchases!$N$5:$N$1004,MATCH($A82,Purchases!$Q$5:$Q$1004,0)),"")</f>
        <v/>
      </c>
    </row>
    <row r="84" customFormat="false" ht="15" hidden="false" customHeight="false" outlineLevel="0" collapsed="false">
      <c r="D84" s="41" t="s">
        <v>217</v>
      </c>
      <c r="E84" s="42" t="n">
        <f aca="false">SUM(E11:E55)+SUM(E58:E82)</f>
        <v>232.04</v>
      </c>
    </row>
    <row r="85" customFormat="false" ht="15" hidden="false" customHeight="false" outlineLevel="0" collapsed="false">
      <c r="D85" s="3" t="s">
        <v>218</v>
      </c>
    </row>
    <row r="87" customFormat="false" ht="15" hidden="false" customHeight="false" outlineLevel="0" collapsed="false">
      <c r="B87" s="43" t="str">
        <f aca="false">IF(COUNTIF('Cleans Log'!$S$5:$S$1004,"&gt;45")+COUNTIF(Purchases!$Q$5:$Q$1004,"&gt;25")&gt;0,"Warning: more lines than fit here. Extend the list.","")</f>
        <v/>
      </c>
    </row>
  </sheetData>
  <dataValidations count="1">
    <dataValidation allowBlank="true" errorStyle="stop" operator="between" showDropDown="false" showErrorMessage="false" showInputMessage="false" sqref="C5" type="list">
      <formula1>Hosts!$A$5:$A$54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A86A"/>
    <pageSetUpPr fitToPage="false"/>
  </sheetPr>
  <dimension ref="A1:J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7"/>
    <col collapsed="false" customWidth="true" hidden="false" outlineLevel="0" max="9" min="8" style="0" width="12"/>
    <col collapsed="false" customWidth="true" hidden="false" outlineLevel="0" max="10" min="10" style="0" width="11"/>
  </cols>
  <sheetData>
    <row r="1" customFormat="false" ht="19.7" hidden="false" customHeight="false" outlineLevel="0" collapsed="false">
      <c r="A1" s="1" t="s">
        <v>52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219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1.5" hidden="false" customHeight="true" outlineLevel="0" collapsed="false">
      <c r="A4" s="20" t="s">
        <v>220</v>
      </c>
      <c r="B4" s="20" t="s">
        <v>100</v>
      </c>
      <c r="C4" s="20" t="s">
        <v>199</v>
      </c>
      <c r="D4" s="20" t="s">
        <v>221</v>
      </c>
      <c r="E4" s="20" t="s">
        <v>164</v>
      </c>
      <c r="F4" s="21" t="s">
        <v>222</v>
      </c>
      <c r="G4" s="21" t="s">
        <v>223</v>
      </c>
      <c r="H4" s="21" t="s">
        <v>215</v>
      </c>
      <c r="I4" s="21" t="s">
        <v>224</v>
      </c>
      <c r="J4" s="21" t="s">
        <v>101</v>
      </c>
    </row>
    <row r="5" customFormat="false" ht="15" hidden="false" customHeight="false" outlineLevel="0" collapsed="false">
      <c r="A5" s="22" t="n">
        <v>46304</v>
      </c>
      <c r="B5" s="23" t="s">
        <v>116</v>
      </c>
      <c r="C5" s="22" t="n">
        <v>46311</v>
      </c>
      <c r="D5" s="23"/>
      <c r="E5" s="23" t="s">
        <v>120</v>
      </c>
      <c r="F5" s="27" t="str">
        <f aca="false">IF($B5="","",IFERROR(INDEX(Cleaners!$B$5:$B$34,MATCH($B5,Cleaners!$A$5:$A$34,0)),"?"))</f>
        <v>Cleaner 1</v>
      </c>
      <c r="G5" s="31" t="n">
        <f aca="false">IF($B5="","",COUNTIFS('Cleans Log'!$C$5:$C$1004,$B5,'Cleans Log'!$R$5:$R$1004,$A5,'Cleans Log'!$O$5:$O$1004,"&gt;0"))</f>
        <v>1</v>
      </c>
      <c r="H5" s="28" t="n">
        <f aca="false">IF($B5="","",SUMIFS('Cleans Log'!$O$5:$O$1004,'Cleans Log'!$C$5:$C$1004,$B5,'Cleans Log'!$R$5:$R$1004,$A5))</f>
        <v>40</v>
      </c>
      <c r="I5" s="30" t="n">
        <f aca="false">IF($A5="","",$A5+7)</f>
        <v>46311</v>
      </c>
      <c r="J5" s="27" t="str">
        <f aca="true">IF($B5="","",IF($C5&lt;&gt;"","Paid",IF(TODAY()&gt;=$I5,"PAY NOW","Upcoming")))</f>
        <v>Paid</v>
      </c>
    </row>
    <row r="6" customFormat="false" ht="15" hidden="false" customHeight="false" outlineLevel="0" collapsed="false">
      <c r="A6" s="22" t="n">
        <v>46318</v>
      </c>
      <c r="B6" s="23" t="s">
        <v>122</v>
      </c>
      <c r="C6" s="22"/>
      <c r="D6" s="23"/>
      <c r="E6" s="23" t="s">
        <v>120</v>
      </c>
      <c r="F6" s="27" t="str">
        <f aca="false">IF($B6="","",IFERROR(INDEX(Cleaners!$B$5:$B$34,MATCH($B6,Cleaners!$A$5:$A$34,0)),"?"))</f>
        <v>Cleaner 2</v>
      </c>
      <c r="G6" s="31" t="n">
        <f aca="false">IF($B6="","",COUNTIFS('Cleans Log'!$C$5:$C$1004,$B6,'Cleans Log'!$R$5:$R$1004,$A6,'Cleans Log'!$O$5:$O$1004,"&gt;0"))</f>
        <v>1</v>
      </c>
      <c r="H6" s="28" t="n">
        <f aca="false">IF($B6="","",SUMIFS('Cleans Log'!$O$5:$O$1004,'Cleans Log'!$C$5:$C$1004,$B6,'Cleans Log'!$R$5:$R$1004,$A6))</f>
        <v>47.5</v>
      </c>
      <c r="I6" s="30" t="n">
        <f aca="false">IF($A6="","",$A6+7)</f>
        <v>46325</v>
      </c>
      <c r="J6" s="27" t="str">
        <f aca="true">IF($B6="","",IF($C6&lt;&gt;"","Paid",IF(TODAY()&gt;=$I6,"PAY NOW","Upcoming")))</f>
        <v>Upcoming</v>
      </c>
    </row>
    <row r="7" customFormat="false" ht="15" hidden="false" customHeight="false" outlineLevel="0" collapsed="false">
      <c r="A7" s="22"/>
      <c r="B7" s="23"/>
      <c r="C7" s="22"/>
      <c r="D7" s="23"/>
      <c r="E7" s="23"/>
      <c r="F7" s="27" t="str">
        <f aca="false">IF($B7="","",IFERROR(INDEX(Cleaners!$B$5:$B$34,MATCH($B7,Cleaners!$A$5:$A$34,0)),"?"))</f>
        <v/>
      </c>
      <c r="G7" s="31" t="str">
        <f aca="false">IF($B7="","",COUNTIFS('Cleans Log'!$C$5:$C$1004,$B7,'Cleans Log'!$R$5:$R$1004,$A7,'Cleans Log'!$O$5:$O$1004,"&gt;0"))</f>
        <v/>
      </c>
      <c r="H7" s="28" t="str">
        <f aca="false">IF($B7="","",SUMIFS('Cleans Log'!$O$5:$O$1004,'Cleans Log'!$C$5:$C$1004,$B7,'Cleans Log'!$R$5:$R$1004,$A7))</f>
        <v/>
      </c>
      <c r="I7" s="30" t="str">
        <f aca="false">IF($A7="","",$A7+7)</f>
        <v/>
      </c>
      <c r="J7" s="27" t="str">
        <f aca="true">IF($B7="","",IF($C7&lt;&gt;"","Paid",IF(TODAY()&gt;=$I7,"PAY NOW","Upcoming")))</f>
        <v/>
      </c>
    </row>
    <row r="8" customFormat="false" ht="15" hidden="false" customHeight="false" outlineLevel="0" collapsed="false">
      <c r="A8" s="22"/>
      <c r="B8" s="23"/>
      <c r="C8" s="22"/>
      <c r="D8" s="23"/>
      <c r="E8" s="23"/>
      <c r="F8" s="27" t="str">
        <f aca="false">IF($B8="","",IFERROR(INDEX(Cleaners!$B$5:$B$34,MATCH($B8,Cleaners!$A$5:$A$34,0)),"?"))</f>
        <v/>
      </c>
      <c r="G8" s="31" t="str">
        <f aca="false">IF($B8="","",COUNTIFS('Cleans Log'!$C$5:$C$1004,$B8,'Cleans Log'!$R$5:$R$1004,$A8,'Cleans Log'!$O$5:$O$1004,"&gt;0"))</f>
        <v/>
      </c>
      <c r="H8" s="28" t="str">
        <f aca="false">IF($B8="","",SUMIFS('Cleans Log'!$O$5:$O$1004,'Cleans Log'!$C$5:$C$1004,$B8,'Cleans Log'!$R$5:$R$1004,$A8))</f>
        <v/>
      </c>
      <c r="I8" s="30" t="str">
        <f aca="false">IF($A8="","",$A8+7)</f>
        <v/>
      </c>
      <c r="J8" s="27" t="str">
        <f aca="true">IF($B8="","",IF($C8&lt;&gt;"","Paid",IF(TODAY()&gt;=$I8,"PAY NOW","Upcoming")))</f>
        <v/>
      </c>
    </row>
    <row r="9" customFormat="false" ht="15" hidden="false" customHeight="false" outlineLevel="0" collapsed="false">
      <c r="A9" s="22"/>
      <c r="B9" s="23"/>
      <c r="C9" s="22"/>
      <c r="D9" s="23"/>
      <c r="E9" s="23"/>
      <c r="F9" s="27" t="str">
        <f aca="false">IF($B9="","",IFERROR(INDEX(Cleaners!$B$5:$B$34,MATCH($B9,Cleaners!$A$5:$A$34,0)),"?"))</f>
        <v/>
      </c>
      <c r="G9" s="31" t="str">
        <f aca="false">IF($B9="","",COUNTIFS('Cleans Log'!$C$5:$C$1004,$B9,'Cleans Log'!$R$5:$R$1004,$A9,'Cleans Log'!$O$5:$O$1004,"&gt;0"))</f>
        <v/>
      </c>
      <c r="H9" s="28" t="str">
        <f aca="false">IF($B9="","",SUMIFS('Cleans Log'!$O$5:$O$1004,'Cleans Log'!$C$5:$C$1004,$B9,'Cleans Log'!$R$5:$R$1004,$A9))</f>
        <v/>
      </c>
      <c r="I9" s="30" t="str">
        <f aca="false">IF($A9="","",$A9+7)</f>
        <v/>
      </c>
      <c r="J9" s="27" t="str">
        <f aca="true">IF($B9="","",IF($C9&lt;&gt;"","Paid",IF(TODAY()&gt;=$I9,"PAY NOW","Upcoming")))</f>
        <v/>
      </c>
    </row>
    <row r="10" customFormat="false" ht="15" hidden="false" customHeight="false" outlineLevel="0" collapsed="false">
      <c r="A10" s="22"/>
      <c r="B10" s="23"/>
      <c r="C10" s="22"/>
      <c r="D10" s="23"/>
      <c r="E10" s="23"/>
      <c r="F10" s="27" t="str">
        <f aca="false">IF($B10="","",IFERROR(INDEX(Cleaners!$B$5:$B$34,MATCH($B10,Cleaners!$A$5:$A$34,0)),"?"))</f>
        <v/>
      </c>
      <c r="G10" s="31" t="str">
        <f aca="false">IF($B10="","",COUNTIFS('Cleans Log'!$C$5:$C$1004,$B10,'Cleans Log'!$R$5:$R$1004,$A10,'Cleans Log'!$O$5:$O$1004,"&gt;0"))</f>
        <v/>
      </c>
      <c r="H10" s="28" t="str">
        <f aca="false">IF($B10="","",SUMIFS('Cleans Log'!$O$5:$O$1004,'Cleans Log'!$C$5:$C$1004,$B10,'Cleans Log'!$R$5:$R$1004,$A10))</f>
        <v/>
      </c>
      <c r="I10" s="30" t="str">
        <f aca="false">IF($A10="","",$A10+7)</f>
        <v/>
      </c>
      <c r="J10" s="27" t="str">
        <f aca="true">IF($B10="","",IF($C10&lt;&gt;"","Paid",IF(TODAY()&gt;=$I10,"PAY NOW","Upcoming")))</f>
        <v/>
      </c>
    </row>
    <row r="11" customFormat="false" ht="15" hidden="false" customHeight="false" outlineLevel="0" collapsed="false">
      <c r="A11" s="22"/>
      <c r="B11" s="23"/>
      <c r="C11" s="22"/>
      <c r="D11" s="23"/>
      <c r="E11" s="23"/>
      <c r="F11" s="27" t="str">
        <f aca="false">IF($B11="","",IFERROR(INDEX(Cleaners!$B$5:$B$34,MATCH($B11,Cleaners!$A$5:$A$34,0)),"?"))</f>
        <v/>
      </c>
      <c r="G11" s="31" t="str">
        <f aca="false">IF($B11="","",COUNTIFS('Cleans Log'!$C$5:$C$1004,$B11,'Cleans Log'!$R$5:$R$1004,$A11,'Cleans Log'!$O$5:$O$1004,"&gt;0"))</f>
        <v/>
      </c>
      <c r="H11" s="28" t="str">
        <f aca="false">IF($B11="","",SUMIFS('Cleans Log'!$O$5:$O$1004,'Cleans Log'!$C$5:$C$1004,$B11,'Cleans Log'!$R$5:$R$1004,$A11))</f>
        <v/>
      </c>
      <c r="I11" s="30" t="str">
        <f aca="false">IF($A11="","",$A11+7)</f>
        <v/>
      </c>
      <c r="J11" s="27" t="str">
        <f aca="true">IF($B11="","",IF($C11&lt;&gt;"","Paid",IF(TODAY()&gt;=$I11,"PAY NOW","Upcoming")))</f>
        <v/>
      </c>
    </row>
    <row r="12" customFormat="false" ht="15" hidden="false" customHeight="false" outlineLevel="0" collapsed="false">
      <c r="A12" s="22"/>
      <c r="B12" s="23"/>
      <c r="C12" s="22"/>
      <c r="D12" s="23"/>
      <c r="E12" s="23"/>
      <c r="F12" s="27" t="str">
        <f aca="false">IF($B12="","",IFERROR(INDEX(Cleaners!$B$5:$B$34,MATCH($B12,Cleaners!$A$5:$A$34,0)),"?"))</f>
        <v/>
      </c>
      <c r="G12" s="31" t="str">
        <f aca="false">IF($B12="","",COUNTIFS('Cleans Log'!$C$5:$C$1004,$B12,'Cleans Log'!$R$5:$R$1004,$A12,'Cleans Log'!$O$5:$O$1004,"&gt;0"))</f>
        <v/>
      </c>
      <c r="H12" s="28" t="str">
        <f aca="false">IF($B12="","",SUMIFS('Cleans Log'!$O$5:$O$1004,'Cleans Log'!$C$5:$C$1004,$B12,'Cleans Log'!$R$5:$R$1004,$A12))</f>
        <v/>
      </c>
      <c r="I12" s="30" t="str">
        <f aca="false">IF($A12="","",$A12+7)</f>
        <v/>
      </c>
      <c r="J12" s="27" t="str">
        <f aca="true">IF($B12="","",IF($C12&lt;&gt;"","Paid",IF(TODAY()&gt;=$I12,"PAY NOW","Upcoming")))</f>
        <v/>
      </c>
    </row>
    <row r="13" customFormat="false" ht="15" hidden="false" customHeight="false" outlineLevel="0" collapsed="false">
      <c r="A13" s="22"/>
      <c r="B13" s="23"/>
      <c r="C13" s="22"/>
      <c r="D13" s="23"/>
      <c r="E13" s="23"/>
      <c r="F13" s="27" t="str">
        <f aca="false">IF($B13="","",IFERROR(INDEX(Cleaners!$B$5:$B$34,MATCH($B13,Cleaners!$A$5:$A$34,0)),"?"))</f>
        <v/>
      </c>
      <c r="G13" s="31" t="str">
        <f aca="false">IF($B13="","",COUNTIFS('Cleans Log'!$C$5:$C$1004,$B13,'Cleans Log'!$R$5:$R$1004,$A13,'Cleans Log'!$O$5:$O$1004,"&gt;0"))</f>
        <v/>
      </c>
      <c r="H13" s="28" t="str">
        <f aca="false">IF($B13="","",SUMIFS('Cleans Log'!$O$5:$O$1004,'Cleans Log'!$C$5:$C$1004,$B13,'Cleans Log'!$R$5:$R$1004,$A13))</f>
        <v/>
      </c>
      <c r="I13" s="30" t="str">
        <f aca="false">IF($A13="","",$A13+7)</f>
        <v/>
      </c>
      <c r="J13" s="27" t="str">
        <f aca="true">IF($B13="","",IF($C13&lt;&gt;"","Paid",IF(TODAY()&gt;=$I13,"PAY NOW","Upcoming")))</f>
        <v/>
      </c>
    </row>
    <row r="14" customFormat="false" ht="15" hidden="false" customHeight="false" outlineLevel="0" collapsed="false">
      <c r="A14" s="22"/>
      <c r="B14" s="23"/>
      <c r="C14" s="22"/>
      <c r="D14" s="23"/>
      <c r="E14" s="23"/>
      <c r="F14" s="27" t="str">
        <f aca="false">IF($B14="","",IFERROR(INDEX(Cleaners!$B$5:$B$34,MATCH($B14,Cleaners!$A$5:$A$34,0)),"?"))</f>
        <v/>
      </c>
      <c r="G14" s="31" t="str">
        <f aca="false">IF($B14="","",COUNTIFS('Cleans Log'!$C$5:$C$1004,$B14,'Cleans Log'!$R$5:$R$1004,$A14,'Cleans Log'!$O$5:$O$1004,"&gt;0"))</f>
        <v/>
      </c>
      <c r="H14" s="28" t="str">
        <f aca="false">IF($B14="","",SUMIFS('Cleans Log'!$O$5:$O$1004,'Cleans Log'!$C$5:$C$1004,$B14,'Cleans Log'!$R$5:$R$1004,$A14))</f>
        <v/>
      </c>
      <c r="I14" s="30" t="str">
        <f aca="false">IF($A14="","",$A14+7)</f>
        <v/>
      </c>
      <c r="J14" s="27" t="str">
        <f aca="true">IF($B14="","",IF($C14&lt;&gt;"","Paid",IF(TODAY()&gt;=$I14,"PAY NOW","Upcoming")))</f>
        <v/>
      </c>
    </row>
    <row r="15" customFormat="false" ht="15" hidden="false" customHeight="false" outlineLevel="0" collapsed="false">
      <c r="A15" s="22"/>
      <c r="B15" s="23"/>
      <c r="C15" s="22"/>
      <c r="D15" s="23"/>
      <c r="E15" s="23"/>
      <c r="F15" s="27" t="str">
        <f aca="false">IF($B15="","",IFERROR(INDEX(Cleaners!$B$5:$B$34,MATCH($B15,Cleaners!$A$5:$A$34,0)),"?"))</f>
        <v/>
      </c>
      <c r="G15" s="31" t="str">
        <f aca="false">IF($B15="","",COUNTIFS('Cleans Log'!$C$5:$C$1004,$B15,'Cleans Log'!$R$5:$R$1004,$A15,'Cleans Log'!$O$5:$O$1004,"&gt;0"))</f>
        <v/>
      </c>
      <c r="H15" s="28" t="str">
        <f aca="false">IF($B15="","",SUMIFS('Cleans Log'!$O$5:$O$1004,'Cleans Log'!$C$5:$C$1004,$B15,'Cleans Log'!$R$5:$R$1004,$A15))</f>
        <v/>
      </c>
      <c r="I15" s="30" t="str">
        <f aca="false">IF($A15="","",$A15+7)</f>
        <v/>
      </c>
      <c r="J15" s="27" t="str">
        <f aca="true">IF($B15="","",IF($C15&lt;&gt;"","Paid",IF(TODAY()&gt;=$I15,"PAY NOW","Upcoming")))</f>
        <v/>
      </c>
    </row>
    <row r="16" customFormat="false" ht="15" hidden="false" customHeight="false" outlineLevel="0" collapsed="false">
      <c r="A16" s="22"/>
      <c r="B16" s="23"/>
      <c r="C16" s="22"/>
      <c r="D16" s="23"/>
      <c r="E16" s="23"/>
      <c r="F16" s="27" t="str">
        <f aca="false">IF($B16="","",IFERROR(INDEX(Cleaners!$B$5:$B$34,MATCH($B16,Cleaners!$A$5:$A$34,0)),"?"))</f>
        <v/>
      </c>
      <c r="G16" s="31" t="str">
        <f aca="false">IF($B16="","",COUNTIFS('Cleans Log'!$C$5:$C$1004,$B16,'Cleans Log'!$R$5:$R$1004,$A16,'Cleans Log'!$O$5:$O$1004,"&gt;0"))</f>
        <v/>
      </c>
      <c r="H16" s="28" t="str">
        <f aca="false">IF($B16="","",SUMIFS('Cleans Log'!$O$5:$O$1004,'Cleans Log'!$C$5:$C$1004,$B16,'Cleans Log'!$R$5:$R$1004,$A16))</f>
        <v/>
      </c>
      <c r="I16" s="30" t="str">
        <f aca="false">IF($A16="","",$A16+7)</f>
        <v/>
      </c>
      <c r="J16" s="27" t="str">
        <f aca="true">IF($B16="","",IF($C16&lt;&gt;"","Paid",IF(TODAY()&gt;=$I16,"PAY NOW","Upcoming")))</f>
        <v/>
      </c>
    </row>
    <row r="17" customFormat="false" ht="15" hidden="false" customHeight="false" outlineLevel="0" collapsed="false">
      <c r="A17" s="22"/>
      <c r="B17" s="23"/>
      <c r="C17" s="22"/>
      <c r="D17" s="23"/>
      <c r="E17" s="23"/>
      <c r="F17" s="27" t="str">
        <f aca="false">IF($B17="","",IFERROR(INDEX(Cleaners!$B$5:$B$34,MATCH($B17,Cleaners!$A$5:$A$34,0)),"?"))</f>
        <v/>
      </c>
      <c r="G17" s="31" t="str">
        <f aca="false">IF($B17="","",COUNTIFS('Cleans Log'!$C$5:$C$1004,$B17,'Cleans Log'!$R$5:$R$1004,$A17,'Cleans Log'!$O$5:$O$1004,"&gt;0"))</f>
        <v/>
      </c>
      <c r="H17" s="28" t="str">
        <f aca="false">IF($B17="","",SUMIFS('Cleans Log'!$O$5:$O$1004,'Cleans Log'!$C$5:$C$1004,$B17,'Cleans Log'!$R$5:$R$1004,$A17))</f>
        <v/>
      </c>
      <c r="I17" s="30" t="str">
        <f aca="false">IF($A17="","",$A17+7)</f>
        <v/>
      </c>
      <c r="J17" s="27" t="str">
        <f aca="true">IF($B17="","",IF($C17&lt;&gt;"","Paid",IF(TODAY()&gt;=$I17,"PAY NOW","Upcoming")))</f>
        <v/>
      </c>
    </row>
    <row r="18" customFormat="false" ht="15" hidden="false" customHeight="false" outlineLevel="0" collapsed="false">
      <c r="A18" s="22"/>
      <c r="B18" s="23"/>
      <c r="C18" s="22"/>
      <c r="D18" s="23"/>
      <c r="E18" s="23"/>
      <c r="F18" s="27" t="str">
        <f aca="false">IF($B18="","",IFERROR(INDEX(Cleaners!$B$5:$B$34,MATCH($B18,Cleaners!$A$5:$A$34,0)),"?"))</f>
        <v/>
      </c>
      <c r="G18" s="31" t="str">
        <f aca="false">IF($B18="","",COUNTIFS('Cleans Log'!$C$5:$C$1004,$B18,'Cleans Log'!$R$5:$R$1004,$A18,'Cleans Log'!$O$5:$O$1004,"&gt;0"))</f>
        <v/>
      </c>
      <c r="H18" s="28" t="str">
        <f aca="false">IF($B18="","",SUMIFS('Cleans Log'!$O$5:$O$1004,'Cleans Log'!$C$5:$C$1004,$B18,'Cleans Log'!$R$5:$R$1004,$A18))</f>
        <v/>
      </c>
      <c r="I18" s="30" t="str">
        <f aca="false">IF($A18="","",$A18+7)</f>
        <v/>
      </c>
      <c r="J18" s="27" t="str">
        <f aca="true">IF($B18="","",IF($C18&lt;&gt;"","Paid",IF(TODAY()&gt;=$I18,"PAY NOW","Upcoming")))</f>
        <v/>
      </c>
    </row>
    <row r="19" customFormat="false" ht="15" hidden="false" customHeight="false" outlineLevel="0" collapsed="false">
      <c r="A19" s="22"/>
      <c r="B19" s="23"/>
      <c r="C19" s="22"/>
      <c r="D19" s="23"/>
      <c r="E19" s="23"/>
      <c r="F19" s="27" t="str">
        <f aca="false">IF($B19="","",IFERROR(INDEX(Cleaners!$B$5:$B$34,MATCH($B19,Cleaners!$A$5:$A$34,0)),"?"))</f>
        <v/>
      </c>
      <c r="G19" s="31" t="str">
        <f aca="false">IF($B19="","",COUNTIFS('Cleans Log'!$C$5:$C$1004,$B19,'Cleans Log'!$R$5:$R$1004,$A19,'Cleans Log'!$O$5:$O$1004,"&gt;0"))</f>
        <v/>
      </c>
      <c r="H19" s="28" t="str">
        <f aca="false">IF($B19="","",SUMIFS('Cleans Log'!$O$5:$O$1004,'Cleans Log'!$C$5:$C$1004,$B19,'Cleans Log'!$R$5:$R$1004,$A19))</f>
        <v/>
      </c>
      <c r="I19" s="30" t="str">
        <f aca="false">IF($A19="","",$A19+7)</f>
        <v/>
      </c>
      <c r="J19" s="27" t="str">
        <f aca="true">IF($B19="","",IF($C19&lt;&gt;"","Paid",IF(TODAY()&gt;=$I19,"PAY NOW","Upcoming")))</f>
        <v/>
      </c>
    </row>
    <row r="20" customFormat="false" ht="15" hidden="false" customHeight="false" outlineLevel="0" collapsed="false">
      <c r="A20" s="22"/>
      <c r="B20" s="23"/>
      <c r="C20" s="22"/>
      <c r="D20" s="23"/>
      <c r="E20" s="23"/>
      <c r="F20" s="27" t="str">
        <f aca="false">IF($B20="","",IFERROR(INDEX(Cleaners!$B$5:$B$34,MATCH($B20,Cleaners!$A$5:$A$34,0)),"?"))</f>
        <v/>
      </c>
      <c r="G20" s="31" t="str">
        <f aca="false">IF($B20="","",COUNTIFS('Cleans Log'!$C$5:$C$1004,$B20,'Cleans Log'!$R$5:$R$1004,$A20,'Cleans Log'!$O$5:$O$1004,"&gt;0"))</f>
        <v/>
      </c>
      <c r="H20" s="28" t="str">
        <f aca="false">IF($B20="","",SUMIFS('Cleans Log'!$O$5:$O$1004,'Cleans Log'!$C$5:$C$1004,$B20,'Cleans Log'!$R$5:$R$1004,$A20))</f>
        <v/>
      </c>
      <c r="I20" s="30" t="str">
        <f aca="false">IF($A20="","",$A20+7)</f>
        <v/>
      </c>
      <c r="J20" s="27" t="str">
        <f aca="true">IF($B20="","",IF($C20&lt;&gt;"","Paid",IF(TODAY()&gt;=$I20,"PAY NOW","Upcoming")))</f>
        <v/>
      </c>
    </row>
    <row r="21" customFormat="false" ht="15" hidden="false" customHeight="false" outlineLevel="0" collapsed="false">
      <c r="A21" s="22"/>
      <c r="B21" s="23"/>
      <c r="C21" s="22"/>
      <c r="D21" s="23"/>
      <c r="E21" s="23"/>
      <c r="F21" s="27" t="str">
        <f aca="false">IF($B21="","",IFERROR(INDEX(Cleaners!$B$5:$B$34,MATCH($B21,Cleaners!$A$5:$A$34,0)),"?"))</f>
        <v/>
      </c>
      <c r="G21" s="31" t="str">
        <f aca="false">IF($B21="","",COUNTIFS('Cleans Log'!$C$5:$C$1004,$B21,'Cleans Log'!$R$5:$R$1004,$A21,'Cleans Log'!$O$5:$O$1004,"&gt;0"))</f>
        <v/>
      </c>
      <c r="H21" s="28" t="str">
        <f aca="false">IF($B21="","",SUMIFS('Cleans Log'!$O$5:$O$1004,'Cleans Log'!$C$5:$C$1004,$B21,'Cleans Log'!$R$5:$R$1004,$A21))</f>
        <v/>
      </c>
      <c r="I21" s="30" t="str">
        <f aca="false">IF($A21="","",$A21+7)</f>
        <v/>
      </c>
      <c r="J21" s="27" t="str">
        <f aca="true">IF($B21="","",IF($C21&lt;&gt;"","Paid",IF(TODAY()&gt;=$I21,"PAY NOW","Upcoming")))</f>
        <v/>
      </c>
    </row>
    <row r="22" customFormat="false" ht="15" hidden="false" customHeight="false" outlineLevel="0" collapsed="false">
      <c r="A22" s="22"/>
      <c r="B22" s="23"/>
      <c r="C22" s="22"/>
      <c r="D22" s="23"/>
      <c r="E22" s="23"/>
      <c r="F22" s="27" t="str">
        <f aca="false">IF($B22="","",IFERROR(INDEX(Cleaners!$B$5:$B$34,MATCH($B22,Cleaners!$A$5:$A$34,0)),"?"))</f>
        <v/>
      </c>
      <c r="G22" s="31" t="str">
        <f aca="false">IF($B22="","",COUNTIFS('Cleans Log'!$C$5:$C$1004,$B22,'Cleans Log'!$R$5:$R$1004,$A22,'Cleans Log'!$O$5:$O$1004,"&gt;0"))</f>
        <v/>
      </c>
      <c r="H22" s="28" t="str">
        <f aca="false">IF($B22="","",SUMIFS('Cleans Log'!$O$5:$O$1004,'Cleans Log'!$C$5:$C$1004,$B22,'Cleans Log'!$R$5:$R$1004,$A22))</f>
        <v/>
      </c>
      <c r="I22" s="30" t="str">
        <f aca="false">IF($A22="","",$A22+7)</f>
        <v/>
      </c>
      <c r="J22" s="27" t="str">
        <f aca="true">IF($B22="","",IF($C22&lt;&gt;"","Paid",IF(TODAY()&gt;=$I22,"PAY NOW","Upcoming")))</f>
        <v/>
      </c>
    </row>
    <row r="23" customFormat="false" ht="15" hidden="false" customHeight="false" outlineLevel="0" collapsed="false">
      <c r="A23" s="22"/>
      <c r="B23" s="23"/>
      <c r="C23" s="22"/>
      <c r="D23" s="23"/>
      <c r="E23" s="23"/>
      <c r="F23" s="27" t="str">
        <f aca="false">IF($B23="","",IFERROR(INDEX(Cleaners!$B$5:$B$34,MATCH($B23,Cleaners!$A$5:$A$34,0)),"?"))</f>
        <v/>
      </c>
      <c r="G23" s="31" t="str">
        <f aca="false">IF($B23="","",COUNTIFS('Cleans Log'!$C$5:$C$1004,$B23,'Cleans Log'!$R$5:$R$1004,$A23,'Cleans Log'!$O$5:$O$1004,"&gt;0"))</f>
        <v/>
      </c>
      <c r="H23" s="28" t="str">
        <f aca="false">IF($B23="","",SUMIFS('Cleans Log'!$O$5:$O$1004,'Cleans Log'!$C$5:$C$1004,$B23,'Cleans Log'!$R$5:$R$1004,$A23))</f>
        <v/>
      </c>
      <c r="I23" s="30" t="str">
        <f aca="false">IF($A23="","",$A23+7)</f>
        <v/>
      </c>
      <c r="J23" s="27" t="str">
        <f aca="true">IF($B23="","",IF($C23&lt;&gt;"","Paid",IF(TODAY()&gt;=$I23,"PAY NOW","Upcoming")))</f>
        <v/>
      </c>
    </row>
    <row r="24" customFormat="false" ht="15" hidden="false" customHeight="false" outlineLevel="0" collapsed="false">
      <c r="A24" s="22"/>
      <c r="B24" s="23"/>
      <c r="C24" s="22"/>
      <c r="D24" s="23"/>
      <c r="E24" s="23"/>
      <c r="F24" s="27" t="str">
        <f aca="false">IF($B24="","",IFERROR(INDEX(Cleaners!$B$5:$B$34,MATCH($B24,Cleaners!$A$5:$A$34,0)),"?"))</f>
        <v/>
      </c>
      <c r="G24" s="31" t="str">
        <f aca="false">IF($B24="","",COUNTIFS('Cleans Log'!$C$5:$C$1004,$B24,'Cleans Log'!$R$5:$R$1004,$A24,'Cleans Log'!$O$5:$O$1004,"&gt;0"))</f>
        <v/>
      </c>
      <c r="H24" s="28" t="str">
        <f aca="false">IF($B24="","",SUMIFS('Cleans Log'!$O$5:$O$1004,'Cleans Log'!$C$5:$C$1004,$B24,'Cleans Log'!$R$5:$R$1004,$A24))</f>
        <v/>
      </c>
      <c r="I24" s="30" t="str">
        <f aca="false">IF($A24="","",$A24+7)</f>
        <v/>
      </c>
      <c r="J24" s="27" t="str">
        <f aca="true">IF($B24="","",IF($C24&lt;&gt;"","Paid",IF(TODAY()&gt;=$I24,"PAY NOW","Upcoming")))</f>
        <v/>
      </c>
    </row>
    <row r="25" customFormat="false" ht="15" hidden="false" customHeight="false" outlineLevel="0" collapsed="false">
      <c r="A25" s="22"/>
      <c r="B25" s="23"/>
      <c r="C25" s="22"/>
      <c r="D25" s="23"/>
      <c r="E25" s="23"/>
      <c r="F25" s="27" t="str">
        <f aca="false">IF($B25="","",IFERROR(INDEX(Cleaners!$B$5:$B$34,MATCH($B25,Cleaners!$A$5:$A$34,0)),"?"))</f>
        <v/>
      </c>
      <c r="G25" s="31" t="str">
        <f aca="false">IF($B25="","",COUNTIFS('Cleans Log'!$C$5:$C$1004,$B25,'Cleans Log'!$R$5:$R$1004,$A25,'Cleans Log'!$O$5:$O$1004,"&gt;0"))</f>
        <v/>
      </c>
      <c r="H25" s="28" t="str">
        <f aca="false">IF($B25="","",SUMIFS('Cleans Log'!$O$5:$O$1004,'Cleans Log'!$C$5:$C$1004,$B25,'Cleans Log'!$R$5:$R$1004,$A25))</f>
        <v/>
      </c>
      <c r="I25" s="30" t="str">
        <f aca="false">IF($A25="","",$A25+7)</f>
        <v/>
      </c>
      <c r="J25" s="27" t="str">
        <f aca="true">IF($B25="","",IF($C25&lt;&gt;"","Paid",IF(TODAY()&gt;=$I25,"PAY NOW","Upcoming")))</f>
        <v/>
      </c>
    </row>
    <row r="26" customFormat="false" ht="15" hidden="false" customHeight="false" outlineLevel="0" collapsed="false">
      <c r="A26" s="22"/>
      <c r="B26" s="23"/>
      <c r="C26" s="22"/>
      <c r="D26" s="23"/>
      <c r="E26" s="23"/>
      <c r="F26" s="27" t="str">
        <f aca="false">IF($B26="","",IFERROR(INDEX(Cleaners!$B$5:$B$34,MATCH($B26,Cleaners!$A$5:$A$34,0)),"?"))</f>
        <v/>
      </c>
      <c r="G26" s="31" t="str">
        <f aca="false">IF($B26="","",COUNTIFS('Cleans Log'!$C$5:$C$1004,$B26,'Cleans Log'!$R$5:$R$1004,$A26,'Cleans Log'!$O$5:$O$1004,"&gt;0"))</f>
        <v/>
      </c>
      <c r="H26" s="28" t="str">
        <f aca="false">IF($B26="","",SUMIFS('Cleans Log'!$O$5:$O$1004,'Cleans Log'!$C$5:$C$1004,$B26,'Cleans Log'!$R$5:$R$1004,$A26))</f>
        <v/>
      </c>
      <c r="I26" s="30" t="str">
        <f aca="false">IF($A26="","",$A26+7)</f>
        <v/>
      </c>
      <c r="J26" s="27" t="str">
        <f aca="true">IF($B26="","",IF($C26&lt;&gt;"","Paid",IF(TODAY()&gt;=$I26,"PAY NOW","Upcoming")))</f>
        <v/>
      </c>
    </row>
    <row r="27" customFormat="false" ht="15" hidden="false" customHeight="false" outlineLevel="0" collapsed="false">
      <c r="A27" s="22"/>
      <c r="B27" s="23"/>
      <c r="C27" s="22"/>
      <c r="D27" s="23"/>
      <c r="E27" s="23"/>
      <c r="F27" s="27" t="str">
        <f aca="false">IF($B27="","",IFERROR(INDEX(Cleaners!$B$5:$B$34,MATCH($B27,Cleaners!$A$5:$A$34,0)),"?"))</f>
        <v/>
      </c>
      <c r="G27" s="31" t="str">
        <f aca="false">IF($B27="","",COUNTIFS('Cleans Log'!$C$5:$C$1004,$B27,'Cleans Log'!$R$5:$R$1004,$A27,'Cleans Log'!$O$5:$O$1004,"&gt;0"))</f>
        <v/>
      </c>
      <c r="H27" s="28" t="str">
        <f aca="false">IF($B27="","",SUMIFS('Cleans Log'!$O$5:$O$1004,'Cleans Log'!$C$5:$C$1004,$B27,'Cleans Log'!$R$5:$R$1004,$A27))</f>
        <v/>
      </c>
      <c r="I27" s="30" t="str">
        <f aca="false">IF($A27="","",$A27+7)</f>
        <v/>
      </c>
      <c r="J27" s="27" t="str">
        <f aca="true">IF($B27="","",IF($C27&lt;&gt;"","Paid",IF(TODAY()&gt;=$I27,"PAY NOW","Upcoming")))</f>
        <v/>
      </c>
    </row>
    <row r="28" customFormat="false" ht="15" hidden="false" customHeight="false" outlineLevel="0" collapsed="false">
      <c r="A28" s="22"/>
      <c r="B28" s="23"/>
      <c r="C28" s="22"/>
      <c r="D28" s="23"/>
      <c r="E28" s="23"/>
      <c r="F28" s="27" t="str">
        <f aca="false">IF($B28="","",IFERROR(INDEX(Cleaners!$B$5:$B$34,MATCH($B28,Cleaners!$A$5:$A$34,0)),"?"))</f>
        <v/>
      </c>
      <c r="G28" s="31" t="str">
        <f aca="false">IF($B28="","",COUNTIFS('Cleans Log'!$C$5:$C$1004,$B28,'Cleans Log'!$R$5:$R$1004,$A28,'Cleans Log'!$O$5:$O$1004,"&gt;0"))</f>
        <v/>
      </c>
      <c r="H28" s="28" t="str">
        <f aca="false">IF($B28="","",SUMIFS('Cleans Log'!$O$5:$O$1004,'Cleans Log'!$C$5:$C$1004,$B28,'Cleans Log'!$R$5:$R$1004,$A28))</f>
        <v/>
      </c>
      <c r="I28" s="30" t="str">
        <f aca="false">IF($A28="","",$A28+7)</f>
        <v/>
      </c>
      <c r="J28" s="27" t="str">
        <f aca="true">IF($B28="","",IF($C28&lt;&gt;"","Paid",IF(TODAY()&gt;=$I28,"PAY NOW","Upcoming")))</f>
        <v/>
      </c>
    </row>
    <row r="29" customFormat="false" ht="15" hidden="false" customHeight="false" outlineLevel="0" collapsed="false">
      <c r="A29" s="22"/>
      <c r="B29" s="23"/>
      <c r="C29" s="22"/>
      <c r="D29" s="23"/>
      <c r="E29" s="23"/>
      <c r="F29" s="27" t="str">
        <f aca="false">IF($B29="","",IFERROR(INDEX(Cleaners!$B$5:$B$34,MATCH($B29,Cleaners!$A$5:$A$34,0)),"?"))</f>
        <v/>
      </c>
      <c r="G29" s="31" t="str">
        <f aca="false">IF($B29="","",COUNTIFS('Cleans Log'!$C$5:$C$1004,$B29,'Cleans Log'!$R$5:$R$1004,$A29,'Cleans Log'!$O$5:$O$1004,"&gt;0"))</f>
        <v/>
      </c>
      <c r="H29" s="28" t="str">
        <f aca="false">IF($B29="","",SUMIFS('Cleans Log'!$O$5:$O$1004,'Cleans Log'!$C$5:$C$1004,$B29,'Cleans Log'!$R$5:$R$1004,$A29))</f>
        <v/>
      </c>
      <c r="I29" s="30" t="str">
        <f aca="false">IF($A29="","",$A29+7)</f>
        <v/>
      </c>
      <c r="J29" s="27" t="str">
        <f aca="true">IF($B29="","",IF($C29&lt;&gt;"","Paid",IF(TODAY()&gt;=$I29,"PAY NOW","Upcoming")))</f>
        <v/>
      </c>
    </row>
    <row r="30" customFormat="false" ht="15" hidden="false" customHeight="false" outlineLevel="0" collapsed="false">
      <c r="A30" s="22"/>
      <c r="B30" s="23"/>
      <c r="C30" s="22"/>
      <c r="D30" s="23"/>
      <c r="E30" s="23"/>
      <c r="F30" s="27" t="str">
        <f aca="false">IF($B30="","",IFERROR(INDEX(Cleaners!$B$5:$B$34,MATCH($B30,Cleaners!$A$5:$A$34,0)),"?"))</f>
        <v/>
      </c>
      <c r="G30" s="31" t="str">
        <f aca="false">IF($B30="","",COUNTIFS('Cleans Log'!$C$5:$C$1004,$B30,'Cleans Log'!$R$5:$R$1004,$A30,'Cleans Log'!$O$5:$O$1004,"&gt;0"))</f>
        <v/>
      </c>
      <c r="H30" s="28" t="str">
        <f aca="false">IF($B30="","",SUMIFS('Cleans Log'!$O$5:$O$1004,'Cleans Log'!$C$5:$C$1004,$B30,'Cleans Log'!$R$5:$R$1004,$A30))</f>
        <v/>
      </c>
      <c r="I30" s="30" t="str">
        <f aca="false">IF($A30="","",$A30+7)</f>
        <v/>
      </c>
      <c r="J30" s="27" t="str">
        <f aca="true">IF($B30="","",IF($C30&lt;&gt;"","Paid",IF(TODAY()&gt;=$I30,"PAY NOW","Upcoming")))</f>
        <v/>
      </c>
    </row>
    <row r="31" customFormat="false" ht="15" hidden="false" customHeight="false" outlineLevel="0" collapsed="false">
      <c r="A31" s="22"/>
      <c r="B31" s="23"/>
      <c r="C31" s="22"/>
      <c r="D31" s="23"/>
      <c r="E31" s="23"/>
      <c r="F31" s="27" t="str">
        <f aca="false">IF($B31="","",IFERROR(INDEX(Cleaners!$B$5:$B$34,MATCH($B31,Cleaners!$A$5:$A$34,0)),"?"))</f>
        <v/>
      </c>
      <c r="G31" s="31" t="str">
        <f aca="false">IF($B31="","",COUNTIFS('Cleans Log'!$C$5:$C$1004,$B31,'Cleans Log'!$R$5:$R$1004,$A31,'Cleans Log'!$O$5:$O$1004,"&gt;0"))</f>
        <v/>
      </c>
      <c r="H31" s="28" t="str">
        <f aca="false">IF($B31="","",SUMIFS('Cleans Log'!$O$5:$O$1004,'Cleans Log'!$C$5:$C$1004,$B31,'Cleans Log'!$R$5:$R$1004,$A31))</f>
        <v/>
      </c>
      <c r="I31" s="30" t="str">
        <f aca="false">IF($A31="","",$A31+7)</f>
        <v/>
      </c>
      <c r="J31" s="27" t="str">
        <f aca="true">IF($B31="","",IF($C31&lt;&gt;"","Paid",IF(TODAY()&gt;=$I31,"PAY NOW","Upcoming")))</f>
        <v/>
      </c>
    </row>
    <row r="32" customFormat="false" ht="15" hidden="false" customHeight="false" outlineLevel="0" collapsed="false">
      <c r="A32" s="22"/>
      <c r="B32" s="23"/>
      <c r="C32" s="22"/>
      <c r="D32" s="23"/>
      <c r="E32" s="23"/>
      <c r="F32" s="27" t="str">
        <f aca="false">IF($B32="","",IFERROR(INDEX(Cleaners!$B$5:$B$34,MATCH($B32,Cleaners!$A$5:$A$34,0)),"?"))</f>
        <v/>
      </c>
      <c r="G32" s="31" t="str">
        <f aca="false">IF($B32="","",COUNTIFS('Cleans Log'!$C$5:$C$1004,$B32,'Cleans Log'!$R$5:$R$1004,$A32,'Cleans Log'!$O$5:$O$1004,"&gt;0"))</f>
        <v/>
      </c>
      <c r="H32" s="28" t="str">
        <f aca="false">IF($B32="","",SUMIFS('Cleans Log'!$O$5:$O$1004,'Cleans Log'!$C$5:$C$1004,$B32,'Cleans Log'!$R$5:$R$1004,$A32))</f>
        <v/>
      </c>
      <c r="I32" s="30" t="str">
        <f aca="false">IF($A32="","",$A32+7)</f>
        <v/>
      </c>
      <c r="J32" s="27" t="str">
        <f aca="true">IF($B32="","",IF($C32&lt;&gt;"","Paid",IF(TODAY()&gt;=$I32,"PAY NOW","Upcoming")))</f>
        <v/>
      </c>
    </row>
    <row r="33" customFormat="false" ht="15" hidden="false" customHeight="false" outlineLevel="0" collapsed="false">
      <c r="A33" s="22"/>
      <c r="B33" s="23"/>
      <c r="C33" s="22"/>
      <c r="D33" s="23"/>
      <c r="E33" s="23"/>
      <c r="F33" s="27" t="str">
        <f aca="false">IF($B33="","",IFERROR(INDEX(Cleaners!$B$5:$B$34,MATCH($B33,Cleaners!$A$5:$A$34,0)),"?"))</f>
        <v/>
      </c>
      <c r="G33" s="31" t="str">
        <f aca="false">IF($B33="","",COUNTIFS('Cleans Log'!$C$5:$C$1004,$B33,'Cleans Log'!$R$5:$R$1004,$A33,'Cleans Log'!$O$5:$O$1004,"&gt;0"))</f>
        <v/>
      </c>
      <c r="H33" s="28" t="str">
        <f aca="false">IF($B33="","",SUMIFS('Cleans Log'!$O$5:$O$1004,'Cleans Log'!$C$5:$C$1004,$B33,'Cleans Log'!$R$5:$R$1004,$A33))</f>
        <v/>
      </c>
      <c r="I33" s="30" t="str">
        <f aca="false">IF($A33="","",$A33+7)</f>
        <v/>
      </c>
      <c r="J33" s="27" t="str">
        <f aca="true">IF($B33="","",IF($C33&lt;&gt;"","Paid",IF(TODAY()&gt;=$I33,"PAY NOW","Upcoming")))</f>
        <v/>
      </c>
    </row>
    <row r="34" customFormat="false" ht="15" hidden="false" customHeight="false" outlineLevel="0" collapsed="false">
      <c r="A34" s="22"/>
      <c r="B34" s="23"/>
      <c r="C34" s="22"/>
      <c r="D34" s="23"/>
      <c r="E34" s="23"/>
      <c r="F34" s="27" t="str">
        <f aca="false">IF($B34="","",IFERROR(INDEX(Cleaners!$B$5:$B$34,MATCH($B34,Cleaners!$A$5:$A$34,0)),"?"))</f>
        <v/>
      </c>
      <c r="G34" s="31" t="str">
        <f aca="false">IF($B34="","",COUNTIFS('Cleans Log'!$C$5:$C$1004,$B34,'Cleans Log'!$R$5:$R$1004,$A34,'Cleans Log'!$O$5:$O$1004,"&gt;0"))</f>
        <v/>
      </c>
      <c r="H34" s="28" t="str">
        <f aca="false">IF($B34="","",SUMIFS('Cleans Log'!$O$5:$O$1004,'Cleans Log'!$C$5:$C$1004,$B34,'Cleans Log'!$R$5:$R$1004,$A34))</f>
        <v/>
      </c>
      <c r="I34" s="30" t="str">
        <f aca="false">IF($A34="","",$A34+7)</f>
        <v/>
      </c>
      <c r="J34" s="27" t="str">
        <f aca="true">IF($B34="","",IF($C34&lt;&gt;"","Paid",IF(TODAY()&gt;=$I34,"PAY NOW","Upcoming")))</f>
        <v/>
      </c>
    </row>
    <row r="35" customFormat="false" ht="15" hidden="false" customHeight="false" outlineLevel="0" collapsed="false">
      <c r="A35" s="22"/>
      <c r="B35" s="23"/>
      <c r="C35" s="22"/>
      <c r="D35" s="23"/>
      <c r="E35" s="23"/>
      <c r="F35" s="27" t="str">
        <f aca="false">IF($B35="","",IFERROR(INDEX(Cleaners!$B$5:$B$34,MATCH($B35,Cleaners!$A$5:$A$34,0)),"?"))</f>
        <v/>
      </c>
      <c r="G35" s="31" t="str">
        <f aca="false">IF($B35="","",COUNTIFS('Cleans Log'!$C$5:$C$1004,$B35,'Cleans Log'!$R$5:$R$1004,$A35,'Cleans Log'!$O$5:$O$1004,"&gt;0"))</f>
        <v/>
      </c>
      <c r="H35" s="28" t="str">
        <f aca="false">IF($B35="","",SUMIFS('Cleans Log'!$O$5:$O$1004,'Cleans Log'!$C$5:$C$1004,$B35,'Cleans Log'!$R$5:$R$1004,$A35))</f>
        <v/>
      </c>
      <c r="I35" s="30" t="str">
        <f aca="false">IF($A35="","",$A35+7)</f>
        <v/>
      </c>
      <c r="J35" s="27" t="str">
        <f aca="true">IF($B35="","",IF($C35&lt;&gt;"","Paid",IF(TODAY()&gt;=$I35,"PAY NOW","Upcoming")))</f>
        <v/>
      </c>
    </row>
    <row r="36" customFormat="false" ht="15" hidden="false" customHeight="false" outlineLevel="0" collapsed="false">
      <c r="A36" s="22"/>
      <c r="B36" s="23"/>
      <c r="C36" s="22"/>
      <c r="D36" s="23"/>
      <c r="E36" s="23"/>
      <c r="F36" s="27" t="str">
        <f aca="false">IF($B36="","",IFERROR(INDEX(Cleaners!$B$5:$B$34,MATCH($B36,Cleaners!$A$5:$A$34,0)),"?"))</f>
        <v/>
      </c>
      <c r="G36" s="31" t="str">
        <f aca="false">IF($B36="","",COUNTIFS('Cleans Log'!$C$5:$C$1004,$B36,'Cleans Log'!$R$5:$R$1004,$A36,'Cleans Log'!$O$5:$O$1004,"&gt;0"))</f>
        <v/>
      </c>
      <c r="H36" s="28" t="str">
        <f aca="false">IF($B36="","",SUMIFS('Cleans Log'!$O$5:$O$1004,'Cleans Log'!$C$5:$C$1004,$B36,'Cleans Log'!$R$5:$R$1004,$A36))</f>
        <v/>
      </c>
      <c r="I36" s="30" t="str">
        <f aca="false">IF($A36="","",$A36+7)</f>
        <v/>
      </c>
      <c r="J36" s="27" t="str">
        <f aca="true">IF($B36="","",IF($C36&lt;&gt;"","Paid",IF(TODAY()&gt;=$I36,"PAY NOW","Upcoming")))</f>
        <v/>
      </c>
    </row>
    <row r="37" customFormat="false" ht="15" hidden="false" customHeight="false" outlineLevel="0" collapsed="false">
      <c r="A37" s="22"/>
      <c r="B37" s="23"/>
      <c r="C37" s="22"/>
      <c r="D37" s="23"/>
      <c r="E37" s="23"/>
      <c r="F37" s="27" t="str">
        <f aca="false">IF($B37="","",IFERROR(INDEX(Cleaners!$B$5:$B$34,MATCH($B37,Cleaners!$A$5:$A$34,0)),"?"))</f>
        <v/>
      </c>
      <c r="G37" s="31" t="str">
        <f aca="false">IF($B37="","",COUNTIFS('Cleans Log'!$C$5:$C$1004,$B37,'Cleans Log'!$R$5:$R$1004,$A37,'Cleans Log'!$O$5:$O$1004,"&gt;0"))</f>
        <v/>
      </c>
      <c r="H37" s="28" t="str">
        <f aca="false">IF($B37="","",SUMIFS('Cleans Log'!$O$5:$O$1004,'Cleans Log'!$C$5:$C$1004,$B37,'Cleans Log'!$R$5:$R$1004,$A37))</f>
        <v/>
      </c>
      <c r="I37" s="30" t="str">
        <f aca="false">IF($A37="","",$A37+7)</f>
        <v/>
      </c>
      <c r="J37" s="27" t="str">
        <f aca="true">IF($B37="","",IF($C37&lt;&gt;"","Paid",IF(TODAY()&gt;=$I37,"PAY NOW","Upcoming")))</f>
        <v/>
      </c>
    </row>
    <row r="38" customFormat="false" ht="15" hidden="false" customHeight="false" outlineLevel="0" collapsed="false">
      <c r="A38" s="22"/>
      <c r="B38" s="23"/>
      <c r="C38" s="22"/>
      <c r="D38" s="23"/>
      <c r="E38" s="23"/>
      <c r="F38" s="27" t="str">
        <f aca="false">IF($B38="","",IFERROR(INDEX(Cleaners!$B$5:$B$34,MATCH($B38,Cleaners!$A$5:$A$34,0)),"?"))</f>
        <v/>
      </c>
      <c r="G38" s="31" t="str">
        <f aca="false">IF($B38="","",COUNTIFS('Cleans Log'!$C$5:$C$1004,$B38,'Cleans Log'!$R$5:$R$1004,$A38,'Cleans Log'!$O$5:$O$1004,"&gt;0"))</f>
        <v/>
      </c>
      <c r="H38" s="28" t="str">
        <f aca="false">IF($B38="","",SUMIFS('Cleans Log'!$O$5:$O$1004,'Cleans Log'!$C$5:$C$1004,$B38,'Cleans Log'!$R$5:$R$1004,$A38))</f>
        <v/>
      </c>
      <c r="I38" s="30" t="str">
        <f aca="false">IF($A38="","",$A38+7)</f>
        <v/>
      </c>
      <c r="J38" s="27" t="str">
        <f aca="true">IF($B38="","",IF($C38&lt;&gt;"","Paid",IF(TODAY()&gt;=$I38,"PAY NOW","Upcoming")))</f>
        <v/>
      </c>
    </row>
    <row r="39" customFormat="false" ht="15" hidden="false" customHeight="false" outlineLevel="0" collapsed="false">
      <c r="A39" s="22"/>
      <c r="B39" s="23"/>
      <c r="C39" s="22"/>
      <c r="D39" s="23"/>
      <c r="E39" s="23"/>
      <c r="F39" s="27" t="str">
        <f aca="false">IF($B39="","",IFERROR(INDEX(Cleaners!$B$5:$B$34,MATCH($B39,Cleaners!$A$5:$A$34,0)),"?"))</f>
        <v/>
      </c>
      <c r="G39" s="31" t="str">
        <f aca="false">IF($B39="","",COUNTIFS('Cleans Log'!$C$5:$C$1004,$B39,'Cleans Log'!$R$5:$R$1004,$A39,'Cleans Log'!$O$5:$O$1004,"&gt;0"))</f>
        <v/>
      </c>
      <c r="H39" s="28" t="str">
        <f aca="false">IF($B39="","",SUMIFS('Cleans Log'!$O$5:$O$1004,'Cleans Log'!$C$5:$C$1004,$B39,'Cleans Log'!$R$5:$R$1004,$A39))</f>
        <v/>
      </c>
      <c r="I39" s="30" t="str">
        <f aca="false">IF($A39="","",$A39+7)</f>
        <v/>
      </c>
      <c r="J39" s="27" t="str">
        <f aca="true">IF($B39="","",IF($C39&lt;&gt;"","Paid",IF(TODAY()&gt;=$I39,"PAY NOW","Upcoming")))</f>
        <v/>
      </c>
    </row>
    <row r="40" customFormat="false" ht="15" hidden="false" customHeight="false" outlineLevel="0" collapsed="false">
      <c r="A40" s="22"/>
      <c r="B40" s="23"/>
      <c r="C40" s="22"/>
      <c r="D40" s="23"/>
      <c r="E40" s="23"/>
      <c r="F40" s="27" t="str">
        <f aca="false">IF($B40="","",IFERROR(INDEX(Cleaners!$B$5:$B$34,MATCH($B40,Cleaners!$A$5:$A$34,0)),"?"))</f>
        <v/>
      </c>
      <c r="G40" s="31" t="str">
        <f aca="false">IF($B40="","",COUNTIFS('Cleans Log'!$C$5:$C$1004,$B40,'Cleans Log'!$R$5:$R$1004,$A40,'Cleans Log'!$O$5:$O$1004,"&gt;0"))</f>
        <v/>
      </c>
      <c r="H40" s="28" t="str">
        <f aca="false">IF($B40="","",SUMIFS('Cleans Log'!$O$5:$O$1004,'Cleans Log'!$C$5:$C$1004,$B40,'Cleans Log'!$R$5:$R$1004,$A40))</f>
        <v/>
      </c>
      <c r="I40" s="30" t="str">
        <f aca="false">IF($A40="","",$A40+7)</f>
        <v/>
      </c>
      <c r="J40" s="27" t="str">
        <f aca="true">IF($B40="","",IF($C40&lt;&gt;"","Paid",IF(TODAY()&gt;=$I40,"PAY NOW","Upcoming")))</f>
        <v/>
      </c>
    </row>
    <row r="41" customFormat="false" ht="15" hidden="false" customHeight="false" outlineLevel="0" collapsed="false">
      <c r="A41" s="22"/>
      <c r="B41" s="23"/>
      <c r="C41" s="22"/>
      <c r="D41" s="23"/>
      <c r="E41" s="23"/>
      <c r="F41" s="27" t="str">
        <f aca="false">IF($B41="","",IFERROR(INDEX(Cleaners!$B$5:$B$34,MATCH($B41,Cleaners!$A$5:$A$34,0)),"?"))</f>
        <v/>
      </c>
      <c r="G41" s="31" t="str">
        <f aca="false">IF($B41="","",COUNTIFS('Cleans Log'!$C$5:$C$1004,$B41,'Cleans Log'!$R$5:$R$1004,$A41,'Cleans Log'!$O$5:$O$1004,"&gt;0"))</f>
        <v/>
      </c>
      <c r="H41" s="28" t="str">
        <f aca="false">IF($B41="","",SUMIFS('Cleans Log'!$O$5:$O$1004,'Cleans Log'!$C$5:$C$1004,$B41,'Cleans Log'!$R$5:$R$1004,$A41))</f>
        <v/>
      </c>
      <c r="I41" s="30" t="str">
        <f aca="false">IF($A41="","",$A41+7)</f>
        <v/>
      </c>
      <c r="J41" s="27" t="str">
        <f aca="true">IF($B41="","",IF($C41&lt;&gt;"","Paid",IF(TODAY()&gt;=$I41,"PAY NOW","Upcoming")))</f>
        <v/>
      </c>
    </row>
    <row r="42" customFormat="false" ht="15" hidden="false" customHeight="false" outlineLevel="0" collapsed="false">
      <c r="A42" s="22"/>
      <c r="B42" s="23"/>
      <c r="C42" s="22"/>
      <c r="D42" s="23"/>
      <c r="E42" s="23"/>
      <c r="F42" s="27" t="str">
        <f aca="false">IF($B42="","",IFERROR(INDEX(Cleaners!$B$5:$B$34,MATCH($B42,Cleaners!$A$5:$A$34,0)),"?"))</f>
        <v/>
      </c>
      <c r="G42" s="31" t="str">
        <f aca="false">IF($B42="","",COUNTIFS('Cleans Log'!$C$5:$C$1004,$B42,'Cleans Log'!$R$5:$R$1004,$A42,'Cleans Log'!$O$5:$O$1004,"&gt;0"))</f>
        <v/>
      </c>
      <c r="H42" s="28" t="str">
        <f aca="false">IF($B42="","",SUMIFS('Cleans Log'!$O$5:$O$1004,'Cleans Log'!$C$5:$C$1004,$B42,'Cleans Log'!$R$5:$R$1004,$A42))</f>
        <v/>
      </c>
      <c r="I42" s="30" t="str">
        <f aca="false">IF($A42="","",$A42+7)</f>
        <v/>
      </c>
      <c r="J42" s="27" t="str">
        <f aca="true">IF($B42="","",IF($C42&lt;&gt;"","Paid",IF(TODAY()&gt;=$I42,"PAY NOW","Upcoming")))</f>
        <v/>
      </c>
    </row>
    <row r="43" customFormat="false" ht="15" hidden="false" customHeight="false" outlineLevel="0" collapsed="false">
      <c r="A43" s="22"/>
      <c r="B43" s="23"/>
      <c r="C43" s="22"/>
      <c r="D43" s="23"/>
      <c r="E43" s="23"/>
      <c r="F43" s="27" t="str">
        <f aca="false">IF($B43="","",IFERROR(INDEX(Cleaners!$B$5:$B$34,MATCH($B43,Cleaners!$A$5:$A$34,0)),"?"))</f>
        <v/>
      </c>
      <c r="G43" s="31" t="str">
        <f aca="false">IF($B43="","",COUNTIFS('Cleans Log'!$C$5:$C$1004,$B43,'Cleans Log'!$R$5:$R$1004,$A43,'Cleans Log'!$O$5:$O$1004,"&gt;0"))</f>
        <v/>
      </c>
      <c r="H43" s="28" t="str">
        <f aca="false">IF($B43="","",SUMIFS('Cleans Log'!$O$5:$O$1004,'Cleans Log'!$C$5:$C$1004,$B43,'Cleans Log'!$R$5:$R$1004,$A43))</f>
        <v/>
      </c>
      <c r="I43" s="30" t="str">
        <f aca="false">IF($A43="","",$A43+7)</f>
        <v/>
      </c>
      <c r="J43" s="27" t="str">
        <f aca="true">IF($B43="","",IF($C43&lt;&gt;"","Paid",IF(TODAY()&gt;=$I43,"PAY NOW","Upcoming")))</f>
        <v/>
      </c>
    </row>
    <row r="44" customFormat="false" ht="15" hidden="false" customHeight="false" outlineLevel="0" collapsed="false">
      <c r="A44" s="22"/>
      <c r="B44" s="23"/>
      <c r="C44" s="22"/>
      <c r="D44" s="23"/>
      <c r="E44" s="23"/>
      <c r="F44" s="27" t="str">
        <f aca="false">IF($B44="","",IFERROR(INDEX(Cleaners!$B$5:$B$34,MATCH($B44,Cleaners!$A$5:$A$34,0)),"?"))</f>
        <v/>
      </c>
      <c r="G44" s="31" t="str">
        <f aca="false">IF($B44="","",COUNTIFS('Cleans Log'!$C$5:$C$1004,$B44,'Cleans Log'!$R$5:$R$1004,$A44,'Cleans Log'!$O$5:$O$1004,"&gt;0"))</f>
        <v/>
      </c>
      <c r="H44" s="28" t="str">
        <f aca="false">IF($B44="","",SUMIFS('Cleans Log'!$O$5:$O$1004,'Cleans Log'!$C$5:$C$1004,$B44,'Cleans Log'!$R$5:$R$1004,$A44))</f>
        <v/>
      </c>
      <c r="I44" s="30" t="str">
        <f aca="false">IF($A44="","",$A44+7)</f>
        <v/>
      </c>
      <c r="J44" s="27" t="str">
        <f aca="true">IF($B44="","",IF($C44&lt;&gt;"","Paid",IF(TODAY()&gt;=$I44,"PAY NOW","Upcoming")))</f>
        <v/>
      </c>
    </row>
    <row r="45" customFormat="false" ht="15" hidden="false" customHeight="false" outlineLevel="0" collapsed="false">
      <c r="A45" s="22"/>
      <c r="B45" s="23"/>
      <c r="C45" s="22"/>
      <c r="D45" s="23"/>
      <c r="E45" s="23"/>
      <c r="F45" s="27" t="str">
        <f aca="false">IF($B45="","",IFERROR(INDEX(Cleaners!$B$5:$B$34,MATCH($B45,Cleaners!$A$5:$A$34,0)),"?"))</f>
        <v/>
      </c>
      <c r="G45" s="31" t="str">
        <f aca="false">IF($B45="","",COUNTIFS('Cleans Log'!$C$5:$C$1004,$B45,'Cleans Log'!$R$5:$R$1004,$A45,'Cleans Log'!$O$5:$O$1004,"&gt;0"))</f>
        <v/>
      </c>
      <c r="H45" s="28" t="str">
        <f aca="false">IF($B45="","",SUMIFS('Cleans Log'!$O$5:$O$1004,'Cleans Log'!$C$5:$C$1004,$B45,'Cleans Log'!$R$5:$R$1004,$A45))</f>
        <v/>
      </c>
      <c r="I45" s="30" t="str">
        <f aca="false">IF($A45="","",$A45+7)</f>
        <v/>
      </c>
      <c r="J45" s="27" t="str">
        <f aca="true">IF($B45="","",IF($C45&lt;&gt;"","Paid",IF(TODAY()&gt;=$I45,"PAY NOW","Upcoming")))</f>
        <v/>
      </c>
    </row>
    <row r="46" customFormat="false" ht="15" hidden="false" customHeight="false" outlineLevel="0" collapsed="false">
      <c r="A46" s="22"/>
      <c r="B46" s="23"/>
      <c r="C46" s="22"/>
      <c r="D46" s="23"/>
      <c r="E46" s="23"/>
      <c r="F46" s="27" t="str">
        <f aca="false">IF($B46="","",IFERROR(INDEX(Cleaners!$B$5:$B$34,MATCH($B46,Cleaners!$A$5:$A$34,0)),"?"))</f>
        <v/>
      </c>
      <c r="G46" s="31" t="str">
        <f aca="false">IF($B46="","",COUNTIFS('Cleans Log'!$C$5:$C$1004,$B46,'Cleans Log'!$R$5:$R$1004,$A46,'Cleans Log'!$O$5:$O$1004,"&gt;0"))</f>
        <v/>
      </c>
      <c r="H46" s="28" t="str">
        <f aca="false">IF($B46="","",SUMIFS('Cleans Log'!$O$5:$O$1004,'Cleans Log'!$C$5:$C$1004,$B46,'Cleans Log'!$R$5:$R$1004,$A46))</f>
        <v/>
      </c>
      <c r="I46" s="30" t="str">
        <f aca="false">IF($A46="","",$A46+7)</f>
        <v/>
      </c>
      <c r="J46" s="27" t="str">
        <f aca="true">IF($B46="","",IF($C46&lt;&gt;"","Paid",IF(TODAY()&gt;=$I46,"PAY NOW","Upcoming")))</f>
        <v/>
      </c>
    </row>
    <row r="47" customFormat="false" ht="15" hidden="false" customHeight="false" outlineLevel="0" collapsed="false">
      <c r="A47" s="22"/>
      <c r="B47" s="23"/>
      <c r="C47" s="22"/>
      <c r="D47" s="23"/>
      <c r="E47" s="23"/>
      <c r="F47" s="27" t="str">
        <f aca="false">IF($B47="","",IFERROR(INDEX(Cleaners!$B$5:$B$34,MATCH($B47,Cleaners!$A$5:$A$34,0)),"?"))</f>
        <v/>
      </c>
      <c r="G47" s="31" t="str">
        <f aca="false">IF($B47="","",COUNTIFS('Cleans Log'!$C$5:$C$1004,$B47,'Cleans Log'!$R$5:$R$1004,$A47,'Cleans Log'!$O$5:$O$1004,"&gt;0"))</f>
        <v/>
      </c>
      <c r="H47" s="28" t="str">
        <f aca="false">IF($B47="","",SUMIFS('Cleans Log'!$O$5:$O$1004,'Cleans Log'!$C$5:$C$1004,$B47,'Cleans Log'!$R$5:$R$1004,$A47))</f>
        <v/>
      </c>
      <c r="I47" s="30" t="str">
        <f aca="false">IF($A47="","",$A47+7)</f>
        <v/>
      </c>
      <c r="J47" s="27" t="str">
        <f aca="true">IF($B47="","",IF($C47&lt;&gt;"","Paid",IF(TODAY()&gt;=$I47,"PAY NOW","Upcoming")))</f>
        <v/>
      </c>
    </row>
    <row r="48" customFormat="false" ht="15" hidden="false" customHeight="false" outlineLevel="0" collapsed="false">
      <c r="A48" s="22"/>
      <c r="B48" s="23"/>
      <c r="C48" s="22"/>
      <c r="D48" s="23"/>
      <c r="E48" s="23"/>
      <c r="F48" s="27" t="str">
        <f aca="false">IF($B48="","",IFERROR(INDEX(Cleaners!$B$5:$B$34,MATCH($B48,Cleaners!$A$5:$A$34,0)),"?"))</f>
        <v/>
      </c>
      <c r="G48" s="31" t="str">
        <f aca="false">IF($B48="","",COUNTIFS('Cleans Log'!$C$5:$C$1004,$B48,'Cleans Log'!$R$5:$R$1004,$A48,'Cleans Log'!$O$5:$O$1004,"&gt;0"))</f>
        <v/>
      </c>
      <c r="H48" s="28" t="str">
        <f aca="false">IF($B48="","",SUMIFS('Cleans Log'!$O$5:$O$1004,'Cleans Log'!$C$5:$C$1004,$B48,'Cleans Log'!$R$5:$R$1004,$A48))</f>
        <v/>
      </c>
      <c r="I48" s="30" t="str">
        <f aca="false">IF($A48="","",$A48+7)</f>
        <v/>
      </c>
      <c r="J48" s="27" t="str">
        <f aca="true">IF($B48="","",IF($C48&lt;&gt;"","Paid",IF(TODAY()&gt;=$I48,"PAY NOW","Upcoming")))</f>
        <v/>
      </c>
    </row>
    <row r="49" customFormat="false" ht="15" hidden="false" customHeight="false" outlineLevel="0" collapsed="false">
      <c r="A49" s="22"/>
      <c r="B49" s="23"/>
      <c r="C49" s="22"/>
      <c r="D49" s="23"/>
      <c r="E49" s="23"/>
      <c r="F49" s="27" t="str">
        <f aca="false">IF($B49="","",IFERROR(INDEX(Cleaners!$B$5:$B$34,MATCH($B49,Cleaners!$A$5:$A$34,0)),"?"))</f>
        <v/>
      </c>
      <c r="G49" s="31" t="str">
        <f aca="false">IF($B49="","",COUNTIFS('Cleans Log'!$C$5:$C$1004,$B49,'Cleans Log'!$R$5:$R$1004,$A49,'Cleans Log'!$O$5:$O$1004,"&gt;0"))</f>
        <v/>
      </c>
      <c r="H49" s="28" t="str">
        <f aca="false">IF($B49="","",SUMIFS('Cleans Log'!$O$5:$O$1004,'Cleans Log'!$C$5:$C$1004,$B49,'Cleans Log'!$R$5:$R$1004,$A49))</f>
        <v/>
      </c>
      <c r="I49" s="30" t="str">
        <f aca="false">IF($A49="","",$A49+7)</f>
        <v/>
      </c>
      <c r="J49" s="27" t="str">
        <f aca="true">IF($B49="","",IF($C49&lt;&gt;"","Paid",IF(TODAY()&gt;=$I49,"PAY NOW","Upcoming")))</f>
        <v/>
      </c>
    </row>
    <row r="50" customFormat="false" ht="15" hidden="false" customHeight="false" outlineLevel="0" collapsed="false">
      <c r="A50" s="22"/>
      <c r="B50" s="23"/>
      <c r="C50" s="22"/>
      <c r="D50" s="23"/>
      <c r="E50" s="23"/>
      <c r="F50" s="27" t="str">
        <f aca="false">IF($B50="","",IFERROR(INDEX(Cleaners!$B$5:$B$34,MATCH($B50,Cleaners!$A$5:$A$34,0)),"?"))</f>
        <v/>
      </c>
      <c r="G50" s="31" t="str">
        <f aca="false">IF($B50="","",COUNTIFS('Cleans Log'!$C$5:$C$1004,$B50,'Cleans Log'!$R$5:$R$1004,$A50,'Cleans Log'!$O$5:$O$1004,"&gt;0"))</f>
        <v/>
      </c>
      <c r="H50" s="28" t="str">
        <f aca="false">IF($B50="","",SUMIFS('Cleans Log'!$O$5:$O$1004,'Cleans Log'!$C$5:$C$1004,$B50,'Cleans Log'!$R$5:$R$1004,$A50))</f>
        <v/>
      </c>
      <c r="I50" s="30" t="str">
        <f aca="false">IF($A50="","",$A50+7)</f>
        <v/>
      </c>
      <c r="J50" s="27" t="str">
        <f aca="true">IF($B50="","",IF($C50&lt;&gt;"","Paid",IF(TODAY()&gt;=$I50,"PAY NOW","Upcoming")))</f>
        <v/>
      </c>
    </row>
    <row r="51" customFormat="false" ht="15" hidden="false" customHeight="false" outlineLevel="0" collapsed="false">
      <c r="A51" s="22"/>
      <c r="B51" s="23"/>
      <c r="C51" s="22"/>
      <c r="D51" s="23"/>
      <c r="E51" s="23"/>
      <c r="F51" s="27" t="str">
        <f aca="false">IF($B51="","",IFERROR(INDEX(Cleaners!$B$5:$B$34,MATCH($B51,Cleaners!$A$5:$A$34,0)),"?"))</f>
        <v/>
      </c>
      <c r="G51" s="31" t="str">
        <f aca="false">IF($B51="","",COUNTIFS('Cleans Log'!$C$5:$C$1004,$B51,'Cleans Log'!$R$5:$R$1004,$A51,'Cleans Log'!$O$5:$O$1004,"&gt;0"))</f>
        <v/>
      </c>
      <c r="H51" s="28" t="str">
        <f aca="false">IF($B51="","",SUMIFS('Cleans Log'!$O$5:$O$1004,'Cleans Log'!$C$5:$C$1004,$B51,'Cleans Log'!$R$5:$R$1004,$A51))</f>
        <v/>
      </c>
      <c r="I51" s="30" t="str">
        <f aca="false">IF($A51="","",$A51+7)</f>
        <v/>
      </c>
      <c r="J51" s="27" t="str">
        <f aca="true">IF($B51="","",IF($C51&lt;&gt;"","Paid",IF(TODAY()&gt;=$I51,"PAY NOW","Upcoming")))</f>
        <v/>
      </c>
    </row>
    <row r="52" customFormat="false" ht="15" hidden="false" customHeight="false" outlineLevel="0" collapsed="false">
      <c r="A52" s="22"/>
      <c r="B52" s="23"/>
      <c r="C52" s="22"/>
      <c r="D52" s="23"/>
      <c r="E52" s="23"/>
      <c r="F52" s="27" t="str">
        <f aca="false">IF($B52="","",IFERROR(INDEX(Cleaners!$B$5:$B$34,MATCH($B52,Cleaners!$A$5:$A$34,0)),"?"))</f>
        <v/>
      </c>
      <c r="G52" s="31" t="str">
        <f aca="false">IF($B52="","",COUNTIFS('Cleans Log'!$C$5:$C$1004,$B52,'Cleans Log'!$R$5:$R$1004,$A52,'Cleans Log'!$O$5:$O$1004,"&gt;0"))</f>
        <v/>
      </c>
      <c r="H52" s="28" t="str">
        <f aca="false">IF($B52="","",SUMIFS('Cleans Log'!$O$5:$O$1004,'Cleans Log'!$C$5:$C$1004,$B52,'Cleans Log'!$R$5:$R$1004,$A52))</f>
        <v/>
      </c>
      <c r="I52" s="30" t="str">
        <f aca="false">IF($A52="","",$A52+7)</f>
        <v/>
      </c>
      <c r="J52" s="27" t="str">
        <f aca="true">IF($B52="","",IF($C52&lt;&gt;"","Paid",IF(TODAY()&gt;=$I52,"PAY NOW","Upcoming")))</f>
        <v/>
      </c>
    </row>
    <row r="53" customFormat="false" ht="15" hidden="false" customHeight="false" outlineLevel="0" collapsed="false">
      <c r="A53" s="22"/>
      <c r="B53" s="23"/>
      <c r="C53" s="22"/>
      <c r="D53" s="23"/>
      <c r="E53" s="23"/>
      <c r="F53" s="27" t="str">
        <f aca="false">IF($B53="","",IFERROR(INDEX(Cleaners!$B$5:$B$34,MATCH($B53,Cleaners!$A$5:$A$34,0)),"?"))</f>
        <v/>
      </c>
      <c r="G53" s="31" t="str">
        <f aca="false">IF($B53="","",COUNTIFS('Cleans Log'!$C$5:$C$1004,$B53,'Cleans Log'!$R$5:$R$1004,$A53,'Cleans Log'!$O$5:$O$1004,"&gt;0"))</f>
        <v/>
      </c>
      <c r="H53" s="28" t="str">
        <f aca="false">IF($B53="","",SUMIFS('Cleans Log'!$O$5:$O$1004,'Cleans Log'!$C$5:$C$1004,$B53,'Cleans Log'!$R$5:$R$1004,$A53))</f>
        <v/>
      </c>
      <c r="I53" s="30" t="str">
        <f aca="false">IF($A53="","",$A53+7)</f>
        <v/>
      </c>
      <c r="J53" s="27" t="str">
        <f aca="true">IF($B53="","",IF($C53&lt;&gt;"","Paid",IF(TODAY()&gt;=$I53,"PAY NOW","Upcoming")))</f>
        <v/>
      </c>
    </row>
    <row r="54" customFormat="false" ht="15" hidden="false" customHeight="false" outlineLevel="0" collapsed="false">
      <c r="A54" s="22"/>
      <c r="B54" s="23"/>
      <c r="C54" s="22"/>
      <c r="D54" s="23"/>
      <c r="E54" s="23"/>
      <c r="F54" s="27" t="str">
        <f aca="false">IF($B54="","",IFERROR(INDEX(Cleaners!$B$5:$B$34,MATCH($B54,Cleaners!$A$5:$A$34,0)),"?"))</f>
        <v/>
      </c>
      <c r="G54" s="31" t="str">
        <f aca="false">IF($B54="","",COUNTIFS('Cleans Log'!$C$5:$C$1004,$B54,'Cleans Log'!$R$5:$R$1004,$A54,'Cleans Log'!$O$5:$O$1004,"&gt;0"))</f>
        <v/>
      </c>
      <c r="H54" s="28" t="str">
        <f aca="false">IF($B54="","",SUMIFS('Cleans Log'!$O$5:$O$1004,'Cleans Log'!$C$5:$C$1004,$B54,'Cleans Log'!$R$5:$R$1004,$A54))</f>
        <v/>
      </c>
      <c r="I54" s="30" t="str">
        <f aca="false">IF($A54="","",$A54+7)</f>
        <v/>
      </c>
      <c r="J54" s="27" t="str">
        <f aca="true">IF($B54="","",IF($C54&lt;&gt;"","Paid",IF(TODAY()&gt;=$I54,"PAY NOW","Upcoming")))</f>
        <v/>
      </c>
    </row>
    <row r="55" customFormat="false" ht="15" hidden="false" customHeight="false" outlineLevel="0" collapsed="false">
      <c r="A55" s="22"/>
      <c r="B55" s="23"/>
      <c r="C55" s="22"/>
      <c r="D55" s="23"/>
      <c r="E55" s="23"/>
      <c r="F55" s="27" t="str">
        <f aca="false">IF($B55="","",IFERROR(INDEX(Cleaners!$B$5:$B$34,MATCH($B55,Cleaners!$A$5:$A$34,0)),"?"))</f>
        <v/>
      </c>
      <c r="G55" s="31" t="str">
        <f aca="false">IF($B55="","",COUNTIFS('Cleans Log'!$C$5:$C$1004,$B55,'Cleans Log'!$R$5:$R$1004,$A55,'Cleans Log'!$O$5:$O$1004,"&gt;0"))</f>
        <v/>
      </c>
      <c r="H55" s="28" t="str">
        <f aca="false">IF($B55="","",SUMIFS('Cleans Log'!$O$5:$O$1004,'Cleans Log'!$C$5:$C$1004,$B55,'Cleans Log'!$R$5:$R$1004,$A55))</f>
        <v/>
      </c>
      <c r="I55" s="30" t="str">
        <f aca="false">IF($A55="","",$A55+7)</f>
        <v/>
      </c>
      <c r="J55" s="27" t="str">
        <f aca="true">IF($B55="","",IF($C55&lt;&gt;"","Paid",IF(TODAY()&gt;=$I55,"PAY NOW","Upcoming")))</f>
        <v/>
      </c>
    </row>
    <row r="56" customFormat="false" ht="15" hidden="false" customHeight="false" outlineLevel="0" collapsed="false">
      <c r="A56" s="22"/>
      <c r="B56" s="23"/>
      <c r="C56" s="22"/>
      <c r="D56" s="23"/>
      <c r="E56" s="23"/>
      <c r="F56" s="27" t="str">
        <f aca="false">IF($B56="","",IFERROR(INDEX(Cleaners!$B$5:$B$34,MATCH($B56,Cleaners!$A$5:$A$34,0)),"?"))</f>
        <v/>
      </c>
      <c r="G56" s="31" t="str">
        <f aca="false">IF($B56="","",COUNTIFS('Cleans Log'!$C$5:$C$1004,$B56,'Cleans Log'!$R$5:$R$1004,$A56,'Cleans Log'!$O$5:$O$1004,"&gt;0"))</f>
        <v/>
      </c>
      <c r="H56" s="28" t="str">
        <f aca="false">IF($B56="","",SUMIFS('Cleans Log'!$O$5:$O$1004,'Cleans Log'!$C$5:$C$1004,$B56,'Cleans Log'!$R$5:$R$1004,$A56))</f>
        <v/>
      </c>
      <c r="I56" s="30" t="str">
        <f aca="false">IF($A56="","",$A56+7)</f>
        <v/>
      </c>
      <c r="J56" s="27" t="str">
        <f aca="true">IF($B56="","",IF($C56&lt;&gt;"","Paid",IF(TODAY()&gt;=$I56,"PAY NOW","Upcoming")))</f>
        <v/>
      </c>
    </row>
    <row r="57" customFormat="false" ht="15" hidden="false" customHeight="false" outlineLevel="0" collapsed="false">
      <c r="A57" s="22"/>
      <c r="B57" s="23"/>
      <c r="C57" s="22"/>
      <c r="D57" s="23"/>
      <c r="E57" s="23"/>
      <c r="F57" s="27" t="str">
        <f aca="false">IF($B57="","",IFERROR(INDEX(Cleaners!$B$5:$B$34,MATCH($B57,Cleaners!$A$5:$A$34,0)),"?"))</f>
        <v/>
      </c>
      <c r="G57" s="31" t="str">
        <f aca="false">IF($B57="","",COUNTIFS('Cleans Log'!$C$5:$C$1004,$B57,'Cleans Log'!$R$5:$R$1004,$A57,'Cleans Log'!$O$5:$O$1004,"&gt;0"))</f>
        <v/>
      </c>
      <c r="H57" s="28" t="str">
        <f aca="false">IF($B57="","",SUMIFS('Cleans Log'!$O$5:$O$1004,'Cleans Log'!$C$5:$C$1004,$B57,'Cleans Log'!$R$5:$R$1004,$A57))</f>
        <v/>
      </c>
      <c r="I57" s="30" t="str">
        <f aca="false">IF($A57="","",$A57+7)</f>
        <v/>
      </c>
      <c r="J57" s="27" t="str">
        <f aca="true">IF($B57="","",IF($C57&lt;&gt;"","Paid",IF(TODAY()&gt;=$I57,"PAY NOW","Upcoming")))</f>
        <v/>
      </c>
    </row>
    <row r="58" customFormat="false" ht="15" hidden="false" customHeight="false" outlineLevel="0" collapsed="false">
      <c r="A58" s="22"/>
      <c r="B58" s="23"/>
      <c r="C58" s="22"/>
      <c r="D58" s="23"/>
      <c r="E58" s="23"/>
      <c r="F58" s="27" t="str">
        <f aca="false">IF($B58="","",IFERROR(INDEX(Cleaners!$B$5:$B$34,MATCH($B58,Cleaners!$A$5:$A$34,0)),"?"))</f>
        <v/>
      </c>
      <c r="G58" s="31" t="str">
        <f aca="false">IF($B58="","",COUNTIFS('Cleans Log'!$C$5:$C$1004,$B58,'Cleans Log'!$R$5:$R$1004,$A58,'Cleans Log'!$O$5:$O$1004,"&gt;0"))</f>
        <v/>
      </c>
      <c r="H58" s="28" t="str">
        <f aca="false">IF($B58="","",SUMIFS('Cleans Log'!$O$5:$O$1004,'Cleans Log'!$C$5:$C$1004,$B58,'Cleans Log'!$R$5:$R$1004,$A58))</f>
        <v/>
      </c>
      <c r="I58" s="30" t="str">
        <f aca="false">IF($A58="","",$A58+7)</f>
        <v/>
      </c>
      <c r="J58" s="27" t="str">
        <f aca="true">IF($B58="","",IF($C58&lt;&gt;"","Paid",IF(TODAY()&gt;=$I58,"PAY NOW","Upcoming")))</f>
        <v/>
      </c>
    </row>
    <row r="59" customFormat="false" ht="15" hidden="false" customHeight="false" outlineLevel="0" collapsed="false">
      <c r="A59" s="22"/>
      <c r="B59" s="23"/>
      <c r="C59" s="22"/>
      <c r="D59" s="23"/>
      <c r="E59" s="23"/>
      <c r="F59" s="27" t="str">
        <f aca="false">IF($B59="","",IFERROR(INDEX(Cleaners!$B$5:$B$34,MATCH($B59,Cleaners!$A$5:$A$34,0)),"?"))</f>
        <v/>
      </c>
      <c r="G59" s="31" t="str">
        <f aca="false">IF($B59="","",COUNTIFS('Cleans Log'!$C$5:$C$1004,$B59,'Cleans Log'!$R$5:$R$1004,$A59,'Cleans Log'!$O$5:$O$1004,"&gt;0"))</f>
        <v/>
      </c>
      <c r="H59" s="28" t="str">
        <f aca="false">IF($B59="","",SUMIFS('Cleans Log'!$O$5:$O$1004,'Cleans Log'!$C$5:$C$1004,$B59,'Cleans Log'!$R$5:$R$1004,$A59))</f>
        <v/>
      </c>
      <c r="I59" s="30" t="str">
        <f aca="false">IF($A59="","",$A59+7)</f>
        <v/>
      </c>
      <c r="J59" s="27" t="str">
        <f aca="true">IF($B59="","",IF($C59&lt;&gt;"","Paid",IF(TODAY()&gt;=$I59,"PAY NOW","Upcoming")))</f>
        <v/>
      </c>
    </row>
    <row r="60" customFormat="false" ht="15" hidden="false" customHeight="false" outlineLevel="0" collapsed="false">
      <c r="A60" s="22"/>
      <c r="B60" s="23"/>
      <c r="C60" s="22"/>
      <c r="D60" s="23"/>
      <c r="E60" s="23"/>
      <c r="F60" s="27" t="str">
        <f aca="false">IF($B60="","",IFERROR(INDEX(Cleaners!$B$5:$B$34,MATCH($B60,Cleaners!$A$5:$A$34,0)),"?"))</f>
        <v/>
      </c>
      <c r="G60" s="31" t="str">
        <f aca="false">IF($B60="","",COUNTIFS('Cleans Log'!$C$5:$C$1004,$B60,'Cleans Log'!$R$5:$R$1004,$A60,'Cleans Log'!$O$5:$O$1004,"&gt;0"))</f>
        <v/>
      </c>
      <c r="H60" s="28" t="str">
        <f aca="false">IF($B60="","",SUMIFS('Cleans Log'!$O$5:$O$1004,'Cleans Log'!$C$5:$C$1004,$B60,'Cleans Log'!$R$5:$R$1004,$A60))</f>
        <v/>
      </c>
      <c r="I60" s="30" t="str">
        <f aca="false">IF($A60="","",$A60+7)</f>
        <v/>
      </c>
      <c r="J60" s="27" t="str">
        <f aca="true">IF($B60="","",IF($C60&lt;&gt;"","Paid",IF(TODAY()&gt;=$I60,"PAY NOW","Upcoming")))</f>
        <v/>
      </c>
    </row>
    <row r="61" customFormat="false" ht="15" hidden="false" customHeight="false" outlineLevel="0" collapsed="false">
      <c r="A61" s="22"/>
      <c r="B61" s="23"/>
      <c r="C61" s="22"/>
      <c r="D61" s="23"/>
      <c r="E61" s="23"/>
      <c r="F61" s="27" t="str">
        <f aca="false">IF($B61="","",IFERROR(INDEX(Cleaners!$B$5:$B$34,MATCH($B61,Cleaners!$A$5:$A$34,0)),"?"))</f>
        <v/>
      </c>
      <c r="G61" s="31" t="str">
        <f aca="false">IF($B61="","",COUNTIFS('Cleans Log'!$C$5:$C$1004,$B61,'Cleans Log'!$R$5:$R$1004,$A61,'Cleans Log'!$O$5:$O$1004,"&gt;0"))</f>
        <v/>
      </c>
      <c r="H61" s="28" t="str">
        <f aca="false">IF($B61="","",SUMIFS('Cleans Log'!$O$5:$O$1004,'Cleans Log'!$C$5:$C$1004,$B61,'Cleans Log'!$R$5:$R$1004,$A61))</f>
        <v/>
      </c>
      <c r="I61" s="30" t="str">
        <f aca="false">IF($A61="","",$A61+7)</f>
        <v/>
      </c>
      <c r="J61" s="27" t="str">
        <f aca="true">IF($B61="","",IF($C61&lt;&gt;"","Paid",IF(TODAY()&gt;=$I61,"PAY NOW","Upcoming")))</f>
        <v/>
      </c>
    </row>
    <row r="62" customFormat="false" ht="15" hidden="false" customHeight="false" outlineLevel="0" collapsed="false">
      <c r="A62" s="22"/>
      <c r="B62" s="23"/>
      <c r="C62" s="22"/>
      <c r="D62" s="23"/>
      <c r="E62" s="23"/>
      <c r="F62" s="27" t="str">
        <f aca="false">IF($B62="","",IFERROR(INDEX(Cleaners!$B$5:$B$34,MATCH($B62,Cleaners!$A$5:$A$34,0)),"?"))</f>
        <v/>
      </c>
      <c r="G62" s="31" t="str">
        <f aca="false">IF($B62="","",COUNTIFS('Cleans Log'!$C$5:$C$1004,$B62,'Cleans Log'!$R$5:$R$1004,$A62,'Cleans Log'!$O$5:$O$1004,"&gt;0"))</f>
        <v/>
      </c>
      <c r="H62" s="28" t="str">
        <f aca="false">IF($B62="","",SUMIFS('Cleans Log'!$O$5:$O$1004,'Cleans Log'!$C$5:$C$1004,$B62,'Cleans Log'!$R$5:$R$1004,$A62))</f>
        <v/>
      </c>
      <c r="I62" s="30" t="str">
        <f aca="false">IF($A62="","",$A62+7)</f>
        <v/>
      </c>
      <c r="J62" s="27" t="str">
        <f aca="true">IF($B62="","",IF($C62&lt;&gt;"","Paid",IF(TODAY()&gt;=$I62,"PAY NOW","Upcoming")))</f>
        <v/>
      </c>
    </row>
    <row r="63" customFormat="false" ht="15" hidden="false" customHeight="false" outlineLevel="0" collapsed="false">
      <c r="A63" s="22"/>
      <c r="B63" s="23"/>
      <c r="C63" s="22"/>
      <c r="D63" s="23"/>
      <c r="E63" s="23"/>
      <c r="F63" s="27" t="str">
        <f aca="false">IF($B63="","",IFERROR(INDEX(Cleaners!$B$5:$B$34,MATCH($B63,Cleaners!$A$5:$A$34,0)),"?"))</f>
        <v/>
      </c>
      <c r="G63" s="31" t="str">
        <f aca="false">IF($B63="","",COUNTIFS('Cleans Log'!$C$5:$C$1004,$B63,'Cleans Log'!$R$5:$R$1004,$A63,'Cleans Log'!$O$5:$O$1004,"&gt;0"))</f>
        <v/>
      </c>
      <c r="H63" s="28" t="str">
        <f aca="false">IF($B63="","",SUMIFS('Cleans Log'!$O$5:$O$1004,'Cleans Log'!$C$5:$C$1004,$B63,'Cleans Log'!$R$5:$R$1004,$A63))</f>
        <v/>
      </c>
      <c r="I63" s="30" t="str">
        <f aca="false">IF($A63="","",$A63+7)</f>
        <v/>
      </c>
      <c r="J63" s="27" t="str">
        <f aca="true">IF($B63="","",IF($C63&lt;&gt;"","Paid",IF(TODAY()&gt;=$I63,"PAY NOW","Upcoming")))</f>
        <v/>
      </c>
    </row>
    <row r="64" customFormat="false" ht="15" hidden="false" customHeight="false" outlineLevel="0" collapsed="false">
      <c r="A64" s="22"/>
      <c r="B64" s="23"/>
      <c r="C64" s="22"/>
      <c r="D64" s="23"/>
      <c r="E64" s="23"/>
      <c r="F64" s="27" t="str">
        <f aca="false">IF($B64="","",IFERROR(INDEX(Cleaners!$B$5:$B$34,MATCH($B64,Cleaners!$A$5:$A$34,0)),"?"))</f>
        <v/>
      </c>
      <c r="G64" s="31" t="str">
        <f aca="false">IF($B64="","",COUNTIFS('Cleans Log'!$C$5:$C$1004,$B64,'Cleans Log'!$R$5:$R$1004,$A64,'Cleans Log'!$O$5:$O$1004,"&gt;0"))</f>
        <v/>
      </c>
      <c r="H64" s="28" t="str">
        <f aca="false">IF($B64="","",SUMIFS('Cleans Log'!$O$5:$O$1004,'Cleans Log'!$C$5:$C$1004,$B64,'Cleans Log'!$R$5:$R$1004,$A64))</f>
        <v/>
      </c>
      <c r="I64" s="30" t="str">
        <f aca="false">IF($A64="","",$A64+7)</f>
        <v/>
      </c>
      <c r="J64" s="27" t="str">
        <f aca="true">IF($B64="","",IF($C64&lt;&gt;"","Paid",IF(TODAY()&gt;=$I64,"PAY NOW","Upcoming")))</f>
        <v/>
      </c>
    </row>
    <row r="65" customFormat="false" ht="15" hidden="false" customHeight="false" outlineLevel="0" collapsed="false">
      <c r="A65" s="22"/>
      <c r="B65" s="23"/>
      <c r="C65" s="22"/>
      <c r="D65" s="23"/>
      <c r="E65" s="23"/>
      <c r="F65" s="27" t="str">
        <f aca="false">IF($B65="","",IFERROR(INDEX(Cleaners!$B$5:$B$34,MATCH($B65,Cleaners!$A$5:$A$34,0)),"?"))</f>
        <v/>
      </c>
      <c r="G65" s="31" t="str">
        <f aca="false">IF($B65="","",COUNTIFS('Cleans Log'!$C$5:$C$1004,$B65,'Cleans Log'!$R$5:$R$1004,$A65,'Cleans Log'!$O$5:$O$1004,"&gt;0"))</f>
        <v/>
      </c>
      <c r="H65" s="28" t="str">
        <f aca="false">IF($B65="","",SUMIFS('Cleans Log'!$O$5:$O$1004,'Cleans Log'!$C$5:$C$1004,$B65,'Cleans Log'!$R$5:$R$1004,$A65))</f>
        <v/>
      </c>
      <c r="I65" s="30" t="str">
        <f aca="false">IF($A65="","",$A65+7)</f>
        <v/>
      </c>
      <c r="J65" s="27" t="str">
        <f aca="true">IF($B65="","",IF($C65&lt;&gt;"","Paid",IF(TODAY()&gt;=$I65,"PAY NOW","Upcoming")))</f>
        <v/>
      </c>
    </row>
    <row r="66" customFormat="false" ht="15" hidden="false" customHeight="false" outlineLevel="0" collapsed="false">
      <c r="A66" s="22"/>
      <c r="B66" s="23"/>
      <c r="C66" s="22"/>
      <c r="D66" s="23"/>
      <c r="E66" s="23"/>
      <c r="F66" s="27" t="str">
        <f aca="false">IF($B66="","",IFERROR(INDEX(Cleaners!$B$5:$B$34,MATCH($B66,Cleaners!$A$5:$A$34,0)),"?"))</f>
        <v/>
      </c>
      <c r="G66" s="31" t="str">
        <f aca="false">IF($B66="","",COUNTIFS('Cleans Log'!$C$5:$C$1004,$B66,'Cleans Log'!$R$5:$R$1004,$A66,'Cleans Log'!$O$5:$O$1004,"&gt;0"))</f>
        <v/>
      </c>
      <c r="H66" s="28" t="str">
        <f aca="false">IF($B66="","",SUMIFS('Cleans Log'!$O$5:$O$1004,'Cleans Log'!$C$5:$C$1004,$B66,'Cleans Log'!$R$5:$R$1004,$A66))</f>
        <v/>
      </c>
      <c r="I66" s="30" t="str">
        <f aca="false">IF($A66="","",$A66+7)</f>
        <v/>
      </c>
      <c r="J66" s="27" t="str">
        <f aca="true">IF($B66="","",IF($C66&lt;&gt;"","Paid",IF(TODAY()&gt;=$I66,"PAY NOW","Upcoming")))</f>
        <v/>
      </c>
    </row>
    <row r="67" customFormat="false" ht="15" hidden="false" customHeight="false" outlineLevel="0" collapsed="false">
      <c r="A67" s="22"/>
      <c r="B67" s="23"/>
      <c r="C67" s="22"/>
      <c r="D67" s="23"/>
      <c r="E67" s="23"/>
      <c r="F67" s="27" t="str">
        <f aca="false">IF($B67="","",IFERROR(INDEX(Cleaners!$B$5:$B$34,MATCH($B67,Cleaners!$A$5:$A$34,0)),"?"))</f>
        <v/>
      </c>
      <c r="G67" s="31" t="str">
        <f aca="false">IF($B67="","",COUNTIFS('Cleans Log'!$C$5:$C$1004,$B67,'Cleans Log'!$R$5:$R$1004,$A67,'Cleans Log'!$O$5:$O$1004,"&gt;0"))</f>
        <v/>
      </c>
      <c r="H67" s="28" t="str">
        <f aca="false">IF($B67="","",SUMIFS('Cleans Log'!$O$5:$O$1004,'Cleans Log'!$C$5:$C$1004,$B67,'Cleans Log'!$R$5:$R$1004,$A67))</f>
        <v/>
      </c>
      <c r="I67" s="30" t="str">
        <f aca="false">IF($A67="","",$A67+7)</f>
        <v/>
      </c>
      <c r="J67" s="27" t="str">
        <f aca="true">IF($B67="","",IF($C67&lt;&gt;"","Paid",IF(TODAY()&gt;=$I67,"PAY NOW","Upcoming")))</f>
        <v/>
      </c>
    </row>
    <row r="68" customFormat="false" ht="15" hidden="false" customHeight="false" outlineLevel="0" collapsed="false">
      <c r="A68" s="22"/>
      <c r="B68" s="23"/>
      <c r="C68" s="22"/>
      <c r="D68" s="23"/>
      <c r="E68" s="23"/>
      <c r="F68" s="27" t="str">
        <f aca="false">IF($B68="","",IFERROR(INDEX(Cleaners!$B$5:$B$34,MATCH($B68,Cleaners!$A$5:$A$34,0)),"?"))</f>
        <v/>
      </c>
      <c r="G68" s="31" t="str">
        <f aca="false">IF($B68="","",COUNTIFS('Cleans Log'!$C$5:$C$1004,$B68,'Cleans Log'!$R$5:$R$1004,$A68,'Cleans Log'!$O$5:$O$1004,"&gt;0"))</f>
        <v/>
      </c>
      <c r="H68" s="28" t="str">
        <f aca="false">IF($B68="","",SUMIFS('Cleans Log'!$O$5:$O$1004,'Cleans Log'!$C$5:$C$1004,$B68,'Cleans Log'!$R$5:$R$1004,$A68))</f>
        <v/>
      </c>
      <c r="I68" s="30" t="str">
        <f aca="false">IF($A68="","",$A68+7)</f>
        <v/>
      </c>
      <c r="J68" s="27" t="str">
        <f aca="true">IF($B68="","",IF($C68&lt;&gt;"","Paid",IF(TODAY()&gt;=$I68,"PAY NOW","Upcoming")))</f>
        <v/>
      </c>
    </row>
    <row r="69" customFormat="false" ht="15" hidden="false" customHeight="false" outlineLevel="0" collapsed="false">
      <c r="A69" s="22"/>
      <c r="B69" s="23"/>
      <c r="C69" s="22"/>
      <c r="D69" s="23"/>
      <c r="E69" s="23"/>
      <c r="F69" s="27" t="str">
        <f aca="false">IF($B69="","",IFERROR(INDEX(Cleaners!$B$5:$B$34,MATCH($B69,Cleaners!$A$5:$A$34,0)),"?"))</f>
        <v/>
      </c>
      <c r="G69" s="31" t="str">
        <f aca="false">IF($B69="","",COUNTIFS('Cleans Log'!$C$5:$C$1004,$B69,'Cleans Log'!$R$5:$R$1004,$A69,'Cleans Log'!$O$5:$O$1004,"&gt;0"))</f>
        <v/>
      </c>
      <c r="H69" s="28" t="str">
        <f aca="false">IF($B69="","",SUMIFS('Cleans Log'!$O$5:$O$1004,'Cleans Log'!$C$5:$C$1004,$B69,'Cleans Log'!$R$5:$R$1004,$A69))</f>
        <v/>
      </c>
      <c r="I69" s="30" t="str">
        <f aca="false">IF($A69="","",$A69+7)</f>
        <v/>
      </c>
      <c r="J69" s="27" t="str">
        <f aca="true">IF($B69="","",IF($C69&lt;&gt;"","Paid",IF(TODAY()&gt;=$I69,"PAY NOW","Upcoming")))</f>
        <v/>
      </c>
    </row>
    <row r="70" customFormat="false" ht="15" hidden="false" customHeight="false" outlineLevel="0" collapsed="false">
      <c r="A70" s="22"/>
      <c r="B70" s="23"/>
      <c r="C70" s="22"/>
      <c r="D70" s="23"/>
      <c r="E70" s="23"/>
      <c r="F70" s="27" t="str">
        <f aca="false">IF($B70="","",IFERROR(INDEX(Cleaners!$B$5:$B$34,MATCH($B70,Cleaners!$A$5:$A$34,0)),"?"))</f>
        <v/>
      </c>
      <c r="G70" s="31" t="str">
        <f aca="false">IF($B70="","",COUNTIFS('Cleans Log'!$C$5:$C$1004,$B70,'Cleans Log'!$R$5:$R$1004,$A70,'Cleans Log'!$O$5:$O$1004,"&gt;0"))</f>
        <v/>
      </c>
      <c r="H70" s="28" t="str">
        <f aca="false">IF($B70="","",SUMIFS('Cleans Log'!$O$5:$O$1004,'Cleans Log'!$C$5:$C$1004,$B70,'Cleans Log'!$R$5:$R$1004,$A70))</f>
        <v/>
      </c>
      <c r="I70" s="30" t="str">
        <f aca="false">IF($A70="","",$A70+7)</f>
        <v/>
      </c>
      <c r="J70" s="27" t="str">
        <f aca="true">IF($B70="","",IF($C70&lt;&gt;"","Paid",IF(TODAY()&gt;=$I70,"PAY NOW","Upcoming")))</f>
        <v/>
      </c>
    </row>
    <row r="71" customFormat="false" ht="15" hidden="false" customHeight="false" outlineLevel="0" collapsed="false">
      <c r="A71" s="22"/>
      <c r="B71" s="23"/>
      <c r="C71" s="22"/>
      <c r="D71" s="23"/>
      <c r="E71" s="23"/>
      <c r="F71" s="27" t="str">
        <f aca="false">IF($B71="","",IFERROR(INDEX(Cleaners!$B$5:$B$34,MATCH($B71,Cleaners!$A$5:$A$34,0)),"?"))</f>
        <v/>
      </c>
      <c r="G71" s="31" t="str">
        <f aca="false">IF($B71="","",COUNTIFS('Cleans Log'!$C$5:$C$1004,$B71,'Cleans Log'!$R$5:$R$1004,$A71,'Cleans Log'!$O$5:$O$1004,"&gt;0"))</f>
        <v/>
      </c>
      <c r="H71" s="28" t="str">
        <f aca="false">IF($B71="","",SUMIFS('Cleans Log'!$O$5:$O$1004,'Cleans Log'!$C$5:$C$1004,$B71,'Cleans Log'!$R$5:$R$1004,$A71))</f>
        <v/>
      </c>
      <c r="I71" s="30" t="str">
        <f aca="false">IF($A71="","",$A71+7)</f>
        <v/>
      </c>
      <c r="J71" s="27" t="str">
        <f aca="true">IF($B71="","",IF($C71&lt;&gt;"","Paid",IF(TODAY()&gt;=$I71,"PAY NOW","Upcoming")))</f>
        <v/>
      </c>
    </row>
    <row r="72" customFormat="false" ht="15" hidden="false" customHeight="false" outlineLevel="0" collapsed="false">
      <c r="A72" s="22"/>
      <c r="B72" s="23"/>
      <c r="C72" s="22"/>
      <c r="D72" s="23"/>
      <c r="E72" s="23"/>
      <c r="F72" s="27" t="str">
        <f aca="false">IF($B72="","",IFERROR(INDEX(Cleaners!$B$5:$B$34,MATCH($B72,Cleaners!$A$5:$A$34,0)),"?"))</f>
        <v/>
      </c>
      <c r="G72" s="31" t="str">
        <f aca="false">IF($B72="","",COUNTIFS('Cleans Log'!$C$5:$C$1004,$B72,'Cleans Log'!$R$5:$R$1004,$A72,'Cleans Log'!$O$5:$O$1004,"&gt;0"))</f>
        <v/>
      </c>
      <c r="H72" s="28" t="str">
        <f aca="false">IF($B72="","",SUMIFS('Cleans Log'!$O$5:$O$1004,'Cleans Log'!$C$5:$C$1004,$B72,'Cleans Log'!$R$5:$R$1004,$A72))</f>
        <v/>
      </c>
      <c r="I72" s="30" t="str">
        <f aca="false">IF($A72="","",$A72+7)</f>
        <v/>
      </c>
      <c r="J72" s="27" t="str">
        <f aca="true">IF($B72="","",IF($C72&lt;&gt;"","Paid",IF(TODAY()&gt;=$I72,"PAY NOW","Upcoming")))</f>
        <v/>
      </c>
    </row>
    <row r="73" customFormat="false" ht="15" hidden="false" customHeight="false" outlineLevel="0" collapsed="false">
      <c r="A73" s="22"/>
      <c r="B73" s="23"/>
      <c r="C73" s="22"/>
      <c r="D73" s="23"/>
      <c r="E73" s="23"/>
      <c r="F73" s="27" t="str">
        <f aca="false">IF($B73="","",IFERROR(INDEX(Cleaners!$B$5:$B$34,MATCH($B73,Cleaners!$A$5:$A$34,0)),"?"))</f>
        <v/>
      </c>
      <c r="G73" s="31" t="str">
        <f aca="false">IF($B73="","",COUNTIFS('Cleans Log'!$C$5:$C$1004,$B73,'Cleans Log'!$R$5:$R$1004,$A73,'Cleans Log'!$O$5:$O$1004,"&gt;0"))</f>
        <v/>
      </c>
      <c r="H73" s="28" t="str">
        <f aca="false">IF($B73="","",SUMIFS('Cleans Log'!$O$5:$O$1004,'Cleans Log'!$C$5:$C$1004,$B73,'Cleans Log'!$R$5:$R$1004,$A73))</f>
        <v/>
      </c>
      <c r="I73" s="30" t="str">
        <f aca="false">IF($A73="","",$A73+7)</f>
        <v/>
      </c>
      <c r="J73" s="27" t="str">
        <f aca="true">IF($B73="","",IF($C73&lt;&gt;"","Paid",IF(TODAY()&gt;=$I73,"PAY NOW","Upcoming")))</f>
        <v/>
      </c>
    </row>
    <row r="74" customFormat="false" ht="15" hidden="false" customHeight="false" outlineLevel="0" collapsed="false">
      <c r="A74" s="22"/>
      <c r="B74" s="23"/>
      <c r="C74" s="22"/>
      <c r="D74" s="23"/>
      <c r="E74" s="23"/>
      <c r="F74" s="27" t="str">
        <f aca="false">IF($B74="","",IFERROR(INDEX(Cleaners!$B$5:$B$34,MATCH($B74,Cleaners!$A$5:$A$34,0)),"?"))</f>
        <v/>
      </c>
      <c r="G74" s="31" t="str">
        <f aca="false">IF($B74="","",COUNTIFS('Cleans Log'!$C$5:$C$1004,$B74,'Cleans Log'!$R$5:$R$1004,$A74,'Cleans Log'!$O$5:$O$1004,"&gt;0"))</f>
        <v/>
      </c>
      <c r="H74" s="28" t="str">
        <f aca="false">IF($B74="","",SUMIFS('Cleans Log'!$O$5:$O$1004,'Cleans Log'!$C$5:$C$1004,$B74,'Cleans Log'!$R$5:$R$1004,$A74))</f>
        <v/>
      </c>
      <c r="I74" s="30" t="str">
        <f aca="false">IF($A74="","",$A74+7)</f>
        <v/>
      </c>
      <c r="J74" s="27" t="str">
        <f aca="true">IF($B74="","",IF($C74&lt;&gt;"","Paid",IF(TODAY()&gt;=$I74,"PAY NOW","Upcoming")))</f>
        <v/>
      </c>
    </row>
    <row r="75" customFormat="false" ht="15" hidden="false" customHeight="false" outlineLevel="0" collapsed="false">
      <c r="A75" s="22"/>
      <c r="B75" s="23"/>
      <c r="C75" s="22"/>
      <c r="D75" s="23"/>
      <c r="E75" s="23"/>
      <c r="F75" s="27" t="str">
        <f aca="false">IF($B75="","",IFERROR(INDEX(Cleaners!$B$5:$B$34,MATCH($B75,Cleaners!$A$5:$A$34,0)),"?"))</f>
        <v/>
      </c>
      <c r="G75" s="31" t="str">
        <f aca="false">IF($B75="","",COUNTIFS('Cleans Log'!$C$5:$C$1004,$B75,'Cleans Log'!$R$5:$R$1004,$A75,'Cleans Log'!$O$5:$O$1004,"&gt;0"))</f>
        <v/>
      </c>
      <c r="H75" s="28" t="str">
        <f aca="false">IF($B75="","",SUMIFS('Cleans Log'!$O$5:$O$1004,'Cleans Log'!$C$5:$C$1004,$B75,'Cleans Log'!$R$5:$R$1004,$A75))</f>
        <v/>
      </c>
      <c r="I75" s="30" t="str">
        <f aca="false">IF($A75="","",$A75+7)</f>
        <v/>
      </c>
      <c r="J75" s="27" t="str">
        <f aca="true">IF($B75="","",IF($C75&lt;&gt;"","Paid",IF(TODAY()&gt;=$I75,"PAY NOW","Upcoming")))</f>
        <v/>
      </c>
    </row>
    <row r="76" customFormat="false" ht="15" hidden="false" customHeight="false" outlineLevel="0" collapsed="false">
      <c r="A76" s="22"/>
      <c r="B76" s="23"/>
      <c r="C76" s="22"/>
      <c r="D76" s="23"/>
      <c r="E76" s="23"/>
      <c r="F76" s="27" t="str">
        <f aca="false">IF($B76="","",IFERROR(INDEX(Cleaners!$B$5:$B$34,MATCH($B76,Cleaners!$A$5:$A$34,0)),"?"))</f>
        <v/>
      </c>
      <c r="G76" s="31" t="str">
        <f aca="false">IF($B76="","",COUNTIFS('Cleans Log'!$C$5:$C$1004,$B76,'Cleans Log'!$R$5:$R$1004,$A76,'Cleans Log'!$O$5:$O$1004,"&gt;0"))</f>
        <v/>
      </c>
      <c r="H76" s="28" t="str">
        <f aca="false">IF($B76="","",SUMIFS('Cleans Log'!$O$5:$O$1004,'Cleans Log'!$C$5:$C$1004,$B76,'Cleans Log'!$R$5:$R$1004,$A76))</f>
        <v/>
      </c>
      <c r="I76" s="30" t="str">
        <f aca="false">IF($A76="","",$A76+7)</f>
        <v/>
      </c>
      <c r="J76" s="27" t="str">
        <f aca="true">IF($B76="","",IF($C76&lt;&gt;"","Paid",IF(TODAY()&gt;=$I76,"PAY NOW","Upcoming")))</f>
        <v/>
      </c>
    </row>
    <row r="77" customFormat="false" ht="15" hidden="false" customHeight="false" outlineLevel="0" collapsed="false">
      <c r="A77" s="22"/>
      <c r="B77" s="23"/>
      <c r="C77" s="22"/>
      <c r="D77" s="23"/>
      <c r="E77" s="23"/>
      <c r="F77" s="27" t="str">
        <f aca="false">IF($B77="","",IFERROR(INDEX(Cleaners!$B$5:$B$34,MATCH($B77,Cleaners!$A$5:$A$34,0)),"?"))</f>
        <v/>
      </c>
      <c r="G77" s="31" t="str">
        <f aca="false">IF($B77="","",COUNTIFS('Cleans Log'!$C$5:$C$1004,$B77,'Cleans Log'!$R$5:$R$1004,$A77,'Cleans Log'!$O$5:$O$1004,"&gt;0"))</f>
        <v/>
      </c>
      <c r="H77" s="28" t="str">
        <f aca="false">IF($B77="","",SUMIFS('Cleans Log'!$O$5:$O$1004,'Cleans Log'!$C$5:$C$1004,$B77,'Cleans Log'!$R$5:$R$1004,$A77))</f>
        <v/>
      </c>
      <c r="I77" s="30" t="str">
        <f aca="false">IF($A77="","",$A77+7)</f>
        <v/>
      </c>
      <c r="J77" s="27" t="str">
        <f aca="true">IF($B77="","",IF($C77&lt;&gt;"","Paid",IF(TODAY()&gt;=$I77,"PAY NOW","Upcoming")))</f>
        <v/>
      </c>
    </row>
    <row r="78" customFormat="false" ht="15" hidden="false" customHeight="false" outlineLevel="0" collapsed="false">
      <c r="A78" s="22"/>
      <c r="B78" s="23"/>
      <c r="C78" s="22"/>
      <c r="D78" s="23"/>
      <c r="E78" s="23"/>
      <c r="F78" s="27" t="str">
        <f aca="false">IF($B78="","",IFERROR(INDEX(Cleaners!$B$5:$B$34,MATCH($B78,Cleaners!$A$5:$A$34,0)),"?"))</f>
        <v/>
      </c>
      <c r="G78" s="31" t="str">
        <f aca="false">IF($B78="","",COUNTIFS('Cleans Log'!$C$5:$C$1004,$B78,'Cleans Log'!$R$5:$R$1004,$A78,'Cleans Log'!$O$5:$O$1004,"&gt;0"))</f>
        <v/>
      </c>
      <c r="H78" s="28" t="str">
        <f aca="false">IF($B78="","",SUMIFS('Cleans Log'!$O$5:$O$1004,'Cleans Log'!$C$5:$C$1004,$B78,'Cleans Log'!$R$5:$R$1004,$A78))</f>
        <v/>
      </c>
      <c r="I78" s="30" t="str">
        <f aca="false">IF($A78="","",$A78+7)</f>
        <v/>
      </c>
      <c r="J78" s="27" t="str">
        <f aca="true">IF($B78="","",IF($C78&lt;&gt;"","Paid",IF(TODAY()&gt;=$I78,"PAY NOW","Upcoming")))</f>
        <v/>
      </c>
    </row>
    <row r="79" customFormat="false" ht="15" hidden="false" customHeight="false" outlineLevel="0" collapsed="false">
      <c r="A79" s="22"/>
      <c r="B79" s="23"/>
      <c r="C79" s="22"/>
      <c r="D79" s="23"/>
      <c r="E79" s="23"/>
      <c r="F79" s="27" t="str">
        <f aca="false">IF($B79="","",IFERROR(INDEX(Cleaners!$B$5:$B$34,MATCH($B79,Cleaners!$A$5:$A$34,0)),"?"))</f>
        <v/>
      </c>
      <c r="G79" s="31" t="str">
        <f aca="false">IF($B79="","",COUNTIFS('Cleans Log'!$C$5:$C$1004,$B79,'Cleans Log'!$R$5:$R$1004,$A79,'Cleans Log'!$O$5:$O$1004,"&gt;0"))</f>
        <v/>
      </c>
      <c r="H79" s="28" t="str">
        <f aca="false">IF($B79="","",SUMIFS('Cleans Log'!$O$5:$O$1004,'Cleans Log'!$C$5:$C$1004,$B79,'Cleans Log'!$R$5:$R$1004,$A79))</f>
        <v/>
      </c>
      <c r="I79" s="30" t="str">
        <f aca="false">IF($A79="","",$A79+7)</f>
        <v/>
      </c>
      <c r="J79" s="27" t="str">
        <f aca="true">IF($B79="","",IF($C79&lt;&gt;"","Paid",IF(TODAY()&gt;=$I79,"PAY NOW","Upcoming")))</f>
        <v/>
      </c>
    </row>
    <row r="80" customFormat="false" ht="15" hidden="false" customHeight="false" outlineLevel="0" collapsed="false">
      <c r="A80" s="22"/>
      <c r="B80" s="23"/>
      <c r="C80" s="22"/>
      <c r="D80" s="23"/>
      <c r="E80" s="23"/>
      <c r="F80" s="27" t="str">
        <f aca="false">IF($B80="","",IFERROR(INDEX(Cleaners!$B$5:$B$34,MATCH($B80,Cleaners!$A$5:$A$34,0)),"?"))</f>
        <v/>
      </c>
      <c r="G80" s="31" t="str">
        <f aca="false">IF($B80="","",COUNTIFS('Cleans Log'!$C$5:$C$1004,$B80,'Cleans Log'!$R$5:$R$1004,$A80,'Cleans Log'!$O$5:$O$1004,"&gt;0"))</f>
        <v/>
      </c>
      <c r="H80" s="28" t="str">
        <f aca="false">IF($B80="","",SUMIFS('Cleans Log'!$O$5:$O$1004,'Cleans Log'!$C$5:$C$1004,$B80,'Cleans Log'!$R$5:$R$1004,$A80))</f>
        <v/>
      </c>
      <c r="I80" s="30" t="str">
        <f aca="false">IF($A80="","",$A80+7)</f>
        <v/>
      </c>
      <c r="J80" s="27" t="str">
        <f aca="true">IF($B80="","",IF($C80&lt;&gt;"","Paid",IF(TODAY()&gt;=$I80,"PAY NOW","Upcoming")))</f>
        <v/>
      </c>
    </row>
    <row r="81" customFormat="false" ht="15" hidden="false" customHeight="false" outlineLevel="0" collapsed="false">
      <c r="A81" s="22"/>
      <c r="B81" s="23"/>
      <c r="C81" s="22"/>
      <c r="D81" s="23"/>
      <c r="E81" s="23"/>
      <c r="F81" s="27" t="str">
        <f aca="false">IF($B81="","",IFERROR(INDEX(Cleaners!$B$5:$B$34,MATCH($B81,Cleaners!$A$5:$A$34,0)),"?"))</f>
        <v/>
      </c>
      <c r="G81" s="31" t="str">
        <f aca="false">IF($B81="","",COUNTIFS('Cleans Log'!$C$5:$C$1004,$B81,'Cleans Log'!$R$5:$R$1004,$A81,'Cleans Log'!$O$5:$O$1004,"&gt;0"))</f>
        <v/>
      </c>
      <c r="H81" s="28" t="str">
        <f aca="false">IF($B81="","",SUMIFS('Cleans Log'!$O$5:$O$1004,'Cleans Log'!$C$5:$C$1004,$B81,'Cleans Log'!$R$5:$R$1004,$A81))</f>
        <v/>
      </c>
      <c r="I81" s="30" t="str">
        <f aca="false">IF($A81="","",$A81+7)</f>
        <v/>
      </c>
      <c r="J81" s="27" t="str">
        <f aca="true">IF($B81="","",IF($C81&lt;&gt;"","Paid",IF(TODAY()&gt;=$I81,"PAY NOW","Upcoming")))</f>
        <v/>
      </c>
    </row>
    <row r="82" customFormat="false" ht="15" hidden="false" customHeight="false" outlineLevel="0" collapsed="false">
      <c r="A82" s="22"/>
      <c r="B82" s="23"/>
      <c r="C82" s="22"/>
      <c r="D82" s="23"/>
      <c r="E82" s="23"/>
      <c r="F82" s="27" t="str">
        <f aca="false">IF($B82="","",IFERROR(INDEX(Cleaners!$B$5:$B$34,MATCH($B82,Cleaners!$A$5:$A$34,0)),"?"))</f>
        <v/>
      </c>
      <c r="G82" s="31" t="str">
        <f aca="false">IF($B82="","",COUNTIFS('Cleans Log'!$C$5:$C$1004,$B82,'Cleans Log'!$R$5:$R$1004,$A82,'Cleans Log'!$O$5:$O$1004,"&gt;0"))</f>
        <v/>
      </c>
      <c r="H82" s="28" t="str">
        <f aca="false">IF($B82="","",SUMIFS('Cleans Log'!$O$5:$O$1004,'Cleans Log'!$C$5:$C$1004,$B82,'Cleans Log'!$R$5:$R$1004,$A82))</f>
        <v/>
      </c>
      <c r="I82" s="30" t="str">
        <f aca="false">IF($A82="","",$A82+7)</f>
        <v/>
      </c>
      <c r="J82" s="27" t="str">
        <f aca="true">IF($B82="","",IF($C82&lt;&gt;"","Paid",IF(TODAY()&gt;=$I82,"PAY NOW","Upcoming")))</f>
        <v/>
      </c>
    </row>
    <row r="83" customFormat="false" ht="15" hidden="false" customHeight="false" outlineLevel="0" collapsed="false">
      <c r="A83" s="22"/>
      <c r="B83" s="23"/>
      <c r="C83" s="22"/>
      <c r="D83" s="23"/>
      <c r="E83" s="23"/>
      <c r="F83" s="27" t="str">
        <f aca="false">IF($B83="","",IFERROR(INDEX(Cleaners!$B$5:$B$34,MATCH($B83,Cleaners!$A$5:$A$34,0)),"?"))</f>
        <v/>
      </c>
      <c r="G83" s="31" t="str">
        <f aca="false">IF($B83="","",COUNTIFS('Cleans Log'!$C$5:$C$1004,$B83,'Cleans Log'!$R$5:$R$1004,$A83,'Cleans Log'!$O$5:$O$1004,"&gt;0"))</f>
        <v/>
      </c>
      <c r="H83" s="28" t="str">
        <f aca="false">IF($B83="","",SUMIFS('Cleans Log'!$O$5:$O$1004,'Cleans Log'!$C$5:$C$1004,$B83,'Cleans Log'!$R$5:$R$1004,$A83))</f>
        <v/>
      </c>
      <c r="I83" s="30" t="str">
        <f aca="false">IF($A83="","",$A83+7)</f>
        <v/>
      </c>
      <c r="J83" s="27" t="str">
        <f aca="true">IF($B83="","",IF($C83&lt;&gt;"","Paid",IF(TODAY()&gt;=$I83,"PAY NOW","Upcoming")))</f>
        <v/>
      </c>
    </row>
    <row r="84" customFormat="false" ht="15" hidden="false" customHeight="false" outlineLevel="0" collapsed="false">
      <c r="A84" s="22"/>
      <c r="B84" s="23"/>
      <c r="C84" s="22"/>
      <c r="D84" s="23"/>
      <c r="E84" s="23"/>
      <c r="F84" s="27" t="str">
        <f aca="false">IF($B84="","",IFERROR(INDEX(Cleaners!$B$5:$B$34,MATCH($B84,Cleaners!$A$5:$A$34,0)),"?"))</f>
        <v/>
      </c>
      <c r="G84" s="31" t="str">
        <f aca="false">IF($B84="","",COUNTIFS('Cleans Log'!$C$5:$C$1004,$B84,'Cleans Log'!$R$5:$R$1004,$A84,'Cleans Log'!$O$5:$O$1004,"&gt;0"))</f>
        <v/>
      </c>
      <c r="H84" s="28" t="str">
        <f aca="false">IF($B84="","",SUMIFS('Cleans Log'!$O$5:$O$1004,'Cleans Log'!$C$5:$C$1004,$B84,'Cleans Log'!$R$5:$R$1004,$A84))</f>
        <v/>
      </c>
      <c r="I84" s="30" t="str">
        <f aca="false">IF($A84="","",$A84+7)</f>
        <v/>
      </c>
      <c r="J84" s="27" t="str">
        <f aca="true">IF($B84="","",IF($C84&lt;&gt;"","Paid",IF(TODAY()&gt;=$I84,"PAY NOW","Upcoming")))</f>
        <v/>
      </c>
    </row>
    <row r="85" customFormat="false" ht="15" hidden="false" customHeight="false" outlineLevel="0" collapsed="false">
      <c r="A85" s="22"/>
      <c r="B85" s="23"/>
      <c r="C85" s="22"/>
      <c r="D85" s="23"/>
      <c r="E85" s="23"/>
      <c r="F85" s="27" t="str">
        <f aca="false">IF($B85="","",IFERROR(INDEX(Cleaners!$B$5:$B$34,MATCH($B85,Cleaners!$A$5:$A$34,0)),"?"))</f>
        <v/>
      </c>
      <c r="G85" s="31" t="str">
        <f aca="false">IF($B85="","",COUNTIFS('Cleans Log'!$C$5:$C$1004,$B85,'Cleans Log'!$R$5:$R$1004,$A85,'Cleans Log'!$O$5:$O$1004,"&gt;0"))</f>
        <v/>
      </c>
      <c r="H85" s="28" t="str">
        <f aca="false">IF($B85="","",SUMIFS('Cleans Log'!$O$5:$O$1004,'Cleans Log'!$C$5:$C$1004,$B85,'Cleans Log'!$R$5:$R$1004,$A85))</f>
        <v/>
      </c>
      <c r="I85" s="30" t="str">
        <f aca="false">IF($A85="","",$A85+7)</f>
        <v/>
      </c>
      <c r="J85" s="27" t="str">
        <f aca="true">IF($B85="","",IF($C85&lt;&gt;"","Paid",IF(TODAY()&gt;=$I85,"PAY NOW","Upcoming")))</f>
        <v/>
      </c>
    </row>
    <row r="86" customFormat="false" ht="15" hidden="false" customHeight="false" outlineLevel="0" collapsed="false">
      <c r="A86" s="22"/>
      <c r="B86" s="23"/>
      <c r="C86" s="22"/>
      <c r="D86" s="23"/>
      <c r="E86" s="23"/>
      <c r="F86" s="27" t="str">
        <f aca="false">IF($B86="","",IFERROR(INDEX(Cleaners!$B$5:$B$34,MATCH($B86,Cleaners!$A$5:$A$34,0)),"?"))</f>
        <v/>
      </c>
      <c r="G86" s="31" t="str">
        <f aca="false">IF($B86="","",COUNTIFS('Cleans Log'!$C$5:$C$1004,$B86,'Cleans Log'!$R$5:$R$1004,$A86,'Cleans Log'!$O$5:$O$1004,"&gt;0"))</f>
        <v/>
      </c>
      <c r="H86" s="28" t="str">
        <f aca="false">IF($B86="","",SUMIFS('Cleans Log'!$O$5:$O$1004,'Cleans Log'!$C$5:$C$1004,$B86,'Cleans Log'!$R$5:$R$1004,$A86))</f>
        <v/>
      </c>
      <c r="I86" s="30" t="str">
        <f aca="false">IF($A86="","",$A86+7)</f>
        <v/>
      </c>
      <c r="J86" s="27" t="str">
        <f aca="true">IF($B86="","",IF($C86&lt;&gt;"","Paid",IF(TODAY()&gt;=$I86,"PAY NOW","Upcoming")))</f>
        <v/>
      </c>
    </row>
    <row r="87" customFormat="false" ht="15" hidden="false" customHeight="false" outlineLevel="0" collapsed="false">
      <c r="A87" s="22"/>
      <c r="B87" s="23"/>
      <c r="C87" s="22"/>
      <c r="D87" s="23"/>
      <c r="E87" s="23"/>
      <c r="F87" s="27" t="str">
        <f aca="false">IF($B87="","",IFERROR(INDEX(Cleaners!$B$5:$B$34,MATCH($B87,Cleaners!$A$5:$A$34,0)),"?"))</f>
        <v/>
      </c>
      <c r="G87" s="31" t="str">
        <f aca="false">IF($B87="","",COUNTIFS('Cleans Log'!$C$5:$C$1004,$B87,'Cleans Log'!$R$5:$R$1004,$A87,'Cleans Log'!$O$5:$O$1004,"&gt;0"))</f>
        <v/>
      </c>
      <c r="H87" s="28" t="str">
        <f aca="false">IF($B87="","",SUMIFS('Cleans Log'!$O$5:$O$1004,'Cleans Log'!$C$5:$C$1004,$B87,'Cleans Log'!$R$5:$R$1004,$A87))</f>
        <v/>
      </c>
      <c r="I87" s="30" t="str">
        <f aca="false">IF($A87="","",$A87+7)</f>
        <v/>
      </c>
      <c r="J87" s="27" t="str">
        <f aca="true">IF($B87="","",IF($C87&lt;&gt;"","Paid",IF(TODAY()&gt;=$I87,"PAY NOW","Upcoming")))</f>
        <v/>
      </c>
    </row>
    <row r="88" customFormat="false" ht="15" hidden="false" customHeight="false" outlineLevel="0" collapsed="false">
      <c r="A88" s="22"/>
      <c r="B88" s="23"/>
      <c r="C88" s="22"/>
      <c r="D88" s="23"/>
      <c r="E88" s="23"/>
      <c r="F88" s="27" t="str">
        <f aca="false">IF($B88="","",IFERROR(INDEX(Cleaners!$B$5:$B$34,MATCH($B88,Cleaners!$A$5:$A$34,0)),"?"))</f>
        <v/>
      </c>
      <c r="G88" s="31" t="str">
        <f aca="false">IF($B88="","",COUNTIFS('Cleans Log'!$C$5:$C$1004,$B88,'Cleans Log'!$R$5:$R$1004,$A88,'Cleans Log'!$O$5:$O$1004,"&gt;0"))</f>
        <v/>
      </c>
      <c r="H88" s="28" t="str">
        <f aca="false">IF($B88="","",SUMIFS('Cleans Log'!$O$5:$O$1004,'Cleans Log'!$C$5:$C$1004,$B88,'Cleans Log'!$R$5:$R$1004,$A88))</f>
        <v/>
      </c>
      <c r="I88" s="30" t="str">
        <f aca="false">IF($A88="","",$A88+7)</f>
        <v/>
      </c>
      <c r="J88" s="27" t="str">
        <f aca="true">IF($B88="","",IF($C88&lt;&gt;"","Paid",IF(TODAY()&gt;=$I88,"PAY NOW","Upcoming")))</f>
        <v/>
      </c>
    </row>
    <row r="89" customFormat="false" ht="15" hidden="false" customHeight="false" outlineLevel="0" collapsed="false">
      <c r="A89" s="22"/>
      <c r="B89" s="23"/>
      <c r="C89" s="22"/>
      <c r="D89" s="23"/>
      <c r="E89" s="23"/>
      <c r="F89" s="27" t="str">
        <f aca="false">IF($B89="","",IFERROR(INDEX(Cleaners!$B$5:$B$34,MATCH($B89,Cleaners!$A$5:$A$34,0)),"?"))</f>
        <v/>
      </c>
      <c r="G89" s="31" t="str">
        <f aca="false">IF($B89="","",COUNTIFS('Cleans Log'!$C$5:$C$1004,$B89,'Cleans Log'!$R$5:$R$1004,$A89,'Cleans Log'!$O$5:$O$1004,"&gt;0"))</f>
        <v/>
      </c>
      <c r="H89" s="28" t="str">
        <f aca="false">IF($B89="","",SUMIFS('Cleans Log'!$O$5:$O$1004,'Cleans Log'!$C$5:$C$1004,$B89,'Cleans Log'!$R$5:$R$1004,$A89))</f>
        <v/>
      </c>
      <c r="I89" s="30" t="str">
        <f aca="false">IF($A89="","",$A89+7)</f>
        <v/>
      </c>
      <c r="J89" s="27" t="str">
        <f aca="true">IF($B89="","",IF($C89&lt;&gt;"","Paid",IF(TODAY()&gt;=$I89,"PAY NOW","Upcoming")))</f>
        <v/>
      </c>
    </row>
    <row r="90" customFormat="false" ht="15" hidden="false" customHeight="false" outlineLevel="0" collapsed="false">
      <c r="A90" s="22"/>
      <c r="B90" s="23"/>
      <c r="C90" s="22"/>
      <c r="D90" s="23"/>
      <c r="E90" s="23"/>
      <c r="F90" s="27" t="str">
        <f aca="false">IF($B90="","",IFERROR(INDEX(Cleaners!$B$5:$B$34,MATCH($B90,Cleaners!$A$5:$A$34,0)),"?"))</f>
        <v/>
      </c>
      <c r="G90" s="31" t="str">
        <f aca="false">IF($B90="","",COUNTIFS('Cleans Log'!$C$5:$C$1004,$B90,'Cleans Log'!$R$5:$R$1004,$A90,'Cleans Log'!$O$5:$O$1004,"&gt;0"))</f>
        <v/>
      </c>
      <c r="H90" s="28" t="str">
        <f aca="false">IF($B90="","",SUMIFS('Cleans Log'!$O$5:$O$1004,'Cleans Log'!$C$5:$C$1004,$B90,'Cleans Log'!$R$5:$R$1004,$A90))</f>
        <v/>
      </c>
      <c r="I90" s="30" t="str">
        <f aca="false">IF($A90="","",$A90+7)</f>
        <v/>
      </c>
      <c r="J90" s="27" t="str">
        <f aca="true">IF($B90="","",IF($C90&lt;&gt;"","Paid",IF(TODAY()&gt;=$I90,"PAY NOW","Upcoming")))</f>
        <v/>
      </c>
    </row>
    <row r="91" customFormat="false" ht="15" hidden="false" customHeight="false" outlineLevel="0" collapsed="false">
      <c r="A91" s="22"/>
      <c r="B91" s="23"/>
      <c r="C91" s="22"/>
      <c r="D91" s="23"/>
      <c r="E91" s="23"/>
      <c r="F91" s="27" t="str">
        <f aca="false">IF($B91="","",IFERROR(INDEX(Cleaners!$B$5:$B$34,MATCH($B91,Cleaners!$A$5:$A$34,0)),"?"))</f>
        <v/>
      </c>
      <c r="G91" s="31" t="str">
        <f aca="false">IF($B91="","",COUNTIFS('Cleans Log'!$C$5:$C$1004,$B91,'Cleans Log'!$R$5:$R$1004,$A91,'Cleans Log'!$O$5:$O$1004,"&gt;0"))</f>
        <v/>
      </c>
      <c r="H91" s="28" t="str">
        <f aca="false">IF($B91="","",SUMIFS('Cleans Log'!$O$5:$O$1004,'Cleans Log'!$C$5:$C$1004,$B91,'Cleans Log'!$R$5:$R$1004,$A91))</f>
        <v/>
      </c>
      <c r="I91" s="30" t="str">
        <f aca="false">IF($A91="","",$A91+7)</f>
        <v/>
      </c>
      <c r="J91" s="27" t="str">
        <f aca="true">IF($B91="","",IF($C91&lt;&gt;"","Paid",IF(TODAY()&gt;=$I91,"PAY NOW","Upcoming")))</f>
        <v/>
      </c>
    </row>
    <row r="92" customFormat="false" ht="15" hidden="false" customHeight="false" outlineLevel="0" collapsed="false">
      <c r="A92" s="22"/>
      <c r="B92" s="23"/>
      <c r="C92" s="22"/>
      <c r="D92" s="23"/>
      <c r="E92" s="23"/>
      <c r="F92" s="27" t="str">
        <f aca="false">IF($B92="","",IFERROR(INDEX(Cleaners!$B$5:$B$34,MATCH($B92,Cleaners!$A$5:$A$34,0)),"?"))</f>
        <v/>
      </c>
      <c r="G92" s="31" t="str">
        <f aca="false">IF($B92="","",COUNTIFS('Cleans Log'!$C$5:$C$1004,$B92,'Cleans Log'!$R$5:$R$1004,$A92,'Cleans Log'!$O$5:$O$1004,"&gt;0"))</f>
        <v/>
      </c>
      <c r="H92" s="28" t="str">
        <f aca="false">IF($B92="","",SUMIFS('Cleans Log'!$O$5:$O$1004,'Cleans Log'!$C$5:$C$1004,$B92,'Cleans Log'!$R$5:$R$1004,$A92))</f>
        <v/>
      </c>
      <c r="I92" s="30" t="str">
        <f aca="false">IF($A92="","",$A92+7)</f>
        <v/>
      </c>
      <c r="J92" s="27" t="str">
        <f aca="true">IF($B92="","",IF($C92&lt;&gt;"","Paid",IF(TODAY()&gt;=$I92,"PAY NOW","Upcoming")))</f>
        <v/>
      </c>
    </row>
    <row r="93" customFormat="false" ht="15" hidden="false" customHeight="false" outlineLevel="0" collapsed="false">
      <c r="A93" s="22"/>
      <c r="B93" s="23"/>
      <c r="C93" s="22"/>
      <c r="D93" s="23"/>
      <c r="E93" s="23"/>
      <c r="F93" s="27" t="str">
        <f aca="false">IF($B93="","",IFERROR(INDEX(Cleaners!$B$5:$B$34,MATCH($B93,Cleaners!$A$5:$A$34,0)),"?"))</f>
        <v/>
      </c>
      <c r="G93" s="31" t="str">
        <f aca="false">IF($B93="","",COUNTIFS('Cleans Log'!$C$5:$C$1004,$B93,'Cleans Log'!$R$5:$R$1004,$A93,'Cleans Log'!$O$5:$O$1004,"&gt;0"))</f>
        <v/>
      </c>
      <c r="H93" s="28" t="str">
        <f aca="false">IF($B93="","",SUMIFS('Cleans Log'!$O$5:$O$1004,'Cleans Log'!$C$5:$C$1004,$B93,'Cleans Log'!$R$5:$R$1004,$A93))</f>
        <v/>
      </c>
      <c r="I93" s="30" t="str">
        <f aca="false">IF($A93="","",$A93+7)</f>
        <v/>
      </c>
      <c r="J93" s="27" t="str">
        <f aca="true">IF($B93="","",IF($C93&lt;&gt;"","Paid",IF(TODAY()&gt;=$I93,"PAY NOW","Upcoming")))</f>
        <v/>
      </c>
    </row>
    <row r="94" customFormat="false" ht="15" hidden="false" customHeight="false" outlineLevel="0" collapsed="false">
      <c r="A94" s="22"/>
      <c r="B94" s="23"/>
      <c r="C94" s="22"/>
      <c r="D94" s="23"/>
      <c r="E94" s="23"/>
      <c r="F94" s="27" t="str">
        <f aca="false">IF($B94="","",IFERROR(INDEX(Cleaners!$B$5:$B$34,MATCH($B94,Cleaners!$A$5:$A$34,0)),"?"))</f>
        <v/>
      </c>
      <c r="G94" s="31" t="str">
        <f aca="false">IF($B94="","",COUNTIFS('Cleans Log'!$C$5:$C$1004,$B94,'Cleans Log'!$R$5:$R$1004,$A94,'Cleans Log'!$O$5:$O$1004,"&gt;0"))</f>
        <v/>
      </c>
      <c r="H94" s="28" t="str">
        <f aca="false">IF($B94="","",SUMIFS('Cleans Log'!$O$5:$O$1004,'Cleans Log'!$C$5:$C$1004,$B94,'Cleans Log'!$R$5:$R$1004,$A94))</f>
        <v/>
      </c>
      <c r="I94" s="30" t="str">
        <f aca="false">IF($A94="","",$A94+7)</f>
        <v/>
      </c>
      <c r="J94" s="27" t="str">
        <f aca="true">IF($B94="","",IF($C94&lt;&gt;"","Paid",IF(TODAY()&gt;=$I94,"PAY NOW","Upcoming")))</f>
        <v/>
      </c>
    </row>
    <row r="95" customFormat="false" ht="15" hidden="false" customHeight="false" outlineLevel="0" collapsed="false">
      <c r="A95" s="22"/>
      <c r="B95" s="23"/>
      <c r="C95" s="22"/>
      <c r="D95" s="23"/>
      <c r="E95" s="23"/>
      <c r="F95" s="27" t="str">
        <f aca="false">IF($B95="","",IFERROR(INDEX(Cleaners!$B$5:$B$34,MATCH($B95,Cleaners!$A$5:$A$34,0)),"?"))</f>
        <v/>
      </c>
      <c r="G95" s="31" t="str">
        <f aca="false">IF($B95="","",COUNTIFS('Cleans Log'!$C$5:$C$1004,$B95,'Cleans Log'!$R$5:$R$1004,$A95,'Cleans Log'!$O$5:$O$1004,"&gt;0"))</f>
        <v/>
      </c>
      <c r="H95" s="28" t="str">
        <f aca="false">IF($B95="","",SUMIFS('Cleans Log'!$O$5:$O$1004,'Cleans Log'!$C$5:$C$1004,$B95,'Cleans Log'!$R$5:$R$1004,$A95))</f>
        <v/>
      </c>
      <c r="I95" s="30" t="str">
        <f aca="false">IF($A95="","",$A95+7)</f>
        <v/>
      </c>
      <c r="J95" s="27" t="str">
        <f aca="true">IF($B95="","",IF($C95&lt;&gt;"","Paid",IF(TODAY()&gt;=$I95,"PAY NOW","Upcoming")))</f>
        <v/>
      </c>
    </row>
    <row r="96" customFormat="false" ht="15" hidden="false" customHeight="false" outlineLevel="0" collapsed="false">
      <c r="A96" s="22"/>
      <c r="B96" s="23"/>
      <c r="C96" s="22"/>
      <c r="D96" s="23"/>
      <c r="E96" s="23"/>
      <c r="F96" s="27" t="str">
        <f aca="false">IF($B96="","",IFERROR(INDEX(Cleaners!$B$5:$B$34,MATCH($B96,Cleaners!$A$5:$A$34,0)),"?"))</f>
        <v/>
      </c>
      <c r="G96" s="31" t="str">
        <f aca="false">IF($B96="","",COUNTIFS('Cleans Log'!$C$5:$C$1004,$B96,'Cleans Log'!$R$5:$R$1004,$A96,'Cleans Log'!$O$5:$O$1004,"&gt;0"))</f>
        <v/>
      </c>
      <c r="H96" s="28" t="str">
        <f aca="false">IF($B96="","",SUMIFS('Cleans Log'!$O$5:$O$1004,'Cleans Log'!$C$5:$C$1004,$B96,'Cleans Log'!$R$5:$R$1004,$A96))</f>
        <v/>
      </c>
      <c r="I96" s="30" t="str">
        <f aca="false">IF($A96="","",$A96+7)</f>
        <v/>
      </c>
      <c r="J96" s="27" t="str">
        <f aca="true">IF($B96="","",IF($C96&lt;&gt;"","Paid",IF(TODAY()&gt;=$I96,"PAY NOW","Upcoming")))</f>
        <v/>
      </c>
    </row>
    <row r="97" customFormat="false" ht="15" hidden="false" customHeight="false" outlineLevel="0" collapsed="false">
      <c r="A97" s="22"/>
      <c r="B97" s="23"/>
      <c r="C97" s="22"/>
      <c r="D97" s="23"/>
      <c r="E97" s="23"/>
      <c r="F97" s="27" t="str">
        <f aca="false">IF($B97="","",IFERROR(INDEX(Cleaners!$B$5:$B$34,MATCH($B97,Cleaners!$A$5:$A$34,0)),"?"))</f>
        <v/>
      </c>
      <c r="G97" s="31" t="str">
        <f aca="false">IF($B97="","",COUNTIFS('Cleans Log'!$C$5:$C$1004,$B97,'Cleans Log'!$R$5:$R$1004,$A97,'Cleans Log'!$O$5:$O$1004,"&gt;0"))</f>
        <v/>
      </c>
      <c r="H97" s="28" t="str">
        <f aca="false">IF($B97="","",SUMIFS('Cleans Log'!$O$5:$O$1004,'Cleans Log'!$C$5:$C$1004,$B97,'Cleans Log'!$R$5:$R$1004,$A97))</f>
        <v/>
      </c>
      <c r="I97" s="30" t="str">
        <f aca="false">IF($A97="","",$A97+7)</f>
        <v/>
      </c>
      <c r="J97" s="27" t="str">
        <f aca="true">IF($B97="","",IF($C97&lt;&gt;"","Paid",IF(TODAY()&gt;=$I97,"PAY NOW","Upcoming")))</f>
        <v/>
      </c>
    </row>
    <row r="98" customFormat="false" ht="15" hidden="false" customHeight="false" outlineLevel="0" collapsed="false">
      <c r="A98" s="22"/>
      <c r="B98" s="23"/>
      <c r="C98" s="22"/>
      <c r="D98" s="23"/>
      <c r="E98" s="23"/>
      <c r="F98" s="27" t="str">
        <f aca="false">IF($B98="","",IFERROR(INDEX(Cleaners!$B$5:$B$34,MATCH($B98,Cleaners!$A$5:$A$34,0)),"?"))</f>
        <v/>
      </c>
      <c r="G98" s="31" t="str">
        <f aca="false">IF($B98="","",COUNTIFS('Cleans Log'!$C$5:$C$1004,$B98,'Cleans Log'!$R$5:$R$1004,$A98,'Cleans Log'!$O$5:$O$1004,"&gt;0"))</f>
        <v/>
      </c>
      <c r="H98" s="28" t="str">
        <f aca="false">IF($B98="","",SUMIFS('Cleans Log'!$O$5:$O$1004,'Cleans Log'!$C$5:$C$1004,$B98,'Cleans Log'!$R$5:$R$1004,$A98))</f>
        <v/>
      </c>
      <c r="I98" s="30" t="str">
        <f aca="false">IF($A98="","",$A98+7)</f>
        <v/>
      </c>
      <c r="J98" s="27" t="str">
        <f aca="true">IF($B98="","",IF($C98&lt;&gt;"","Paid",IF(TODAY()&gt;=$I98,"PAY NOW","Upcoming")))</f>
        <v/>
      </c>
    </row>
    <row r="99" customFormat="false" ht="15" hidden="false" customHeight="false" outlineLevel="0" collapsed="false">
      <c r="A99" s="22"/>
      <c r="B99" s="23"/>
      <c r="C99" s="22"/>
      <c r="D99" s="23"/>
      <c r="E99" s="23"/>
      <c r="F99" s="27" t="str">
        <f aca="false">IF($B99="","",IFERROR(INDEX(Cleaners!$B$5:$B$34,MATCH($B99,Cleaners!$A$5:$A$34,0)),"?"))</f>
        <v/>
      </c>
      <c r="G99" s="31" t="str">
        <f aca="false">IF($B99="","",COUNTIFS('Cleans Log'!$C$5:$C$1004,$B99,'Cleans Log'!$R$5:$R$1004,$A99,'Cleans Log'!$O$5:$O$1004,"&gt;0"))</f>
        <v/>
      </c>
      <c r="H99" s="28" t="str">
        <f aca="false">IF($B99="","",SUMIFS('Cleans Log'!$O$5:$O$1004,'Cleans Log'!$C$5:$C$1004,$B99,'Cleans Log'!$R$5:$R$1004,$A99))</f>
        <v/>
      </c>
      <c r="I99" s="30" t="str">
        <f aca="false">IF($A99="","",$A99+7)</f>
        <v/>
      </c>
      <c r="J99" s="27" t="str">
        <f aca="true">IF($B99="","",IF($C99&lt;&gt;"","Paid",IF(TODAY()&gt;=$I99,"PAY NOW","Upcoming")))</f>
        <v/>
      </c>
    </row>
    <row r="100" customFormat="false" ht="15" hidden="false" customHeight="false" outlineLevel="0" collapsed="false">
      <c r="A100" s="22"/>
      <c r="B100" s="23"/>
      <c r="C100" s="22"/>
      <c r="D100" s="23"/>
      <c r="E100" s="23"/>
      <c r="F100" s="27" t="str">
        <f aca="false">IF($B100="","",IFERROR(INDEX(Cleaners!$B$5:$B$34,MATCH($B100,Cleaners!$A$5:$A$34,0)),"?"))</f>
        <v/>
      </c>
      <c r="G100" s="31" t="str">
        <f aca="false">IF($B100="","",COUNTIFS('Cleans Log'!$C$5:$C$1004,$B100,'Cleans Log'!$R$5:$R$1004,$A100,'Cleans Log'!$O$5:$O$1004,"&gt;0"))</f>
        <v/>
      </c>
      <c r="H100" s="28" t="str">
        <f aca="false">IF($B100="","",SUMIFS('Cleans Log'!$O$5:$O$1004,'Cleans Log'!$C$5:$C$1004,$B100,'Cleans Log'!$R$5:$R$1004,$A100))</f>
        <v/>
      </c>
      <c r="I100" s="30" t="str">
        <f aca="false">IF($A100="","",$A100+7)</f>
        <v/>
      </c>
      <c r="J100" s="27" t="str">
        <f aca="true">IF($B100="","",IF($C100&lt;&gt;"","Paid",IF(TODAY()&gt;=$I100,"PAY NOW","Upcoming")))</f>
        <v/>
      </c>
    </row>
    <row r="101" customFormat="false" ht="15" hidden="false" customHeight="false" outlineLevel="0" collapsed="false">
      <c r="A101" s="22"/>
      <c r="B101" s="23"/>
      <c r="C101" s="22"/>
      <c r="D101" s="23"/>
      <c r="E101" s="23"/>
      <c r="F101" s="27" t="str">
        <f aca="false">IF($B101="","",IFERROR(INDEX(Cleaners!$B$5:$B$34,MATCH($B101,Cleaners!$A$5:$A$34,0)),"?"))</f>
        <v/>
      </c>
      <c r="G101" s="31" t="str">
        <f aca="false">IF($B101="","",COUNTIFS('Cleans Log'!$C$5:$C$1004,$B101,'Cleans Log'!$R$5:$R$1004,$A101,'Cleans Log'!$O$5:$O$1004,"&gt;0"))</f>
        <v/>
      </c>
      <c r="H101" s="28" t="str">
        <f aca="false">IF($B101="","",SUMIFS('Cleans Log'!$O$5:$O$1004,'Cleans Log'!$C$5:$C$1004,$B101,'Cleans Log'!$R$5:$R$1004,$A101))</f>
        <v/>
      </c>
      <c r="I101" s="30" t="str">
        <f aca="false">IF($A101="","",$A101+7)</f>
        <v/>
      </c>
      <c r="J101" s="27" t="str">
        <f aca="true">IF($B101="","",IF($C101&lt;&gt;"","Paid",IF(TODAY()&gt;=$I101,"PAY NOW","Upcoming")))</f>
        <v/>
      </c>
    </row>
    <row r="102" customFormat="false" ht="15" hidden="false" customHeight="false" outlineLevel="0" collapsed="false">
      <c r="A102" s="22"/>
      <c r="B102" s="23"/>
      <c r="C102" s="22"/>
      <c r="D102" s="23"/>
      <c r="E102" s="23"/>
      <c r="F102" s="27" t="str">
        <f aca="false">IF($B102="","",IFERROR(INDEX(Cleaners!$B$5:$B$34,MATCH($B102,Cleaners!$A$5:$A$34,0)),"?"))</f>
        <v/>
      </c>
      <c r="G102" s="31" t="str">
        <f aca="false">IF($B102="","",COUNTIFS('Cleans Log'!$C$5:$C$1004,$B102,'Cleans Log'!$R$5:$R$1004,$A102,'Cleans Log'!$O$5:$O$1004,"&gt;0"))</f>
        <v/>
      </c>
      <c r="H102" s="28" t="str">
        <f aca="false">IF($B102="","",SUMIFS('Cleans Log'!$O$5:$O$1004,'Cleans Log'!$C$5:$C$1004,$B102,'Cleans Log'!$R$5:$R$1004,$A102))</f>
        <v/>
      </c>
      <c r="I102" s="30" t="str">
        <f aca="false">IF($A102="","",$A102+7)</f>
        <v/>
      </c>
      <c r="J102" s="27" t="str">
        <f aca="true">IF($B102="","",IF($C102&lt;&gt;"","Paid",IF(TODAY()&gt;=$I102,"PAY NOW","Upcoming")))</f>
        <v/>
      </c>
    </row>
    <row r="103" customFormat="false" ht="15" hidden="false" customHeight="false" outlineLevel="0" collapsed="false">
      <c r="A103" s="22"/>
      <c r="B103" s="23"/>
      <c r="C103" s="22"/>
      <c r="D103" s="23"/>
      <c r="E103" s="23"/>
      <c r="F103" s="27" t="str">
        <f aca="false">IF($B103="","",IFERROR(INDEX(Cleaners!$B$5:$B$34,MATCH($B103,Cleaners!$A$5:$A$34,0)),"?"))</f>
        <v/>
      </c>
      <c r="G103" s="31" t="str">
        <f aca="false">IF($B103="","",COUNTIFS('Cleans Log'!$C$5:$C$1004,$B103,'Cleans Log'!$R$5:$R$1004,$A103,'Cleans Log'!$O$5:$O$1004,"&gt;0"))</f>
        <v/>
      </c>
      <c r="H103" s="28" t="str">
        <f aca="false">IF($B103="","",SUMIFS('Cleans Log'!$O$5:$O$1004,'Cleans Log'!$C$5:$C$1004,$B103,'Cleans Log'!$R$5:$R$1004,$A103))</f>
        <v/>
      </c>
      <c r="I103" s="30" t="str">
        <f aca="false">IF($A103="","",$A103+7)</f>
        <v/>
      </c>
      <c r="J103" s="27" t="str">
        <f aca="true">IF($B103="","",IF($C103&lt;&gt;"","Paid",IF(TODAY()&gt;=$I103,"PAY NOW","Upcoming")))</f>
        <v/>
      </c>
    </row>
    <row r="104" customFormat="false" ht="15" hidden="false" customHeight="false" outlineLevel="0" collapsed="false">
      <c r="A104" s="22"/>
      <c r="B104" s="23"/>
      <c r="C104" s="22"/>
      <c r="D104" s="23"/>
      <c r="E104" s="23"/>
      <c r="F104" s="27" t="str">
        <f aca="false">IF($B104="","",IFERROR(INDEX(Cleaners!$B$5:$B$34,MATCH($B104,Cleaners!$A$5:$A$34,0)),"?"))</f>
        <v/>
      </c>
      <c r="G104" s="31" t="str">
        <f aca="false">IF($B104="","",COUNTIFS('Cleans Log'!$C$5:$C$1004,$B104,'Cleans Log'!$R$5:$R$1004,$A104,'Cleans Log'!$O$5:$O$1004,"&gt;0"))</f>
        <v/>
      </c>
      <c r="H104" s="28" t="str">
        <f aca="false">IF($B104="","",SUMIFS('Cleans Log'!$O$5:$O$1004,'Cleans Log'!$C$5:$C$1004,$B104,'Cleans Log'!$R$5:$R$1004,$A104))</f>
        <v/>
      </c>
      <c r="I104" s="30" t="str">
        <f aca="false">IF($A104="","",$A104+7)</f>
        <v/>
      </c>
      <c r="J104" s="27" t="str">
        <f aca="true">IF($B104="","",IF($C104&lt;&gt;"","Paid",IF(TODAY()&gt;=$I104,"PAY NOW","Upcoming")))</f>
        <v/>
      </c>
    </row>
    <row r="105" customFormat="false" ht="15" hidden="false" customHeight="false" outlineLevel="0" collapsed="false">
      <c r="A105" s="22"/>
      <c r="B105" s="23"/>
      <c r="C105" s="22"/>
      <c r="D105" s="23"/>
      <c r="E105" s="23"/>
      <c r="F105" s="27" t="str">
        <f aca="false">IF($B105="","",IFERROR(INDEX(Cleaners!$B$5:$B$34,MATCH($B105,Cleaners!$A$5:$A$34,0)),"?"))</f>
        <v/>
      </c>
      <c r="G105" s="31" t="str">
        <f aca="false">IF($B105="","",COUNTIFS('Cleans Log'!$C$5:$C$1004,$B105,'Cleans Log'!$R$5:$R$1004,$A105,'Cleans Log'!$O$5:$O$1004,"&gt;0"))</f>
        <v/>
      </c>
      <c r="H105" s="28" t="str">
        <f aca="false">IF($B105="","",SUMIFS('Cleans Log'!$O$5:$O$1004,'Cleans Log'!$C$5:$C$1004,$B105,'Cleans Log'!$R$5:$R$1004,$A105))</f>
        <v/>
      </c>
      <c r="I105" s="30" t="str">
        <f aca="false">IF($A105="","",$A105+7)</f>
        <v/>
      </c>
      <c r="J105" s="27" t="str">
        <f aca="true">IF($B105="","",IF($C105&lt;&gt;"","Paid",IF(TODAY()&gt;=$I105,"PAY NOW","Upcoming")))</f>
        <v/>
      </c>
    </row>
    <row r="106" customFormat="false" ht="15" hidden="false" customHeight="false" outlineLevel="0" collapsed="false">
      <c r="A106" s="22"/>
      <c r="B106" s="23"/>
      <c r="C106" s="22"/>
      <c r="D106" s="23"/>
      <c r="E106" s="23"/>
      <c r="F106" s="27" t="str">
        <f aca="false">IF($B106="","",IFERROR(INDEX(Cleaners!$B$5:$B$34,MATCH($B106,Cleaners!$A$5:$A$34,0)),"?"))</f>
        <v/>
      </c>
      <c r="G106" s="31" t="str">
        <f aca="false">IF($B106="","",COUNTIFS('Cleans Log'!$C$5:$C$1004,$B106,'Cleans Log'!$R$5:$R$1004,$A106,'Cleans Log'!$O$5:$O$1004,"&gt;0"))</f>
        <v/>
      </c>
      <c r="H106" s="28" t="str">
        <f aca="false">IF($B106="","",SUMIFS('Cleans Log'!$O$5:$O$1004,'Cleans Log'!$C$5:$C$1004,$B106,'Cleans Log'!$R$5:$R$1004,$A106))</f>
        <v/>
      </c>
      <c r="I106" s="30" t="str">
        <f aca="false">IF($A106="","",$A106+7)</f>
        <v/>
      </c>
      <c r="J106" s="27" t="str">
        <f aca="true">IF($B106="","",IF($C106&lt;&gt;"","Paid",IF(TODAY()&gt;=$I106,"PAY NOW","Upcoming")))</f>
        <v/>
      </c>
    </row>
    <row r="107" customFormat="false" ht="15" hidden="false" customHeight="false" outlineLevel="0" collapsed="false">
      <c r="A107" s="22"/>
      <c r="B107" s="23"/>
      <c r="C107" s="22"/>
      <c r="D107" s="23"/>
      <c r="E107" s="23"/>
      <c r="F107" s="27" t="str">
        <f aca="false">IF($B107="","",IFERROR(INDEX(Cleaners!$B$5:$B$34,MATCH($B107,Cleaners!$A$5:$A$34,0)),"?"))</f>
        <v/>
      </c>
      <c r="G107" s="31" t="str">
        <f aca="false">IF($B107="","",COUNTIFS('Cleans Log'!$C$5:$C$1004,$B107,'Cleans Log'!$R$5:$R$1004,$A107,'Cleans Log'!$O$5:$O$1004,"&gt;0"))</f>
        <v/>
      </c>
      <c r="H107" s="28" t="str">
        <f aca="false">IF($B107="","",SUMIFS('Cleans Log'!$O$5:$O$1004,'Cleans Log'!$C$5:$C$1004,$B107,'Cleans Log'!$R$5:$R$1004,$A107))</f>
        <v/>
      </c>
      <c r="I107" s="30" t="str">
        <f aca="false">IF($A107="","",$A107+7)</f>
        <v/>
      </c>
      <c r="J107" s="27" t="str">
        <f aca="true">IF($B107="","",IF($C107&lt;&gt;"","Paid",IF(TODAY()&gt;=$I107,"PAY NOW","Upcoming")))</f>
        <v/>
      </c>
    </row>
    <row r="108" customFormat="false" ht="15" hidden="false" customHeight="false" outlineLevel="0" collapsed="false">
      <c r="A108" s="22"/>
      <c r="B108" s="23"/>
      <c r="C108" s="22"/>
      <c r="D108" s="23"/>
      <c r="E108" s="23"/>
      <c r="F108" s="27" t="str">
        <f aca="false">IF($B108="","",IFERROR(INDEX(Cleaners!$B$5:$B$34,MATCH($B108,Cleaners!$A$5:$A$34,0)),"?"))</f>
        <v/>
      </c>
      <c r="G108" s="31" t="str">
        <f aca="false">IF($B108="","",COUNTIFS('Cleans Log'!$C$5:$C$1004,$B108,'Cleans Log'!$R$5:$R$1004,$A108,'Cleans Log'!$O$5:$O$1004,"&gt;0"))</f>
        <v/>
      </c>
      <c r="H108" s="28" t="str">
        <f aca="false">IF($B108="","",SUMIFS('Cleans Log'!$O$5:$O$1004,'Cleans Log'!$C$5:$C$1004,$B108,'Cleans Log'!$R$5:$R$1004,$A108))</f>
        <v/>
      </c>
      <c r="I108" s="30" t="str">
        <f aca="false">IF($A108="","",$A108+7)</f>
        <v/>
      </c>
      <c r="J108" s="27" t="str">
        <f aca="true">IF($B108="","",IF($C108&lt;&gt;"","Paid",IF(TODAY()&gt;=$I108,"PAY NOW","Upcoming")))</f>
        <v/>
      </c>
    </row>
    <row r="109" customFormat="false" ht="15" hidden="false" customHeight="false" outlineLevel="0" collapsed="false">
      <c r="A109" s="22"/>
      <c r="B109" s="23"/>
      <c r="C109" s="22"/>
      <c r="D109" s="23"/>
      <c r="E109" s="23"/>
      <c r="F109" s="27" t="str">
        <f aca="false">IF($B109="","",IFERROR(INDEX(Cleaners!$B$5:$B$34,MATCH($B109,Cleaners!$A$5:$A$34,0)),"?"))</f>
        <v/>
      </c>
      <c r="G109" s="31" t="str">
        <f aca="false">IF($B109="","",COUNTIFS('Cleans Log'!$C$5:$C$1004,$B109,'Cleans Log'!$R$5:$R$1004,$A109,'Cleans Log'!$O$5:$O$1004,"&gt;0"))</f>
        <v/>
      </c>
      <c r="H109" s="28" t="str">
        <f aca="false">IF($B109="","",SUMIFS('Cleans Log'!$O$5:$O$1004,'Cleans Log'!$C$5:$C$1004,$B109,'Cleans Log'!$R$5:$R$1004,$A109))</f>
        <v/>
      </c>
      <c r="I109" s="30" t="str">
        <f aca="false">IF($A109="","",$A109+7)</f>
        <v/>
      </c>
      <c r="J109" s="27" t="str">
        <f aca="true">IF($B109="","",IF($C109&lt;&gt;"","Paid",IF(TODAY()&gt;=$I109,"PAY NOW","Upcoming")))</f>
        <v/>
      </c>
    </row>
    <row r="110" customFormat="false" ht="15" hidden="false" customHeight="false" outlineLevel="0" collapsed="false">
      <c r="A110" s="22"/>
      <c r="B110" s="23"/>
      <c r="C110" s="22"/>
      <c r="D110" s="23"/>
      <c r="E110" s="23"/>
      <c r="F110" s="27" t="str">
        <f aca="false">IF($B110="","",IFERROR(INDEX(Cleaners!$B$5:$B$34,MATCH($B110,Cleaners!$A$5:$A$34,0)),"?"))</f>
        <v/>
      </c>
      <c r="G110" s="31" t="str">
        <f aca="false">IF($B110="","",COUNTIFS('Cleans Log'!$C$5:$C$1004,$B110,'Cleans Log'!$R$5:$R$1004,$A110,'Cleans Log'!$O$5:$O$1004,"&gt;0"))</f>
        <v/>
      </c>
      <c r="H110" s="28" t="str">
        <f aca="false">IF($B110="","",SUMIFS('Cleans Log'!$O$5:$O$1004,'Cleans Log'!$C$5:$C$1004,$B110,'Cleans Log'!$R$5:$R$1004,$A110))</f>
        <v/>
      </c>
      <c r="I110" s="30" t="str">
        <f aca="false">IF($A110="","",$A110+7)</f>
        <v/>
      </c>
      <c r="J110" s="27" t="str">
        <f aca="true">IF($B110="","",IF($C110&lt;&gt;"","Paid",IF(TODAY()&gt;=$I110,"PAY NOW","Upcoming")))</f>
        <v/>
      </c>
    </row>
    <row r="111" customFormat="false" ht="15" hidden="false" customHeight="false" outlineLevel="0" collapsed="false">
      <c r="A111" s="22"/>
      <c r="B111" s="23"/>
      <c r="C111" s="22"/>
      <c r="D111" s="23"/>
      <c r="E111" s="23"/>
      <c r="F111" s="27" t="str">
        <f aca="false">IF($B111="","",IFERROR(INDEX(Cleaners!$B$5:$B$34,MATCH($B111,Cleaners!$A$5:$A$34,0)),"?"))</f>
        <v/>
      </c>
      <c r="G111" s="31" t="str">
        <f aca="false">IF($B111="","",COUNTIFS('Cleans Log'!$C$5:$C$1004,$B111,'Cleans Log'!$R$5:$R$1004,$A111,'Cleans Log'!$O$5:$O$1004,"&gt;0"))</f>
        <v/>
      </c>
      <c r="H111" s="28" t="str">
        <f aca="false">IF($B111="","",SUMIFS('Cleans Log'!$O$5:$O$1004,'Cleans Log'!$C$5:$C$1004,$B111,'Cleans Log'!$R$5:$R$1004,$A111))</f>
        <v/>
      </c>
      <c r="I111" s="30" t="str">
        <f aca="false">IF($A111="","",$A111+7)</f>
        <v/>
      </c>
      <c r="J111" s="27" t="str">
        <f aca="true">IF($B111="","",IF($C111&lt;&gt;"","Paid",IF(TODAY()&gt;=$I111,"PAY NOW","Upcoming")))</f>
        <v/>
      </c>
    </row>
    <row r="112" customFormat="false" ht="15" hidden="false" customHeight="false" outlineLevel="0" collapsed="false">
      <c r="A112" s="22"/>
      <c r="B112" s="23"/>
      <c r="C112" s="22"/>
      <c r="D112" s="23"/>
      <c r="E112" s="23"/>
      <c r="F112" s="27" t="str">
        <f aca="false">IF($B112="","",IFERROR(INDEX(Cleaners!$B$5:$B$34,MATCH($B112,Cleaners!$A$5:$A$34,0)),"?"))</f>
        <v/>
      </c>
      <c r="G112" s="31" t="str">
        <f aca="false">IF($B112="","",COUNTIFS('Cleans Log'!$C$5:$C$1004,$B112,'Cleans Log'!$R$5:$R$1004,$A112,'Cleans Log'!$O$5:$O$1004,"&gt;0"))</f>
        <v/>
      </c>
      <c r="H112" s="28" t="str">
        <f aca="false">IF($B112="","",SUMIFS('Cleans Log'!$O$5:$O$1004,'Cleans Log'!$C$5:$C$1004,$B112,'Cleans Log'!$R$5:$R$1004,$A112))</f>
        <v/>
      </c>
      <c r="I112" s="30" t="str">
        <f aca="false">IF($A112="","",$A112+7)</f>
        <v/>
      </c>
      <c r="J112" s="27" t="str">
        <f aca="true">IF($B112="","",IF($C112&lt;&gt;"","Paid",IF(TODAY()&gt;=$I112,"PAY NOW","Upcoming")))</f>
        <v/>
      </c>
    </row>
    <row r="113" customFormat="false" ht="15" hidden="false" customHeight="false" outlineLevel="0" collapsed="false">
      <c r="A113" s="22"/>
      <c r="B113" s="23"/>
      <c r="C113" s="22"/>
      <c r="D113" s="23"/>
      <c r="E113" s="23"/>
      <c r="F113" s="27" t="str">
        <f aca="false">IF($B113="","",IFERROR(INDEX(Cleaners!$B$5:$B$34,MATCH($B113,Cleaners!$A$5:$A$34,0)),"?"))</f>
        <v/>
      </c>
      <c r="G113" s="31" t="str">
        <f aca="false">IF($B113="","",COUNTIFS('Cleans Log'!$C$5:$C$1004,$B113,'Cleans Log'!$R$5:$R$1004,$A113,'Cleans Log'!$O$5:$O$1004,"&gt;0"))</f>
        <v/>
      </c>
      <c r="H113" s="28" t="str">
        <f aca="false">IF($B113="","",SUMIFS('Cleans Log'!$O$5:$O$1004,'Cleans Log'!$C$5:$C$1004,$B113,'Cleans Log'!$R$5:$R$1004,$A113))</f>
        <v/>
      </c>
      <c r="I113" s="30" t="str">
        <f aca="false">IF($A113="","",$A113+7)</f>
        <v/>
      </c>
      <c r="J113" s="27" t="str">
        <f aca="true">IF($B113="","",IF($C113&lt;&gt;"","Paid",IF(TODAY()&gt;=$I113,"PAY NOW","Upcoming")))</f>
        <v/>
      </c>
    </row>
    <row r="114" customFormat="false" ht="15" hidden="false" customHeight="false" outlineLevel="0" collapsed="false">
      <c r="A114" s="22"/>
      <c r="B114" s="23"/>
      <c r="C114" s="22"/>
      <c r="D114" s="23"/>
      <c r="E114" s="23"/>
      <c r="F114" s="27" t="str">
        <f aca="false">IF($B114="","",IFERROR(INDEX(Cleaners!$B$5:$B$34,MATCH($B114,Cleaners!$A$5:$A$34,0)),"?"))</f>
        <v/>
      </c>
      <c r="G114" s="31" t="str">
        <f aca="false">IF($B114="","",COUNTIFS('Cleans Log'!$C$5:$C$1004,$B114,'Cleans Log'!$R$5:$R$1004,$A114,'Cleans Log'!$O$5:$O$1004,"&gt;0"))</f>
        <v/>
      </c>
      <c r="H114" s="28" t="str">
        <f aca="false">IF($B114="","",SUMIFS('Cleans Log'!$O$5:$O$1004,'Cleans Log'!$C$5:$C$1004,$B114,'Cleans Log'!$R$5:$R$1004,$A114))</f>
        <v/>
      </c>
      <c r="I114" s="30" t="str">
        <f aca="false">IF($A114="","",$A114+7)</f>
        <v/>
      </c>
      <c r="J114" s="27" t="str">
        <f aca="true">IF($B114="","",IF($C114&lt;&gt;"","Paid",IF(TODAY()&gt;=$I114,"PAY NOW","Upcoming")))</f>
        <v/>
      </c>
    </row>
    <row r="115" customFormat="false" ht="15" hidden="false" customHeight="false" outlineLevel="0" collapsed="false">
      <c r="A115" s="22"/>
      <c r="B115" s="23"/>
      <c r="C115" s="22"/>
      <c r="D115" s="23"/>
      <c r="E115" s="23"/>
      <c r="F115" s="27" t="str">
        <f aca="false">IF($B115="","",IFERROR(INDEX(Cleaners!$B$5:$B$34,MATCH($B115,Cleaners!$A$5:$A$34,0)),"?"))</f>
        <v/>
      </c>
      <c r="G115" s="31" t="str">
        <f aca="false">IF($B115="","",COUNTIFS('Cleans Log'!$C$5:$C$1004,$B115,'Cleans Log'!$R$5:$R$1004,$A115,'Cleans Log'!$O$5:$O$1004,"&gt;0"))</f>
        <v/>
      </c>
      <c r="H115" s="28" t="str">
        <f aca="false">IF($B115="","",SUMIFS('Cleans Log'!$O$5:$O$1004,'Cleans Log'!$C$5:$C$1004,$B115,'Cleans Log'!$R$5:$R$1004,$A115))</f>
        <v/>
      </c>
      <c r="I115" s="30" t="str">
        <f aca="false">IF($A115="","",$A115+7)</f>
        <v/>
      </c>
      <c r="J115" s="27" t="str">
        <f aca="true">IF($B115="","",IF($C115&lt;&gt;"","Paid",IF(TODAY()&gt;=$I115,"PAY NOW","Upcoming")))</f>
        <v/>
      </c>
    </row>
    <row r="116" customFormat="false" ht="15" hidden="false" customHeight="false" outlineLevel="0" collapsed="false">
      <c r="A116" s="22"/>
      <c r="B116" s="23"/>
      <c r="C116" s="22"/>
      <c r="D116" s="23"/>
      <c r="E116" s="23"/>
      <c r="F116" s="27" t="str">
        <f aca="false">IF($B116="","",IFERROR(INDEX(Cleaners!$B$5:$B$34,MATCH($B116,Cleaners!$A$5:$A$34,0)),"?"))</f>
        <v/>
      </c>
      <c r="G116" s="31" t="str">
        <f aca="false">IF($B116="","",COUNTIFS('Cleans Log'!$C$5:$C$1004,$B116,'Cleans Log'!$R$5:$R$1004,$A116,'Cleans Log'!$O$5:$O$1004,"&gt;0"))</f>
        <v/>
      </c>
      <c r="H116" s="28" t="str">
        <f aca="false">IF($B116="","",SUMIFS('Cleans Log'!$O$5:$O$1004,'Cleans Log'!$C$5:$C$1004,$B116,'Cleans Log'!$R$5:$R$1004,$A116))</f>
        <v/>
      </c>
      <c r="I116" s="30" t="str">
        <f aca="false">IF($A116="","",$A116+7)</f>
        <v/>
      </c>
      <c r="J116" s="27" t="str">
        <f aca="true">IF($B116="","",IF($C116&lt;&gt;"","Paid",IF(TODAY()&gt;=$I116,"PAY NOW","Upcoming")))</f>
        <v/>
      </c>
    </row>
    <row r="117" customFormat="false" ht="15" hidden="false" customHeight="false" outlineLevel="0" collapsed="false">
      <c r="A117" s="22"/>
      <c r="B117" s="23"/>
      <c r="C117" s="22"/>
      <c r="D117" s="23"/>
      <c r="E117" s="23"/>
      <c r="F117" s="27" t="str">
        <f aca="false">IF($B117="","",IFERROR(INDEX(Cleaners!$B$5:$B$34,MATCH($B117,Cleaners!$A$5:$A$34,0)),"?"))</f>
        <v/>
      </c>
      <c r="G117" s="31" t="str">
        <f aca="false">IF($B117="","",COUNTIFS('Cleans Log'!$C$5:$C$1004,$B117,'Cleans Log'!$R$5:$R$1004,$A117,'Cleans Log'!$O$5:$O$1004,"&gt;0"))</f>
        <v/>
      </c>
      <c r="H117" s="28" t="str">
        <f aca="false">IF($B117="","",SUMIFS('Cleans Log'!$O$5:$O$1004,'Cleans Log'!$C$5:$C$1004,$B117,'Cleans Log'!$R$5:$R$1004,$A117))</f>
        <v/>
      </c>
      <c r="I117" s="30" t="str">
        <f aca="false">IF($A117="","",$A117+7)</f>
        <v/>
      </c>
      <c r="J117" s="27" t="str">
        <f aca="true">IF($B117="","",IF($C117&lt;&gt;"","Paid",IF(TODAY()&gt;=$I117,"PAY NOW","Upcoming")))</f>
        <v/>
      </c>
    </row>
    <row r="118" customFormat="false" ht="15" hidden="false" customHeight="false" outlineLevel="0" collapsed="false">
      <c r="A118" s="22"/>
      <c r="B118" s="23"/>
      <c r="C118" s="22"/>
      <c r="D118" s="23"/>
      <c r="E118" s="23"/>
      <c r="F118" s="27" t="str">
        <f aca="false">IF($B118="","",IFERROR(INDEX(Cleaners!$B$5:$B$34,MATCH($B118,Cleaners!$A$5:$A$34,0)),"?"))</f>
        <v/>
      </c>
      <c r="G118" s="31" t="str">
        <f aca="false">IF($B118="","",COUNTIFS('Cleans Log'!$C$5:$C$1004,$B118,'Cleans Log'!$R$5:$R$1004,$A118,'Cleans Log'!$O$5:$O$1004,"&gt;0"))</f>
        <v/>
      </c>
      <c r="H118" s="28" t="str">
        <f aca="false">IF($B118="","",SUMIFS('Cleans Log'!$O$5:$O$1004,'Cleans Log'!$C$5:$C$1004,$B118,'Cleans Log'!$R$5:$R$1004,$A118))</f>
        <v/>
      </c>
      <c r="I118" s="30" t="str">
        <f aca="false">IF($A118="","",$A118+7)</f>
        <v/>
      </c>
      <c r="J118" s="27" t="str">
        <f aca="true">IF($B118="","",IF($C118&lt;&gt;"","Paid",IF(TODAY()&gt;=$I118,"PAY NOW","Upcoming")))</f>
        <v/>
      </c>
    </row>
    <row r="119" customFormat="false" ht="15" hidden="false" customHeight="false" outlineLevel="0" collapsed="false">
      <c r="A119" s="22"/>
      <c r="B119" s="23"/>
      <c r="C119" s="22"/>
      <c r="D119" s="23"/>
      <c r="E119" s="23"/>
      <c r="F119" s="27" t="str">
        <f aca="false">IF($B119="","",IFERROR(INDEX(Cleaners!$B$5:$B$34,MATCH($B119,Cleaners!$A$5:$A$34,0)),"?"))</f>
        <v/>
      </c>
      <c r="G119" s="31" t="str">
        <f aca="false">IF($B119="","",COUNTIFS('Cleans Log'!$C$5:$C$1004,$B119,'Cleans Log'!$R$5:$R$1004,$A119,'Cleans Log'!$O$5:$O$1004,"&gt;0"))</f>
        <v/>
      </c>
      <c r="H119" s="28" t="str">
        <f aca="false">IF($B119="","",SUMIFS('Cleans Log'!$O$5:$O$1004,'Cleans Log'!$C$5:$C$1004,$B119,'Cleans Log'!$R$5:$R$1004,$A119))</f>
        <v/>
      </c>
      <c r="I119" s="30" t="str">
        <f aca="false">IF($A119="","",$A119+7)</f>
        <v/>
      </c>
      <c r="J119" s="27" t="str">
        <f aca="true">IF($B119="","",IF($C119&lt;&gt;"","Paid",IF(TODAY()&gt;=$I119,"PAY NOW","Upcoming")))</f>
        <v/>
      </c>
    </row>
    <row r="120" customFormat="false" ht="15" hidden="false" customHeight="false" outlineLevel="0" collapsed="false">
      <c r="A120" s="22"/>
      <c r="B120" s="23"/>
      <c r="C120" s="22"/>
      <c r="D120" s="23"/>
      <c r="E120" s="23"/>
      <c r="F120" s="27" t="str">
        <f aca="false">IF($B120="","",IFERROR(INDEX(Cleaners!$B$5:$B$34,MATCH($B120,Cleaners!$A$5:$A$34,0)),"?"))</f>
        <v/>
      </c>
      <c r="G120" s="31" t="str">
        <f aca="false">IF($B120="","",COUNTIFS('Cleans Log'!$C$5:$C$1004,$B120,'Cleans Log'!$R$5:$R$1004,$A120,'Cleans Log'!$O$5:$O$1004,"&gt;0"))</f>
        <v/>
      </c>
      <c r="H120" s="28" t="str">
        <f aca="false">IF($B120="","",SUMIFS('Cleans Log'!$O$5:$O$1004,'Cleans Log'!$C$5:$C$1004,$B120,'Cleans Log'!$R$5:$R$1004,$A120))</f>
        <v/>
      </c>
      <c r="I120" s="30" t="str">
        <f aca="false">IF($A120="","",$A120+7)</f>
        <v/>
      </c>
      <c r="J120" s="27" t="str">
        <f aca="true">IF($B120="","",IF($C120&lt;&gt;"","Paid",IF(TODAY()&gt;=$I120,"PAY NOW","Upcoming")))</f>
        <v/>
      </c>
    </row>
    <row r="121" customFormat="false" ht="15" hidden="false" customHeight="false" outlineLevel="0" collapsed="false">
      <c r="A121" s="22"/>
      <c r="B121" s="23"/>
      <c r="C121" s="22"/>
      <c r="D121" s="23"/>
      <c r="E121" s="23"/>
      <c r="F121" s="27" t="str">
        <f aca="false">IF($B121="","",IFERROR(INDEX(Cleaners!$B$5:$B$34,MATCH($B121,Cleaners!$A$5:$A$34,0)),"?"))</f>
        <v/>
      </c>
      <c r="G121" s="31" t="str">
        <f aca="false">IF($B121="","",COUNTIFS('Cleans Log'!$C$5:$C$1004,$B121,'Cleans Log'!$R$5:$R$1004,$A121,'Cleans Log'!$O$5:$O$1004,"&gt;0"))</f>
        <v/>
      </c>
      <c r="H121" s="28" t="str">
        <f aca="false">IF($B121="","",SUMIFS('Cleans Log'!$O$5:$O$1004,'Cleans Log'!$C$5:$C$1004,$B121,'Cleans Log'!$R$5:$R$1004,$A121))</f>
        <v/>
      </c>
      <c r="I121" s="30" t="str">
        <f aca="false">IF($A121="","",$A121+7)</f>
        <v/>
      </c>
      <c r="J121" s="27" t="str">
        <f aca="true">IF($B121="","",IF($C121&lt;&gt;"","Paid",IF(TODAY()&gt;=$I121,"PAY NOW","Upcoming")))</f>
        <v/>
      </c>
    </row>
    <row r="122" customFormat="false" ht="15" hidden="false" customHeight="false" outlineLevel="0" collapsed="false">
      <c r="A122" s="22"/>
      <c r="B122" s="23"/>
      <c r="C122" s="22"/>
      <c r="D122" s="23"/>
      <c r="E122" s="23"/>
      <c r="F122" s="27" t="str">
        <f aca="false">IF($B122="","",IFERROR(INDEX(Cleaners!$B$5:$B$34,MATCH($B122,Cleaners!$A$5:$A$34,0)),"?"))</f>
        <v/>
      </c>
      <c r="G122" s="31" t="str">
        <f aca="false">IF($B122="","",COUNTIFS('Cleans Log'!$C$5:$C$1004,$B122,'Cleans Log'!$R$5:$R$1004,$A122,'Cleans Log'!$O$5:$O$1004,"&gt;0"))</f>
        <v/>
      </c>
      <c r="H122" s="28" t="str">
        <f aca="false">IF($B122="","",SUMIFS('Cleans Log'!$O$5:$O$1004,'Cleans Log'!$C$5:$C$1004,$B122,'Cleans Log'!$R$5:$R$1004,$A122))</f>
        <v/>
      </c>
      <c r="I122" s="30" t="str">
        <f aca="false">IF($A122="","",$A122+7)</f>
        <v/>
      </c>
      <c r="J122" s="27" t="str">
        <f aca="true">IF($B122="","",IF($C122&lt;&gt;"","Paid",IF(TODAY()&gt;=$I122,"PAY NOW","Upcoming")))</f>
        <v/>
      </c>
    </row>
    <row r="123" customFormat="false" ht="15" hidden="false" customHeight="false" outlineLevel="0" collapsed="false">
      <c r="A123" s="22"/>
      <c r="B123" s="23"/>
      <c r="C123" s="22"/>
      <c r="D123" s="23"/>
      <c r="E123" s="23"/>
      <c r="F123" s="27" t="str">
        <f aca="false">IF($B123="","",IFERROR(INDEX(Cleaners!$B$5:$B$34,MATCH($B123,Cleaners!$A$5:$A$34,0)),"?"))</f>
        <v/>
      </c>
      <c r="G123" s="31" t="str">
        <f aca="false">IF($B123="","",COUNTIFS('Cleans Log'!$C$5:$C$1004,$B123,'Cleans Log'!$R$5:$R$1004,$A123,'Cleans Log'!$O$5:$O$1004,"&gt;0"))</f>
        <v/>
      </c>
      <c r="H123" s="28" t="str">
        <f aca="false">IF($B123="","",SUMIFS('Cleans Log'!$O$5:$O$1004,'Cleans Log'!$C$5:$C$1004,$B123,'Cleans Log'!$R$5:$R$1004,$A123))</f>
        <v/>
      </c>
      <c r="I123" s="30" t="str">
        <f aca="false">IF($A123="","",$A123+7)</f>
        <v/>
      </c>
      <c r="J123" s="27" t="str">
        <f aca="true">IF($B123="","",IF($C123&lt;&gt;"","Paid",IF(TODAY()&gt;=$I123,"PAY NOW","Upcoming")))</f>
        <v/>
      </c>
    </row>
    <row r="124" customFormat="false" ht="15" hidden="false" customHeight="false" outlineLevel="0" collapsed="false">
      <c r="A124" s="22"/>
      <c r="B124" s="23"/>
      <c r="C124" s="22"/>
      <c r="D124" s="23"/>
      <c r="E124" s="23"/>
      <c r="F124" s="27" t="str">
        <f aca="false">IF($B124="","",IFERROR(INDEX(Cleaners!$B$5:$B$34,MATCH($B124,Cleaners!$A$5:$A$34,0)),"?"))</f>
        <v/>
      </c>
      <c r="G124" s="31" t="str">
        <f aca="false">IF($B124="","",COUNTIFS('Cleans Log'!$C$5:$C$1004,$B124,'Cleans Log'!$R$5:$R$1004,$A124,'Cleans Log'!$O$5:$O$1004,"&gt;0"))</f>
        <v/>
      </c>
      <c r="H124" s="28" t="str">
        <f aca="false">IF($B124="","",SUMIFS('Cleans Log'!$O$5:$O$1004,'Cleans Log'!$C$5:$C$1004,$B124,'Cleans Log'!$R$5:$R$1004,$A124))</f>
        <v/>
      </c>
      <c r="I124" s="30" t="str">
        <f aca="false">IF($A124="","",$A124+7)</f>
        <v/>
      </c>
      <c r="J124" s="27" t="str">
        <f aca="true">IF($B124="","",IF($C124&lt;&gt;"","Paid",IF(TODAY()&gt;=$I124,"PAY NOW","Upcoming")))</f>
        <v/>
      </c>
    </row>
    <row r="125" customFormat="false" ht="15" hidden="false" customHeight="false" outlineLevel="0" collapsed="false">
      <c r="A125" s="22"/>
      <c r="B125" s="23"/>
      <c r="C125" s="22"/>
      <c r="D125" s="23"/>
      <c r="E125" s="23"/>
      <c r="F125" s="27" t="str">
        <f aca="false">IF($B125="","",IFERROR(INDEX(Cleaners!$B$5:$B$34,MATCH($B125,Cleaners!$A$5:$A$34,0)),"?"))</f>
        <v/>
      </c>
      <c r="G125" s="31" t="str">
        <f aca="false">IF($B125="","",COUNTIFS('Cleans Log'!$C$5:$C$1004,$B125,'Cleans Log'!$R$5:$R$1004,$A125,'Cleans Log'!$O$5:$O$1004,"&gt;0"))</f>
        <v/>
      </c>
      <c r="H125" s="28" t="str">
        <f aca="false">IF($B125="","",SUMIFS('Cleans Log'!$O$5:$O$1004,'Cleans Log'!$C$5:$C$1004,$B125,'Cleans Log'!$R$5:$R$1004,$A125))</f>
        <v/>
      </c>
      <c r="I125" s="30" t="str">
        <f aca="false">IF($A125="","",$A125+7)</f>
        <v/>
      </c>
      <c r="J125" s="27" t="str">
        <f aca="true">IF($B125="","",IF($C125&lt;&gt;"","Paid",IF(TODAY()&gt;=$I125,"PAY NOW","Upcoming")))</f>
        <v/>
      </c>
    </row>
    <row r="126" customFormat="false" ht="15" hidden="false" customHeight="false" outlineLevel="0" collapsed="false">
      <c r="A126" s="22"/>
      <c r="B126" s="23"/>
      <c r="C126" s="22"/>
      <c r="D126" s="23"/>
      <c r="E126" s="23"/>
      <c r="F126" s="27" t="str">
        <f aca="false">IF($B126="","",IFERROR(INDEX(Cleaners!$B$5:$B$34,MATCH($B126,Cleaners!$A$5:$A$34,0)),"?"))</f>
        <v/>
      </c>
      <c r="G126" s="31" t="str">
        <f aca="false">IF($B126="","",COUNTIFS('Cleans Log'!$C$5:$C$1004,$B126,'Cleans Log'!$R$5:$R$1004,$A126,'Cleans Log'!$O$5:$O$1004,"&gt;0"))</f>
        <v/>
      </c>
      <c r="H126" s="28" t="str">
        <f aca="false">IF($B126="","",SUMIFS('Cleans Log'!$O$5:$O$1004,'Cleans Log'!$C$5:$C$1004,$B126,'Cleans Log'!$R$5:$R$1004,$A126))</f>
        <v/>
      </c>
      <c r="I126" s="30" t="str">
        <f aca="false">IF($A126="","",$A126+7)</f>
        <v/>
      </c>
      <c r="J126" s="27" t="str">
        <f aca="true">IF($B126="","",IF($C126&lt;&gt;"","Paid",IF(TODAY()&gt;=$I126,"PAY NOW","Upcoming")))</f>
        <v/>
      </c>
    </row>
    <row r="127" customFormat="false" ht="15" hidden="false" customHeight="false" outlineLevel="0" collapsed="false">
      <c r="A127" s="22"/>
      <c r="B127" s="23"/>
      <c r="C127" s="22"/>
      <c r="D127" s="23"/>
      <c r="E127" s="23"/>
      <c r="F127" s="27" t="str">
        <f aca="false">IF($B127="","",IFERROR(INDEX(Cleaners!$B$5:$B$34,MATCH($B127,Cleaners!$A$5:$A$34,0)),"?"))</f>
        <v/>
      </c>
      <c r="G127" s="31" t="str">
        <f aca="false">IF($B127="","",COUNTIFS('Cleans Log'!$C$5:$C$1004,$B127,'Cleans Log'!$R$5:$R$1004,$A127,'Cleans Log'!$O$5:$O$1004,"&gt;0"))</f>
        <v/>
      </c>
      <c r="H127" s="28" t="str">
        <f aca="false">IF($B127="","",SUMIFS('Cleans Log'!$O$5:$O$1004,'Cleans Log'!$C$5:$C$1004,$B127,'Cleans Log'!$R$5:$R$1004,$A127))</f>
        <v/>
      </c>
      <c r="I127" s="30" t="str">
        <f aca="false">IF($A127="","",$A127+7)</f>
        <v/>
      </c>
      <c r="J127" s="27" t="str">
        <f aca="true">IF($B127="","",IF($C127&lt;&gt;"","Paid",IF(TODAY()&gt;=$I127,"PAY NOW","Upcoming")))</f>
        <v/>
      </c>
    </row>
    <row r="128" customFormat="false" ht="15" hidden="false" customHeight="false" outlineLevel="0" collapsed="false">
      <c r="A128" s="22"/>
      <c r="B128" s="23"/>
      <c r="C128" s="22"/>
      <c r="D128" s="23"/>
      <c r="E128" s="23"/>
      <c r="F128" s="27" t="str">
        <f aca="false">IF($B128="","",IFERROR(INDEX(Cleaners!$B$5:$B$34,MATCH($B128,Cleaners!$A$5:$A$34,0)),"?"))</f>
        <v/>
      </c>
      <c r="G128" s="31" t="str">
        <f aca="false">IF($B128="","",COUNTIFS('Cleans Log'!$C$5:$C$1004,$B128,'Cleans Log'!$R$5:$R$1004,$A128,'Cleans Log'!$O$5:$O$1004,"&gt;0"))</f>
        <v/>
      </c>
      <c r="H128" s="28" t="str">
        <f aca="false">IF($B128="","",SUMIFS('Cleans Log'!$O$5:$O$1004,'Cleans Log'!$C$5:$C$1004,$B128,'Cleans Log'!$R$5:$R$1004,$A128))</f>
        <v/>
      </c>
      <c r="I128" s="30" t="str">
        <f aca="false">IF($A128="","",$A128+7)</f>
        <v/>
      </c>
      <c r="J128" s="27" t="str">
        <f aca="true">IF($B128="","",IF($C128&lt;&gt;"","Paid",IF(TODAY()&gt;=$I128,"PAY NOW","Upcoming")))</f>
        <v/>
      </c>
    </row>
    <row r="129" customFormat="false" ht="15" hidden="false" customHeight="false" outlineLevel="0" collapsed="false">
      <c r="A129" s="22"/>
      <c r="B129" s="23"/>
      <c r="C129" s="22"/>
      <c r="D129" s="23"/>
      <c r="E129" s="23"/>
      <c r="F129" s="27" t="str">
        <f aca="false">IF($B129="","",IFERROR(INDEX(Cleaners!$B$5:$B$34,MATCH($B129,Cleaners!$A$5:$A$34,0)),"?"))</f>
        <v/>
      </c>
      <c r="G129" s="31" t="str">
        <f aca="false">IF($B129="","",COUNTIFS('Cleans Log'!$C$5:$C$1004,$B129,'Cleans Log'!$R$5:$R$1004,$A129,'Cleans Log'!$O$5:$O$1004,"&gt;0"))</f>
        <v/>
      </c>
      <c r="H129" s="28" t="str">
        <f aca="false">IF($B129="","",SUMIFS('Cleans Log'!$O$5:$O$1004,'Cleans Log'!$C$5:$C$1004,$B129,'Cleans Log'!$R$5:$R$1004,$A129))</f>
        <v/>
      </c>
      <c r="I129" s="30" t="str">
        <f aca="false">IF($A129="","",$A129+7)</f>
        <v/>
      </c>
      <c r="J129" s="27" t="str">
        <f aca="true">IF($B129="","",IF($C129&lt;&gt;"","Paid",IF(TODAY()&gt;=$I129,"PAY NOW","Upcoming")))</f>
        <v/>
      </c>
    </row>
    <row r="130" customFormat="false" ht="15" hidden="false" customHeight="false" outlineLevel="0" collapsed="false">
      <c r="A130" s="22"/>
      <c r="B130" s="23"/>
      <c r="C130" s="22"/>
      <c r="D130" s="23"/>
      <c r="E130" s="23"/>
      <c r="F130" s="27" t="str">
        <f aca="false">IF($B130="","",IFERROR(INDEX(Cleaners!$B$5:$B$34,MATCH($B130,Cleaners!$A$5:$A$34,0)),"?"))</f>
        <v/>
      </c>
      <c r="G130" s="31" t="str">
        <f aca="false">IF($B130="","",COUNTIFS('Cleans Log'!$C$5:$C$1004,$B130,'Cleans Log'!$R$5:$R$1004,$A130,'Cleans Log'!$O$5:$O$1004,"&gt;0"))</f>
        <v/>
      </c>
      <c r="H130" s="28" t="str">
        <f aca="false">IF($B130="","",SUMIFS('Cleans Log'!$O$5:$O$1004,'Cleans Log'!$C$5:$C$1004,$B130,'Cleans Log'!$R$5:$R$1004,$A130))</f>
        <v/>
      </c>
      <c r="I130" s="30" t="str">
        <f aca="false">IF($A130="","",$A130+7)</f>
        <v/>
      </c>
      <c r="J130" s="27" t="str">
        <f aca="true">IF($B130="","",IF($C130&lt;&gt;"","Paid",IF(TODAY()&gt;=$I130,"PAY NOW","Upcoming")))</f>
        <v/>
      </c>
    </row>
    <row r="131" customFormat="false" ht="15" hidden="false" customHeight="false" outlineLevel="0" collapsed="false">
      <c r="A131" s="22"/>
      <c r="B131" s="23"/>
      <c r="C131" s="22"/>
      <c r="D131" s="23"/>
      <c r="E131" s="23"/>
      <c r="F131" s="27" t="str">
        <f aca="false">IF($B131="","",IFERROR(INDEX(Cleaners!$B$5:$B$34,MATCH($B131,Cleaners!$A$5:$A$34,0)),"?"))</f>
        <v/>
      </c>
      <c r="G131" s="31" t="str">
        <f aca="false">IF($B131="","",COUNTIFS('Cleans Log'!$C$5:$C$1004,$B131,'Cleans Log'!$R$5:$R$1004,$A131,'Cleans Log'!$O$5:$O$1004,"&gt;0"))</f>
        <v/>
      </c>
      <c r="H131" s="28" t="str">
        <f aca="false">IF($B131="","",SUMIFS('Cleans Log'!$O$5:$O$1004,'Cleans Log'!$C$5:$C$1004,$B131,'Cleans Log'!$R$5:$R$1004,$A131))</f>
        <v/>
      </c>
      <c r="I131" s="30" t="str">
        <f aca="false">IF($A131="","",$A131+7)</f>
        <v/>
      </c>
      <c r="J131" s="27" t="str">
        <f aca="true">IF($B131="","",IF($C131&lt;&gt;"","Paid",IF(TODAY()&gt;=$I131,"PAY NOW","Upcoming")))</f>
        <v/>
      </c>
    </row>
    <row r="132" customFormat="false" ht="15" hidden="false" customHeight="false" outlineLevel="0" collapsed="false">
      <c r="A132" s="22"/>
      <c r="B132" s="23"/>
      <c r="C132" s="22"/>
      <c r="D132" s="23"/>
      <c r="E132" s="23"/>
      <c r="F132" s="27" t="str">
        <f aca="false">IF($B132="","",IFERROR(INDEX(Cleaners!$B$5:$B$34,MATCH($B132,Cleaners!$A$5:$A$34,0)),"?"))</f>
        <v/>
      </c>
      <c r="G132" s="31" t="str">
        <f aca="false">IF($B132="","",COUNTIFS('Cleans Log'!$C$5:$C$1004,$B132,'Cleans Log'!$R$5:$R$1004,$A132,'Cleans Log'!$O$5:$O$1004,"&gt;0"))</f>
        <v/>
      </c>
      <c r="H132" s="28" t="str">
        <f aca="false">IF($B132="","",SUMIFS('Cleans Log'!$O$5:$O$1004,'Cleans Log'!$C$5:$C$1004,$B132,'Cleans Log'!$R$5:$R$1004,$A132))</f>
        <v/>
      </c>
      <c r="I132" s="30" t="str">
        <f aca="false">IF($A132="","",$A132+7)</f>
        <v/>
      </c>
      <c r="J132" s="27" t="str">
        <f aca="true">IF($B132="","",IF($C132&lt;&gt;"","Paid",IF(TODAY()&gt;=$I132,"PAY NOW","Upcoming")))</f>
        <v/>
      </c>
    </row>
    <row r="133" customFormat="false" ht="15" hidden="false" customHeight="false" outlineLevel="0" collapsed="false">
      <c r="A133" s="22"/>
      <c r="B133" s="23"/>
      <c r="C133" s="22"/>
      <c r="D133" s="23"/>
      <c r="E133" s="23"/>
      <c r="F133" s="27" t="str">
        <f aca="false">IF($B133="","",IFERROR(INDEX(Cleaners!$B$5:$B$34,MATCH($B133,Cleaners!$A$5:$A$34,0)),"?"))</f>
        <v/>
      </c>
      <c r="G133" s="31" t="str">
        <f aca="false">IF($B133="","",COUNTIFS('Cleans Log'!$C$5:$C$1004,$B133,'Cleans Log'!$R$5:$R$1004,$A133,'Cleans Log'!$O$5:$O$1004,"&gt;0"))</f>
        <v/>
      </c>
      <c r="H133" s="28" t="str">
        <f aca="false">IF($B133="","",SUMIFS('Cleans Log'!$O$5:$O$1004,'Cleans Log'!$C$5:$C$1004,$B133,'Cleans Log'!$R$5:$R$1004,$A133))</f>
        <v/>
      </c>
      <c r="I133" s="30" t="str">
        <f aca="false">IF($A133="","",$A133+7)</f>
        <v/>
      </c>
      <c r="J133" s="27" t="str">
        <f aca="true">IF($B133="","",IF($C133&lt;&gt;"","Paid",IF(TODAY()&gt;=$I133,"PAY NOW","Upcoming")))</f>
        <v/>
      </c>
    </row>
    <row r="134" customFormat="false" ht="15" hidden="false" customHeight="false" outlineLevel="0" collapsed="false">
      <c r="A134" s="22"/>
      <c r="B134" s="23"/>
      <c r="C134" s="22"/>
      <c r="D134" s="23"/>
      <c r="E134" s="23"/>
      <c r="F134" s="27" t="str">
        <f aca="false">IF($B134="","",IFERROR(INDEX(Cleaners!$B$5:$B$34,MATCH($B134,Cleaners!$A$5:$A$34,0)),"?"))</f>
        <v/>
      </c>
      <c r="G134" s="31" t="str">
        <f aca="false">IF($B134="","",COUNTIFS('Cleans Log'!$C$5:$C$1004,$B134,'Cleans Log'!$R$5:$R$1004,$A134,'Cleans Log'!$O$5:$O$1004,"&gt;0"))</f>
        <v/>
      </c>
      <c r="H134" s="28" t="str">
        <f aca="false">IF($B134="","",SUMIFS('Cleans Log'!$O$5:$O$1004,'Cleans Log'!$C$5:$C$1004,$B134,'Cleans Log'!$R$5:$R$1004,$A134))</f>
        <v/>
      </c>
      <c r="I134" s="30" t="str">
        <f aca="false">IF($A134="","",$A134+7)</f>
        <v/>
      </c>
      <c r="J134" s="27" t="str">
        <f aca="true">IF($B134="","",IF($C134&lt;&gt;"","Paid",IF(TODAY()&gt;=$I134,"PAY NOW","Upcoming")))</f>
        <v/>
      </c>
    </row>
    <row r="135" customFormat="false" ht="15" hidden="false" customHeight="false" outlineLevel="0" collapsed="false">
      <c r="A135" s="22"/>
      <c r="B135" s="23"/>
      <c r="C135" s="22"/>
      <c r="D135" s="23"/>
      <c r="E135" s="23"/>
      <c r="F135" s="27" t="str">
        <f aca="false">IF($B135="","",IFERROR(INDEX(Cleaners!$B$5:$B$34,MATCH($B135,Cleaners!$A$5:$A$34,0)),"?"))</f>
        <v/>
      </c>
      <c r="G135" s="31" t="str">
        <f aca="false">IF($B135="","",COUNTIFS('Cleans Log'!$C$5:$C$1004,$B135,'Cleans Log'!$R$5:$R$1004,$A135,'Cleans Log'!$O$5:$O$1004,"&gt;0"))</f>
        <v/>
      </c>
      <c r="H135" s="28" t="str">
        <f aca="false">IF($B135="","",SUMIFS('Cleans Log'!$O$5:$O$1004,'Cleans Log'!$C$5:$C$1004,$B135,'Cleans Log'!$R$5:$R$1004,$A135))</f>
        <v/>
      </c>
      <c r="I135" s="30" t="str">
        <f aca="false">IF($A135="","",$A135+7)</f>
        <v/>
      </c>
      <c r="J135" s="27" t="str">
        <f aca="true">IF($B135="","",IF($C135&lt;&gt;"","Paid",IF(TODAY()&gt;=$I135,"PAY NOW","Upcoming")))</f>
        <v/>
      </c>
    </row>
    <row r="136" customFormat="false" ht="15" hidden="false" customHeight="false" outlineLevel="0" collapsed="false">
      <c r="A136" s="22"/>
      <c r="B136" s="23"/>
      <c r="C136" s="22"/>
      <c r="D136" s="23"/>
      <c r="E136" s="23"/>
      <c r="F136" s="27" t="str">
        <f aca="false">IF($B136="","",IFERROR(INDEX(Cleaners!$B$5:$B$34,MATCH($B136,Cleaners!$A$5:$A$34,0)),"?"))</f>
        <v/>
      </c>
      <c r="G136" s="31" t="str">
        <f aca="false">IF($B136="","",COUNTIFS('Cleans Log'!$C$5:$C$1004,$B136,'Cleans Log'!$R$5:$R$1004,$A136,'Cleans Log'!$O$5:$O$1004,"&gt;0"))</f>
        <v/>
      </c>
      <c r="H136" s="28" t="str">
        <f aca="false">IF($B136="","",SUMIFS('Cleans Log'!$O$5:$O$1004,'Cleans Log'!$C$5:$C$1004,$B136,'Cleans Log'!$R$5:$R$1004,$A136))</f>
        <v/>
      </c>
      <c r="I136" s="30" t="str">
        <f aca="false">IF($A136="","",$A136+7)</f>
        <v/>
      </c>
      <c r="J136" s="27" t="str">
        <f aca="true">IF($B136="","",IF($C136&lt;&gt;"","Paid",IF(TODAY()&gt;=$I136,"PAY NOW","Upcoming")))</f>
        <v/>
      </c>
    </row>
    <row r="137" customFormat="false" ht="15" hidden="false" customHeight="false" outlineLevel="0" collapsed="false">
      <c r="A137" s="22"/>
      <c r="B137" s="23"/>
      <c r="C137" s="22"/>
      <c r="D137" s="23"/>
      <c r="E137" s="23"/>
      <c r="F137" s="27" t="str">
        <f aca="false">IF($B137="","",IFERROR(INDEX(Cleaners!$B$5:$B$34,MATCH($B137,Cleaners!$A$5:$A$34,0)),"?"))</f>
        <v/>
      </c>
      <c r="G137" s="31" t="str">
        <f aca="false">IF($B137="","",COUNTIFS('Cleans Log'!$C$5:$C$1004,$B137,'Cleans Log'!$R$5:$R$1004,$A137,'Cleans Log'!$O$5:$O$1004,"&gt;0"))</f>
        <v/>
      </c>
      <c r="H137" s="28" t="str">
        <f aca="false">IF($B137="","",SUMIFS('Cleans Log'!$O$5:$O$1004,'Cleans Log'!$C$5:$C$1004,$B137,'Cleans Log'!$R$5:$R$1004,$A137))</f>
        <v/>
      </c>
      <c r="I137" s="30" t="str">
        <f aca="false">IF($A137="","",$A137+7)</f>
        <v/>
      </c>
      <c r="J137" s="27" t="str">
        <f aca="true">IF($B137="","",IF($C137&lt;&gt;"","Paid",IF(TODAY()&gt;=$I137,"PAY NOW","Upcoming")))</f>
        <v/>
      </c>
    </row>
    <row r="138" customFormat="false" ht="15" hidden="false" customHeight="false" outlineLevel="0" collapsed="false">
      <c r="A138" s="22"/>
      <c r="B138" s="23"/>
      <c r="C138" s="22"/>
      <c r="D138" s="23"/>
      <c r="E138" s="23"/>
      <c r="F138" s="27" t="str">
        <f aca="false">IF($B138="","",IFERROR(INDEX(Cleaners!$B$5:$B$34,MATCH($B138,Cleaners!$A$5:$A$34,0)),"?"))</f>
        <v/>
      </c>
      <c r="G138" s="31" t="str">
        <f aca="false">IF($B138="","",COUNTIFS('Cleans Log'!$C$5:$C$1004,$B138,'Cleans Log'!$R$5:$R$1004,$A138,'Cleans Log'!$O$5:$O$1004,"&gt;0"))</f>
        <v/>
      </c>
      <c r="H138" s="28" t="str">
        <f aca="false">IF($B138="","",SUMIFS('Cleans Log'!$O$5:$O$1004,'Cleans Log'!$C$5:$C$1004,$B138,'Cleans Log'!$R$5:$R$1004,$A138))</f>
        <v/>
      </c>
      <c r="I138" s="30" t="str">
        <f aca="false">IF($A138="","",$A138+7)</f>
        <v/>
      </c>
      <c r="J138" s="27" t="str">
        <f aca="true">IF($B138="","",IF($C138&lt;&gt;"","Paid",IF(TODAY()&gt;=$I138,"PAY NOW","Upcoming")))</f>
        <v/>
      </c>
    </row>
    <row r="139" customFormat="false" ht="15" hidden="false" customHeight="false" outlineLevel="0" collapsed="false">
      <c r="A139" s="22"/>
      <c r="B139" s="23"/>
      <c r="C139" s="22"/>
      <c r="D139" s="23"/>
      <c r="E139" s="23"/>
      <c r="F139" s="27" t="str">
        <f aca="false">IF($B139="","",IFERROR(INDEX(Cleaners!$B$5:$B$34,MATCH($B139,Cleaners!$A$5:$A$34,0)),"?"))</f>
        <v/>
      </c>
      <c r="G139" s="31" t="str">
        <f aca="false">IF($B139="","",COUNTIFS('Cleans Log'!$C$5:$C$1004,$B139,'Cleans Log'!$R$5:$R$1004,$A139,'Cleans Log'!$O$5:$O$1004,"&gt;0"))</f>
        <v/>
      </c>
      <c r="H139" s="28" t="str">
        <f aca="false">IF($B139="","",SUMIFS('Cleans Log'!$O$5:$O$1004,'Cleans Log'!$C$5:$C$1004,$B139,'Cleans Log'!$R$5:$R$1004,$A139))</f>
        <v/>
      </c>
      <c r="I139" s="30" t="str">
        <f aca="false">IF($A139="","",$A139+7)</f>
        <v/>
      </c>
      <c r="J139" s="27" t="str">
        <f aca="true">IF($B139="","",IF($C139&lt;&gt;"","Paid",IF(TODAY()&gt;=$I139,"PAY NOW","Upcoming")))</f>
        <v/>
      </c>
    </row>
    <row r="140" customFormat="false" ht="15" hidden="false" customHeight="false" outlineLevel="0" collapsed="false">
      <c r="A140" s="22"/>
      <c r="B140" s="23"/>
      <c r="C140" s="22"/>
      <c r="D140" s="23"/>
      <c r="E140" s="23"/>
      <c r="F140" s="27" t="str">
        <f aca="false">IF($B140="","",IFERROR(INDEX(Cleaners!$B$5:$B$34,MATCH($B140,Cleaners!$A$5:$A$34,0)),"?"))</f>
        <v/>
      </c>
      <c r="G140" s="31" t="str">
        <f aca="false">IF($B140="","",COUNTIFS('Cleans Log'!$C$5:$C$1004,$B140,'Cleans Log'!$R$5:$R$1004,$A140,'Cleans Log'!$O$5:$O$1004,"&gt;0"))</f>
        <v/>
      </c>
      <c r="H140" s="28" t="str">
        <f aca="false">IF($B140="","",SUMIFS('Cleans Log'!$O$5:$O$1004,'Cleans Log'!$C$5:$C$1004,$B140,'Cleans Log'!$R$5:$R$1004,$A140))</f>
        <v/>
      </c>
      <c r="I140" s="30" t="str">
        <f aca="false">IF($A140="","",$A140+7)</f>
        <v/>
      </c>
      <c r="J140" s="27" t="str">
        <f aca="true">IF($B140="","",IF($C140&lt;&gt;"","Paid",IF(TODAY()&gt;=$I140,"PAY NOW","Upcoming")))</f>
        <v/>
      </c>
    </row>
    <row r="141" customFormat="false" ht="15" hidden="false" customHeight="false" outlineLevel="0" collapsed="false">
      <c r="A141" s="22"/>
      <c r="B141" s="23"/>
      <c r="C141" s="22"/>
      <c r="D141" s="23"/>
      <c r="E141" s="23"/>
      <c r="F141" s="27" t="str">
        <f aca="false">IF($B141="","",IFERROR(INDEX(Cleaners!$B$5:$B$34,MATCH($B141,Cleaners!$A$5:$A$34,0)),"?"))</f>
        <v/>
      </c>
      <c r="G141" s="31" t="str">
        <f aca="false">IF($B141="","",COUNTIFS('Cleans Log'!$C$5:$C$1004,$B141,'Cleans Log'!$R$5:$R$1004,$A141,'Cleans Log'!$O$5:$O$1004,"&gt;0"))</f>
        <v/>
      </c>
      <c r="H141" s="28" t="str">
        <f aca="false">IF($B141="","",SUMIFS('Cleans Log'!$O$5:$O$1004,'Cleans Log'!$C$5:$C$1004,$B141,'Cleans Log'!$R$5:$R$1004,$A141))</f>
        <v/>
      </c>
      <c r="I141" s="30" t="str">
        <f aca="false">IF($A141="","",$A141+7)</f>
        <v/>
      </c>
      <c r="J141" s="27" t="str">
        <f aca="true">IF($B141="","",IF($C141&lt;&gt;"","Paid",IF(TODAY()&gt;=$I141,"PAY NOW","Upcoming")))</f>
        <v/>
      </c>
    </row>
    <row r="142" customFormat="false" ht="15" hidden="false" customHeight="false" outlineLevel="0" collapsed="false">
      <c r="A142" s="22"/>
      <c r="B142" s="23"/>
      <c r="C142" s="22"/>
      <c r="D142" s="23"/>
      <c r="E142" s="23"/>
      <c r="F142" s="27" t="str">
        <f aca="false">IF($B142="","",IFERROR(INDEX(Cleaners!$B$5:$B$34,MATCH($B142,Cleaners!$A$5:$A$34,0)),"?"))</f>
        <v/>
      </c>
      <c r="G142" s="31" t="str">
        <f aca="false">IF($B142="","",COUNTIFS('Cleans Log'!$C$5:$C$1004,$B142,'Cleans Log'!$R$5:$R$1004,$A142,'Cleans Log'!$O$5:$O$1004,"&gt;0"))</f>
        <v/>
      </c>
      <c r="H142" s="28" t="str">
        <f aca="false">IF($B142="","",SUMIFS('Cleans Log'!$O$5:$O$1004,'Cleans Log'!$C$5:$C$1004,$B142,'Cleans Log'!$R$5:$R$1004,$A142))</f>
        <v/>
      </c>
      <c r="I142" s="30" t="str">
        <f aca="false">IF($A142="","",$A142+7)</f>
        <v/>
      </c>
      <c r="J142" s="27" t="str">
        <f aca="true">IF($B142="","",IF($C142&lt;&gt;"","Paid",IF(TODAY()&gt;=$I142,"PAY NOW","Upcoming")))</f>
        <v/>
      </c>
    </row>
    <row r="143" customFormat="false" ht="15" hidden="false" customHeight="false" outlineLevel="0" collapsed="false">
      <c r="A143" s="22"/>
      <c r="B143" s="23"/>
      <c r="C143" s="22"/>
      <c r="D143" s="23"/>
      <c r="E143" s="23"/>
      <c r="F143" s="27" t="str">
        <f aca="false">IF($B143="","",IFERROR(INDEX(Cleaners!$B$5:$B$34,MATCH($B143,Cleaners!$A$5:$A$34,0)),"?"))</f>
        <v/>
      </c>
      <c r="G143" s="31" t="str">
        <f aca="false">IF($B143="","",COUNTIFS('Cleans Log'!$C$5:$C$1004,$B143,'Cleans Log'!$R$5:$R$1004,$A143,'Cleans Log'!$O$5:$O$1004,"&gt;0"))</f>
        <v/>
      </c>
      <c r="H143" s="28" t="str">
        <f aca="false">IF($B143="","",SUMIFS('Cleans Log'!$O$5:$O$1004,'Cleans Log'!$C$5:$C$1004,$B143,'Cleans Log'!$R$5:$R$1004,$A143))</f>
        <v/>
      </c>
      <c r="I143" s="30" t="str">
        <f aca="false">IF($A143="","",$A143+7)</f>
        <v/>
      </c>
      <c r="J143" s="27" t="str">
        <f aca="true">IF($B143="","",IF($C143&lt;&gt;"","Paid",IF(TODAY()&gt;=$I143,"PAY NOW","Upcoming")))</f>
        <v/>
      </c>
    </row>
    <row r="144" customFormat="false" ht="15" hidden="false" customHeight="false" outlineLevel="0" collapsed="false">
      <c r="A144" s="22"/>
      <c r="B144" s="23"/>
      <c r="C144" s="22"/>
      <c r="D144" s="23"/>
      <c r="E144" s="23"/>
      <c r="F144" s="27" t="str">
        <f aca="false">IF($B144="","",IFERROR(INDEX(Cleaners!$B$5:$B$34,MATCH($B144,Cleaners!$A$5:$A$34,0)),"?"))</f>
        <v/>
      </c>
      <c r="G144" s="31" t="str">
        <f aca="false">IF($B144="","",COUNTIFS('Cleans Log'!$C$5:$C$1004,$B144,'Cleans Log'!$R$5:$R$1004,$A144,'Cleans Log'!$O$5:$O$1004,"&gt;0"))</f>
        <v/>
      </c>
      <c r="H144" s="28" t="str">
        <f aca="false">IF($B144="","",SUMIFS('Cleans Log'!$O$5:$O$1004,'Cleans Log'!$C$5:$C$1004,$B144,'Cleans Log'!$R$5:$R$1004,$A144))</f>
        <v/>
      </c>
      <c r="I144" s="30" t="str">
        <f aca="false">IF($A144="","",$A144+7)</f>
        <v/>
      </c>
      <c r="J144" s="27" t="str">
        <f aca="true">IF($B144="","",IF($C144&lt;&gt;"","Paid",IF(TODAY()&gt;=$I144,"PAY NOW","Upcoming")))</f>
        <v/>
      </c>
    </row>
    <row r="145" customFormat="false" ht="15" hidden="false" customHeight="false" outlineLevel="0" collapsed="false">
      <c r="A145" s="22"/>
      <c r="B145" s="23"/>
      <c r="C145" s="22"/>
      <c r="D145" s="23"/>
      <c r="E145" s="23"/>
      <c r="F145" s="27" t="str">
        <f aca="false">IF($B145="","",IFERROR(INDEX(Cleaners!$B$5:$B$34,MATCH($B145,Cleaners!$A$5:$A$34,0)),"?"))</f>
        <v/>
      </c>
      <c r="G145" s="31" t="str">
        <f aca="false">IF($B145="","",COUNTIFS('Cleans Log'!$C$5:$C$1004,$B145,'Cleans Log'!$R$5:$R$1004,$A145,'Cleans Log'!$O$5:$O$1004,"&gt;0"))</f>
        <v/>
      </c>
      <c r="H145" s="28" t="str">
        <f aca="false">IF($B145="","",SUMIFS('Cleans Log'!$O$5:$O$1004,'Cleans Log'!$C$5:$C$1004,$B145,'Cleans Log'!$R$5:$R$1004,$A145))</f>
        <v/>
      </c>
      <c r="I145" s="30" t="str">
        <f aca="false">IF($A145="","",$A145+7)</f>
        <v/>
      </c>
      <c r="J145" s="27" t="str">
        <f aca="true">IF($B145="","",IF($C145&lt;&gt;"","Paid",IF(TODAY()&gt;=$I145,"PAY NOW","Upcoming")))</f>
        <v/>
      </c>
    </row>
    <row r="146" customFormat="false" ht="15" hidden="false" customHeight="false" outlineLevel="0" collapsed="false">
      <c r="A146" s="22"/>
      <c r="B146" s="23"/>
      <c r="C146" s="22"/>
      <c r="D146" s="23"/>
      <c r="E146" s="23"/>
      <c r="F146" s="27" t="str">
        <f aca="false">IF($B146="","",IFERROR(INDEX(Cleaners!$B$5:$B$34,MATCH($B146,Cleaners!$A$5:$A$34,0)),"?"))</f>
        <v/>
      </c>
      <c r="G146" s="31" t="str">
        <f aca="false">IF($B146="","",COUNTIFS('Cleans Log'!$C$5:$C$1004,$B146,'Cleans Log'!$R$5:$R$1004,$A146,'Cleans Log'!$O$5:$O$1004,"&gt;0"))</f>
        <v/>
      </c>
      <c r="H146" s="28" t="str">
        <f aca="false">IF($B146="","",SUMIFS('Cleans Log'!$O$5:$O$1004,'Cleans Log'!$C$5:$C$1004,$B146,'Cleans Log'!$R$5:$R$1004,$A146))</f>
        <v/>
      </c>
      <c r="I146" s="30" t="str">
        <f aca="false">IF($A146="","",$A146+7)</f>
        <v/>
      </c>
      <c r="J146" s="27" t="str">
        <f aca="true">IF($B146="","",IF($C146&lt;&gt;"","Paid",IF(TODAY()&gt;=$I146,"PAY NOW","Upcoming")))</f>
        <v/>
      </c>
    </row>
    <row r="147" customFormat="false" ht="15" hidden="false" customHeight="false" outlineLevel="0" collapsed="false">
      <c r="A147" s="22"/>
      <c r="B147" s="23"/>
      <c r="C147" s="22"/>
      <c r="D147" s="23"/>
      <c r="E147" s="23"/>
      <c r="F147" s="27" t="str">
        <f aca="false">IF($B147="","",IFERROR(INDEX(Cleaners!$B$5:$B$34,MATCH($B147,Cleaners!$A$5:$A$34,0)),"?"))</f>
        <v/>
      </c>
      <c r="G147" s="31" t="str">
        <f aca="false">IF($B147="","",COUNTIFS('Cleans Log'!$C$5:$C$1004,$B147,'Cleans Log'!$R$5:$R$1004,$A147,'Cleans Log'!$O$5:$O$1004,"&gt;0"))</f>
        <v/>
      </c>
      <c r="H147" s="28" t="str">
        <f aca="false">IF($B147="","",SUMIFS('Cleans Log'!$O$5:$O$1004,'Cleans Log'!$C$5:$C$1004,$B147,'Cleans Log'!$R$5:$R$1004,$A147))</f>
        <v/>
      </c>
      <c r="I147" s="30" t="str">
        <f aca="false">IF($A147="","",$A147+7)</f>
        <v/>
      </c>
      <c r="J147" s="27" t="str">
        <f aca="true">IF($B147="","",IF($C147&lt;&gt;"","Paid",IF(TODAY()&gt;=$I147,"PAY NOW","Upcoming")))</f>
        <v/>
      </c>
    </row>
    <row r="148" customFormat="false" ht="15" hidden="false" customHeight="false" outlineLevel="0" collapsed="false">
      <c r="A148" s="22"/>
      <c r="B148" s="23"/>
      <c r="C148" s="22"/>
      <c r="D148" s="23"/>
      <c r="E148" s="23"/>
      <c r="F148" s="27" t="str">
        <f aca="false">IF($B148="","",IFERROR(INDEX(Cleaners!$B$5:$B$34,MATCH($B148,Cleaners!$A$5:$A$34,0)),"?"))</f>
        <v/>
      </c>
      <c r="G148" s="31" t="str">
        <f aca="false">IF($B148="","",COUNTIFS('Cleans Log'!$C$5:$C$1004,$B148,'Cleans Log'!$R$5:$R$1004,$A148,'Cleans Log'!$O$5:$O$1004,"&gt;0"))</f>
        <v/>
      </c>
      <c r="H148" s="28" t="str">
        <f aca="false">IF($B148="","",SUMIFS('Cleans Log'!$O$5:$O$1004,'Cleans Log'!$C$5:$C$1004,$B148,'Cleans Log'!$R$5:$R$1004,$A148))</f>
        <v/>
      </c>
      <c r="I148" s="30" t="str">
        <f aca="false">IF($A148="","",$A148+7)</f>
        <v/>
      </c>
      <c r="J148" s="27" t="str">
        <f aca="true">IF($B148="","",IF($C148&lt;&gt;"","Paid",IF(TODAY()&gt;=$I148,"PAY NOW","Upcoming")))</f>
        <v/>
      </c>
    </row>
    <row r="149" customFormat="false" ht="15" hidden="false" customHeight="false" outlineLevel="0" collapsed="false">
      <c r="A149" s="22"/>
      <c r="B149" s="23"/>
      <c r="C149" s="22"/>
      <c r="D149" s="23"/>
      <c r="E149" s="23"/>
      <c r="F149" s="27" t="str">
        <f aca="false">IF($B149="","",IFERROR(INDEX(Cleaners!$B$5:$B$34,MATCH($B149,Cleaners!$A$5:$A$34,0)),"?"))</f>
        <v/>
      </c>
      <c r="G149" s="31" t="str">
        <f aca="false">IF($B149="","",COUNTIFS('Cleans Log'!$C$5:$C$1004,$B149,'Cleans Log'!$R$5:$R$1004,$A149,'Cleans Log'!$O$5:$O$1004,"&gt;0"))</f>
        <v/>
      </c>
      <c r="H149" s="28" t="str">
        <f aca="false">IF($B149="","",SUMIFS('Cleans Log'!$O$5:$O$1004,'Cleans Log'!$C$5:$C$1004,$B149,'Cleans Log'!$R$5:$R$1004,$A149))</f>
        <v/>
      </c>
      <c r="I149" s="30" t="str">
        <f aca="false">IF($A149="","",$A149+7)</f>
        <v/>
      </c>
      <c r="J149" s="27" t="str">
        <f aca="true">IF($B149="","",IF($C149&lt;&gt;"","Paid",IF(TODAY()&gt;=$I149,"PAY NOW","Upcoming")))</f>
        <v/>
      </c>
    </row>
    <row r="150" customFormat="false" ht="15" hidden="false" customHeight="false" outlineLevel="0" collapsed="false">
      <c r="A150" s="22"/>
      <c r="B150" s="23"/>
      <c r="C150" s="22"/>
      <c r="D150" s="23"/>
      <c r="E150" s="23"/>
      <c r="F150" s="27" t="str">
        <f aca="false">IF($B150="","",IFERROR(INDEX(Cleaners!$B$5:$B$34,MATCH($B150,Cleaners!$A$5:$A$34,0)),"?"))</f>
        <v/>
      </c>
      <c r="G150" s="31" t="str">
        <f aca="false">IF($B150="","",COUNTIFS('Cleans Log'!$C$5:$C$1004,$B150,'Cleans Log'!$R$5:$R$1004,$A150,'Cleans Log'!$O$5:$O$1004,"&gt;0"))</f>
        <v/>
      </c>
      <c r="H150" s="28" t="str">
        <f aca="false">IF($B150="","",SUMIFS('Cleans Log'!$O$5:$O$1004,'Cleans Log'!$C$5:$C$1004,$B150,'Cleans Log'!$R$5:$R$1004,$A150))</f>
        <v/>
      </c>
      <c r="I150" s="30" t="str">
        <f aca="false">IF($A150="","",$A150+7)</f>
        <v/>
      </c>
      <c r="J150" s="27" t="str">
        <f aca="true">IF($B150="","",IF($C150&lt;&gt;"","Paid",IF(TODAY()&gt;=$I150,"PAY NOW","Upcoming")))</f>
        <v/>
      </c>
    </row>
    <row r="151" customFormat="false" ht="15" hidden="false" customHeight="false" outlineLevel="0" collapsed="false">
      <c r="A151" s="22"/>
      <c r="B151" s="23"/>
      <c r="C151" s="22"/>
      <c r="D151" s="23"/>
      <c r="E151" s="23"/>
      <c r="F151" s="27" t="str">
        <f aca="false">IF($B151="","",IFERROR(INDEX(Cleaners!$B$5:$B$34,MATCH($B151,Cleaners!$A$5:$A$34,0)),"?"))</f>
        <v/>
      </c>
      <c r="G151" s="31" t="str">
        <f aca="false">IF($B151="","",COUNTIFS('Cleans Log'!$C$5:$C$1004,$B151,'Cleans Log'!$R$5:$R$1004,$A151,'Cleans Log'!$O$5:$O$1004,"&gt;0"))</f>
        <v/>
      </c>
      <c r="H151" s="28" t="str">
        <f aca="false">IF($B151="","",SUMIFS('Cleans Log'!$O$5:$O$1004,'Cleans Log'!$C$5:$C$1004,$B151,'Cleans Log'!$R$5:$R$1004,$A151))</f>
        <v/>
      </c>
      <c r="I151" s="30" t="str">
        <f aca="false">IF($A151="","",$A151+7)</f>
        <v/>
      </c>
      <c r="J151" s="27" t="str">
        <f aca="true">IF($B151="","",IF($C151&lt;&gt;"","Paid",IF(TODAY()&gt;=$I151,"PAY NOW","Upcoming")))</f>
        <v/>
      </c>
    </row>
    <row r="152" customFormat="false" ht="15" hidden="false" customHeight="false" outlineLevel="0" collapsed="false">
      <c r="A152" s="22"/>
      <c r="B152" s="23"/>
      <c r="C152" s="22"/>
      <c r="D152" s="23"/>
      <c r="E152" s="23"/>
      <c r="F152" s="27" t="str">
        <f aca="false">IF($B152="","",IFERROR(INDEX(Cleaners!$B$5:$B$34,MATCH($B152,Cleaners!$A$5:$A$34,0)),"?"))</f>
        <v/>
      </c>
      <c r="G152" s="31" t="str">
        <f aca="false">IF($B152="","",COUNTIFS('Cleans Log'!$C$5:$C$1004,$B152,'Cleans Log'!$R$5:$R$1004,$A152,'Cleans Log'!$O$5:$O$1004,"&gt;0"))</f>
        <v/>
      </c>
      <c r="H152" s="28" t="str">
        <f aca="false">IF($B152="","",SUMIFS('Cleans Log'!$O$5:$O$1004,'Cleans Log'!$C$5:$C$1004,$B152,'Cleans Log'!$R$5:$R$1004,$A152))</f>
        <v/>
      </c>
      <c r="I152" s="30" t="str">
        <f aca="false">IF($A152="","",$A152+7)</f>
        <v/>
      </c>
      <c r="J152" s="27" t="str">
        <f aca="true">IF($B152="","",IF($C152&lt;&gt;"","Paid",IF(TODAY()&gt;=$I152,"PAY NOW","Upcoming")))</f>
        <v/>
      </c>
    </row>
    <row r="153" customFormat="false" ht="15" hidden="false" customHeight="false" outlineLevel="0" collapsed="false">
      <c r="A153" s="22"/>
      <c r="B153" s="23"/>
      <c r="C153" s="22"/>
      <c r="D153" s="23"/>
      <c r="E153" s="23"/>
      <c r="F153" s="27" t="str">
        <f aca="false">IF($B153="","",IFERROR(INDEX(Cleaners!$B$5:$B$34,MATCH($B153,Cleaners!$A$5:$A$34,0)),"?"))</f>
        <v/>
      </c>
      <c r="G153" s="31" t="str">
        <f aca="false">IF($B153="","",COUNTIFS('Cleans Log'!$C$5:$C$1004,$B153,'Cleans Log'!$R$5:$R$1004,$A153,'Cleans Log'!$O$5:$O$1004,"&gt;0"))</f>
        <v/>
      </c>
      <c r="H153" s="28" t="str">
        <f aca="false">IF($B153="","",SUMIFS('Cleans Log'!$O$5:$O$1004,'Cleans Log'!$C$5:$C$1004,$B153,'Cleans Log'!$R$5:$R$1004,$A153))</f>
        <v/>
      </c>
      <c r="I153" s="30" t="str">
        <f aca="false">IF($A153="","",$A153+7)</f>
        <v/>
      </c>
      <c r="J153" s="27" t="str">
        <f aca="true">IF($B153="","",IF($C153&lt;&gt;"","Paid",IF(TODAY()&gt;=$I153,"PAY NOW","Upcoming")))</f>
        <v/>
      </c>
    </row>
    <row r="154" customFormat="false" ht="15" hidden="false" customHeight="false" outlineLevel="0" collapsed="false">
      <c r="A154" s="22"/>
      <c r="B154" s="23"/>
      <c r="C154" s="22"/>
      <c r="D154" s="23"/>
      <c r="E154" s="23"/>
      <c r="F154" s="27" t="str">
        <f aca="false">IF($B154="","",IFERROR(INDEX(Cleaners!$B$5:$B$34,MATCH($B154,Cleaners!$A$5:$A$34,0)),"?"))</f>
        <v/>
      </c>
      <c r="G154" s="31" t="str">
        <f aca="false">IF($B154="","",COUNTIFS('Cleans Log'!$C$5:$C$1004,$B154,'Cleans Log'!$R$5:$R$1004,$A154,'Cleans Log'!$O$5:$O$1004,"&gt;0"))</f>
        <v/>
      </c>
      <c r="H154" s="28" t="str">
        <f aca="false">IF($B154="","",SUMIFS('Cleans Log'!$O$5:$O$1004,'Cleans Log'!$C$5:$C$1004,$B154,'Cleans Log'!$R$5:$R$1004,$A154))</f>
        <v/>
      </c>
      <c r="I154" s="30" t="str">
        <f aca="false">IF($A154="","",$A154+7)</f>
        <v/>
      </c>
      <c r="J154" s="27" t="str">
        <f aca="true">IF($B154="","",IF($C154&lt;&gt;"","Paid",IF(TODAY()&gt;=$I154,"PAY NOW","Upcoming")))</f>
        <v/>
      </c>
    </row>
    <row r="155" customFormat="false" ht="15" hidden="false" customHeight="false" outlineLevel="0" collapsed="false">
      <c r="A155" s="22"/>
      <c r="B155" s="23"/>
      <c r="C155" s="22"/>
      <c r="D155" s="23"/>
      <c r="E155" s="23"/>
      <c r="F155" s="27" t="str">
        <f aca="false">IF($B155="","",IFERROR(INDEX(Cleaners!$B$5:$B$34,MATCH($B155,Cleaners!$A$5:$A$34,0)),"?"))</f>
        <v/>
      </c>
      <c r="G155" s="31" t="str">
        <f aca="false">IF($B155="","",COUNTIFS('Cleans Log'!$C$5:$C$1004,$B155,'Cleans Log'!$R$5:$R$1004,$A155,'Cleans Log'!$O$5:$O$1004,"&gt;0"))</f>
        <v/>
      </c>
      <c r="H155" s="28" t="str">
        <f aca="false">IF($B155="","",SUMIFS('Cleans Log'!$O$5:$O$1004,'Cleans Log'!$C$5:$C$1004,$B155,'Cleans Log'!$R$5:$R$1004,$A155))</f>
        <v/>
      </c>
      <c r="I155" s="30" t="str">
        <f aca="false">IF($A155="","",$A155+7)</f>
        <v/>
      </c>
      <c r="J155" s="27" t="str">
        <f aca="true">IF($B155="","",IF($C155&lt;&gt;"","Paid",IF(TODAY()&gt;=$I155,"PAY NOW","Upcoming")))</f>
        <v/>
      </c>
    </row>
    <row r="156" customFormat="false" ht="15" hidden="false" customHeight="false" outlineLevel="0" collapsed="false">
      <c r="A156" s="22"/>
      <c r="B156" s="23"/>
      <c r="C156" s="22"/>
      <c r="D156" s="23"/>
      <c r="E156" s="23"/>
      <c r="F156" s="27" t="str">
        <f aca="false">IF($B156="","",IFERROR(INDEX(Cleaners!$B$5:$B$34,MATCH($B156,Cleaners!$A$5:$A$34,0)),"?"))</f>
        <v/>
      </c>
      <c r="G156" s="31" t="str">
        <f aca="false">IF($B156="","",COUNTIFS('Cleans Log'!$C$5:$C$1004,$B156,'Cleans Log'!$R$5:$R$1004,$A156,'Cleans Log'!$O$5:$O$1004,"&gt;0"))</f>
        <v/>
      </c>
      <c r="H156" s="28" t="str">
        <f aca="false">IF($B156="","",SUMIFS('Cleans Log'!$O$5:$O$1004,'Cleans Log'!$C$5:$C$1004,$B156,'Cleans Log'!$R$5:$R$1004,$A156))</f>
        <v/>
      </c>
      <c r="I156" s="30" t="str">
        <f aca="false">IF($A156="","",$A156+7)</f>
        <v/>
      </c>
      <c r="J156" s="27" t="str">
        <f aca="true">IF($B156="","",IF($C156&lt;&gt;"","Paid",IF(TODAY()&gt;=$I156,"PAY NOW","Upcoming")))</f>
        <v/>
      </c>
    </row>
    <row r="157" customFormat="false" ht="15" hidden="false" customHeight="false" outlineLevel="0" collapsed="false">
      <c r="A157" s="22"/>
      <c r="B157" s="23"/>
      <c r="C157" s="22"/>
      <c r="D157" s="23"/>
      <c r="E157" s="23"/>
      <c r="F157" s="27" t="str">
        <f aca="false">IF($B157="","",IFERROR(INDEX(Cleaners!$B$5:$B$34,MATCH($B157,Cleaners!$A$5:$A$34,0)),"?"))</f>
        <v/>
      </c>
      <c r="G157" s="31" t="str">
        <f aca="false">IF($B157="","",COUNTIFS('Cleans Log'!$C$5:$C$1004,$B157,'Cleans Log'!$R$5:$R$1004,$A157,'Cleans Log'!$O$5:$O$1004,"&gt;0"))</f>
        <v/>
      </c>
      <c r="H157" s="28" t="str">
        <f aca="false">IF($B157="","",SUMIFS('Cleans Log'!$O$5:$O$1004,'Cleans Log'!$C$5:$C$1004,$B157,'Cleans Log'!$R$5:$R$1004,$A157))</f>
        <v/>
      </c>
      <c r="I157" s="30" t="str">
        <f aca="false">IF($A157="","",$A157+7)</f>
        <v/>
      </c>
      <c r="J157" s="27" t="str">
        <f aca="true">IF($B157="","",IF($C157&lt;&gt;"","Paid",IF(TODAY()&gt;=$I157,"PAY NOW","Upcoming")))</f>
        <v/>
      </c>
    </row>
    <row r="158" customFormat="false" ht="15" hidden="false" customHeight="false" outlineLevel="0" collapsed="false">
      <c r="A158" s="22"/>
      <c r="B158" s="23"/>
      <c r="C158" s="22"/>
      <c r="D158" s="23"/>
      <c r="E158" s="23"/>
      <c r="F158" s="27" t="str">
        <f aca="false">IF($B158="","",IFERROR(INDEX(Cleaners!$B$5:$B$34,MATCH($B158,Cleaners!$A$5:$A$34,0)),"?"))</f>
        <v/>
      </c>
      <c r="G158" s="31" t="str">
        <f aca="false">IF($B158="","",COUNTIFS('Cleans Log'!$C$5:$C$1004,$B158,'Cleans Log'!$R$5:$R$1004,$A158,'Cleans Log'!$O$5:$O$1004,"&gt;0"))</f>
        <v/>
      </c>
      <c r="H158" s="28" t="str">
        <f aca="false">IF($B158="","",SUMIFS('Cleans Log'!$O$5:$O$1004,'Cleans Log'!$C$5:$C$1004,$B158,'Cleans Log'!$R$5:$R$1004,$A158))</f>
        <v/>
      </c>
      <c r="I158" s="30" t="str">
        <f aca="false">IF($A158="","",$A158+7)</f>
        <v/>
      </c>
      <c r="J158" s="27" t="str">
        <f aca="true">IF($B158="","",IF($C158&lt;&gt;"","Paid",IF(TODAY()&gt;=$I158,"PAY NOW","Upcoming")))</f>
        <v/>
      </c>
    </row>
    <row r="159" customFormat="false" ht="15" hidden="false" customHeight="false" outlineLevel="0" collapsed="false">
      <c r="A159" s="22"/>
      <c r="B159" s="23"/>
      <c r="C159" s="22"/>
      <c r="D159" s="23"/>
      <c r="E159" s="23"/>
      <c r="F159" s="27" t="str">
        <f aca="false">IF($B159="","",IFERROR(INDEX(Cleaners!$B$5:$B$34,MATCH($B159,Cleaners!$A$5:$A$34,0)),"?"))</f>
        <v/>
      </c>
      <c r="G159" s="31" t="str">
        <f aca="false">IF($B159="","",COUNTIFS('Cleans Log'!$C$5:$C$1004,$B159,'Cleans Log'!$R$5:$R$1004,$A159,'Cleans Log'!$O$5:$O$1004,"&gt;0"))</f>
        <v/>
      </c>
      <c r="H159" s="28" t="str">
        <f aca="false">IF($B159="","",SUMIFS('Cleans Log'!$O$5:$O$1004,'Cleans Log'!$C$5:$C$1004,$B159,'Cleans Log'!$R$5:$R$1004,$A159))</f>
        <v/>
      </c>
      <c r="I159" s="30" t="str">
        <f aca="false">IF($A159="","",$A159+7)</f>
        <v/>
      </c>
      <c r="J159" s="27" t="str">
        <f aca="true">IF($B159="","",IF($C159&lt;&gt;"","Paid",IF(TODAY()&gt;=$I159,"PAY NOW","Upcoming")))</f>
        <v/>
      </c>
    </row>
    <row r="160" customFormat="false" ht="15" hidden="false" customHeight="false" outlineLevel="0" collapsed="false">
      <c r="A160" s="22"/>
      <c r="B160" s="23"/>
      <c r="C160" s="22"/>
      <c r="D160" s="23"/>
      <c r="E160" s="23"/>
      <c r="F160" s="27" t="str">
        <f aca="false">IF($B160="","",IFERROR(INDEX(Cleaners!$B$5:$B$34,MATCH($B160,Cleaners!$A$5:$A$34,0)),"?"))</f>
        <v/>
      </c>
      <c r="G160" s="31" t="str">
        <f aca="false">IF($B160="","",COUNTIFS('Cleans Log'!$C$5:$C$1004,$B160,'Cleans Log'!$R$5:$R$1004,$A160,'Cleans Log'!$O$5:$O$1004,"&gt;0"))</f>
        <v/>
      </c>
      <c r="H160" s="28" t="str">
        <f aca="false">IF($B160="","",SUMIFS('Cleans Log'!$O$5:$O$1004,'Cleans Log'!$C$5:$C$1004,$B160,'Cleans Log'!$R$5:$R$1004,$A160))</f>
        <v/>
      </c>
      <c r="I160" s="30" t="str">
        <f aca="false">IF($A160="","",$A160+7)</f>
        <v/>
      </c>
      <c r="J160" s="27" t="str">
        <f aca="true">IF($B160="","",IF($C160&lt;&gt;"","Paid",IF(TODAY()&gt;=$I160,"PAY NOW","Upcoming")))</f>
        <v/>
      </c>
    </row>
    <row r="161" customFormat="false" ht="15" hidden="false" customHeight="false" outlineLevel="0" collapsed="false">
      <c r="A161" s="22"/>
      <c r="B161" s="23"/>
      <c r="C161" s="22"/>
      <c r="D161" s="23"/>
      <c r="E161" s="23"/>
      <c r="F161" s="27" t="str">
        <f aca="false">IF($B161="","",IFERROR(INDEX(Cleaners!$B$5:$B$34,MATCH($B161,Cleaners!$A$5:$A$34,0)),"?"))</f>
        <v/>
      </c>
      <c r="G161" s="31" t="str">
        <f aca="false">IF($B161="","",COUNTIFS('Cleans Log'!$C$5:$C$1004,$B161,'Cleans Log'!$R$5:$R$1004,$A161,'Cleans Log'!$O$5:$O$1004,"&gt;0"))</f>
        <v/>
      </c>
      <c r="H161" s="28" t="str">
        <f aca="false">IF($B161="","",SUMIFS('Cleans Log'!$O$5:$O$1004,'Cleans Log'!$C$5:$C$1004,$B161,'Cleans Log'!$R$5:$R$1004,$A161))</f>
        <v/>
      </c>
      <c r="I161" s="30" t="str">
        <f aca="false">IF($A161="","",$A161+7)</f>
        <v/>
      </c>
      <c r="J161" s="27" t="str">
        <f aca="true">IF($B161="","",IF($C161&lt;&gt;"","Paid",IF(TODAY()&gt;=$I161,"PAY NOW","Upcoming")))</f>
        <v/>
      </c>
    </row>
    <row r="162" customFormat="false" ht="15" hidden="false" customHeight="false" outlineLevel="0" collapsed="false">
      <c r="A162" s="22"/>
      <c r="B162" s="23"/>
      <c r="C162" s="22"/>
      <c r="D162" s="23"/>
      <c r="E162" s="23"/>
      <c r="F162" s="27" t="str">
        <f aca="false">IF($B162="","",IFERROR(INDEX(Cleaners!$B$5:$B$34,MATCH($B162,Cleaners!$A$5:$A$34,0)),"?"))</f>
        <v/>
      </c>
      <c r="G162" s="31" t="str">
        <f aca="false">IF($B162="","",COUNTIFS('Cleans Log'!$C$5:$C$1004,$B162,'Cleans Log'!$R$5:$R$1004,$A162,'Cleans Log'!$O$5:$O$1004,"&gt;0"))</f>
        <v/>
      </c>
      <c r="H162" s="28" t="str">
        <f aca="false">IF($B162="","",SUMIFS('Cleans Log'!$O$5:$O$1004,'Cleans Log'!$C$5:$C$1004,$B162,'Cleans Log'!$R$5:$R$1004,$A162))</f>
        <v/>
      </c>
      <c r="I162" s="30" t="str">
        <f aca="false">IF($A162="","",$A162+7)</f>
        <v/>
      </c>
      <c r="J162" s="27" t="str">
        <f aca="true">IF($B162="","",IF($C162&lt;&gt;"","Paid",IF(TODAY()&gt;=$I162,"PAY NOW","Upcoming")))</f>
        <v/>
      </c>
    </row>
    <row r="163" customFormat="false" ht="15" hidden="false" customHeight="false" outlineLevel="0" collapsed="false">
      <c r="A163" s="22"/>
      <c r="B163" s="23"/>
      <c r="C163" s="22"/>
      <c r="D163" s="23"/>
      <c r="E163" s="23"/>
      <c r="F163" s="27" t="str">
        <f aca="false">IF($B163="","",IFERROR(INDEX(Cleaners!$B$5:$B$34,MATCH($B163,Cleaners!$A$5:$A$34,0)),"?"))</f>
        <v/>
      </c>
      <c r="G163" s="31" t="str">
        <f aca="false">IF($B163="","",COUNTIFS('Cleans Log'!$C$5:$C$1004,$B163,'Cleans Log'!$R$5:$R$1004,$A163,'Cleans Log'!$O$5:$O$1004,"&gt;0"))</f>
        <v/>
      </c>
      <c r="H163" s="28" t="str">
        <f aca="false">IF($B163="","",SUMIFS('Cleans Log'!$O$5:$O$1004,'Cleans Log'!$C$5:$C$1004,$B163,'Cleans Log'!$R$5:$R$1004,$A163))</f>
        <v/>
      </c>
      <c r="I163" s="30" t="str">
        <f aca="false">IF($A163="","",$A163+7)</f>
        <v/>
      </c>
      <c r="J163" s="27" t="str">
        <f aca="true">IF($B163="","",IF($C163&lt;&gt;"","Paid",IF(TODAY()&gt;=$I163,"PAY NOW","Upcoming")))</f>
        <v/>
      </c>
    </row>
    <row r="164" customFormat="false" ht="15" hidden="false" customHeight="false" outlineLevel="0" collapsed="false">
      <c r="A164" s="22"/>
      <c r="B164" s="23"/>
      <c r="C164" s="22"/>
      <c r="D164" s="23"/>
      <c r="E164" s="23"/>
      <c r="F164" s="27" t="str">
        <f aca="false">IF($B164="","",IFERROR(INDEX(Cleaners!$B$5:$B$34,MATCH($B164,Cleaners!$A$5:$A$34,0)),"?"))</f>
        <v/>
      </c>
      <c r="G164" s="31" t="str">
        <f aca="false">IF($B164="","",COUNTIFS('Cleans Log'!$C$5:$C$1004,$B164,'Cleans Log'!$R$5:$R$1004,$A164,'Cleans Log'!$O$5:$O$1004,"&gt;0"))</f>
        <v/>
      </c>
      <c r="H164" s="28" t="str">
        <f aca="false">IF($B164="","",SUMIFS('Cleans Log'!$O$5:$O$1004,'Cleans Log'!$C$5:$C$1004,$B164,'Cleans Log'!$R$5:$R$1004,$A164))</f>
        <v/>
      </c>
      <c r="I164" s="30" t="str">
        <f aca="false">IF($A164="","",$A164+7)</f>
        <v/>
      </c>
      <c r="J164" s="27" t="str">
        <f aca="true">IF($B164="","",IF($C164&lt;&gt;"","Paid",IF(TODAY()&gt;=$I164,"PAY NOW","Upcoming")))</f>
        <v/>
      </c>
    </row>
    <row r="165" customFormat="false" ht="15" hidden="false" customHeight="false" outlineLevel="0" collapsed="false">
      <c r="A165" s="22"/>
      <c r="B165" s="23"/>
      <c r="C165" s="22"/>
      <c r="D165" s="23"/>
      <c r="E165" s="23"/>
      <c r="F165" s="27" t="str">
        <f aca="false">IF($B165="","",IFERROR(INDEX(Cleaners!$B$5:$B$34,MATCH($B165,Cleaners!$A$5:$A$34,0)),"?"))</f>
        <v/>
      </c>
      <c r="G165" s="31" t="str">
        <f aca="false">IF($B165="","",COUNTIFS('Cleans Log'!$C$5:$C$1004,$B165,'Cleans Log'!$R$5:$R$1004,$A165,'Cleans Log'!$O$5:$O$1004,"&gt;0"))</f>
        <v/>
      </c>
      <c r="H165" s="28" t="str">
        <f aca="false">IF($B165="","",SUMIFS('Cleans Log'!$O$5:$O$1004,'Cleans Log'!$C$5:$C$1004,$B165,'Cleans Log'!$R$5:$R$1004,$A165))</f>
        <v/>
      </c>
      <c r="I165" s="30" t="str">
        <f aca="false">IF($A165="","",$A165+7)</f>
        <v/>
      </c>
      <c r="J165" s="27" t="str">
        <f aca="true">IF($B165="","",IF($C165&lt;&gt;"","Paid",IF(TODAY()&gt;=$I165,"PAY NOW","Upcoming")))</f>
        <v/>
      </c>
    </row>
    <row r="166" customFormat="false" ht="15" hidden="false" customHeight="false" outlineLevel="0" collapsed="false">
      <c r="A166" s="22"/>
      <c r="B166" s="23"/>
      <c r="C166" s="22"/>
      <c r="D166" s="23"/>
      <c r="E166" s="23"/>
      <c r="F166" s="27" t="str">
        <f aca="false">IF($B166="","",IFERROR(INDEX(Cleaners!$B$5:$B$34,MATCH($B166,Cleaners!$A$5:$A$34,0)),"?"))</f>
        <v/>
      </c>
      <c r="G166" s="31" t="str">
        <f aca="false">IF($B166="","",COUNTIFS('Cleans Log'!$C$5:$C$1004,$B166,'Cleans Log'!$R$5:$R$1004,$A166,'Cleans Log'!$O$5:$O$1004,"&gt;0"))</f>
        <v/>
      </c>
      <c r="H166" s="28" t="str">
        <f aca="false">IF($B166="","",SUMIFS('Cleans Log'!$O$5:$O$1004,'Cleans Log'!$C$5:$C$1004,$B166,'Cleans Log'!$R$5:$R$1004,$A166))</f>
        <v/>
      </c>
      <c r="I166" s="30" t="str">
        <f aca="false">IF($A166="","",$A166+7)</f>
        <v/>
      </c>
      <c r="J166" s="27" t="str">
        <f aca="true">IF($B166="","",IF($C166&lt;&gt;"","Paid",IF(TODAY()&gt;=$I166,"PAY NOW","Upcoming")))</f>
        <v/>
      </c>
    </row>
    <row r="167" customFormat="false" ht="15" hidden="false" customHeight="false" outlineLevel="0" collapsed="false">
      <c r="A167" s="22"/>
      <c r="B167" s="23"/>
      <c r="C167" s="22"/>
      <c r="D167" s="23"/>
      <c r="E167" s="23"/>
      <c r="F167" s="27" t="str">
        <f aca="false">IF($B167="","",IFERROR(INDEX(Cleaners!$B$5:$B$34,MATCH($B167,Cleaners!$A$5:$A$34,0)),"?"))</f>
        <v/>
      </c>
      <c r="G167" s="31" t="str">
        <f aca="false">IF($B167="","",COUNTIFS('Cleans Log'!$C$5:$C$1004,$B167,'Cleans Log'!$R$5:$R$1004,$A167,'Cleans Log'!$O$5:$O$1004,"&gt;0"))</f>
        <v/>
      </c>
      <c r="H167" s="28" t="str">
        <f aca="false">IF($B167="","",SUMIFS('Cleans Log'!$O$5:$O$1004,'Cleans Log'!$C$5:$C$1004,$B167,'Cleans Log'!$R$5:$R$1004,$A167))</f>
        <v/>
      </c>
      <c r="I167" s="30" t="str">
        <f aca="false">IF($A167="","",$A167+7)</f>
        <v/>
      </c>
      <c r="J167" s="27" t="str">
        <f aca="true">IF($B167="","",IF($C167&lt;&gt;"","Paid",IF(TODAY()&gt;=$I167,"PAY NOW","Upcoming")))</f>
        <v/>
      </c>
    </row>
    <row r="168" customFormat="false" ht="15" hidden="false" customHeight="false" outlineLevel="0" collapsed="false">
      <c r="A168" s="22"/>
      <c r="B168" s="23"/>
      <c r="C168" s="22"/>
      <c r="D168" s="23"/>
      <c r="E168" s="23"/>
      <c r="F168" s="27" t="str">
        <f aca="false">IF($B168="","",IFERROR(INDEX(Cleaners!$B$5:$B$34,MATCH($B168,Cleaners!$A$5:$A$34,0)),"?"))</f>
        <v/>
      </c>
      <c r="G168" s="31" t="str">
        <f aca="false">IF($B168="","",COUNTIFS('Cleans Log'!$C$5:$C$1004,$B168,'Cleans Log'!$R$5:$R$1004,$A168,'Cleans Log'!$O$5:$O$1004,"&gt;0"))</f>
        <v/>
      </c>
      <c r="H168" s="28" t="str">
        <f aca="false">IF($B168="","",SUMIFS('Cleans Log'!$O$5:$O$1004,'Cleans Log'!$C$5:$C$1004,$B168,'Cleans Log'!$R$5:$R$1004,$A168))</f>
        <v/>
      </c>
      <c r="I168" s="30" t="str">
        <f aca="false">IF($A168="","",$A168+7)</f>
        <v/>
      </c>
      <c r="J168" s="27" t="str">
        <f aca="true">IF($B168="","",IF($C168&lt;&gt;"","Paid",IF(TODAY()&gt;=$I168,"PAY NOW","Upcoming")))</f>
        <v/>
      </c>
    </row>
    <row r="169" customFormat="false" ht="15" hidden="false" customHeight="false" outlineLevel="0" collapsed="false">
      <c r="A169" s="22"/>
      <c r="B169" s="23"/>
      <c r="C169" s="22"/>
      <c r="D169" s="23"/>
      <c r="E169" s="23"/>
      <c r="F169" s="27" t="str">
        <f aca="false">IF($B169="","",IFERROR(INDEX(Cleaners!$B$5:$B$34,MATCH($B169,Cleaners!$A$5:$A$34,0)),"?"))</f>
        <v/>
      </c>
      <c r="G169" s="31" t="str">
        <f aca="false">IF($B169="","",COUNTIFS('Cleans Log'!$C$5:$C$1004,$B169,'Cleans Log'!$R$5:$R$1004,$A169,'Cleans Log'!$O$5:$O$1004,"&gt;0"))</f>
        <v/>
      </c>
      <c r="H169" s="28" t="str">
        <f aca="false">IF($B169="","",SUMIFS('Cleans Log'!$O$5:$O$1004,'Cleans Log'!$C$5:$C$1004,$B169,'Cleans Log'!$R$5:$R$1004,$A169))</f>
        <v/>
      </c>
      <c r="I169" s="30" t="str">
        <f aca="false">IF($A169="","",$A169+7)</f>
        <v/>
      </c>
      <c r="J169" s="27" t="str">
        <f aca="true">IF($B169="","",IF($C169&lt;&gt;"","Paid",IF(TODAY()&gt;=$I169,"PAY NOW","Upcoming")))</f>
        <v/>
      </c>
    </row>
    <row r="170" customFormat="false" ht="15" hidden="false" customHeight="false" outlineLevel="0" collapsed="false">
      <c r="A170" s="22"/>
      <c r="B170" s="23"/>
      <c r="C170" s="22"/>
      <c r="D170" s="23"/>
      <c r="E170" s="23"/>
      <c r="F170" s="27" t="str">
        <f aca="false">IF($B170="","",IFERROR(INDEX(Cleaners!$B$5:$B$34,MATCH($B170,Cleaners!$A$5:$A$34,0)),"?"))</f>
        <v/>
      </c>
      <c r="G170" s="31" t="str">
        <f aca="false">IF($B170="","",COUNTIFS('Cleans Log'!$C$5:$C$1004,$B170,'Cleans Log'!$R$5:$R$1004,$A170,'Cleans Log'!$O$5:$O$1004,"&gt;0"))</f>
        <v/>
      </c>
      <c r="H170" s="28" t="str">
        <f aca="false">IF($B170="","",SUMIFS('Cleans Log'!$O$5:$O$1004,'Cleans Log'!$C$5:$C$1004,$B170,'Cleans Log'!$R$5:$R$1004,$A170))</f>
        <v/>
      </c>
      <c r="I170" s="30" t="str">
        <f aca="false">IF($A170="","",$A170+7)</f>
        <v/>
      </c>
      <c r="J170" s="27" t="str">
        <f aca="true">IF($B170="","",IF($C170&lt;&gt;"","Paid",IF(TODAY()&gt;=$I170,"PAY NOW","Upcoming")))</f>
        <v/>
      </c>
    </row>
    <row r="171" customFormat="false" ht="15" hidden="false" customHeight="false" outlineLevel="0" collapsed="false">
      <c r="A171" s="22"/>
      <c r="B171" s="23"/>
      <c r="C171" s="22"/>
      <c r="D171" s="23"/>
      <c r="E171" s="23"/>
      <c r="F171" s="27" t="str">
        <f aca="false">IF($B171="","",IFERROR(INDEX(Cleaners!$B$5:$B$34,MATCH($B171,Cleaners!$A$5:$A$34,0)),"?"))</f>
        <v/>
      </c>
      <c r="G171" s="31" t="str">
        <f aca="false">IF($B171="","",COUNTIFS('Cleans Log'!$C$5:$C$1004,$B171,'Cleans Log'!$R$5:$R$1004,$A171,'Cleans Log'!$O$5:$O$1004,"&gt;0"))</f>
        <v/>
      </c>
      <c r="H171" s="28" t="str">
        <f aca="false">IF($B171="","",SUMIFS('Cleans Log'!$O$5:$O$1004,'Cleans Log'!$C$5:$C$1004,$B171,'Cleans Log'!$R$5:$R$1004,$A171))</f>
        <v/>
      </c>
      <c r="I171" s="30" t="str">
        <f aca="false">IF($A171="","",$A171+7)</f>
        <v/>
      </c>
      <c r="J171" s="27" t="str">
        <f aca="true">IF($B171="","",IF($C171&lt;&gt;"","Paid",IF(TODAY()&gt;=$I171,"PAY NOW","Upcoming")))</f>
        <v/>
      </c>
    </row>
    <row r="172" customFormat="false" ht="15" hidden="false" customHeight="false" outlineLevel="0" collapsed="false">
      <c r="A172" s="22"/>
      <c r="B172" s="23"/>
      <c r="C172" s="22"/>
      <c r="D172" s="23"/>
      <c r="E172" s="23"/>
      <c r="F172" s="27" t="str">
        <f aca="false">IF($B172="","",IFERROR(INDEX(Cleaners!$B$5:$B$34,MATCH($B172,Cleaners!$A$5:$A$34,0)),"?"))</f>
        <v/>
      </c>
      <c r="G172" s="31" t="str">
        <f aca="false">IF($B172="","",COUNTIFS('Cleans Log'!$C$5:$C$1004,$B172,'Cleans Log'!$R$5:$R$1004,$A172,'Cleans Log'!$O$5:$O$1004,"&gt;0"))</f>
        <v/>
      </c>
      <c r="H172" s="28" t="str">
        <f aca="false">IF($B172="","",SUMIFS('Cleans Log'!$O$5:$O$1004,'Cleans Log'!$C$5:$C$1004,$B172,'Cleans Log'!$R$5:$R$1004,$A172))</f>
        <v/>
      </c>
      <c r="I172" s="30" t="str">
        <f aca="false">IF($A172="","",$A172+7)</f>
        <v/>
      </c>
      <c r="J172" s="27" t="str">
        <f aca="true">IF($B172="","",IF($C172&lt;&gt;"","Paid",IF(TODAY()&gt;=$I172,"PAY NOW","Upcoming")))</f>
        <v/>
      </c>
    </row>
    <row r="173" customFormat="false" ht="15" hidden="false" customHeight="false" outlineLevel="0" collapsed="false">
      <c r="A173" s="22"/>
      <c r="B173" s="23"/>
      <c r="C173" s="22"/>
      <c r="D173" s="23"/>
      <c r="E173" s="23"/>
      <c r="F173" s="27" t="str">
        <f aca="false">IF($B173="","",IFERROR(INDEX(Cleaners!$B$5:$B$34,MATCH($B173,Cleaners!$A$5:$A$34,0)),"?"))</f>
        <v/>
      </c>
      <c r="G173" s="31" t="str">
        <f aca="false">IF($B173="","",COUNTIFS('Cleans Log'!$C$5:$C$1004,$B173,'Cleans Log'!$R$5:$R$1004,$A173,'Cleans Log'!$O$5:$O$1004,"&gt;0"))</f>
        <v/>
      </c>
      <c r="H173" s="28" t="str">
        <f aca="false">IF($B173="","",SUMIFS('Cleans Log'!$O$5:$O$1004,'Cleans Log'!$C$5:$C$1004,$B173,'Cleans Log'!$R$5:$R$1004,$A173))</f>
        <v/>
      </c>
      <c r="I173" s="30" t="str">
        <f aca="false">IF($A173="","",$A173+7)</f>
        <v/>
      </c>
      <c r="J173" s="27" t="str">
        <f aca="true">IF($B173="","",IF($C173&lt;&gt;"","Paid",IF(TODAY()&gt;=$I173,"PAY NOW","Upcoming")))</f>
        <v/>
      </c>
    </row>
    <row r="174" customFormat="false" ht="15" hidden="false" customHeight="false" outlineLevel="0" collapsed="false">
      <c r="A174" s="22"/>
      <c r="B174" s="23"/>
      <c r="C174" s="22"/>
      <c r="D174" s="23"/>
      <c r="E174" s="23"/>
      <c r="F174" s="27" t="str">
        <f aca="false">IF($B174="","",IFERROR(INDEX(Cleaners!$B$5:$B$34,MATCH($B174,Cleaners!$A$5:$A$34,0)),"?"))</f>
        <v/>
      </c>
      <c r="G174" s="31" t="str">
        <f aca="false">IF($B174="","",COUNTIFS('Cleans Log'!$C$5:$C$1004,$B174,'Cleans Log'!$R$5:$R$1004,$A174,'Cleans Log'!$O$5:$O$1004,"&gt;0"))</f>
        <v/>
      </c>
      <c r="H174" s="28" t="str">
        <f aca="false">IF($B174="","",SUMIFS('Cleans Log'!$O$5:$O$1004,'Cleans Log'!$C$5:$C$1004,$B174,'Cleans Log'!$R$5:$R$1004,$A174))</f>
        <v/>
      </c>
      <c r="I174" s="30" t="str">
        <f aca="false">IF($A174="","",$A174+7)</f>
        <v/>
      </c>
      <c r="J174" s="27" t="str">
        <f aca="true">IF($B174="","",IF($C174&lt;&gt;"","Paid",IF(TODAY()&gt;=$I174,"PAY NOW","Upcoming")))</f>
        <v/>
      </c>
    </row>
    <row r="175" customFormat="false" ht="15" hidden="false" customHeight="false" outlineLevel="0" collapsed="false">
      <c r="A175" s="22"/>
      <c r="B175" s="23"/>
      <c r="C175" s="22"/>
      <c r="D175" s="23"/>
      <c r="E175" s="23"/>
      <c r="F175" s="27" t="str">
        <f aca="false">IF($B175="","",IFERROR(INDEX(Cleaners!$B$5:$B$34,MATCH($B175,Cleaners!$A$5:$A$34,0)),"?"))</f>
        <v/>
      </c>
      <c r="G175" s="31" t="str">
        <f aca="false">IF($B175="","",COUNTIFS('Cleans Log'!$C$5:$C$1004,$B175,'Cleans Log'!$R$5:$R$1004,$A175,'Cleans Log'!$O$5:$O$1004,"&gt;0"))</f>
        <v/>
      </c>
      <c r="H175" s="28" t="str">
        <f aca="false">IF($B175="","",SUMIFS('Cleans Log'!$O$5:$O$1004,'Cleans Log'!$C$5:$C$1004,$B175,'Cleans Log'!$R$5:$R$1004,$A175))</f>
        <v/>
      </c>
      <c r="I175" s="30" t="str">
        <f aca="false">IF($A175="","",$A175+7)</f>
        <v/>
      </c>
      <c r="J175" s="27" t="str">
        <f aca="true">IF($B175="","",IF($C175&lt;&gt;"","Paid",IF(TODAY()&gt;=$I175,"PAY NOW","Upcoming")))</f>
        <v/>
      </c>
    </row>
    <row r="176" customFormat="false" ht="15" hidden="false" customHeight="false" outlineLevel="0" collapsed="false">
      <c r="A176" s="22"/>
      <c r="B176" s="23"/>
      <c r="C176" s="22"/>
      <c r="D176" s="23"/>
      <c r="E176" s="23"/>
      <c r="F176" s="27" t="str">
        <f aca="false">IF($B176="","",IFERROR(INDEX(Cleaners!$B$5:$B$34,MATCH($B176,Cleaners!$A$5:$A$34,0)),"?"))</f>
        <v/>
      </c>
      <c r="G176" s="31" t="str">
        <f aca="false">IF($B176="","",COUNTIFS('Cleans Log'!$C$5:$C$1004,$B176,'Cleans Log'!$R$5:$R$1004,$A176,'Cleans Log'!$O$5:$O$1004,"&gt;0"))</f>
        <v/>
      </c>
      <c r="H176" s="28" t="str">
        <f aca="false">IF($B176="","",SUMIFS('Cleans Log'!$O$5:$O$1004,'Cleans Log'!$C$5:$C$1004,$B176,'Cleans Log'!$R$5:$R$1004,$A176))</f>
        <v/>
      </c>
      <c r="I176" s="30" t="str">
        <f aca="false">IF($A176="","",$A176+7)</f>
        <v/>
      </c>
      <c r="J176" s="27" t="str">
        <f aca="true">IF($B176="","",IF($C176&lt;&gt;"","Paid",IF(TODAY()&gt;=$I176,"PAY NOW","Upcoming")))</f>
        <v/>
      </c>
    </row>
    <row r="177" customFormat="false" ht="15" hidden="false" customHeight="false" outlineLevel="0" collapsed="false">
      <c r="A177" s="22"/>
      <c r="B177" s="23"/>
      <c r="C177" s="22"/>
      <c r="D177" s="23"/>
      <c r="E177" s="23"/>
      <c r="F177" s="27" t="str">
        <f aca="false">IF($B177="","",IFERROR(INDEX(Cleaners!$B$5:$B$34,MATCH($B177,Cleaners!$A$5:$A$34,0)),"?"))</f>
        <v/>
      </c>
      <c r="G177" s="31" t="str">
        <f aca="false">IF($B177="","",COUNTIFS('Cleans Log'!$C$5:$C$1004,$B177,'Cleans Log'!$R$5:$R$1004,$A177,'Cleans Log'!$O$5:$O$1004,"&gt;0"))</f>
        <v/>
      </c>
      <c r="H177" s="28" t="str">
        <f aca="false">IF($B177="","",SUMIFS('Cleans Log'!$O$5:$O$1004,'Cleans Log'!$C$5:$C$1004,$B177,'Cleans Log'!$R$5:$R$1004,$A177))</f>
        <v/>
      </c>
      <c r="I177" s="30" t="str">
        <f aca="false">IF($A177="","",$A177+7)</f>
        <v/>
      </c>
      <c r="J177" s="27" t="str">
        <f aca="true">IF($B177="","",IF($C177&lt;&gt;"","Paid",IF(TODAY()&gt;=$I177,"PAY NOW","Upcoming")))</f>
        <v/>
      </c>
    </row>
    <row r="178" customFormat="false" ht="15" hidden="false" customHeight="false" outlineLevel="0" collapsed="false">
      <c r="A178" s="22"/>
      <c r="B178" s="23"/>
      <c r="C178" s="22"/>
      <c r="D178" s="23"/>
      <c r="E178" s="23"/>
      <c r="F178" s="27" t="str">
        <f aca="false">IF($B178="","",IFERROR(INDEX(Cleaners!$B$5:$B$34,MATCH($B178,Cleaners!$A$5:$A$34,0)),"?"))</f>
        <v/>
      </c>
      <c r="G178" s="31" t="str">
        <f aca="false">IF($B178="","",COUNTIFS('Cleans Log'!$C$5:$C$1004,$B178,'Cleans Log'!$R$5:$R$1004,$A178,'Cleans Log'!$O$5:$O$1004,"&gt;0"))</f>
        <v/>
      </c>
      <c r="H178" s="28" t="str">
        <f aca="false">IF($B178="","",SUMIFS('Cleans Log'!$O$5:$O$1004,'Cleans Log'!$C$5:$C$1004,$B178,'Cleans Log'!$R$5:$R$1004,$A178))</f>
        <v/>
      </c>
      <c r="I178" s="30" t="str">
        <f aca="false">IF($A178="","",$A178+7)</f>
        <v/>
      </c>
      <c r="J178" s="27" t="str">
        <f aca="true">IF($B178="","",IF($C178&lt;&gt;"","Paid",IF(TODAY()&gt;=$I178,"PAY NOW","Upcoming")))</f>
        <v/>
      </c>
    </row>
    <row r="179" customFormat="false" ht="15" hidden="false" customHeight="false" outlineLevel="0" collapsed="false">
      <c r="A179" s="22"/>
      <c r="B179" s="23"/>
      <c r="C179" s="22"/>
      <c r="D179" s="23"/>
      <c r="E179" s="23"/>
      <c r="F179" s="27" t="str">
        <f aca="false">IF($B179="","",IFERROR(INDEX(Cleaners!$B$5:$B$34,MATCH($B179,Cleaners!$A$5:$A$34,0)),"?"))</f>
        <v/>
      </c>
      <c r="G179" s="31" t="str">
        <f aca="false">IF($B179="","",COUNTIFS('Cleans Log'!$C$5:$C$1004,$B179,'Cleans Log'!$R$5:$R$1004,$A179,'Cleans Log'!$O$5:$O$1004,"&gt;0"))</f>
        <v/>
      </c>
      <c r="H179" s="28" t="str">
        <f aca="false">IF($B179="","",SUMIFS('Cleans Log'!$O$5:$O$1004,'Cleans Log'!$C$5:$C$1004,$B179,'Cleans Log'!$R$5:$R$1004,$A179))</f>
        <v/>
      </c>
      <c r="I179" s="30" t="str">
        <f aca="false">IF($A179="","",$A179+7)</f>
        <v/>
      </c>
      <c r="J179" s="27" t="str">
        <f aca="true">IF($B179="","",IF($C179&lt;&gt;"","Paid",IF(TODAY()&gt;=$I179,"PAY NOW","Upcoming")))</f>
        <v/>
      </c>
    </row>
    <row r="180" customFormat="false" ht="15" hidden="false" customHeight="false" outlineLevel="0" collapsed="false">
      <c r="A180" s="22"/>
      <c r="B180" s="23"/>
      <c r="C180" s="22"/>
      <c r="D180" s="23"/>
      <c r="E180" s="23"/>
      <c r="F180" s="27" t="str">
        <f aca="false">IF($B180="","",IFERROR(INDEX(Cleaners!$B$5:$B$34,MATCH($B180,Cleaners!$A$5:$A$34,0)),"?"))</f>
        <v/>
      </c>
      <c r="G180" s="31" t="str">
        <f aca="false">IF($B180="","",COUNTIFS('Cleans Log'!$C$5:$C$1004,$B180,'Cleans Log'!$R$5:$R$1004,$A180,'Cleans Log'!$O$5:$O$1004,"&gt;0"))</f>
        <v/>
      </c>
      <c r="H180" s="28" t="str">
        <f aca="false">IF($B180="","",SUMIFS('Cleans Log'!$O$5:$O$1004,'Cleans Log'!$C$5:$C$1004,$B180,'Cleans Log'!$R$5:$R$1004,$A180))</f>
        <v/>
      </c>
      <c r="I180" s="30" t="str">
        <f aca="false">IF($A180="","",$A180+7)</f>
        <v/>
      </c>
      <c r="J180" s="27" t="str">
        <f aca="true">IF($B180="","",IF($C180&lt;&gt;"","Paid",IF(TODAY()&gt;=$I180,"PAY NOW","Upcoming")))</f>
        <v/>
      </c>
    </row>
    <row r="181" customFormat="false" ht="15" hidden="false" customHeight="false" outlineLevel="0" collapsed="false">
      <c r="A181" s="22"/>
      <c r="B181" s="23"/>
      <c r="C181" s="22"/>
      <c r="D181" s="23"/>
      <c r="E181" s="23"/>
      <c r="F181" s="27" t="str">
        <f aca="false">IF($B181="","",IFERROR(INDEX(Cleaners!$B$5:$B$34,MATCH($B181,Cleaners!$A$5:$A$34,0)),"?"))</f>
        <v/>
      </c>
      <c r="G181" s="31" t="str">
        <f aca="false">IF($B181="","",COUNTIFS('Cleans Log'!$C$5:$C$1004,$B181,'Cleans Log'!$R$5:$R$1004,$A181,'Cleans Log'!$O$5:$O$1004,"&gt;0"))</f>
        <v/>
      </c>
      <c r="H181" s="28" t="str">
        <f aca="false">IF($B181="","",SUMIFS('Cleans Log'!$O$5:$O$1004,'Cleans Log'!$C$5:$C$1004,$B181,'Cleans Log'!$R$5:$R$1004,$A181))</f>
        <v/>
      </c>
      <c r="I181" s="30" t="str">
        <f aca="false">IF($A181="","",$A181+7)</f>
        <v/>
      </c>
      <c r="J181" s="27" t="str">
        <f aca="true">IF($B181="","",IF($C181&lt;&gt;"","Paid",IF(TODAY()&gt;=$I181,"PAY NOW","Upcoming")))</f>
        <v/>
      </c>
    </row>
    <row r="182" customFormat="false" ht="15" hidden="false" customHeight="false" outlineLevel="0" collapsed="false">
      <c r="A182" s="22"/>
      <c r="B182" s="23"/>
      <c r="C182" s="22"/>
      <c r="D182" s="23"/>
      <c r="E182" s="23"/>
      <c r="F182" s="27" t="str">
        <f aca="false">IF($B182="","",IFERROR(INDEX(Cleaners!$B$5:$B$34,MATCH($B182,Cleaners!$A$5:$A$34,0)),"?"))</f>
        <v/>
      </c>
      <c r="G182" s="31" t="str">
        <f aca="false">IF($B182="","",COUNTIFS('Cleans Log'!$C$5:$C$1004,$B182,'Cleans Log'!$R$5:$R$1004,$A182,'Cleans Log'!$O$5:$O$1004,"&gt;0"))</f>
        <v/>
      </c>
      <c r="H182" s="28" t="str">
        <f aca="false">IF($B182="","",SUMIFS('Cleans Log'!$O$5:$O$1004,'Cleans Log'!$C$5:$C$1004,$B182,'Cleans Log'!$R$5:$R$1004,$A182))</f>
        <v/>
      </c>
      <c r="I182" s="30" t="str">
        <f aca="false">IF($A182="","",$A182+7)</f>
        <v/>
      </c>
      <c r="J182" s="27" t="str">
        <f aca="true">IF($B182="","",IF($C182&lt;&gt;"","Paid",IF(TODAY()&gt;=$I182,"PAY NOW","Upcoming")))</f>
        <v/>
      </c>
    </row>
    <row r="183" customFormat="false" ht="15" hidden="false" customHeight="false" outlineLevel="0" collapsed="false">
      <c r="A183" s="22"/>
      <c r="B183" s="23"/>
      <c r="C183" s="22"/>
      <c r="D183" s="23"/>
      <c r="E183" s="23"/>
      <c r="F183" s="27" t="str">
        <f aca="false">IF($B183="","",IFERROR(INDEX(Cleaners!$B$5:$B$34,MATCH($B183,Cleaners!$A$5:$A$34,0)),"?"))</f>
        <v/>
      </c>
      <c r="G183" s="31" t="str">
        <f aca="false">IF($B183="","",COUNTIFS('Cleans Log'!$C$5:$C$1004,$B183,'Cleans Log'!$R$5:$R$1004,$A183,'Cleans Log'!$O$5:$O$1004,"&gt;0"))</f>
        <v/>
      </c>
      <c r="H183" s="28" t="str">
        <f aca="false">IF($B183="","",SUMIFS('Cleans Log'!$O$5:$O$1004,'Cleans Log'!$C$5:$C$1004,$B183,'Cleans Log'!$R$5:$R$1004,$A183))</f>
        <v/>
      </c>
      <c r="I183" s="30" t="str">
        <f aca="false">IF($A183="","",$A183+7)</f>
        <v/>
      </c>
      <c r="J183" s="27" t="str">
        <f aca="true">IF($B183="","",IF($C183&lt;&gt;"","Paid",IF(TODAY()&gt;=$I183,"PAY NOW","Upcoming")))</f>
        <v/>
      </c>
    </row>
    <row r="184" customFormat="false" ht="15" hidden="false" customHeight="false" outlineLevel="0" collapsed="false">
      <c r="A184" s="22"/>
      <c r="B184" s="23"/>
      <c r="C184" s="22"/>
      <c r="D184" s="23"/>
      <c r="E184" s="23"/>
      <c r="F184" s="27" t="str">
        <f aca="false">IF($B184="","",IFERROR(INDEX(Cleaners!$B$5:$B$34,MATCH($B184,Cleaners!$A$5:$A$34,0)),"?"))</f>
        <v/>
      </c>
      <c r="G184" s="31" t="str">
        <f aca="false">IF($B184="","",COUNTIFS('Cleans Log'!$C$5:$C$1004,$B184,'Cleans Log'!$R$5:$R$1004,$A184,'Cleans Log'!$O$5:$O$1004,"&gt;0"))</f>
        <v/>
      </c>
      <c r="H184" s="28" t="str">
        <f aca="false">IF($B184="","",SUMIFS('Cleans Log'!$O$5:$O$1004,'Cleans Log'!$C$5:$C$1004,$B184,'Cleans Log'!$R$5:$R$1004,$A184))</f>
        <v/>
      </c>
      <c r="I184" s="30" t="str">
        <f aca="false">IF($A184="","",$A184+7)</f>
        <v/>
      </c>
      <c r="J184" s="27" t="str">
        <f aca="true">IF($B184="","",IF($C184&lt;&gt;"","Paid",IF(TODAY()&gt;=$I184,"PAY NOW","Upcoming")))</f>
        <v/>
      </c>
    </row>
    <row r="185" customFormat="false" ht="15" hidden="false" customHeight="false" outlineLevel="0" collapsed="false">
      <c r="A185" s="22"/>
      <c r="B185" s="23"/>
      <c r="C185" s="22"/>
      <c r="D185" s="23"/>
      <c r="E185" s="23"/>
      <c r="F185" s="27" t="str">
        <f aca="false">IF($B185="","",IFERROR(INDEX(Cleaners!$B$5:$B$34,MATCH($B185,Cleaners!$A$5:$A$34,0)),"?"))</f>
        <v/>
      </c>
      <c r="G185" s="31" t="str">
        <f aca="false">IF($B185="","",COUNTIFS('Cleans Log'!$C$5:$C$1004,$B185,'Cleans Log'!$R$5:$R$1004,$A185,'Cleans Log'!$O$5:$O$1004,"&gt;0"))</f>
        <v/>
      </c>
      <c r="H185" s="28" t="str">
        <f aca="false">IF($B185="","",SUMIFS('Cleans Log'!$O$5:$O$1004,'Cleans Log'!$C$5:$C$1004,$B185,'Cleans Log'!$R$5:$R$1004,$A185))</f>
        <v/>
      </c>
      <c r="I185" s="30" t="str">
        <f aca="false">IF($A185="","",$A185+7)</f>
        <v/>
      </c>
      <c r="J185" s="27" t="str">
        <f aca="true">IF($B185="","",IF($C185&lt;&gt;"","Paid",IF(TODAY()&gt;=$I185,"PAY NOW","Upcoming")))</f>
        <v/>
      </c>
    </row>
    <row r="186" customFormat="false" ht="15" hidden="false" customHeight="false" outlineLevel="0" collapsed="false">
      <c r="A186" s="22"/>
      <c r="B186" s="23"/>
      <c r="C186" s="22"/>
      <c r="D186" s="23"/>
      <c r="E186" s="23"/>
      <c r="F186" s="27" t="str">
        <f aca="false">IF($B186="","",IFERROR(INDEX(Cleaners!$B$5:$B$34,MATCH($B186,Cleaners!$A$5:$A$34,0)),"?"))</f>
        <v/>
      </c>
      <c r="G186" s="31" t="str">
        <f aca="false">IF($B186="","",COUNTIFS('Cleans Log'!$C$5:$C$1004,$B186,'Cleans Log'!$R$5:$R$1004,$A186,'Cleans Log'!$O$5:$O$1004,"&gt;0"))</f>
        <v/>
      </c>
      <c r="H186" s="28" t="str">
        <f aca="false">IF($B186="","",SUMIFS('Cleans Log'!$O$5:$O$1004,'Cleans Log'!$C$5:$C$1004,$B186,'Cleans Log'!$R$5:$R$1004,$A186))</f>
        <v/>
      </c>
      <c r="I186" s="30" t="str">
        <f aca="false">IF($A186="","",$A186+7)</f>
        <v/>
      </c>
      <c r="J186" s="27" t="str">
        <f aca="true">IF($B186="","",IF($C186&lt;&gt;"","Paid",IF(TODAY()&gt;=$I186,"PAY NOW","Upcoming")))</f>
        <v/>
      </c>
    </row>
    <row r="187" customFormat="false" ht="15" hidden="false" customHeight="false" outlineLevel="0" collapsed="false">
      <c r="A187" s="22"/>
      <c r="B187" s="23"/>
      <c r="C187" s="22"/>
      <c r="D187" s="23"/>
      <c r="E187" s="23"/>
      <c r="F187" s="27" t="str">
        <f aca="false">IF($B187="","",IFERROR(INDEX(Cleaners!$B$5:$B$34,MATCH($B187,Cleaners!$A$5:$A$34,0)),"?"))</f>
        <v/>
      </c>
      <c r="G187" s="31" t="str">
        <f aca="false">IF($B187="","",COUNTIFS('Cleans Log'!$C$5:$C$1004,$B187,'Cleans Log'!$R$5:$R$1004,$A187,'Cleans Log'!$O$5:$O$1004,"&gt;0"))</f>
        <v/>
      </c>
      <c r="H187" s="28" t="str">
        <f aca="false">IF($B187="","",SUMIFS('Cleans Log'!$O$5:$O$1004,'Cleans Log'!$C$5:$C$1004,$B187,'Cleans Log'!$R$5:$R$1004,$A187))</f>
        <v/>
      </c>
      <c r="I187" s="30" t="str">
        <f aca="false">IF($A187="","",$A187+7)</f>
        <v/>
      </c>
      <c r="J187" s="27" t="str">
        <f aca="true">IF($B187="","",IF($C187&lt;&gt;"","Paid",IF(TODAY()&gt;=$I187,"PAY NOW","Upcoming")))</f>
        <v/>
      </c>
    </row>
    <row r="188" customFormat="false" ht="15" hidden="false" customHeight="false" outlineLevel="0" collapsed="false">
      <c r="A188" s="22"/>
      <c r="B188" s="23"/>
      <c r="C188" s="22"/>
      <c r="D188" s="23"/>
      <c r="E188" s="23"/>
      <c r="F188" s="27" t="str">
        <f aca="false">IF($B188="","",IFERROR(INDEX(Cleaners!$B$5:$B$34,MATCH($B188,Cleaners!$A$5:$A$34,0)),"?"))</f>
        <v/>
      </c>
      <c r="G188" s="31" t="str">
        <f aca="false">IF($B188="","",COUNTIFS('Cleans Log'!$C$5:$C$1004,$B188,'Cleans Log'!$R$5:$R$1004,$A188,'Cleans Log'!$O$5:$O$1004,"&gt;0"))</f>
        <v/>
      </c>
      <c r="H188" s="28" t="str">
        <f aca="false">IF($B188="","",SUMIFS('Cleans Log'!$O$5:$O$1004,'Cleans Log'!$C$5:$C$1004,$B188,'Cleans Log'!$R$5:$R$1004,$A188))</f>
        <v/>
      </c>
      <c r="I188" s="30" t="str">
        <f aca="false">IF($A188="","",$A188+7)</f>
        <v/>
      </c>
      <c r="J188" s="27" t="str">
        <f aca="true">IF($B188="","",IF($C188&lt;&gt;"","Paid",IF(TODAY()&gt;=$I188,"PAY NOW","Upcoming")))</f>
        <v/>
      </c>
    </row>
    <row r="189" customFormat="false" ht="15" hidden="false" customHeight="false" outlineLevel="0" collapsed="false">
      <c r="A189" s="22"/>
      <c r="B189" s="23"/>
      <c r="C189" s="22"/>
      <c r="D189" s="23"/>
      <c r="E189" s="23"/>
      <c r="F189" s="27" t="str">
        <f aca="false">IF($B189="","",IFERROR(INDEX(Cleaners!$B$5:$B$34,MATCH($B189,Cleaners!$A$5:$A$34,0)),"?"))</f>
        <v/>
      </c>
      <c r="G189" s="31" t="str">
        <f aca="false">IF($B189="","",COUNTIFS('Cleans Log'!$C$5:$C$1004,$B189,'Cleans Log'!$R$5:$R$1004,$A189,'Cleans Log'!$O$5:$O$1004,"&gt;0"))</f>
        <v/>
      </c>
      <c r="H189" s="28" t="str">
        <f aca="false">IF($B189="","",SUMIFS('Cleans Log'!$O$5:$O$1004,'Cleans Log'!$C$5:$C$1004,$B189,'Cleans Log'!$R$5:$R$1004,$A189))</f>
        <v/>
      </c>
      <c r="I189" s="30" t="str">
        <f aca="false">IF($A189="","",$A189+7)</f>
        <v/>
      </c>
      <c r="J189" s="27" t="str">
        <f aca="true">IF($B189="","",IF($C189&lt;&gt;"","Paid",IF(TODAY()&gt;=$I189,"PAY NOW","Upcoming")))</f>
        <v/>
      </c>
    </row>
    <row r="190" customFormat="false" ht="15" hidden="false" customHeight="false" outlineLevel="0" collapsed="false">
      <c r="A190" s="22"/>
      <c r="B190" s="23"/>
      <c r="C190" s="22"/>
      <c r="D190" s="23"/>
      <c r="E190" s="23"/>
      <c r="F190" s="27" t="str">
        <f aca="false">IF($B190="","",IFERROR(INDEX(Cleaners!$B$5:$B$34,MATCH($B190,Cleaners!$A$5:$A$34,0)),"?"))</f>
        <v/>
      </c>
      <c r="G190" s="31" t="str">
        <f aca="false">IF($B190="","",COUNTIFS('Cleans Log'!$C$5:$C$1004,$B190,'Cleans Log'!$R$5:$R$1004,$A190,'Cleans Log'!$O$5:$O$1004,"&gt;0"))</f>
        <v/>
      </c>
      <c r="H190" s="28" t="str">
        <f aca="false">IF($B190="","",SUMIFS('Cleans Log'!$O$5:$O$1004,'Cleans Log'!$C$5:$C$1004,$B190,'Cleans Log'!$R$5:$R$1004,$A190))</f>
        <v/>
      </c>
      <c r="I190" s="30" t="str">
        <f aca="false">IF($A190="","",$A190+7)</f>
        <v/>
      </c>
      <c r="J190" s="27" t="str">
        <f aca="true">IF($B190="","",IF($C190&lt;&gt;"","Paid",IF(TODAY()&gt;=$I190,"PAY NOW","Upcoming")))</f>
        <v/>
      </c>
    </row>
    <row r="191" customFormat="false" ht="15" hidden="false" customHeight="false" outlineLevel="0" collapsed="false">
      <c r="A191" s="22"/>
      <c r="B191" s="23"/>
      <c r="C191" s="22"/>
      <c r="D191" s="23"/>
      <c r="E191" s="23"/>
      <c r="F191" s="27" t="str">
        <f aca="false">IF($B191="","",IFERROR(INDEX(Cleaners!$B$5:$B$34,MATCH($B191,Cleaners!$A$5:$A$34,0)),"?"))</f>
        <v/>
      </c>
      <c r="G191" s="31" t="str">
        <f aca="false">IF($B191="","",COUNTIFS('Cleans Log'!$C$5:$C$1004,$B191,'Cleans Log'!$R$5:$R$1004,$A191,'Cleans Log'!$O$5:$O$1004,"&gt;0"))</f>
        <v/>
      </c>
      <c r="H191" s="28" t="str">
        <f aca="false">IF($B191="","",SUMIFS('Cleans Log'!$O$5:$O$1004,'Cleans Log'!$C$5:$C$1004,$B191,'Cleans Log'!$R$5:$R$1004,$A191))</f>
        <v/>
      </c>
      <c r="I191" s="30" t="str">
        <f aca="false">IF($A191="","",$A191+7)</f>
        <v/>
      </c>
      <c r="J191" s="27" t="str">
        <f aca="true">IF($B191="","",IF($C191&lt;&gt;"","Paid",IF(TODAY()&gt;=$I191,"PAY NOW","Upcoming")))</f>
        <v/>
      </c>
    </row>
    <row r="192" customFormat="false" ht="15" hidden="false" customHeight="false" outlineLevel="0" collapsed="false">
      <c r="A192" s="22"/>
      <c r="B192" s="23"/>
      <c r="C192" s="22"/>
      <c r="D192" s="23"/>
      <c r="E192" s="23"/>
      <c r="F192" s="27" t="str">
        <f aca="false">IF($B192="","",IFERROR(INDEX(Cleaners!$B$5:$B$34,MATCH($B192,Cleaners!$A$5:$A$34,0)),"?"))</f>
        <v/>
      </c>
      <c r="G192" s="31" t="str">
        <f aca="false">IF($B192="","",COUNTIFS('Cleans Log'!$C$5:$C$1004,$B192,'Cleans Log'!$R$5:$R$1004,$A192,'Cleans Log'!$O$5:$O$1004,"&gt;0"))</f>
        <v/>
      </c>
      <c r="H192" s="28" t="str">
        <f aca="false">IF($B192="","",SUMIFS('Cleans Log'!$O$5:$O$1004,'Cleans Log'!$C$5:$C$1004,$B192,'Cleans Log'!$R$5:$R$1004,$A192))</f>
        <v/>
      </c>
      <c r="I192" s="30" t="str">
        <f aca="false">IF($A192="","",$A192+7)</f>
        <v/>
      </c>
      <c r="J192" s="27" t="str">
        <f aca="true">IF($B192="","",IF($C192&lt;&gt;"","Paid",IF(TODAY()&gt;=$I192,"PAY NOW","Upcoming")))</f>
        <v/>
      </c>
    </row>
    <row r="193" customFormat="false" ht="15" hidden="false" customHeight="false" outlineLevel="0" collapsed="false">
      <c r="A193" s="22"/>
      <c r="B193" s="23"/>
      <c r="C193" s="22"/>
      <c r="D193" s="23"/>
      <c r="E193" s="23"/>
      <c r="F193" s="27" t="str">
        <f aca="false">IF($B193="","",IFERROR(INDEX(Cleaners!$B$5:$B$34,MATCH($B193,Cleaners!$A$5:$A$34,0)),"?"))</f>
        <v/>
      </c>
      <c r="G193" s="31" t="str">
        <f aca="false">IF($B193="","",COUNTIFS('Cleans Log'!$C$5:$C$1004,$B193,'Cleans Log'!$R$5:$R$1004,$A193,'Cleans Log'!$O$5:$O$1004,"&gt;0"))</f>
        <v/>
      </c>
      <c r="H193" s="28" t="str">
        <f aca="false">IF($B193="","",SUMIFS('Cleans Log'!$O$5:$O$1004,'Cleans Log'!$C$5:$C$1004,$B193,'Cleans Log'!$R$5:$R$1004,$A193))</f>
        <v/>
      </c>
      <c r="I193" s="30" t="str">
        <f aca="false">IF($A193="","",$A193+7)</f>
        <v/>
      </c>
      <c r="J193" s="27" t="str">
        <f aca="true">IF($B193="","",IF($C193&lt;&gt;"","Paid",IF(TODAY()&gt;=$I193,"PAY NOW","Upcoming")))</f>
        <v/>
      </c>
    </row>
    <row r="194" customFormat="false" ht="15" hidden="false" customHeight="false" outlineLevel="0" collapsed="false">
      <c r="A194" s="22"/>
      <c r="B194" s="23"/>
      <c r="C194" s="22"/>
      <c r="D194" s="23"/>
      <c r="E194" s="23"/>
      <c r="F194" s="27" t="str">
        <f aca="false">IF($B194="","",IFERROR(INDEX(Cleaners!$B$5:$B$34,MATCH($B194,Cleaners!$A$5:$A$34,0)),"?"))</f>
        <v/>
      </c>
      <c r="G194" s="31" t="str">
        <f aca="false">IF($B194="","",COUNTIFS('Cleans Log'!$C$5:$C$1004,$B194,'Cleans Log'!$R$5:$R$1004,$A194,'Cleans Log'!$O$5:$O$1004,"&gt;0"))</f>
        <v/>
      </c>
      <c r="H194" s="28" t="str">
        <f aca="false">IF($B194="","",SUMIFS('Cleans Log'!$O$5:$O$1004,'Cleans Log'!$C$5:$C$1004,$B194,'Cleans Log'!$R$5:$R$1004,$A194))</f>
        <v/>
      </c>
      <c r="I194" s="30" t="str">
        <f aca="false">IF($A194="","",$A194+7)</f>
        <v/>
      </c>
      <c r="J194" s="27" t="str">
        <f aca="true">IF($B194="","",IF($C194&lt;&gt;"","Paid",IF(TODAY()&gt;=$I194,"PAY NOW","Upcoming")))</f>
        <v/>
      </c>
    </row>
    <row r="195" customFormat="false" ht="15" hidden="false" customHeight="false" outlineLevel="0" collapsed="false">
      <c r="A195" s="22"/>
      <c r="B195" s="23"/>
      <c r="C195" s="22"/>
      <c r="D195" s="23"/>
      <c r="E195" s="23"/>
      <c r="F195" s="27" t="str">
        <f aca="false">IF($B195="","",IFERROR(INDEX(Cleaners!$B$5:$B$34,MATCH($B195,Cleaners!$A$5:$A$34,0)),"?"))</f>
        <v/>
      </c>
      <c r="G195" s="31" t="str">
        <f aca="false">IF($B195="","",COUNTIFS('Cleans Log'!$C$5:$C$1004,$B195,'Cleans Log'!$R$5:$R$1004,$A195,'Cleans Log'!$O$5:$O$1004,"&gt;0"))</f>
        <v/>
      </c>
      <c r="H195" s="28" t="str">
        <f aca="false">IF($B195="","",SUMIFS('Cleans Log'!$O$5:$O$1004,'Cleans Log'!$C$5:$C$1004,$B195,'Cleans Log'!$R$5:$R$1004,$A195))</f>
        <v/>
      </c>
      <c r="I195" s="30" t="str">
        <f aca="false">IF($A195="","",$A195+7)</f>
        <v/>
      </c>
      <c r="J195" s="27" t="str">
        <f aca="true">IF($B195="","",IF($C195&lt;&gt;"","Paid",IF(TODAY()&gt;=$I195,"PAY NOW","Upcoming")))</f>
        <v/>
      </c>
    </row>
    <row r="196" customFormat="false" ht="15" hidden="false" customHeight="false" outlineLevel="0" collapsed="false">
      <c r="A196" s="22"/>
      <c r="B196" s="23"/>
      <c r="C196" s="22"/>
      <c r="D196" s="23"/>
      <c r="E196" s="23"/>
      <c r="F196" s="27" t="str">
        <f aca="false">IF($B196="","",IFERROR(INDEX(Cleaners!$B$5:$B$34,MATCH($B196,Cleaners!$A$5:$A$34,0)),"?"))</f>
        <v/>
      </c>
      <c r="G196" s="31" t="str">
        <f aca="false">IF($B196="","",COUNTIFS('Cleans Log'!$C$5:$C$1004,$B196,'Cleans Log'!$R$5:$R$1004,$A196,'Cleans Log'!$O$5:$O$1004,"&gt;0"))</f>
        <v/>
      </c>
      <c r="H196" s="28" t="str">
        <f aca="false">IF($B196="","",SUMIFS('Cleans Log'!$O$5:$O$1004,'Cleans Log'!$C$5:$C$1004,$B196,'Cleans Log'!$R$5:$R$1004,$A196))</f>
        <v/>
      </c>
      <c r="I196" s="30" t="str">
        <f aca="false">IF($A196="","",$A196+7)</f>
        <v/>
      </c>
      <c r="J196" s="27" t="str">
        <f aca="true">IF($B196="","",IF($C196&lt;&gt;"","Paid",IF(TODAY()&gt;=$I196,"PAY NOW","Upcoming")))</f>
        <v/>
      </c>
    </row>
    <row r="197" customFormat="false" ht="15" hidden="false" customHeight="false" outlineLevel="0" collapsed="false">
      <c r="A197" s="22"/>
      <c r="B197" s="23"/>
      <c r="C197" s="22"/>
      <c r="D197" s="23"/>
      <c r="E197" s="23"/>
      <c r="F197" s="27" t="str">
        <f aca="false">IF($B197="","",IFERROR(INDEX(Cleaners!$B$5:$B$34,MATCH($B197,Cleaners!$A$5:$A$34,0)),"?"))</f>
        <v/>
      </c>
      <c r="G197" s="31" t="str">
        <f aca="false">IF($B197="","",COUNTIFS('Cleans Log'!$C$5:$C$1004,$B197,'Cleans Log'!$R$5:$R$1004,$A197,'Cleans Log'!$O$5:$O$1004,"&gt;0"))</f>
        <v/>
      </c>
      <c r="H197" s="28" t="str">
        <f aca="false">IF($B197="","",SUMIFS('Cleans Log'!$O$5:$O$1004,'Cleans Log'!$C$5:$C$1004,$B197,'Cleans Log'!$R$5:$R$1004,$A197))</f>
        <v/>
      </c>
      <c r="I197" s="30" t="str">
        <f aca="false">IF($A197="","",$A197+7)</f>
        <v/>
      </c>
      <c r="J197" s="27" t="str">
        <f aca="true">IF($B197="","",IF($C197&lt;&gt;"","Paid",IF(TODAY()&gt;=$I197,"PAY NOW","Upcoming")))</f>
        <v/>
      </c>
    </row>
    <row r="198" customFormat="false" ht="15" hidden="false" customHeight="false" outlineLevel="0" collapsed="false">
      <c r="A198" s="22"/>
      <c r="B198" s="23"/>
      <c r="C198" s="22"/>
      <c r="D198" s="23"/>
      <c r="E198" s="23"/>
      <c r="F198" s="27" t="str">
        <f aca="false">IF($B198="","",IFERROR(INDEX(Cleaners!$B$5:$B$34,MATCH($B198,Cleaners!$A$5:$A$34,0)),"?"))</f>
        <v/>
      </c>
      <c r="G198" s="31" t="str">
        <f aca="false">IF($B198="","",COUNTIFS('Cleans Log'!$C$5:$C$1004,$B198,'Cleans Log'!$R$5:$R$1004,$A198,'Cleans Log'!$O$5:$O$1004,"&gt;0"))</f>
        <v/>
      </c>
      <c r="H198" s="28" t="str">
        <f aca="false">IF($B198="","",SUMIFS('Cleans Log'!$O$5:$O$1004,'Cleans Log'!$C$5:$C$1004,$B198,'Cleans Log'!$R$5:$R$1004,$A198))</f>
        <v/>
      </c>
      <c r="I198" s="30" t="str">
        <f aca="false">IF($A198="","",$A198+7)</f>
        <v/>
      </c>
      <c r="J198" s="27" t="str">
        <f aca="true">IF($B198="","",IF($C198&lt;&gt;"","Paid",IF(TODAY()&gt;=$I198,"PAY NOW","Upcoming")))</f>
        <v/>
      </c>
    </row>
    <row r="199" customFormat="false" ht="15" hidden="false" customHeight="false" outlineLevel="0" collapsed="false">
      <c r="A199" s="22"/>
      <c r="B199" s="23"/>
      <c r="C199" s="22"/>
      <c r="D199" s="23"/>
      <c r="E199" s="23"/>
      <c r="F199" s="27" t="str">
        <f aca="false">IF($B199="","",IFERROR(INDEX(Cleaners!$B$5:$B$34,MATCH($B199,Cleaners!$A$5:$A$34,0)),"?"))</f>
        <v/>
      </c>
      <c r="G199" s="31" t="str">
        <f aca="false">IF($B199="","",COUNTIFS('Cleans Log'!$C$5:$C$1004,$B199,'Cleans Log'!$R$5:$R$1004,$A199,'Cleans Log'!$O$5:$O$1004,"&gt;0"))</f>
        <v/>
      </c>
      <c r="H199" s="28" t="str">
        <f aca="false">IF($B199="","",SUMIFS('Cleans Log'!$O$5:$O$1004,'Cleans Log'!$C$5:$C$1004,$B199,'Cleans Log'!$R$5:$R$1004,$A199))</f>
        <v/>
      </c>
      <c r="I199" s="30" t="str">
        <f aca="false">IF($A199="","",$A199+7)</f>
        <v/>
      </c>
      <c r="J199" s="27" t="str">
        <f aca="true">IF($B199="","",IF($C199&lt;&gt;"","Paid",IF(TODAY()&gt;=$I199,"PAY NOW","Upcoming")))</f>
        <v/>
      </c>
    </row>
    <row r="200" customFormat="false" ht="15" hidden="false" customHeight="false" outlineLevel="0" collapsed="false">
      <c r="A200" s="22"/>
      <c r="B200" s="23"/>
      <c r="C200" s="22"/>
      <c r="D200" s="23"/>
      <c r="E200" s="23"/>
      <c r="F200" s="27" t="str">
        <f aca="false">IF($B200="","",IFERROR(INDEX(Cleaners!$B$5:$B$34,MATCH($B200,Cleaners!$A$5:$A$34,0)),"?"))</f>
        <v/>
      </c>
      <c r="G200" s="31" t="str">
        <f aca="false">IF($B200="","",COUNTIFS('Cleans Log'!$C$5:$C$1004,$B200,'Cleans Log'!$R$5:$R$1004,$A200,'Cleans Log'!$O$5:$O$1004,"&gt;0"))</f>
        <v/>
      </c>
      <c r="H200" s="28" t="str">
        <f aca="false">IF($B200="","",SUMIFS('Cleans Log'!$O$5:$O$1004,'Cleans Log'!$C$5:$C$1004,$B200,'Cleans Log'!$R$5:$R$1004,$A200))</f>
        <v/>
      </c>
      <c r="I200" s="30" t="str">
        <f aca="false">IF($A200="","",$A200+7)</f>
        <v/>
      </c>
      <c r="J200" s="27" t="str">
        <f aca="true">IF($B200="","",IF($C200&lt;&gt;"","Paid",IF(TODAY()&gt;=$I200,"PAY NOW","Upcoming")))</f>
        <v/>
      </c>
    </row>
    <row r="201" customFormat="false" ht="15" hidden="false" customHeight="false" outlineLevel="0" collapsed="false">
      <c r="A201" s="22"/>
      <c r="B201" s="23"/>
      <c r="C201" s="22"/>
      <c r="D201" s="23"/>
      <c r="E201" s="23"/>
      <c r="F201" s="27" t="str">
        <f aca="false">IF($B201="","",IFERROR(INDEX(Cleaners!$B$5:$B$34,MATCH($B201,Cleaners!$A$5:$A$34,0)),"?"))</f>
        <v/>
      </c>
      <c r="G201" s="31" t="str">
        <f aca="false">IF($B201="","",COUNTIFS('Cleans Log'!$C$5:$C$1004,$B201,'Cleans Log'!$R$5:$R$1004,$A201,'Cleans Log'!$O$5:$O$1004,"&gt;0"))</f>
        <v/>
      </c>
      <c r="H201" s="28" t="str">
        <f aca="false">IF($B201="","",SUMIFS('Cleans Log'!$O$5:$O$1004,'Cleans Log'!$C$5:$C$1004,$B201,'Cleans Log'!$R$5:$R$1004,$A201))</f>
        <v/>
      </c>
      <c r="I201" s="30" t="str">
        <f aca="false">IF($A201="","",$A201+7)</f>
        <v/>
      </c>
      <c r="J201" s="27" t="str">
        <f aca="true">IF($B201="","",IF($C201&lt;&gt;"","Paid",IF(TODAY()&gt;=$I201,"PAY NOW","Upcoming")))</f>
        <v/>
      </c>
    </row>
    <row r="202" customFormat="false" ht="15" hidden="false" customHeight="false" outlineLevel="0" collapsed="false">
      <c r="A202" s="22"/>
      <c r="B202" s="23"/>
      <c r="C202" s="22"/>
      <c r="D202" s="23"/>
      <c r="E202" s="23"/>
      <c r="F202" s="27" t="str">
        <f aca="false">IF($B202="","",IFERROR(INDEX(Cleaners!$B$5:$B$34,MATCH($B202,Cleaners!$A$5:$A$34,0)),"?"))</f>
        <v/>
      </c>
      <c r="G202" s="31" t="str">
        <f aca="false">IF($B202="","",COUNTIFS('Cleans Log'!$C$5:$C$1004,$B202,'Cleans Log'!$R$5:$R$1004,$A202,'Cleans Log'!$O$5:$O$1004,"&gt;0"))</f>
        <v/>
      </c>
      <c r="H202" s="28" t="str">
        <f aca="false">IF($B202="","",SUMIFS('Cleans Log'!$O$5:$O$1004,'Cleans Log'!$C$5:$C$1004,$B202,'Cleans Log'!$R$5:$R$1004,$A202))</f>
        <v/>
      </c>
      <c r="I202" s="30" t="str">
        <f aca="false">IF($A202="","",$A202+7)</f>
        <v/>
      </c>
      <c r="J202" s="27" t="str">
        <f aca="true">IF($B202="","",IF($C202&lt;&gt;"","Paid",IF(TODAY()&gt;=$I202,"PAY NOW","Upcoming")))</f>
        <v/>
      </c>
    </row>
    <row r="203" customFormat="false" ht="15" hidden="false" customHeight="false" outlineLevel="0" collapsed="false">
      <c r="A203" s="22"/>
      <c r="B203" s="23"/>
      <c r="C203" s="22"/>
      <c r="D203" s="23"/>
      <c r="E203" s="23"/>
      <c r="F203" s="27" t="str">
        <f aca="false">IF($B203="","",IFERROR(INDEX(Cleaners!$B$5:$B$34,MATCH($B203,Cleaners!$A$5:$A$34,0)),"?"))</f>
        <v/>
      </c>
      <c r="G203" s="31" t="str">
        <f aca="false">IF($B203="","",COUNTIFS('Cleans Log'!$C$5:$C$1004,$B203,'Cleans Log'!$R$5:$R$1004,$A203,'Cleans Log'!$O$5:$O$1004,"&gt;0"))</f>
        <v/>
      </c>
      <c r="H203" s="28" t="str">
        <f aca="false">IF($B203="","",SUMIFS('Cleans Log'!$O$5:$O$1004,'Cleans Log'!$C$5:$C$1004,$B203,'Cleans Log'!$R$5:$R$1004,$A203))</f>
        <v/>
      </c>
      <c r="I203" s="30" t="str">
        <f aca="false">IF($A203="","",$A203+7)</f>
        <v/>
      </c>
      <c r="J203" s="27" t="str">
        <f aca="true">IF($B203="","",IF($C203&lt;&gt;"","Paid",IF(TODAY()&gt;=$I203,"PAY NOW","Upcoming")))</f>
        <v/>
      </c>
    </row>
    <row r="204" customFormat="false" ht="15" hidden="false" customHeight="false" outlineLevel="0" collapsed="false">
      <c r="A204" s="22"/>
      <c r="B204" s="23"/>
      <c r="C204" s="22"/>
      <c r="D204" s="23"/>
      <c r="E204" s="23"/>
      <c r="F204" s="27" t="str">
        <f aca="false">IF($B204="","",IFERROR(INDEX(Cleaners!$B$5:$B$34,MATCH($B204,Cleaners!$A$5:$A$34,0)),"?"))</f>
        <v/>
      </c>
      <c r="G204" s="31" t="str">
        <f aca="false">IF($B204="","",COUNTIFS('Cleans Log'!$C$5:$C$1004,$B204,'Cleans Log'!$R$5:$R$1004,$A204,'Cleans Log'!$O$5:$O$1004,"&gt;0"))</f>
        <v/>
      </c>
      <c r="H204" s="28" t="str">
        <f aca="false">IF($B204="","",SUMIFS('Cleans Log'!$O$5:$O$1004,'Cleans Log'!$C$5:$C$1004,$B204,'Cleans Log'!$R$5:$R$1004,$A204))</f>
        <v/>
      </c>
      <c r="I204" s="30" t="str">
        <f aca="false">IF($A204="","",$A204+7)</f>
        <v/>
      </c>
      <c r="J204" s="27" t="str">
        <f aca="true">IF($B204="","",IF($C204&lt;&gt;"","Paid",IF(TODAY()&gt;=$I204,"PAY NOW","Upcoming")))</f>
        <v/>
      </c>
    </row>
    <row r="205" customFormat="false" ht="15" hidden="false" customHeight="false" outlineLevel="0" collapsed="false">
      <c r="A205" s="22"/>
      <c r="B205" s="23"/>
      <c r="C205" s="22"/>
      <c r="D205" s="23"/>
      <c r="E205" s="23"/>
      <c r="F205" s="27" t="str">
        <f aca="false">IF($B205="","",IFERROR(INDEX(Cleaners!$B$5:$B$34,MATCH($B205,Cleaners!$A$5:$A$34,0)),"?"))</f>
        <v/>
      </c>
      <c r="G205" s="31" t="str">
        <f aca="false">IF($B205="","",COUNTIFS('Cleans Log'!$C$5:$C$1004,$B205,'Cleans Log'!$R$5:$R$1004,$A205,'Cleans Log'!$O$5:$O$1004,"&gt;0"))</f>
        <v/>
      </c>
      <c r="H205" s="28" t="str">
        <f aca="false">IF($B205="","",SUMIFS('Cleans Log'!$O$5:$O$1004,'Cleans Log'!$C$5:$C$1004,$B205,'Cleans Log'!$R$5:$R$1004,$A205))</f>
        <v/>
      </c>
      <c r="I205" s="30" t="str">
        <f aca="false">IF($A205="","",$A205+7)</f>
        <v/>
      </c>
      <c r="J205" s="27" t="str">
        <f aca="true">IF($B205="","",IF($C205&lt;&gt;"","Paid",IF(TODAY()&gt;=$I205,"PAY NOW","Upcoming")))</f>
        <v/>
      </c>
    </row>
    <row r="206" customFormat="false" ht="15" hidden="false" customHeight="false" outlineLevel="0" collapsed="false">
      <c r="A206" s="22"/>
      <c r="B206" s="23"/>
      <c r="C206" s="22"/>
      <c r="D206" s="23"/>
      <c r="E206" s="23"/>
      <c r="F206" s="27" t="str">
        <f aca="false">IF($B206="","",IFERROR(INDEX(Cleaners!$B$5:$B$34,MATCH($B206,Cleaners!$A$5:$A$34,0)),"?"))</f>
        <v/>
      </c>
      <c r="G206" s="31" t="str">
        <f aca="false">IF($B206="","",COUNTIFS('Cleans Log'!$C$5:$C$1004,$B206,'Cleans Log'!$R$5:$R$1004,$A206,'Cleans Log'!$O$5:$O$1004,"&gt;0"))</f>
        <v/>
      </c>
      <c r="H206" s="28" t="str">
        <f aca="false">IF($B206="","",SUMIFS('Cleans Log'!$O$5:$O$1004,'Cleans Log'!$C$5:$C$1004,$B206,'Cleans Log'!$R$5:$R$1004,$A206))</f>
        <v/>
      </c>
      <c r="I206" s="30" t="str">
        <f aca="false">IF($A206="","",$A206+7)</f>
        <v/>
      </c>
      <c r="J206" s="27" t="str">
        <f aca="true">IF($B206="","",IF($C206&lt;&gt;"","Paid",IF(TODAY()&gt;=$I206,"PAY NOW","Upcoming")))</f>
        <v/>
      </c>
    </row>
    <row r="207" customFormat="false" ht="15" hidden="false" customHeight="false" outlineLevel="0" collapsed="false">
      <c r="A207" s="22"/>
      <c r="B207" s="23"/>
      <c r="C207" s="22"/>
      <c r="D207" s="23"/>
      <c r="E207" s="23"/>
      <c r="F207" s="27" t="str">
        <f aca="false">IF($B207="","",IFERROR(INDEX(Cleaners!$B$5:$B$34,MATCH($B207,Cleaners!$A$5:$A$34,0)),"?"))</f>
        <v/>
      </c>
      <c r="G207" s="31" t="str">
        <f aca="false">IF($B207="","",COUNTIFS('Cleans Log'!$C$5:$C$1004,$B207,'Cleans Log'!$R$5:$R$1004,$A207,'Cleans Log'!$O$5:$O$1004,"&gt;0"))</f>
        <v/>
      </c>
      <c r="H207" s="28" t="str">
        <f aca="false">IF($B207="","",SUMIFS('Cleans Log'!$O$5:$O$1004,'Cleans Log'!$C$5:$C$1004,$B207,'Cleans Log'!$R$5:$R$1004,$A207))</f>
        <v/>
      </c>
      <c r="I207" s="30" t="str">
        <f aca="false">IF($A207="","",$A207+7)</f>
        <v/>
      </c>
      <c r="J207" s="27" t="str">
        <f aca="true">IF($B207="","",IF($C207&lt;&gt;"","Paid",IF(TODAY()&gt;=$I207,"PAY NOW","Upcoming")))</f>
        <v/>
      </c>
    </row>
    <row r="208" customFormat="false" ht="15" hidden="false" customHeight="false" outlineLevel="0" collapsed="false">
      <c r="A208" s="22"/>
      <c r="B208" s="23"/>
      <c r="C208" s="22"/>
      <c r="D208" s="23"/>
      <c r="E208" s="23"/>
      <c r="F208" s="27" t="str">
        <f aca="false">IF($B208="","",IFERROR(INDEX(Cleaners!$B$5:$B$34,MATCH($B208,Cleaners!$A$5:$A$34,0)),"?"))</f>
        <v/>
      </c>
      <c r="G208" s="31" t="str">
        <f aca="false">IF($B208="","",COUNTIFS('Cleans Log'!$C$5:$C$1004,$B208,'Cleans Log'!$R$5:$R$1004,$A208,'Cleans Log'!$O$5:$O$1004,"&gt;0"))</f>
        <v/>
      </c>
      <c r="H208" s="28" t="str">
        <f aca="false">IF($B208="","",SUMIFS('Cleans Log'!$O$5:$O$1004,'Cleans Log'!$C$5:$C$1004,$B208,'Cleans Log'!$R$5:$R$1004,$A208))</f>
        <v/>
      </c>
      <c r="I208" s="30" t="str">
        <f aca="false">IF($A208="","",$A208+7)</f>
        <v/>
      </c>
      <c r="J208" s="27" t="str">
        <f aca="true">IF($B208="","",IF($C208&lt;&gt;"","Paid",IF(TODAY()&gt;=$I208,"PAY NOW","Upcoming")))</f>
        <v/>
      </c>
    </row>
    <row r="209" customFormat="false" ht="15" hidden="false" customHeight="false" outlineLevel="0" collapsed="false">
      <c r="A209" s="22"/>
      <c r="B209" s="23"/>
      <c r="C209" s="22"/>
      <c r="D209" s="23"/>
      <c r="E209" s="23"/>
      <c r="F209" s="27" t="str">
        <f aca="false">IF($B209="","",IFERROR(INDEX(Cleaners!$B$5:$B$34,MATCH($B209,Cleaners!$A$5:$A$34,0)),"?"))</f>
        <v/>
      </c>
      <c r="G209" s="31" t="str">
        <f aca="false">IF($B209="","",COUNTIFS('Cleans Log'!$C$5:$C$1004,$B209,'Cleans Log'!$R$5:$R$1004,$A209,'Cleans Log'!$O$5:$O$1004,"&gt;0"))</f>
        <v/>
      </c>
      <c r="H209" s="28" t="str">
        <f aca="false">IF($B209="","",SUMIFS('Cleans Log'!$O$5:$O$1004,'Cleans Log'!$C$5:$C$1004,$B209,'Cleans Log'!$R$5:$R$1004,$A209))</f>
        <v/>
      </c>
      <c r="I209" s="30" t="str">
        <f aca="false">IF($A209="","",$A209+7)</f>
        <v/>
      </c>
      <c r="J209" s="27" t="str">
        <f aca="true">IF($B209="","",IF($C209&lt;&gt;"","Paid",IF(TODAY()&gt;=$I209,"PAY NOW","Upcoming")))</f>
        <v/>
      </c>
    </row>
    <row r="210" customFormat="false" ht="15" hidden="false" customHeight="false" outlineLevel="0" collapsed="false">
      <c r="A210" s="22"/>
      <c r="B210" s="23"/>
      <c r="C210" s="22"/>
      <c r="D210" s="23"/>
      <c r="E210" s="23"/>
      <c r="F210" s="27" t="str">
        <f aca="false">IF($B210="","",IFERROR(INDEX(Cleaners!$B$5:$B$34,MATCH($B210,Cleaners!$A$5:$A$34,0)),"?"))</f>
        <v/>
      </c>
      <c r="G210" s="31" t="str">
        <f aca="false">IF($B210="","",COUNTIFS('Cleans Log'!$C$5:$C$1004,$B210,'Cleans Log'!$R$5:$R$1004,$A210,'Cleans Log'!$O$5:$O$1004,"&gt;0"))</f>
        <v/>
      </c>
      <c r="H210" s="28" t="str">
        <f aca="false">IF($B210="","",SUMIFS('Cleans Log'!$O$5:$O$1004,'Cleans Log'!$C$5:$C$1004,$B210,'Cleans Log'!$R$5:$R$1004,$A210))</f>
        <v/>
      </c>
      <c r="I210" s="30" t="str">
        <f aca="false">IF($A210="","",$A210+7)</f>
        <v/>
      </c>
      <c r="J210" s="27" t="str">
        <f aca="true">IF($B210="","",IF($C210&lt;&gt;"","Paid",IF(TODAY()&gt;=$I210,"PAY NOW","Upcoming")))</f>
        <v/>
      </c>
    </row>
    <row r="211" customFormat="false" ht="15" hidden="false" customHeight="false" outlineLevel="0" collapsed="false">
      <c r="A211" s="22"/>
      <c r="B211" s="23"/>
      <c r="C211" s="22"/>
      <c r="D211" s="23"/>
      <c r="E211" s="23"/>
      <c r="F211" s="27" t="str">
        <f aca="false">IF($B211="","",IFERROR(INDEX(Cleaners!$B$5:$B$34,MATCH($B211,Cleaners!$A$5:$A$34,0)),"?"))</f>
        <v/>
      </c>
      <c r="G211" s="31" t="str">
        <f aca="false">IF($B211="","",COUNTIFS('Cleans Log'!$C$5:$C$1004,$B211,'Cleans Log'!$R$5:$R$1004,$A211,'Cleans Log'!$O$5:$O$1004,"&gt;0"))</f>
        <v/>
      </c>
      <c r="H211" s="28" t="str">
        <f aca="false">IF($B211="","",SUMIFS('Cleans Log'!$O$5:$O$1004,'Cleans Log'!$C$5:$C$1004,$B211,'Cleans Log'!$R$5:$R$1004,$A211))</f>
        <v/>
      </c>
      <c r="I211" s="30" t="str">
        <f aca="false">IF($A211="","",$A211+7)</f>
        <v/>
      </c>
      <c r="J211" s="27" t="str">
        <f aca="true">IF($B211="","",IF($C211&lt;&gt;"","Paid",IF(TODAY()&gt;=$I211,"PAY NOW","Upcoming")))</f>
        <v/>
      </c>
    </row>
    <row r="212" customFormat="false" ht="15" hidden="false" customHeight="false" outlineLevel="0" collapsed="false">
      <c r="A212" s="22"/>
      <c r="B212" s="23"/>
      <c r="C212" s="22"/>
      <c r="D212" s="23"/>
      <c r="E212" s="23"/>
      <c r="F212" s="27" t="str">
        <f aca="false">IF($B212="","",IFERROR(INDEX(Cleaners!$B$5:$B$34,MATCH($B212,Cleaners!$A$5:$A$34,0)),"?"))</f>
        <v/>
      </c>
      <c r="G212" s="31" t="str">
        <f aca="false">IF($B212="","",COUNTIFS('Cleans Log'!$C$5:$C$1004,$B212,'Cleans Log'!$R$5:$R$1004,$A212,'Cleans Log'!$O$5:$O$1004,"&gt;0"))</f>
        <v/>
      </c>
      <c r="H212" s="28" t="str">
        <f aca="false">IF($B212="","",SUMIFS('Cleans Log'!$O$5:$O$1004,'Cleans Log'!$C$5:$C$1004,$B212,'Cleans Log'!$R$5:$R$1004,$A212))</f>
        <v/>
      </c>
      <c r="I212" s="30" t="str">
        <f aca="false">IF($A212="","",$A212+7)</f>
        <v/>
      </c>
      <c r="J212" s="27" t="str">
        <f aca="true">IF($B212="","",IF($C212&lt;&gt;"","Paid",IF(TODAY()&gt;=$I212,"PAY NOW","Upcoming")))</f>
        <v/>
      </c>
    </row>
    <row r="213" customFormat="false" ht="15" hidden="false" customHeight="false" outlineLevel="0" collapsed="false">
      <c r="A213" s="22"/>
      <c r="B213" s="23"/>
      <c r="C213" s="22"/>
      <c r="D213" s="23"/>
      <c r="E213" s="23"/>
      <c r="F213" s="27" t="str">
        <f aca="false">IF($B213="","",IFERROR(INDEX(Cleaners!$B$5:$B$34,MATCH($B213,Cleaners!$A$5:$A$34,0)),"?"))</f>
        <v/>
      </c>
      <c r="G213" s="31" t="str">
        <f aca="false">IF($B213="","",COUNTIFS('Cleans Log'!$C$5:$C$1004,$B213,'Cleans Log'!$R$5:$R$1004,$A213,'Cleans Log'!$O$5:$O$1004,"&gt;0"))</f>
        <v/>
      </c>
      <c r="H213" s="28" t="str">
        <f aca="false">IF($B213="","",SUMIFS('Cleans Log'!$O$5:$O$1004,'Cleans Log'!$C$5:$C$1004,$B213,'Cleans Log'!$R$5:$R$1004,$A213))</f>
        <v/>
      </c>
      <c r="I213" s="30" t="str">
        <f aca="false">IF($A213="","",$A213+7)</f>
        <v/>
      </c>
      <c r="J213" s="27" t="str">
        <f aca="true">IF($B213="","",IF($C213&lt;&gt;"","Paid",IF(TODAY()&gt;=$I213,"PAY NOW","Upcoming")))</f>
        <v/>
      </c>
    </row>
    <row r="214" customFormat="false" ht="15" hidden="false" customHeight="false" outlineLevel="0" collapsed="false">
      <c r="A214" s="22"/>
      <c r="B214" s="23"/>
      <c r="C214" s="22"/>
      <c r="D214" s="23"/>
      <c r="E214" s="23"/>
      <c r="F214" s="27" t="str">
        <f aca="false">IF($B214="","",IFERROR(INDEX(Cleaners!$B$5:$B$34,MATCH($B214,Cleaners!$A$5:$A$34,0)),"?"))</f>
        <v/>
      </c>
      <c r="G214" s="31" t="str">
        <f aca="false">IF($B214="","",COUNTIFS('Cleans Log'!$C$5:$C$1004,$B214,'Cleans Log'!$R$5:$R$1004,$A214,'Cleans Log'!$O$5:$O$1004,"&gt;0"))</f>
        <v/>
      </c>
      <c r="H214" s="28" t="str">
        <f aca="false">IF($B214="","",SUMIFS('Cleans Log'!$O$5:$O$1004,'Cleans Log'!$C$5:$C$1004,$B214,'Cleans Log'!$R$5:$R$1004,$A214))</f>
        <v/>
      </c>
      <c r="I214" s="30" t="str">
        <f aca="false">IF($A214="","",$A214+7)</f>
        <v/>
      </c>
      <c r="J214" s="27" t="str">
        <f aca="true">IF($B214="","",IF($C214&lt;&gt;"","Paid",IF(TODAY()&gt;=$I214,"PAY NOW","Upcoming")))</f>
        <v/>
      </c>
    </row>
    <row r="215" customFormat="false" ht="15" hidden="false" customHeight="false" outlineLevel="0" collapsed="false">
      <c r="A215" s="22"/>
      <c r="B215" s="23"/>
      <c r="C215" s="22"/>
      <c r="D215" s="23"/>
      <c r="E215" s="23"/>
      <c r="F215" s="27" t="str">
        <f aca="false">IF($B215="","",IFERROR(INDEX(Cleaners!$B$5:$B$34,MATCH($B215,Cleaners!$A$5:$A$34,0)),"?"))</f>
        <v/>
      </c>
      <c r="G215" s="31" t="str">
        <f aca="false">IF($B215="","",COUNTIFS('Cleans Log'!$C$5:$C$1004,$B215,'Cleans Log'!$R$5:$R$1004,$A215,'Cleans Log'!$O$5:$O$1004,"&gt;0"))</f>
        <v/>
      </c>
      <c r="H215" s="28" t="str">
        <f aca="false">IF($B215="","",SUMIFS('Cleans Log'!$O$5:$O$1004,'Cleans Log'!$C$5:$C$1004,$B215,'Cleans Log'!$R$5:$R$1004,$A215))</f>
        <v/>
      </c>
      <c r="I215" s="30" t="str">
        <f aca="false">IF($A215="","",$A215+7)</f>
        <v/>
      </c>
      <c r="J215" s="27" t="str">
        <f aca="true">IF($B215="","",IF($C215&lt;&gt;"","Paid",IF(TODAY()&gt;=$I215,"PAY NOW","Upcoming")))</f>
        <v/>
      </c>
    </row>
    <row r="216" customFormat="false" ht="15" hidden="false" customHeight="false" outlineLevel="0" collapsed="false">
      <c r="A216" s="22"/>
      <c r="B216" s="23"/>
      <c r="C216" s="22"/>
      <c r="D216" s="23"/>
      <c r="E216" s="23"/>
      <c r="F216" s="27" t="str">
        <f aca="false">IF($B216="","",IFERROR(INDEX(Cleaners!$B$5:$B$34,MATCH($B216,Cleaners!$A$5:$A$34,0)),"?"))</f>
        <v/>
      </c>
      <c r="G216" s="31" t="str">
        <f aca="false">IF($B216="","",COUNTIFS('Cleans Log'!$C$5:$C$1004,$B216,'Cleans Log'!$R$5:$R$1004,$A216,'Cleans Log'!$O$5:$O$1004,"&gt;0"))</f>
        <v/>
      </c>
      <c r="H216" s="28" t="str">
        <f aca="false">IF($B216="","",SUMIFS('Cleans Log'!$O$5:$O$1004,'Cleans Log'!$C$5:$C$1004,$B216,'Cleans Log'!$R$5:$R$1004,$A216))</f>
        <v/>
      </c>
      <c r="I216" s="30" t="str">
        <f aca="false">IF($A216="","",$A216+7)</f>
        <v/>
      </c>
      <c r="J216" s="27" t="str">
        <f aca="true">IF($B216="","",IF($C216&lt;&gt;"","Paid",IF(TODAY()&gt;=$I216,"PAY NOW","Upcoming")))</f>
        <v/>
      </c>
    </row>
    <row r="217" customFormat="false" ht="15" hidden="false" customHeight="false" outlineLevel="0" collapsed="false">
      <c r="A217" s="22"/>
      <c r="B217" s="23"/>
      <c r="C217" s="22"/>
      <c r="D217" s="23"/>
      <c r="E217" s="23"/>
      <c r="F217" s="27" t="str">
        <f aca="false">IF($B217="","",IFERROR(INDEX(Cleaners!$B$5:$B$34,MATCH($B217,Cleaners!$A$5:$A$34,0)),"?"))</f>
        <v/>
      </c>
      <c r="G217" s="31" t="str">
        <f aca="false">IF($B217="","",COUNTIFS('Cleans Log'!$C$5:$C$1004,$B217,'Cleans Log'!$R$5:$R$1004,$A217,'Cleans Log'!$O$5:$O$1004,"&gt;0"))</f>
        <v/>
      </c>
      <c r="H217" s="28" t="str">
        <f aca="false">IF($B217="","",SUMIFS('Cleans Log'!$O$5:$O$1004,'Cleans Log'!$C$5:$C$1004,$B217,'Cleans Log'!$R$5:$R$1004,$A217))</f>
        <v/>
      </c>
      <c r="I217" s="30" t="str">
        <f aca="false">IF($A217="","",$A217+7)</f>
        <v/>
      </c>
      <c r="J217" s="27" t="str">
        <f aca="true">IF($B217="","",IF($C217&lt;&gt;"","Paid",IF(TODAY()&gt;=$I217,"PAY NOW","Upcoming")))</f>
        <v/>
      </c>
    </row>
    <row r="218" customFormat="false" ht="15" hidden="false" customHeight="false" outlineLevel="0" collapsed="false">
      <c r="A218" s="22"/>
      <c r="B218" s="23"/>
      <c r="C218" s="22"/>
      <c r="D218" s="23"/>
      <c r="E218" s="23"/>
      <c r="F218" s="27" t="str">
        <f aca="false">IF($B218="","",IFERROR(INDEX(Cleaners!$B$5:$B$34,MATCH($B218,Cleaners!$A$5:$A$34,0)),"?"))</f>
        <v/>
      </c>
      <c r="G218" s="31" t="str">
        <f aca="false">IF($B218="","",COUNTIFS('Cleans Log'!$C$5:$C$1004,$B218,'Cleans Log'!$R$5:$R$1004,$A218,'Cleans Log'!$O$5:$O$1004,"&gt;0"))</f>
        <v/>
      </c>
      <c r="H218" s="28" t="str">
        <f aca="false">IF($B218="","",SUMIFS('Cleans Log'!$O$5:$O$1004,'Cleans Log'!$C$5:$C$1004,$B218,'Cleans Log'!$R$5:$R$1004,$A218))</f>
        <v/>
      </c>
      <c r="I218" s="30" t="str">
        <f aca="false">IF($A218="","",$A218+7)</f>
        <v/>
      </c>
      <c r="J218" s="27" t="str">
        <f aca="true">IF($B218="","",IF($C218&lt;&gt;"","Paid",IF(TODAY()&gt;=$I218,"PAY NOW","Upcoming")))</f>
        <v/>
      </c>
    </row>
    <row r="219" customFormat="false" ht="15" hidden="false" customHeight="false" outlineLevel="0" collapsed="false">
      <c r="A219" s="22"/>
      <c r="B219" s="23"/>
      <c r="C219" s="22"/>
      <c r="D219" s="23"/>
      <c r="E219" s="23"/>
      <c r="F219" s="27" t="str">
        <f aca="false">IF($B219="","",IFERROR(INDEX(Cleaners!$B$5:$B$34,MATCH($B219,Cleaners!$A$5:$A$34,0)),"?"))</f>
        <v/>
      </c>
      <c r="G219" s="31" t="str">
        <f aca="false">IF($B219="","",COUNTIFS('Cleans Log'!$C$5:$C$1004,$B219,'Cleans Log'!$R$5:$R$1004,$A219,'Cleans Log'!$O$5:$O$1004,"&gt;0"))</f>
        <v/>
      </c>
      <c r="H219" s="28" t="str">
        <f aca="false">IF($B219="","",SUMIFS('Cleans Log'!$O$5:$O$1004,'Cleans Log'!$C$5:$C$1004,$B219,'Cleans Log'!$R$5:$R$1004,$A219))</f>
        <v/>
      </c>
      <c r="I219" s="30" t="str">
        <f aca="false">IF($A219="","",$A219+7)</f>
        <v/>
      </c>
      <c r="J219" s="27" t="str">
        <f aca="true">IF($B219="","",IF($C219&lt;&gt;"","Paid",IF(TODAY()&gt;=$I219,"PAY NOW","Upcoming")))</f>
        <v/>
      </c>
    </row>
    <row r="220" customFormat="false" ht="15" hidden="false" customHeight="false" outlineLevel="0" collapsed="false">
      <c r="A220" s="22"/>
      <c r="B220" s="23"/>
      <c r="C220" s="22"/>
      <c r="D220" s="23"/>
      <c r="E220" s="23"/>
      <c r="F220" s="27" t="str">
        <f aca="false">IF($B220="","",IFERROR(INDEX(Cleaners!$B$5:$B$34,MATCH($B220,Cleaners!$A$5:$A$34,0)),"?"))</f>
        <v/>
      </c>
      <c r="G220" s="31" t="str">
        <f aca="false">IF($B220="","",COUNTIFS('Cleans Log'!$C$5:$C$1004,$B220,'Cleans Log'!$R$5:$R$1004,$A220,'Cleans Log'!$O$5:$O$1004,"&gt;0"))</f>
        <v/>
      </c>
      <c r="H220" s="28" t="str">
        <f aca="false">IF($B220="","",SUMIFS('Cleans Log'!$O$5:$O$1004,'Cleans Log'!$C$5:$C$1004,$B220,'Cleans Log'!$R$5:$R$1004,$A220))</f>
        <v/>
      </c>
      <c r="I220" s="30" t="str">
        <f aca="false">IF($A220="","",$A220+7)</f>
        <v/>
      </c>
      <c r="J220" s="27" t="str">
        <f aca="true">IF($B220="","",IF($C220&lt;&gt;"","Paid",IF(TODAY()&gt;=$I220,"PAY NOW","Upcoming")))</f>
        <v/>
      </c>
    </row>
    <row r="221" customFormat="false" ht="15" hidden="false" customHeight="false" outlineLevel="0" collapsed="false">
      <c r="A221" s="22"/>
      <c r="B221" s="23"/>
      <c r="C221" s="22"/>
      <c r="D221" s="23"/>
      <c r="E221" s="23"/>
      <c r="F221" s="27" t="str">
        <f aca="false">IF($B221="","",IFERROR(INDEX(Cleaners!$B$5:$B$34,MATCH($B221,Cleaners!$A$5:$A$34,0)),"?"))</f>
        <v/>
      </c>
      <c r="G221" s="31" t="str">
        <f aca="false">IF($B221="","",COUNTIFS('Cleans Log'!$C$5:$C$1004,$B221,'Cleans Log'!$R$5:$R$1004,$A221,'Cleans Log'!$O$5:$O$1004,"&gt;0"))</f>
        <v/>
      </c>
      <c r="H221" s="28" t="str">
        <f aca="false">IF($B221="","",SUMIFS('Cleans Log'!$O$5:$O$1004,'Cleans Log'!$C$5:$C$1004,$B221,'Cleans Log'!$R$5:$R$1004,$A221))</f>
        <v/>
      </c>
      <c r="I221" s="30" t="str">
        <f aca="false">IF($A221="","",$A221+7)</f>
        <v/>
      </c>
      <c r="J221" s="27" t="str">
        <f aca="true">IF($B221="","",IF($C221&lt;&gt;"","Paid",IF(TODAY()&gt;=$I221,"PAY NOW","Upcoming")))</f>
        <v/>
      </c>
    </row>
    <row r="222" customFormat="false" ht="15" hidden="false" customHeight="false" outlineLevel="0" collapsed="false">
      <c r="A222" s="22"/>
      <c r="B222" s="23"/>
      <c r="C222" s="22"/>
      <c r="D222" s="23"/>
      <c r="E222" s="23"/>
      <c r="F222" s="27" t="str">
        <f aca="false">IF($B222="","",IFERROR(INDEX(Cleaners!$B$5:$B$34,MATCH($B222,Cleaners!$A$5:$A$34,0)),"?"))</f>
        <v/>
      </c>
      <c r="G222" s="31" t="str">
        <f aca="false">IF($B222="","",COUNTIFS('Cleans Log'!$C$5:$C$1004,$B222,'Cleans Log'!$R$5:$R$1004,$A222,'Cleans Log'!$O$5:$O$1004,"&gt;0"))</f>
        <v/>
      </c>
      <c r="H222" s="28" t="str">
        <f aca="false">IF($B222="","",SUMIFS('Cleans Log'!$O$5:$O$1004,'Cleans Log'!$C$5:$C$1004,$B222,'Cleans Log'!$R$5:$R$1004,$A222))</f>
        <v/>
      </c>
      <c r="I222" s="30" t="str">
        <f aca="false">IF($A222="","",$A222+7)</f>
        <v/>
      </c>
      <c r="J222" s="27" t="str">
        <f aca="true">IF($B222="","",IF($C222&lt;&gt;"","Paid",IF(TODAY()&gt;=$I222,"PAY NOW","Upcoming")))</f>
        <v/>
      </c>
    </row>
    <row r="223" customFormat="false" ht="15" hidden="false" customHeight="false" outlineLevel="0" collapsed="false">
      <c r="A223" s="22"/>
      <c r="B223" s="23"/>
      <c r="C223" s="22"/>
      <c r="D223" s="23"/>
      <c r="E223" s="23"/>
      <c r="F223" s="27" t="str">
        <f aca="false">IF($B223="","",IFERROR(INDEX(Cleaners!$B$5:$B$34,MATCH($B223,Cleaners!$A$5:$A$34,0)),"?"))</f>
        <v/>
      </c>
      <c r="G223" s="31" t="str">
        <f aca="false">IF($B223="","",COUNTIFS('Cleans Log'!$C$5:$C$1004,$B223,'Cleans Log'!$R$5:$R$1004,$A223,'Cleans Log'!$O$5:$O$1004,"&gt;0"))</f>
        <v/>
      </c>
      <c r="H223" s="28" t="str">
        <f aca="false">IF($B223="","",SUMIFS('Cleans Log'!$O$5:$O$1004,'Cleans Log'!$C$5:$C$1004,$B223,'Cleans Log'!$R$5:$R$1004,$A223))</f>
        <v/>
      </c>
      <c r="I223" s="30" t="str">
        <f aca="false">IF($A223="","",$A223+7)</f>
        <v/>
      </c>
      <c r="J223" s="27" t="str">
        <f aca="true">IF($B223="","",IF($C223&lt;&gt;"","Paid",IF(TODAY()&gt;=$I223,"PAY NOW","Upcoming")))</f>
        <v/>
      </c>
    </row>
    <row r="224" customFormat="false" ht="15" hidden="false" customHeight="false" outlineLevel="0" collapsed="false">
      <c r="A224" s="22"/>
      <c r="B224" s="23"/>
      <c r="C224" s="22"/>
      <c r="D224" s="23"/>
      <c r="E224" s="23"/>
      <c r="F224" s="27" t="str">
        <f aca="false">IF($B224="","",IFERROR(INDEX(Cleaners!$B$5:$B$34,MATCH($B224,Cleaners!$A$5:$A$34,0)),"?"))</f>
        <v/>
      </c>
      <c r="G224" s="31" t="str">
        <f aca="false">IF($B224="","",COUNTIFS('Cleans Log'!$C$5:$C$1004,$B224,'Cleans Log'!$R$5:$R$1004,$A224,'Cleans Log'!$O$5:$O$1004,"&gt;0"))</f>
        <v/>
      </c>
      <c r="H224" s="28" t="str">
        <f aca="false">IF($B224="","",SUMIFS('Cleans Log'!$O$5:$O$1004,'Cleans Log'!$C$5:$C$1004,$B224,'Cleans Log'!$R$5:$R$1004,$A224))</f>
        <v/>
      </c>
      <c r="I224" s="30" t="str">
        <f aca="false">IF($A224="","",$A224+7)</f>
        <v/>
      </c>
      <c r="J224" s="27" t="str">
        <f aca="true">IF($B224="","",IF($C224&lt;&gt;"","Paid",IF(TODAY()&gt;=$I224,"PAY NOW","Upcoming")))</f>
        <v/>
      </c>
    </row>
    <row r="225" customFormat="false" ht="15" hidden="false" customHeight="false" outlineLevel="0" collapsed="false">
      <c r="A225" s="22"/>
      <c r="B225" s="23"/>
      <c r="C225" s="22"/>
      <c r="D225" s="23"/>
      <c r="E225" s="23"/>
      <c r="F225" s="27" t="str">
        <f aca="false">IF($B225="","",IFERROR(INDEX(Cleaners!$B$5:$B$34,MATCH($B225,Cleaners!$A$5:$A$34,0)),"?"))</f>
        <v/>
      </c>
      <c r="G225" s="31" t="str">
        <f aca="false">IF($B225="","",COUNTIFS('Cleans Log'!$C$5:$C$1004,$B225,'Cleans Log'!$R$5:$R$1004,$A225,'Cleans Log'!$O$5:$O$1004,"&gt;0"))</f>
        <v/>
      </c>
      <c r="H225" s="28" t="str">
        <f aca="false">IF($B225="","",SUMIFS('Cleans Log'!$O$5:$O$1004,'Cleans Log'!$C$5:$C$1004,$B225,'Cleans Log'!$R$5:$R$1004,$A225))</f>
        <v/>
      </c>
      <c r="I225" s="30" t="str">
        <f aca="false">IF($A225="","",$A225+7)</f>
        <v/>
      </c>
      <c r="J225" s="27" t="str">
        <f aca="true">IF($B225="","",IF($C225&lt;&gt;"","Paid",IF(TODAY()&gt;=$I225,"PAY NOW","Upcoming")))</f>
        <v/>
      </c>
    </row>
    <row r="226" customFormat="false" ht="15" hidden="false" customHeight="false" outlineLevel="0" collapsed="false">
      <c r="A226" s="22"/>
      <c r="B226" s="23"/>
      <c r="C226" s="22"/>
      <c r="D226" s="23"/>
      <c r="E226" s="23"/>
      <c r="F226" s="27" t="str">
        <f aca="false">IF($B226="","",IFERROR(INDEX(Cleaners!$B$5:$B$34,MATCH($B226,Cleaners!$A$5:$A$34,0)),"?"))</f>
        <v/>
      </c>
      <c r="G226" s="31" t="str">
        <f aca="false">IF($B226="","",COUNTIFS('Cleans Log'!$C$5:$C$1004,$B226,'Cleans Log'!$R$5:$R$1004,$A226,'Cleans Log'!$O$5:$O$1004,"&gt;0"))</f>
        <v/>
      </c>
      <c r="H226" s="28" t="str">
        <f aca="false">IF($B226="","",SUMIFS('Cleans Log'!$O$5:$O$1004,'Cleans Log'!$C$5:$C$1004,$B226,'Cleans Log'!$R$5:$R$1004,$A226))</f>
        <v/>
      </c>
      <c r="I226" s="30" t="str">
        <f aca="false">IF($A226="","",$A226+7)</f>
        <v/>
      </c>
      <c r="J226" s="27" t="str">
        <f aca="true">IF($B226="","",IF($C226&lt;&gt;"","Paid",IF(TODAY()&gt;=$I226,"PAY NOW","Upcoming")))</f>
        <v/>
      </c>
    </row>
    <row r="227" customFormat="false" ht="15" hidden="false" customHeight="false" outlineLevel="0" collapsed="false">
      <c r="A227" s="22"/>
      <c r="B227" s="23"/>
      <c r="C227" s="22"/>
      <c r="D227" s="23"/>
      <c r="E227" s="23"/>
      <c r="F227" s="27" t="str">
        <f aca="false">IF($B227="","",IFERROR(INDEX(Cleaners!$B$5:$B$34,MATCH($B227,Cleaners!$A$5:$A$34,0)),"?"))</f>
        <v/>
      </c>
      <c r="G227" s="31" t="str">
        <f aca="false">IF($B227="","",COUNTIFS('Cleans Log'!$C$5:$C$1004,$B227,'Cleans Log'!$R$5:$R$1004,$A227,'Cleans Log'!$O$5:$O$1004,"&gt;0"))</f>
        <v/>
      </c>
      <c r="H227" s="28" t="str">
        <f aca="false">IF($B227="","",SUMIFS('Cleans Log'!$O$5:$O$1004,'Cleans Log'!$C$5:$C$1004,$B227,'Cleans Log'!$R$5:$R$1004,$A227))</f>
        <v/>
      </c>
      <c r="I227" s="30" t="str">
        <f aca="false">IF($A227="","",$A227+7)</f>
        <v/>
      </c>
      <c r="J227" s="27" t="str">
        <f aca="true">IF($B227="","",IF($C227&lt;&gt;"","Paid",IF(TODAY()&gt;=$I227,"PAY NOW","Upcoming")))</f>
        <v/>
      </c>
    </row>
    <row r="228" customFormat="false" ht="15" hidden="false" customHeight="false" outlineLevel="0" collapsed="false">
      <c r="A228" s="22"/>
      <c r="B228" s="23"/>
      <c r="C228" s="22"/>
      <c r="D228" s="23"/>
      <c r="E228" s="23"/>
      <c r="F228" s="27" t="str">
        <f aca="false">IF($B228="","",IFERROR(INDEX(Cleaners!$B$5:$B$34,MATCH($B228,Cleaners!$A$5:$A$34,0)),"?"))</f>
        <v/>
      </c>
      <c r="G228" s="31" t="str">
        <f aca="false">IF($B228="","",COUNTIFS('Cleans Log'!$C$5:$C$1004,$B228,'Cleans Log'!$R$5:$R$1004,$A228,'Cleans Log'!$O$5:$O$1004,"&gt;0"))</f>
        <v/>
      </c>
      <c r="H228" s="28" t="str">
        <f aca="false">IF($B228="","",SUMIFS('Cleans Log'!$O$5:$O$1004,'Cleans Log'!$C$5:$C$1004,$B228,'Cleans Log'!$R$5:$R$1004,$A228))</f>
        <v/>
      </c>
      <c r="I228" s="30" t="str">
        <f aca="false">IF($A228="","",$A228+7)</f>
        <v/>
      </c>
      <c r="J228" s="27" t="str">
        <f aca="true">IF($B228="","",IF($C228&lt;&gt;"","Paid",IF(TODAY()&gt;=$I228,"PAY NOW","Upcoming")))</f>
        <v/>
      </c>
    </row>
    <row r="229" customFormat="false" ht="15" hidden="false" customHeight="false" outlineLevel="0" collapsed="false">
      <c r="A229" s="22"/>
      <c r="B229" s="23"/>
      <c r="C229" s="22"/>
      <c r="D229" s="23"/>
      <c r="E229" s="23"/>
      <c r="F229" s="27" t="str">
        <f aca="false">IF($B229="","",IFERROR(INDEX(Cleaners!$B$5:$B$34,MATCH($B229,Cleaners!$A$5:$A$34,0)),"?"))</f>
        <v/>
      </c>
      <c r="G229" s="31" t="str">
        <f aca="false">IF($B229="","",COUNTIFS('Cleans Log'!$C$5:$C$1004,$B229,'Cleans Log'!$R$5:$R$1004,$A229,'Cleans Log'!$O$5:$O$1004,"&gt;0"))</f>
        <v/>
      </c>
      <c r="H229" s="28" t="str">
        <f aca="false">IF($B229="","",SUMIFS('Cleans Log'!$O$5:$O$1004,'Cleans Log'!$C$5:$C$1004,$B229,'Cleans Log'!$R$5:$R$1004,$A229))</f>
        <v/>
      </c>
      <c r="I229" s="30" t="str">
        <f aca="false">IF($A229="","",$A229+7)</f>
        <v/>
      </c>
      <c r="J229" s="27" t="str">
        <f aca="true">IF($B229="","",IF($C229&lt;&gt;"","Paid",IF(TODAY()&gt;=$I229,"PAY NOW","Upcoming")))</f>
        <v/>
      </c>
    </row>
    <row r="230" customFormat="false" ht="15" hidden="false" customHeight="false" outlineLevel="0" collapsed="false">
      <c r="A230" s="22"/>
      <c r="B230" s="23"/>
      <c r="C230" s="22"/>
      <c r="D230" s="23"/>
      <c r="E230" s="23"/>
      <c r="F230" s="27" t="str">
        <f aca="false">IF($B230="","",IFERROR(INDEX(Cleaners!$B$5:$B$34,MATCH($B230,Cleaners!$A$5:$A$34,0)),"?"))</f>
        <v/>
      </c>
      <c r="G230" s="31" t="str">
        <f aca="false">IF($B230="","",COUNTIFS('Cleans Log'!$C$5:$C$1004,$B230,'Cleans Log'!$R$5:$R$1004,$A230,'Cleans Log'!$O$5:$O$1004,"&gt;0"))</f>
        <v/>
      </c>
      <c r="H230" s="28" t="str">
        <f aca="false">IF($B230="","",SUMIFS('Cleans Log'!$O$5:$O$1004,'Cleans Log'!$C$5:$C$1004,$B230,'Cleans Log'!$R$5:$R$1004,$A230))</f>
        <v/>
      </c>
      <c r="I230" s="30" t="str">
        <f aca="false">IF($A230="","",$A230+7)</f>
        <v/>
      </c>
      <c r="J230" s="27" t="str">
        <f aca="true">IF($B230="","",IF($C230&lt;&gt;"","Paid",IF(TODAY()&gt;=$I230,"PAY NOW","Upcoming")))</f>
        <v/>
      </c>
    </row>
    <row r="231" customFormat="false" ht="15" hidden="false" customHeight="false" outlineLevel="0" collapsed="false">
      <c r="A231" s="22"/>
      <c r="B231" s="23"/>
      <c r="C231" s="22"/>
      <c r="D231" s="23"/>
      <c r="E231" s="23"/>
      <c r="F231" s="27" t="str">
        <f aca="false">IF($B231="","",IFERROR(INDEX(Cleaners!$B$5:$B$34,MATCH($B231,Cleaners!$A$5:$A$34,0)),"?"))</f>
        <v/>
      </c>
      <c r="G231" s="31" t="str">
        <f aca="false">IF($B231="","",COUNTIFS('Cleans Log'!$C$5:$C$1004,$B231,'Cleans Log'!$R$5:$R$1004,$A231,'Cleans Log'!$O$5:$O$1004,"&gt;0"))</f>
        <v/>
      </c>
      <c r="H231" s="28" t="str">
        <f aca="false">IF($B231="","",SUMIFS('Cleans Log'!$O$5:$O$1004,'Cleans Log'!$C$5:$C$1004,$B231,'Cleans Log'!$R$5:$R$1004,$A231))</f>
        <v/>
      </c>
      <c r="I231" s="30" t="str">
        <f aca="false">IF($A231="","",$A231+7)</f>
        <v/>
      </c>
      <c r="J231" s="27" t="str">
        <f aca="true">IF($B231="","",IF($C231&lt;&gt;"","Paid",IF(TODAY()&gt;=$I231,"PAY NOW","Upcoming")))</f>
        <v/>
      </c>
    </row>
    <row r="232" customFormat="false" ht="15" hidden="false" customHeight="false" outlineLevel="0" collapsed="false">
      <c r="A232" s="22"/>
      <c r="B232" s="23"/>
      <c r="C232" s="22"/>
      <c r="D232" s="23"/>
      <c r="E232" s="23"/>
      <c r="F232" s="27" t="str">
        <f aca="false">IF($B232="","",IFERROR(INDEX(Cleaners!$B$5:$B$34,MATCH($B232,Cleaners!$A$5:$A$34,0)),"?"))</f>
        <v/>
      </c>
      <c r="G232" s="31" t="str">
        <f aca="false">IF($B232="","",COUNTIFS('Cleans Log'!$C$5:$C$1004,$B232,'Cleans Log'!$R$5:$R$1004,$A232,'Cleans Log'!$O$5:$O$1004,"&gt;0"))</f>
        <v/>
      </c>
      <c r="H232" s="28" t="str">
        <f aca="false">IF($B232="","",SUMIFS('Cleans Log'!$O$5:$O$1004,'Cleans Log'!$C$5:$C$1004,$B232,'Cleans Log'!$R$5:$R$1004,$A232))</f>
        <v/>
      </c>
      <c r="I232" s="30" t="str">
        <f aca="false">IF($A232="","",$A232+7)</f>
        <v/>
      </c>
      <c r="J232" s="27" t="str">
        <f aca="true">IF($B232="","",IF($C232&lt;&gt;"","Paid",IF(TODAY()&gt;=$I232,"PAY NOW","Upcoming")))</f>
        <v/>
      </c>
    </row>
    <row r="233" customFormat="false" ht="15" hidden="false" customHeight="false" outlineLevel="0" collapsed="false">
      <c r="A233" s="22"/>
      <c r="B233" s="23"/>
      <c r="C233" s="22"/>
      <c r="D233" s="23"/>
      <c r="E233" s="23"/>
      <c r="F233" s="27" t="str">
        <f aca="false">IF($B233="","",IFERROR(INDEX(Cleaners!$B$5:$B$34,MATCH($B233,Cleaners!$A$5:$A$34,0)),"?"))</f>
        <v/>
      </c>
      <c r="G233" s="31" t="str">
        <f aca="false">IF($B233="","",COUNTIFS('Cleans Log'!$C$5:$C$1004,$B233,'Cleans Log'!$R$5:$R$1004,$A233,'Cleans Log'!$O$5:$O$1004,"&gt;0"))</f>
        <v/>
      </c>
      <c r="H233" s="28" t="str">
        <f aca="false">IF($B233="","",SUMIFS('Cleans Log'!$O$5:$O$1004,'Cleans Log'!$C$5:$C$1004,$B233,'Cleans Log'!$R$5:$R$1004,$A233))</f>
        <v/>
      </c>
      <c r="I233" s="30" t="str">
        <f aca="false">IF($A233="","",$A233+7)</f>
        <v/>
      </c>
      <c r="J233" s="27" t="str">
        <f aca="true">IF($B233="","",IF($C233&lt;&gt;"","Paid",IF(TODAY()&gt;=$I233,"PAY NOW","Upcoming")))</f>
        <v/>
      </c>
    </row>
    <row r="234" customFormat="false" ht="15" hidden="false" customHeight="false" outlineLevel="0" collapsed="false">
      <c r="A234" s="22"/>
      <c r="B234" s="23"/>
      <c r="C234" s="22"/>
      <c r="D234" s="23"/>
      <c r="E234" s="23"/>
      <c r="F234" s="27" t="str">
        <f aca="false">IF($B234="","",IFERROR(INDEX(Cleaners!$B$5:$B$34,MATCH($B234,Cleaners!$A$5:$A$34,0)),"?"))</f>
        <v/>
      </c>
      <c r="G234" s="31" t="str">
        <f aca="false">IF($B234="","",COUNTIFS('Cleans Log'!$C$5:$C$1004,$B234,'Cleans Log'!$R$5:$R$1004,$A234,'Cleans Log'!$O$5:$O$1004,"&gt;0"))</f>
        <v/>
      </c>
      <c r="H234" s="28" t="str">
        <f aca="false">IF($B234="","",SUMIFS('Cleans Log'!$O$5:$O$1004,'Cleans Log'!$C$5:$C$1004,$B234,'Cleans Log'!$R$5:$R$1004,$A234))</f>
        <v/>
      </c>
      <c r="I234" s="30" t="str">
        <f aca="false">IF($A234="","",$A234+7)</f>
        <v/>
      </c>
      <c r="J234" s="27" t="str">
        <f aca="true">IF($B234="","",IF($C234&lt;&gt;"","Paid",IF(TODAY()&gt;=$I234,"PAY NOW","Upcoming")))</f>
        <v/>
      </c>
    </row>
    <row r="235" customFormat="false" ht="15" hidden="false" customHeight="false" outlineLevel="0" collapsed="false">
      <c r="A235" s="22"/>
      <c r="B235" s="23"/>
      <c r="C235" s="22"/>
      <c r="D235" s="23"/>
      <c r="E235" s="23"/>
      <c r="F235" s="27" t="str">
        <f aca="false">IF($B235="","",IFERROR(INDEX(Cleaners!$B$5:$B$34,MATCH($B235,Cleaners!$A$5:$A$34,0)),"?"))</f>
        <v/>
      </c>
      <c r="G235" s="31" t="str">
        <f aca="false">IF($B235="","",COUNTIFS('Cleans Log'!$C$5:$C$1004,$B235,'Cleans Log'!$R$5:$R$1004,$A235,'Cleans Log'!$O$5:$O$1004,"&gt;0"))</f>
        <v/>
      </c>
      <c r="H235" s="28" t="str">
        <f aca="false">IF($B235="","",SUMIFS('Cleans Log'!$O$5:$O$1004,'Cleans Log'!$C$5:$C$1004,$B235,'Cleans Log'!$R$5:$R$1004,$A235))</f>
        <v/>
      </c>
      <c r="I235" s="30" t="str">
        <f aca="false">IF($A235="","",$A235+7)</f>
        <v/>
      </c>
      <c r="J235" s="27" t="str">
        <f aca="true">IF($B235="","",IF($C235&lt;&gt;"","Paid",IF(TODAY()&gt;=$I235,"PAY NOW","Upcoming")))</f>
        <v/>
      </c>
    </row>
    <row r="236" customFormat="false" ht="15" hidden="false" customHeight="false" outlineLevel="0" collapsed="false">
      <c r="A236" s="22"/>
      <c r="B236" s="23"/>
      <c r="C236" s="22"/>
      <c r="D236" s="23"/>
      <c r="E236" s="23"/>
      <c r="F236" s="27" t="str">
        <f aca="false">IF($B236="","",IFERROR(INDEX(Cleaners!$B$5:$B$34,MATCH($B236,Cleaners!$A$5:$A$34,0)),"?"))</f>
        <v/>
      </c>
      <c r="G236" s="31" t="str">
        <f aca="false">IF($B236="","",COUNTIFS('Cleans Log'!$C$5:$C$1004,$B236,'Cleans Log'!$R$5:$R$1004,$A236,'Cleans Log'!$O$5:$O$1004,"&gt;0"))</f>
        <v/>
      </c>
      <c r="H236" s="28" t="str">
        <f aca="false">IF($B236="","",SUMIFS('Cleans Log'!$O$5:$O$1004,'Cleans Log'!$C$5:$C$1004,$B236,'Cleans Log'!$R$5:$R$1004,$A236))</f>
        <v/>
      </c>
      <c r="I236" s="30" t="str">
        <f aca="false">IF($A236="","",$A236+7)</f>
        <v/>
      </c>
      <c r="J236" s="27" t="str">
        <f aca="true">IF($B236="","",IF($C236&lt;&gt;"","Paid",IF(TODAY()&gt;=$I236,"PAY NOW","Upcoming")))</f>
        <v/>
      </c>
    </row>
    <row r="237" customFormat="false" ht="15" hidden="false" customHeight="false" outlineLevel="0" collapsed="false">
      <c r="A237" s="22"/>
      <c r="B237" s="23"/>
      <c r="C237" s="22"/>
      <c r="D237" s="23"/>
      <c r="E237" s="23"/>
      <c r="F237" s="27" t="str">
        <f aca="false">IF($B237="","",IFERROR(INDEX(Cleaners!$B$5:$B$34,MATCH($B237,Cleaners!$A$5:$A$34,0)),"?"))</f>
        <v/>
      </c>
      <c r="G237" s="31" t="str">
        <f aca="false">IF($B237="","",COUNTIFS('Cleans Log'!$C$5:$C$1004,$B237,'Cleans Log'!$R$5:$R$1004,$A237,'Cleans Log'!$O$5:$O$1004,"&gt;0"))</f>
        <v/>
      </c>
      <c r="H237" s="28" t="str">
        <f aca="false">IF($B237="","",SUMIFS('Cleans Log'!$O$5:$O$1004,'Cleans Log'!$C$5:$C$1004,$B237,'Cleans Log'!$R$5:$R$1004,$A237))</f>
        <v/>
      </c>
      <c r="I237" s="30" t="str">
        <f aca="false">IF($A237="","",$A237+7)</f>
        <v/>
      </c>
      <c r="J237" s="27" t="str">
        <f aca="true">IF($B237="","",IF($C237&lt;&gt;"","Paid",IF(TODAY()&gt;=$I237,"PAY NOW","Upcoming")))</f>
        <v/>
      </c>
    </row>
    <row r="238" customFormat="false" ht="15" hidden="false" customHeight="false" outlineLevel="0" collapsed="false">
      <c r="A238" s="22"/>
      <c r="B238" s="23"/>
      <c r="C238" s="22"/>
      <c r="D238" s="23"/>
      <c r="E238" s="23"/>
      <c r="F238" s="27" t="str">
        <f aca="false">IF($B238="","",IFERROR(INDEX(Cleaners!$B$5:$B$34,MATCH($B238,Cleaners!$A$5:$A$34,0)),"?"))</f>
        <v/>
      </c>
      <c r="G238" s="31" t="str">
        <f aca="false">IF($B238="","",COUNTIFS('Cleans Log'!$C$5:$C$1004,$B238,'Cleans Log'!$R$5:$R$1004,$A238,'Cleans Log'!$O$5:$O$1004,"&gt;0"))</f>
        <v/>
      </c>
      <c r="H238" s="28" t="str">
        <f aca="false">IF($B238="","",SUMIFS('Cleans Log'!$O$5:$O$1004,'Cleans Log'!$C$5:$C$1004,$B238,'Cleans Log'!$R$5:$R$1004,$A238))</f>
        <v/>
      </c>
      <c r="I238" s="30" t="str">
        <f aca="false">IF($A238="","",$A238+7)</f>
        <v/>
      </c>
      <c r="J238" s="27" t="str">
        <f aca="true">IF($B238="","",IF($C238&lt;&gt;"","Paid",IF(TODAY()&gt;=$I238,"PAY NOW","Upcoming")))</f>
        <v/>
      </c>
    </row>
    <row r="239" customFormat="false" ht="15" hidden="false" customHeight="false" outlineLevel="0" collapsed="false">
      <c r="A239" s="22"/>
      <c r="B239" s="23"/>
      <c r="C239" s="22"/>
      <c r="D239" s="23"/>
      <c r="E239" s="23"/>
      <c r="F239" s="27" t="str">
        <f aca="false">IF($B239="","",IFERROR(INDEX(Cleaners!$B$5:$B$34,MATCH($B239,Cleaners!$A$5:$A$34,0)),"?"))</f>
        <v/>
      </c>
      <c r="G239" s="31" t="str">
        <f aca="false">IF($B239="","",COUNTIFS('Cleans Log'!$C$5:$C$1004,$B239,'Cleans Log'!$R$5:$R$1004,$A239,'Cleans Log'!$O$5:$O$1004,"&gt;0"))</f>
        <v/>
      </c>
      <c r="H239" s="28" t="str">
        <f aca="false">IF($B239="","",SUMIFS('Cleans Log'!$O$5:$O$1004,'Cleans Log'!$C$5:$C$1004,$B239,'Cleans Log'!$R$5:$R$1004,$A239))</f>
        <v/>
      </c>
      <c r="I239" s="30" t="str">
        <f aca="false">IF($A239="","",$A239+7)</f>
        <v/>
      </c>
      <c r="J239" s="27" t="str">
        <f aca="true">IF($B239="","",IF($C239&lt;&gt;"","Paid",IF(TODAY()&gt;=$I239,"PAY NOW","Upcoming")))</f>
        <v/>
      </c>
    </row>
    <row r="240" customFormat="false" ht="15" hidden="false" customHeight="false" outlineLevel="0" collapsed="false">
      <c r="A240" s="22"/>
      <c r="B240" s="23"/>
      <c r="C240" s="22"/>
      <c r="D240" s="23"/>
      <c r="E240" s="23"/>
      <c r="F240" s="27" t="str">
        <f aca="false">IF($B240="","",IFERROR(INDEX(Cleaners!$B$5:$B$34,MATCH($B240,Cleaners!$A$5:$A$34,0)),"?"))</f>
        <v/>
      </c>
      <c r="G240" s="31" t="str">
        <f aca="false">IF($B240="","",COUNTIFS('Cleans Log'!$C$5:$C$1004,$B240,'Cleans Log'!$R$5:$R$1004,$A240,'Cleans Log'!$O$5:$O$1004,"&gt;0"))</f>
        <v/>
      </c>
      <c r="H240" s="28" t="str">
        <f aca="false">IF($B240="","",SUMIFS('Cleans Log'!$O$5:$O$1004,'Cleans Log'!$C$5:$C$1004,$B240,'Cleans Log'!$R$5:$R$1004,$A240))</f>
        <v/>
      </c>
      <c r="I240" s="30" t="str">
        <f aca="false">IF($A240="","",$A240+7)</f>
        <v/>
      </c>
      <c r="J240" s="27" t="str">
        <f aca="true">IF($B240="","",IF($C240&lt;&gt;"","Paid",IF(TODAY()&gt;=$I240,"PAY NOW","Upcoming")))</f>
        <v/>
      </c>
    </row>
    <row r="241" customFormat="false" ht="15" hidden="false" customHeight="false" outlineLevel="0" collapsed="false">
      <c r="A241" s="22"/>
      <c r="B241" s="23"/>
      <c r="C241" s="22"/>
      <c r="D241" s="23"/>
      <c r="E241" s="23"/>
      <c r="F241" s="27" t="str">
        <f aca="false">IF($B241="","",IFERROR(INDEX(Cleaners!$B$5:$B$34,MATCH($B241,Cleaners!$A$5:$A$34,0)),"?"))</f>
        <v/>
      </c>
      <c r="G241" s="31" t="str">
        <f aca="false">IF($B241="","",COUNTIFS('Cleans Log'!$C$5:$C$1004,$B241,'Cleans Log'!$R$5:$R$1004,$A241,'Cleans Log'!$O$5:$O$1004,"&gt;0"))</f>
        <v/>
      </c>
      <c r="H241" s="28" t="str">
        <f aca="false">IF($B241="","",SUMIFS('Cleans Log'!$O$5:$O$1004,'Cleans Log'!$C$5:$C$1004,$B241,'Cleans Log'!$R$5:$R$1004,$A241))</f>
        <v/>
      </c>
      <c r="I241" s="30" t="str">
        <f aca="false">IF($A241="","",$A241+7)</f>
        <v/>
      </c>
      <c r="J241" s="27" t="str">
        <f aca="true">IF($B241="","",IF($C241&lt;&gt;"","Paid",IF(TODAY()&gt;=$I241,"PAY NOW","Upcoming")))</f>
        <v/>
      </c>
    </row>
    <row r="242" customFormat="false" ht="15" hidden="false" customHeight="false" outlineLevel="0" collapsed="false">
      <c r="A242" s="22"/>
      <c r="B242" s="23"/>
      <c r="C242" s="22"/>
      <c r="D242" s="23"/>
      <c r="E242" s="23"/>
      <c r="F242" s="27" t="str">
        <f aca="false">IF($B242="","",IFERROR(INDEX(Cleaners!$B$5:$B$34,MATCH($B242,Cleaners!$A$5:$A$34,0)),"?"))</f>
        <v/>
      </c>
      <c r="G242" s="31" t="str">
        <f aca="false">IF($B242="","",COUNTIFS('Cleans Log'!$C$5:$C$1004,$B242,'Cleans Log'!$R$5:$R$1004,$A242,'Cleans Log'!$O$5:$O$1004,"&gt;0"))</f>
        <v/>
      </c>
      <c r="H242" s="28" t="str">
        <f aca="false">IF($B242="","",SUMIFS('Cleans Log'!$O$5:$O$1004,'Cleans Log'!$C$5:$C$1004,$B242,'Cleans Log'!$R$5:$R$1004,$A242))</f>
        <v/>
      </c>
      <c r="I242" s="30" t="str">
        <f aca="false">IF($A242="","",$A242+7)</f>
        <v/>
      </c>
      <c r="J242" s="27" t="str">
        <f aca="true">IF($B242="","",IF($C242&lt;&gt;"","Paid",IF(TODAY()&gt;=$I242,"PAY NOW","Upcoming")))</f>
        <v/>
      </c>
    </row>
    <row r="243" customFormat="false" ht="15" hidden="false" customHeight="false" outlineLevel="0" collapsed="false">
      <c r="A243" s="22"/>
      <c r="B243" s="23"/>
      <c r="C243" s="22"/>
      <c r="D243" s="23"/>
      <c r="E243" s="23"/>
      <c r="F243" s="27" t="str">
        <f aca="false">IF($B243="","",IFERROR(INDEX(Cleaners!$B$5:$B$34,MATCH($B243,Cleaners!$A$5:$A$34,0)),"?"))</f>
        <v/>
      </c>
      <c r="G243" s="31" t="str">
        <f aca="false">IF($B243="","",COUNTIFS('Cleans Log'!$C$5:$C$1004,$B243,'Cleans Log'!$R$5:$R$1004,$A243,'Cleans Log'!$O$5:$O$1004,"&gt;0"))</f>
        <v/>
      </c>
      <c r="H243" s="28" t="str">
        <f aca="false">IF($B243="","",SUMIFS('Cleans Log'!$O$5:$O$1004,'Cleans Log'!$C$5:$C$1004,$B243,'Cleans Log'!$R$5:$R$1004,$A243))</f>
        <v/>
      </c>
      <c r="I243" s="30" t="str">
        <f aca="false">IF($A243="","",$A243+7)</f>
        <v/>
      </c>
      <c r="J243" s="27" t="str">
        <f aca="true">IF($B243="","",IF($C243&lt;&gt;"","Paid",IF(TODAY()&gt;=$I243,"PAY NOW","Upcoming")))</f>
        <v/>
      </c>
    </row>
    <row r="244" customFormat="false" ht="15" hidden="false" customHeight="false" outlineLevel="0" collapsed="false">
      <c r="A244" s="22"/>
      <c r="B244" s="23"/>
      <c r="C244" s="22"/>
      <c r="D244" s="23"/>
      <c r="E244" s="23"/>
      <c r="F244" s="27" t="str">
        <f aca="false">IF($B244="","",IFERROR(INDEX(Cleaners!$B$5:$B$34,MATCH($B244,Cleaners!$A$5:$A$34,0)),"?"))</f>
        <v/>
      </c>
      <c r="G244" s="31" t="str">
        <f aca="false">IF($B244="","",COUNTIFS('Cleans Log'!$C$5:$C$1004,$B244,'Cleans Log'!$R$5:$R$1004,$A244,'Cleans Log'!$O$5:$O$1004,"&gt;0"))</f>
        <v/>
      </c>
      <c r="H244" s="28" t="str">
        <f aca="false">IF($B244="","",SUMIFS('Cleans Log'!$O$5:$O$1004,'Cleans Log'!$C$5:$C$1004,$B244,'Cleans Log'!$R$5:$R$1004,$A244))</f>
        <v/>
      </c>
      <c r="I244" s="30" t="str">
        <f aca="false">IF($A244="","",$A244+7)</f>
        <v/>
      </c>
      <c r="J244" s="27" t="str">
        <f aca="true">IF($B244="","",IF($C244&lt;&gt;"","Paid",IF(TODAY()&gt;=$I244,"PAY NOW","Upcoming")))</f>
        <v/>
      </c>
    </row>
    <row r="245" customFormat="false" ht="15" hidden="false" customHeight="false" outlineLevel="0" collapsed="false">
      <c r="A245" s="22"/>
      <c r="B245" s="23"/>
      <c r="C245" s="22"/>
      <c r="D245" s="23"/>
      <c r="E245" s="23"/>
      <c r="F245" s="27" t="str">
        <f aca="false">IF($B245="","",IFERROR(INDEX(Cleaners!$B$5:$B$34,MATCH($B245,Cleaners!$A$5:$A$34,0)),"?"))</f>
        <v/>
      </c>
      <c r="G245" s="31" t="str">
        <f aca="false">IF($B245="","",COUNTIFS('Cleans Log'!$C$5:$C$1004,$B245,'Cleans Log'!$R$5:$R$1004,$A245,'Cleans Log'!$O$5:$O$1004,"&gt;0"))</f>
        <v/>
      </c>
      <c r="H245" s="28" t="str">
        <f aca="false">IF($B245="","",SUMIFS('Cleans Log'!$O$5:$O$1004,'Cleans Log'!$C$5:$C$1004,$B245,'Cleans Log'!$R$5:$R$1004,$A245))</f>
        <v/>
      </c>
      <c r="I245" s="30" t="str">
        <f aca="false">IF($A245="","",$A245+7)</f>
        <v/>
      </c>
      <c r="J245" s="27" t="str">
        <f aca="true">IF($B245="","",IF($C245&lt;&gt;"","Paid",IF(TODAY()&gt;=$I245,"PAY NOW","Upcoming")))</f>
        <v/>
      </c>
    </row>
    <row r="246" customFormat="false" ht="15" hidden="false" customHeight="false" outlineLevel="0" collapsed="false">
      <c r="A246" s="22"/>
      <c r="B246" s="23"/>
      <c r="C246" s="22"/>
      <c r="D246" s="23"/>
      <c r="E246" s="23"/>
      <c r="F246" s="27" t="str">
        <f aca="false">IF($B246="","",IFERROR(INDEX(Cleaners!$B$5:$B$34,MATCH($B246,Cleaners!$A$5:$A$34,0)),"?"))</f>
        <v/>
      </c>
      <c r="G246" s="31" t="str">
        <f aca="false">IF($B246="","",COUNTIFS('Cleans Log'!$C$5:$C$1004,$B246,'Cleans Log'!$R$5:$R$1004,$A246,'Cleans Log'!$O$5:$O$1004,"&gt;0"))</f>
        <v/>
      </c>
      <c r="H246" s="28" t="str">
        <f aca="false">IF($B246="","",SUMIFS('Cleans Log'!$O$5:$O$1004,'Cleans Log'!$C$5:$C$1004,$B246,'Cleans Log'!$R$5:$R$1004,$A246))</f>
        <v/>
      </c>
      <c r="I246" s="30" t="str">
        <f aca="false">IF($A246="","",$A246+7)</f>
        <v/>
      </c>
      <c r="J246" s="27" t="str">
        <f aca="true">IF($B246="","",IF($C246&lt;&gt;"","Paid",IF(TODAY()&gt;=$I246,"PAY NOW","Upcoming")))</f>
        <v/>
      </c>
    </row>
    <row r="247" customFormat="false" ht="15" hidden="false" customHeight="false" outlineLevel="0" collapsed="false">
      <c r="A247" s="22"/>
      <c r="B247" s="23"/>
      <c r="C247" s="22"/>
      <c r="D247" s="23"/>
      <c r="E247" s="23"/>
      <c r="F247" s="27" t="str">
        <f aca="false">IF($B247="","",IFERROR(INDEX(Cleaners!$B$5:$B$34,MATCH($B247,Cleaners!$A$5:$A$34,0)),"?"))</f>
        <v/>
      </c>
      <c r="G247" s="31" t="str">
        <f aca="false">IF($B247="","",COUNTIFS('Cleans Log'!$C$5:$C$1004,$B247,'Cleans Log'!$R$5:$R$1004,$A247,'Cleans Log'!$O$5:$O$1004,"&gt;0"))</f>
        <v/>
      </c>
      <c r="H247" s="28" t="str">
        <f aca="false">IF($B247="","",SUMIFS('Cleans Log'!$O$5:$O$1004,'Cleans Log'!$C$5:$C$1004,$B247,'Cleans Log'!$R$5:$R$1004,$A247))</f>
        <v/>
      </c>
      <c r="I247" s="30" t="str">
        <f aca="false">IF($A247="","",$A247+7)</f>
        <v/>
      </c>
      <c r="J247" s="27" t="str">
        <f aca="true">IF($B247="","",IF($C247&lt;&gt;"","Paid",IF(TODAY()&gt;=$I247,"PAY NOW","Upcoming")))</f>
        <v/>
      </c>
    </row>
    <row r="248" customFormat="false" ht="15" hidden="false" customHeight="false" outlineLevel="0" collapsed="false">
      <c r="A248" s="22"/>
      <c r="B248" s="23"/>
      <c r="C248" s="22"/>
      <c r="D248" s="23"/>
      <c r="E248" s="23"/>
      <c r="F248" s="27" t="str">
        <f aca="false">IF($B248="","",IFERROR(INDEX(Cleaners!$B$5:$B$34,MATCH($B248,Cleaners!$A$5:$A$34,0)),"?"))</f>
        <v/>
      </c>
      <c r="G248" s="31" t="str">
        <f aca="false">IF($B248="","",COUNTIFS('Cleans Log'!$C$5:$C$1004,$B248,'Cleans Log'!$R$5:$R$1004,$A248,'Cleans Log'!$O$5:$O$1004,"&gt;0"))</f>
        <v/>
      </c>
      <c r="H248" s="28" t="str">
        <f aca="false">IF($B248="","",SUMIFS('Cleans Log'!$O$5:$O$1004,'Cleans Log'!$C$5:$C$1004,$B248,'Cleans Log'!$R$5:$R$1004,$A248))</f>
        <v/>
      </c>
      <c r="I248" s="30" t="str">
        <f aca="false">IF($A248="","",$A248+7)</f>
        <v/>
      </c>
      <c r="J248" s="27" t="str">
        <f aca="true">IF($B248="","",IF($C248&lt;&gt;"","Paid",IF(TODAY()&gt;=$I248,"PAY NOW","Upcoming")))</f>
        <v/>
      </c>
    </row>
    <row r="249" customFormat="false" ht="15" hidden="false" customHeight="false" outlineLevel="0" collapsed="false">
      <c r="A249" s="22"/>
      <c r="B249" s="23"/>
      <c r="C249" s="22"/>
      <c r="D249" s="23"/>
      <c r="E249" s="23"/>
      <c r="F249" s="27" t="str">
        <f aca="false">IF($B249="","",IFERROR(INDEX(Cleaners!$B$5:$B$34,MATCH($B249,Cleaners!$A$5:$A$34,0)),"?"))</f>
        <v/>
      </c>
      <c r="G249" s="31" t="str">
        <f aca="false">IF($B249="","",COUNTIFS('Cleans Log'!$C$5:$C$1004,$B249,'Cleans Log'!$R$5:$R$1004,$A249,'Cleans Log'!$O$5:$O$1004,"&gt;0"))</f>
        <v/>
      </c>
      <c r="H249" s="28" t="str">
        <f aca="false">IF($B249="","",SUMIFS('Cleans Log'!$O$5:$O$1004,'Cleans Log'!$C$5:$C$1004,$B249,'Cleans Log'!$R$5:$R$1004,$A249))</f>
        <v/>
      </c>
      <c r="I249" s="30" t="str">
        <f aca="false">IF($A249="","",$A249+7)</f>
        <v/>
      </c>
      <c r="J249" s="27" t="str">
        <f aca="true">IF($B249="","",IF($C249&lt;&gt;"","Paid",IF(TODAY()&gt;=$I249,"PAY NOW","Upcoming")))</f>
        <v/>
      </c>
    </row>
    <row r="250" customFormat="false" ht="15" hidden="false" customHeight="false" outlineLevel="0" collapsed="false">
      <c r="A250" s="22"/>
      <c r="B250" s="23"/>
      <c r="C250" s="22"/>
      <c r="D250" s="23"/>
      <c r="E250" s="23"/>
      <c r="F250" s="27" t="str">
        <f aca="false">IF($B250="","",IFERROR(INDEX(Cleaners!$B$5:$B$34,MATCH($B250,Cleaners!$A$5:$A$34,0)),"?"))</f>
        <v/>
      </c>
      <c r="G250" s="31" t="str">
        <f aca="false">IF($B250="","",COUNTIFS('Cleans Log'!$C$5:$C$1004,$B250,'Cleans Log'!$R$5:$R$1004,$A250,'Cleans Log'!$O$5:$O$1004,"&gt;0"))</f>
        <v/>
      </c>
      <c r="H250" s="28" t="str">
        <f aca="false">IF($B250="","",SUMIFS('Cleans Log'!$O$5:$O$1004,'Cleans Log'!$C$5:$C$1004,$B250,'Cleans Log'!$R$5:$R$1004,$A250))</f>
        <v/>
      </c>
      <c r="I250" s="30" t="str">
        <f aca="false">IF($A250="","",$A250+7)</f>
        <v/>
      </c>
      <c r="J250" s="27" t="str">
        <f aca="true">IF($B250="","",IF($C250&lt;&gt;"","Paid",IF(TODAY()&gt;=$I250,"PAY NOW","Upcoming")))</f>
        <v/>
      </c>
    </row>
    <row r="251" customFormat="false" ht="15" hidden="false" customHeight="false" outlineLevel="0" collapsed="false">
      <c r="A251" s="22"/>
      <c r="B251" s="23"/>
      <c r="C251" s="22"/>
      <c r="D251" s="23"/>
      <c r="E251" s="23"/>
      <c r="F251" s="27" t="str">
        <f aca="false">IF($B251="","",IFERROR(INDEX(Cleaners!$B$5:$B$34,MATCH($B251,Cleaners!$A$5:$A$34,0)),"?"))</f>
        <v/>
      </c>
      <c r="G251" s="31" t="str">
        <f aca="false">IF($B251="","",COUNTIFS('Cleans Log'!$C$5:$C$1004,$B251,'Cleans Log'!$R$5:$R$1004,$A251,'Cleans Log'!$O$5:$O$1004,"&gt;0"))</f>
        <v/>
      </c>
      <c r="H251" s="28" t="str">
        <f aca="false">IF($B251="","",SUMIFS('Cleans Log'!$O$5:$O$1004,'Cleans Log'!$C$5:$C$1004,$B251,'Cleans Log'!$R$5:$R$1004,$A251))</f>
        <v/>
      </c>
      <c r="I251" s="30" t="str">
        <f aca="false">IF($A251="","",$A251+7)</f>
        <v/>
      </c>
      <c r="J251" s="27" t="str">
        <f aca="true">IF($B251="","",IF($C251&lt;&gt;"","Paid",IF(TODAY()&gt;=$I251,"PAY NOW","Upcoming")))</f>
        <v/>
      </c>
    </row>
    <row r="252" customFormat="false" ht="15" hidden="false" customHeight="false" outlineLevel="0" collapsed="false">
      <c r="A252" s="22"/>
      <c r="B252" s="23"/>
      <c r="C252" s="22"/>
      <c r="D252" s="23"/>
      <c r="E252" s="23"/>
      <c r="F252" s="27" t="str">
        <f aca="false">IF($B252="","",IFERROR(INDEX(Cleaners!$B$5:$B$34,MATCH($B252,Cleaners!$A$5:$A$34,0)),"?"))</f>
        <v/>
      </c>
      <c r="G252" s="31" t="str">
        <f aca="false">IF($B252="","",COUNTIFS('Cleans Log'!$C$5:$C$1004,$B252,'Cleans Log'!$R$5:$R$1004,$A252,'Cleans Log'!$O$5:$O$1004,"&gt;0"))</f>
        <v/>
      </c>
      <c r="H252" s="28" t="str">
        <f aca="false">IF($B252="","",SUMIFS('Cleans Log'!$O$5:$O$1004,'Cleans Log'!$C$5:$C$1004,$B252,'Cleans Log'!$R$5:$R$1004,$A252))</f>
        <v/>
      </c>
      <c r="I252" s="30" t="str">
        <f aca="false">IF($A252="","",$A252+7)</f>
        <v/>
      </c>
      <c r="J252" s="27" t="str">
        <f aca="true">IF($B252="","",IF($C252&lt;&gt;"","Paid",IF(TODAY()&gt;=$I252,"PAY NOW","Upcoming")))</f>
        <v/>
      </c>
    </row>
    <row r="253" customFormat="false" ht="15" hidden="false" customHeight="false" outlineLevel="0" collapsed="false">
      <c r="A253" s="22"/>
      <c r="B253" s="23"/>
      <c r="C253" s="22"/>
      <c r="D253" s="23"/>
      <c r="E253" s="23"/>
      <c r="F253" s="27" t="str">
        <f aca="false">IF($B253="","",IFERROR(INDEX(Cleaners!$B$5:$B$34,MATCH($B253,Cleaners!$A$5:$A$34,0)),"?"))</f>
        <v/>
      </c>
      <c r="G253" s="31" t="str">
        <f aca="false">IF($B253="","",COUNTIFS('Cleans Log'!$C$5:$C$1004,$B253,'Cleans Log'!$R$5:$R$1004,$A253,'Cleans Log'!$O$5:$O$1004,"&gt;0"))</f>
        <v/>
      </c>
      <c r="H253" s="28" t="str">
        <f aca="false">IF($B253="","",SUMIFS('Cleans Log'!$O$5:$O$1004,'Cleans Log'!$C$5:$C$1004,$B253,'Cleans Log'!$R$5:$R$1004,$A253))</f>
        <v/>
      </c>
      <c r="I253" s="30" t="str">
        <f aca="false">IF($A253="","",$A253+7)</f>
        <v/>
      </c>
      <c r="J253" s="27" t="str">
        <f aca="true">IF($B253="","",IF($C253&lt;&gt;"","Paid",IF(TODAY()&gt;=$I253,"PAY NOW","Upcoming")))</f>
        <v/>
      </c>
    </row>
    <row r="254" customFormat="false" ht="15" hidden="false" customHeight="false" outlineLevel="0" collapsed="false">
      <c r="A254" s="22"/>
      <c r="B254" s="23"/>
      <c r="C254" s="22"/>
      <c r="D254" s="23"/>
      <c r="E254" s="23"/>
      <c r="F254" s="27" t="str">
        <f aca="false">IF($B254="","",IFERROR(INDEX(Cleaners!$B$5:$B$34,MATCH($B254,Cleaners!$A$5:$A$34,0)),"?"))</f>
        <v/>
      </c>
      <c r="G254" s="31" t="str">
        <f aca="false">IF($B254="","",COUNTIFS('Cleans Log'!$C$5:$C$1004,$B254,'Cleans Log'!$R$5:$R$1004,$A254,'Cleans Log'!$O$5:$O$1004,"&gt;0"))</f>
        <v/>
      </c>
      <c r="H254" s="28" t="str">
        <f aca="false">IF($B254="","",SUMIFS('Cleans Log'!$O$5:$O$1004,'Cleans Log'!$C$5:$C$1004,$B254,'Cleans Log'!$R$5:$R$1004,$A254))</f>
        <v/>
      </c>
      <c r="I254" s="30" t="str">
        <f aca="false">IF($A254="","",$A254+7)</f>
        <v/>
      </c>
      <c r="J254" s="27" t="str">
        <f aca="true">IF($B254="","",IF($C254&lt;&gt;"","Paid",IF(TODAY()&gt;=$I254,"PAY NOW","Upcoming")))</f>
        <v/>
      </c>
    </row>
    <row r="255" customFormat="false" ht="15" hidden="false" customHeight="false" outlineLevel="0" collapsed="false">
      <c r="A255" s="22"/>
      <c r="B255" s="23"/>
      <c r="C255" s="22"/>
      <c r="D255" s="23"/>
      <c r="E255" s="23"/>
      <c r="F255" s="27" t="str">
        <f aca="false">IF($B255="","",IFERROR(INDEX(Cleaners!$B$5:$B$34,MATCH($B255,Cleaners!$A$5:$A$34,0)),"?"))</f>
        <v/>
      </c>
      <c r="G255" s="31" t="str">
        <f aca="false">IF($B255="","",COUNTIFS('Cleans Log'!$C$5:$C$1004,$B255,'Cleans Log'!$R$5:$R$1004,$A255,'Cleans Log'!$O$5:$O$1004,"&gt;0"))</f>
        <v/>
      </c>
      <c r="H255" s="28" t="str">
        <f aca="false">IF($B255="","",SUMIFS('Cleans Log'!$O$5:$O$1004,'Cleans Log'!$C$5:$C$1004,$B255,'Cleans Log'!$R$5:$R$1004,$A255))</f>
        <v/>
      </c>
      <c r="I255" s="30" t="str">
        <f aca="false">IF($A255="","",$A255+7)</f>
        <v/>
      </c>
      <c r="J255" s="27" t="str">
        <f aca="true">IF($B255="","",IF($C255&lt;&gt;"","Paid",IF(TODAY()&gt;=$I255,"PAY NOW","Upcoming")))</f>
        <v/>
      </c>
    </row>
    <row r="256" customFormat="false" ht="15" hidden="false" customHeight="false" outlineLevel="0" collapsed="false">
      <c r="A256" s="22"/>
      <c r="B256" s="23"/>
      <c r="C256" s="22"/>
      <c r="D256" s="23"/>
      <c r="E256" s="23"/>
      <c r="F256" s="27" t="str">
        <f aca="false">IF($B256="","",IFERROR(INDEX(Cleaners!$B$5:$B$34,MATCH($B256,Cleaners!$A$5:$A$34,0)),"?"))</f>
        <v/>
      </c>
      <c r="G256" s="31" t="str">
        <f aca="false">IF($B256="","",COUNTIFS('Cleans Log'!$C$5:$C$1004,$B256,'Cleans Log'!$R$5:$R$1004,$A256,'Cleans Log'!$O$5:$O$1004,"&gt;0"))</f>
        <v/>
      </c>
      <c r="H256" s="28" t="str">
        <f aca="false">IF($B256="","",SUMIFS('Cleans Log'!$O$5:$O$1004,'Cleans Log'!$C$5:$C$1004,$B256,'Cleans Log'!$R$5:$R$1004,$A256))</f>
        <v/>
      </c>
      <c r="I256" s="30" t="str">
        <f aca="false">IF($A256="","",$A256+7)</f>
        <v/>
      </c>
      <c r="J256" s="27" t="str">
        <f aca="true">IF($B256="","",IF($C256&lt;&gt;"","Paid",IF(TODAY()&gt;=$I256,"PAY NOW","Upcoming")))</f>
        <v/>
      </c>
    </row>
    <row r="257" customFormat="false" ht="15" hidden="false" customHeight="false" outlineLevel="0" collapsed="false">
      <c r="A257" s="22"/>
      <c r="B257" s="23"/>
      <c r="C257" s="22"/>
      <c r="D257" s="23"/>
      <c r="E257" s="23"/>
      <c r="F257" s="27" t="str">
        <f aca="false">IF($B257="","",IFERROR(INDEX(Cleaners!$B$5:$B$34,MATCH($B257,Cleaners!$A$5:$A$34,0)),"?"))</f>
        <v/>
      </c>
      <c r="G257" s="31" t="str">
        <f aca="false">IF($B257="","",COUNTIFS('Cleans Log'!$C$5:$C$1004,$B257,'Cleans Log'!$R$5:$R$1004,$A257,'Cleans Log'!$O$5:$O$1004,"&gt;0"))</f>
        <v/>
      </c>
      <c r="H257" s="28" t="str">
        <f aca="false">IF($B257="","",SUMIFS('Cleans Log'!$O$5:$O$1004,'Cleans Log'!$C$5:$C$1004,$B257,'Cleans Log'!$R$5:$R$1004,$A257))</f>
        <v/>
      </c>
      <c r="I257" s="30" t="str">
        <f aca="false">IF($A257="","",$A257+7)</f>
        <v/>
      </c>
      <c r="J257" s="27" t="str">
        <f aca="true">IF($B257="","",IF($C257&lt;&gt;"","Paid",IF(TODAY()&gt;=$I257,"PAY NOW","Upcoming")))</f>
        <v/>
      </c>
    </row>
    <row r="258" customFormat="false" ht="15" hidden="false" customHeight="false" outlineLevel="0" collapsed="false">
      <c r="A258" s="22"/>
      <c r="B258" s="23"/>
      <c r="C258" s="22"/>
      <c r="D258" s="23"/>
      <c r="E258" s="23"/>
      <c r="F258" s="27" t="str">
        <f aca="false">IF($B258="","",IFERROR(INDEX(Cleaners!$B$5:$B$34,MATCH($B258,Cleaners!$A$5:$A$34,0)),"?"))</f>
        <v/>
      </c>
      <c r="G258" s="31" t="str">
        <f aca="false">IF($B258="","",COUNTIFS('Cleans Log'!$C$5:$C$1004,$B258,'Cleans Log'!$R$5:$R$1004,$A258,'Cleans Log'!$O$5:$O$1004,"&gt;0"))</f>
        <v/>
      </c>
      <c r="H258" s="28" t="str">
        <f aca="false">IF($B258="","",SUMIFS('Cleans Log'!$O$5:$O$1004,'Cleans Log'!$C$5:$C$1004,$B258,'Cleans Log'!$R$5:$R$1004,$A258))</f>
        <v/>
      </c>
      <c r="I258" s="30" t="str">
        <f aca="false">IF($A258="","",$A258+7)</f>
        <v/>
      </c>
      <c r="J258" s="27" t="str">
        <f aca="true">IF($B258="","",IF($C258&lt;&gt;"","Paid",IF(TODAY()&gt;=$I258,"PAY NOW","Upcoming")))</f>
        <v/>
      </c>
    </row>
    <row r="259" customFormat="false" ht="15" hidden="false" customHeight="false" outlineLevel="0" collapsed="false">
      <c r="A259" s="22"/>
      <c r="B259" s="23"/>
      <c r="C259" s="22"/>
      <c r="D259" s="23"/>
      <c r="E259" s="23"/>
      <c r="F259" s="27" t="str">
        <f aca="false">IF($B259="","",IFERROR(INDEX(Cleaners!$B$5:$B$34,MATCH($B259,Cleaners!$A$5:$A$34,0)),"?"))</f>
        <v/>
      </c>
      <c r="G259" s="31" t="str">
        <f aca="false">IF($B259="","",COUNTIFS('Cleans Log'!$C$5:$C$1004,$B259,'Cleans Log'!$R$5:$R$1004,$A259,'Cleans Log'!$O$5:$O$1004,"&gt;0"))</f>
        <v/>
      </c>
      <c r="H259" s="28" t="str">
        <f aca="false">IF($B259="","",SUMIFS('Cleans Log'!$O$5:$O$1004,'Cleans Log'!$C$5:$C$1004,$B259,'Cleans Log'!$R$5:$R$1004,$A259))</f>
        <v/>
      </c>
      <c r="I259" s="30" t="str">
        <f aca="false">IF($A259="","",$A259+7)</f>
        <v/>
      </c>
      <c r="J259" s="27" t="str">
        <f aca="true">IF($B259="","",IF($C259&lt;&gt;"","Paid",IF(TODAY()&gt;=$I259,"PAY NOW","Upcoming")))</f>
        <v/>
      </c>
    </row>
    <row r="260" customFormat="false" ht="15" hidden="false" customHeight="false" outlineLevel="0" collapsed="false">
      <c r="A260" s="22"/>
      <c r="B260" s="23"/>
      <c r="C260" s="22"/>
      <c r="D260" s="23"/>
      <c r="E260" s="23"/>
      <c r="F260" s="27" t="str">
        <f aca="false">IF($B260="","",IFERROR(INDEX(Cleaners!$B$5:$B$34,MATCH($B260,Cleaners!$A$5:$A$34,0)),"?"))</f>
        <v/>
      </c>
      <c r="G260" s="31" t="str">
        <f aca="false">IF($B260="","",COUNTIFS('Cleans Log'!$C$5:$C$1004,$B260,'Cleans Log'!$R$5:$R$1004,$A260,'Cleans Log'!$O$5:$O$1004,"&gt;0"))</f>
        <v/>
      </c>
      <c r="H260" s="28" t="str">
        <f aca="false">IF($B260="","",SUMIFS('Cleans Log'!$O$5:$O$1004,'Cleans Log'!$C$5:$C$1004,$B260,'Cleans Log'!$R$5:$R$1004,$A260))</f>
        <v/>
      </c>
      <c r="I260" s="30" t="str">
        <f aca="false">IF($A260="","",$A260+7)</f>
        <v/>
      </c>
      <c r="J260" s="27" t="str">
        <f aca="true">IF($B260="","",IF($C260&lt;&gt;"","Paid",IF(TODAY()&gt;=$I260,"PAY NOW","Upcoming")))</f>
        <v/>
      </c>
    </row>
    <row r="261" customFormat="false" ht="15" hidden="false" customHeight="false" outlineLevel="0" collapsed="false">
      <c r="A261" s="22"/>
      <c r="B261" s="23"/>
      <c r="C261" s="22"/>
      <c r="D261" s="23"/>
      <c r="E261" s="23"/>
      <c r="F261" s="27" t="str">
        <f aca="false">IF($B261="","",IFERROR(INDEX(Cleaners!$B$5:$B$34,MATCH($B261,Cleaners!$A$5:$A$34,0)),"?"))</f>
        <v/>
      </c>
      <c r="G261" s="31" t="str">
        <f aca="false">IF($B261="","",COUNTIFS('Cleans Log'!$C$5:$C$1004,$B261,'Cleans Log'!$R$5:$R$1004,$A261,'Cleans Log'!$O$5:$O$1004,"&gt;0"))</f>
        <v/>
      </c>
      <c r="H261" s="28" t="str">
        <f aca="false">IF($B261="","",SUMIFS('Cleans Log'!$O$5:$O$1004,'Cleans Log'!$C$5:$C$1004,$B261,'Cleans Log'!$R$5:$R$1004,$A261))</f>
        <v/>
      </c>
      <c r="I261" s="30" t="str">
        <f aca="false">IF($A261="","",$A261+7)</f>
        <v/>
      </c>
      <c r="J261" s="27" t="str">
        <f aca="true">IF($B261="","",IF($C261&lt;&gt;"","Paid",IF(TODAY()&gt;=$I261,"PAY NOW","Upcoming")))</f>
        <v/>
      </c>
    </row>
    <row r="262" customFormat="false" ht="15" hidden="false" customHeight="false" outlineLevel="0" collapsed="false">
      <c r="A262" s="22"/>
      <c r="B262" s="23"/>
      <c r="C262" s="22"/>
      <c r="D262" s="23"/>
      <c r="E262" s="23"/>
      <c r="F262" s="27" t="str">
        <f aca="false">IF($B262="","",IFERROR(INDEX(Cleaners!$B$5:$B$34,MATCH($B262,Cleaners!$A$5:$A$34,0)),"?"))</f>
        <v/>
      </c>
      <c r="G262" s="31" t="str">
        <f aca="false">IF($B262="","",COUNTIFS('Cleans Log'!$C$5:$C$1004,$B262,'Cleans Log'!$R$5:$R$1004,$A262,'Cleans Log'!$O$5:$O$1004,"&gt;0"))</f>
        <v/>
      </c>
      <c r="H262" s="28" t="str">
        <f aca="false">IF($B262="","",SUMIFS('Cleans Log'!$O$5:$O$1004,'Cleans Log'!$C$5:$C$1004,$B262,'Cleans Log'!$R$5:$R$1004,$A262))</f>
        <v/>
      </c>
      <c r="I262" s="30" t="str">
        <f aca="false">IF($A262="","",$A262+7)</f>
        <v/>
      </c>
      <c r="J262" s="27" t="str">
        <f aca="true">IF($B262="","",IF($C262&lt;&gt;"","Paid",IF(TODAY()&gt;=$I262,"PAY NOW","Upcoming")))</f>
        <v/>
      </c>
    </row>
    <row r="263" customFormat="false" ht="15" hidden="false" customHeight="false" outlineLevel="0" collapsed="false">
      <c r="A263" s="22"/>
      <c r="B263" s="23"/>
      <c r="C263" s="22"/>
      <c r="D263" s="23"/>
      <c r="E263" s="23"/>
      <c r="F263" s="27" t="str">
        <f aca="false">IF($B263="","",IFERROR(INDEX(Cleaners!$B$5:$B$34,MATCH($B263,Cleaners!$A$5:$A$34,0)),"?"))</f>
        <v/>
      </c>
      <c r="G263" s="31" t="str">
        <f aca="false">IF($B263="","",COUNTIFS('Cleans Log'!$C$5:$C$1004,$B263,'Cleans Log'!$R$5:$R$1004,$A263,'Cleans Log'!$O$5:$O$1004,"&gt;0"))</f>
        <v/>
      </c>
      <c r="H263" s="28" t="str">
        <f aca="false">IF($B263="","",SUMIFS('Cleans Log'!$O$5:$O$1004,'Cleans Log'!$C$5:$C$1004,$B263,'Cleans Log'!$R$5:$R$1004,$A263))</f>
        <v/>
      </c>
      <c r="I263" s="30" t="str">
        <f aca="false">IF($A263="","",$A263+7)</f>
        <v/>
      </c>
      <c r="J263" s="27" t="str">
        <f aca="true">IF($B263="","",IF($C263&lt;&gt;"","Paid",IF(TODAY()&gt;=$I263,"PAY NOW","Upcoming")))</f>
        <v/>
      </c>
    </row>
    <row r="264" customFormat="false" ht="15" hidden="false" customHeight="false" outlineLevel="0" collapsed="false">
      <c r="A264" s="22"/>
      <c r="B264" s="23"/>
      <c r="C264" s="22"/>
      <c r="D264" s="23"/>
      <c r="E264" s="23"/>
      <c r="F264" s="27" t="str">
        <f aca="false">IF($B264="","",IFERROR(INDEX(Cleaners!$B$5:$B$34,MATCH($B264,Cleaners!$A$5:$A$34,0)),"?"))</f>
        <v/>
      </c>
      <c r="G264" s="31" t="str">
        <f aca="false">IF($B264="","",COUNTIFS('Cleans Log'!$C$5:$C$1004,$B264,'Cleans Log'!$R$5:$R$1004,$A264,'Cleans Log'!$O$5:$O$1004,"&gt;0"))</f>
        <v/>
      </c>
      <c r="H264" s="28" t="str">
        <f aca="false">IF($B264="","",SUMIFS('Cleans Log'!$O$5:$O$1004,'Cleans Log'!$C$5:$C$1004,$B264,'Cleans Log'!$R$5:$R$1004,$A264))</f>
        <v/>
      </c>
      <c r="I264" s="30" t="str">
        <f aca="false">IF($A264="","",$A264+7)</f>
        <v/>
      </c>
      <c r="J264" s="27" t="str">
        <f aca="true">IF($B264="","",IF($C264&lt;&gt;"","Paid",IF(TODAY()&gt;=$I264,"PAY NOW","Upcoming")))</f>
        <v/>
      </c>
    </row>
    <row r="265" customFormat="false" ht="15" hidden="false" customHeight="false" outlineLevel="0" collapsed="false">
      <c r="A265" s="22"/>
      <c r="B265" s="23"/>
      <c r="C265" s="22"/>
      <c r="D265" s="23"/>
      <c r="E265" s="23"/>
      <c r="F265" s="27" t="str">
        <f aca="false">IF($B265="","",IFERROR(INDEX(Cleaners!$B$5:$B$34,MATCH($B265,Cleaners!$A$5:$A$34,0)),"?"))</f>
        <v/>
      </c>
      <c r="G265" s="31" t="str">
        <f aca="false">IF($B265="","",COUNTIFS('Cleans Log'!$C$5:$C$1004,$B265,'Cleans Log'!$R$5:$R$1004,$A265,'Cleans Log'!$O$5:$O$1004,"&gt;0"))</f>
        <v/>
      </c>
      <c r="H265" s="28" t="str">
        <f aca="false">IF($B265="","",SUMIFS('Cleans Log'!$O$5:$O$1004,'Cleans Log'!$C$5:$C$1004,$B265,'Cleans Log'!$R$5:$R$1004,$A265))</f>
        <v/>
      </c>
      <c r="I265" s="30" t="str">
        <f aca="false">IF($A265="","",$A265+7)</f>
        <v/>
      </c>
      <c r="J265" s="27" t="str">
        <f aca="true">IF($B265="","",IF($C265&lt;&gt;"","Paid",IF(TODAY()&gt;=$I265,"PAY NOW","Upcoming")))</f>
        <v/>
      </c>
    </row>
    <row r="266" customFormat="false" ht="15" hidden="false" customHeight="false" outlineLevel="0" collapsed="false">
      <c r="A266" s="22"/>
      <c r="B266" s="23"/>
      <c r="C266" s="22"/>
      <c r="D266" s="23"/>
      <c r="E266" s="23"/>
      <c r="F266" s="27" t="str">
        <f aca="false">IF($B266="","",IFERROR(INDEX(Cleaners!$B$5:$B$34,MATCH($B266,Cleaners!$A$5:$A$34,0)),"?"))</f>
        <v/>
      </c>
      <c r="G266" s="31" t="str">
        <f aca="false">IF($B266="","",COUNTIFS('Cleans Log'!$C$5:$C$1004,$B266,'Cleans Log'!$R$5:$R$1004,$A266,'Cleans Log'!$O$5:$O$1004,"&gt;0"))</f>
        <v/>
      </c>
      <c r="H266" s="28" t="str">
        <f aca="false">IF($B266="","",SUMIFS('Cleans Log'!$O$5:$O$1004,'Cleans Log'!$C$5:$C$1004,$B266,'Cleans Log'!$R$5:$R$1004,$A266))</f>
        <v/>
      </c>
      <c r="I266" s="30" t="str">
        <f aca="false">IF($A266="","",$A266+7)</f>
        <v/>
      </c>
      <c r="J266" s="27" t="str">
        <f aca="true">IF($B266="","",IF($C266&lt;&gt;"","Paid",IF(TODAY()&gt;=$I266,"PAY NOW","Upcoming")))</f>
        <v/>
      </c>
    </row>
    <row r="267" customFormat="false" ht="15" hidden="false" customHeight="false" outlineLevel="0" collapsed="false">
      <c r="A267" s="22"/>
      <c r="B267" s="23"/>
      <c r="C267" s="22"/>
      <c r="D267" s="23"/>
      <c r="E267" s="23"/>
      <c r="F267" s="27" t="str">
        <f aca="false">IF($B267="","",IFERROR(INDEX(Cleaners!$B$5:$B$34,MATCH($B267,Cleaners!$A$5:$A$34,0)),"?"))</f>
        <v/>
      </c>
      <c r="G267" s="31" t="str">
        <f aca="false">IF($B267="","",COUNTIFS('Cleans Log'!$C$5:$C$1004,$B267,'Cleans Log'!$R$5:$R$1004,$A267,'Cleans Log'!$O$5:$O$1004,"&gt;0"))</f>
        <v/>
      </c>
      <c r="H267" s="28" t="str">
        <f aca="false">IF($B267="","",SUMIFS('Cleans Log'!$O$5:$O$1004,'Cleans Log'!$C$5:$C$1004,$B267,'Cleans Log'!$R$5:$R$1004,$A267))</f>
        <v/>
      </c>
      <c r="I267" s="30" t="str">
        <f aca="false">IF($A267="","",$A267+7)</f>
        <v/>
      </c>
      <c r="J267" s="27" t="str">
        <f aca="true">IF($B267="","",IF($C267&lt;&gt;"","Paid",IF(TODAY()&gt;=$I267,"PAY NOW","Upcoming")))</f>
        <v/>
      </c>
    </row>
    <row r="268" customFormat="false" ht="15" hidden="false" customHeight="false" outlineLevel="0" collapsed="false">
      <c r="A268" s="22"/>
      <c r="B268" s="23"/>
      <c r="C268" s="22"/>
      <c r="D268" s="23"/>
      <c r="E268" s="23"/>
      <c r="F268" s="27" t="str">
        <f aca="false">IF($B268="","",IFERROR(INDEX(Cleaners!$B$5:$B$34,MATCH($B268,Cleaners!$A$5:$A$34,0)),"?"))</f>
        <v/>
      </c>
      <c r="G268" s="31" t="str">
        <f aca="false">IF($B268="","",COUNTIFS('Cleans Log'!$C$5:$C$1004,$B268,'Cleans Log'!$R$5:$R$1004,$A268,'Cleans Log'!$O$5:$O$1004,"&gt;0"))</f>
        <v/>
      </c>
      <c r="H268" s="28" t="str">
        <f aca="false">IF($B268="","",SUMIFS('Cleans Log'!$O$5:$O$1004,'Cleans Log'!$C$5:$C$1004,$B268,'Cleans Log'!$R$5:$R$1004,$A268))</f>
        <v/>
      </c>
      <c r="I268" s="30" t="str">
        <f aca="false">IF($A268="","",$A268+7)</f>
        <v/>
      </c>
      <c r="J268" s="27" t="str">
        <f aca="true">IF($B268="","",IF($C268&lt;&gt;"","Paid",IF(TODAY()&gt;=$I268,"PAY NOW","Upcoming")))</f>
        <v/>
      </c>
    </row>
    <row r="269" customFormat="false" ht="15" hidden="false" customHeight="false" outlineLevel="0" collapsed="false">
      <c r="A269" s="22"/>
      <c r="B269" s="23"/>
      <c r="C269" s="22"/>
      <c r="D269" s="23"/>
      <c r="E269" s="23"/>
      <c r="F269" s="27" t="str">
        <f aca="false">IF($B269="","",IFERROR(INDEX(Cleaners!$B$5:$B$34,MATCH($B269,Cleaners!$A$5:$A$34,0)),"?"))</f>
        <v/>
      </c>
      <c r="G269" s="31" t="str">
        <f aca="false">IF($B269="","",COUNTIFS('Cleans Log'!$C$5:$C$1004,$B269,'Cleans Log'!$R$5:$R$1004,$A269,'Cleans Log'!$O$5:$O$1004,"&gt;0"))</f>
        <v/>
      </c>
      <c r="H269" s="28" t="str">
        <f aca="false">IF($B269="","",SUMIFS('Cleans Log'!$O$5:$O$1004,'Cleans Log'!$C$5:$C$1004,$B269,'Cleans Log'!$R$5:$R$1004,$A269))</f>
        <v/>
      </c>
      <c r="I269" s="30" t="str">
        <f aca="false">IF($A269="","",$A269+7)</f>
        <v/>
      </c>
      <c r="J269" s="27" t="str">
        <f aca="true">IF($B269="","",IF($C269&lt;&gt;"","Paid",IF(TODAY()&gt;=$I269,"PAY NOW","Upcoming")))</f>
        <v/>
      </c>
    </row>
    <row r="270" customFormat="false" ht="15" hidden="false" customHeight="false" outlineLevel="0" collapsed="false">
      <c r="A270" s="22"/>
      <c r="B270" s="23"/>
      <c r="C270" s="22"/>
      <c r="D270" s="23"/>
      <c r="E270" s="23"/>
      <c r="F270" s="27" t="str">
        <f aca="false">IF($B270="","",IFERROR(INDEX(Cleaners!$B$5:$B$34,MATCH($B270,Cleaners!$A$5:$A$34,0)),"?"))</f>
        <v/>
      </c>
      <c r="G270" s="31" t="str">
        <f aca="false">IF($B270="","",COUNTIFS('Cleans Log'!$C$5:$C$1004,$B270,'Cleans Log'!$R$5:$R$1004,$A270,'Cleans Log'!$O$5:$O$1004,"&gt;0"))</f>
        <v/>
      </c>
      <c r="H270" s="28" t="str">
        <f aca="false">IF($B270="","",SUMIFS('Cleans Log'!$O$5:$O$1004,'Cleans Log'!$C$5:$C$1004,$B270,'Cleans Log'!$R$5:$R$1004,$A270))</f>
        <v/>
      </c>
      <c r="I270" s="30" t="str">
        <f aca="false">IF($A270="","",$A270+7)</f>
        <v/>
      </c>
      <c r="J270" s="27" t="str">
        <f aca="true">IF($B270="","",IF($C270&lt;&gt;"","Paid",IF(TODAY()&gt;=$I270,"PAY NOW","Upcoming")))</f>
        <v/>
      </c>
    </row>
    <row r="271" customFormat="false" ht="15" hidden="false" customHeight="false" outlineLevel="0" collapsed="false">
      <c r="A271" s="22"/>
      <c r="B271" s="23"/>
      <c r="C271" s="22"/>
      <c r="D271" s="23"/>
      <c r="E271" s="23"/>
      <c r="F271" s="27" t="str">
        <f aca="false">IF($B271="","",IFERROR(INDEX(Cleaners!$B$5:$B$34,MATCH($B271,Cleaners!$A$5:$A$34,0)),"?"))</f>
        <v/>
      </c>
      <c r="G271" s="31" t="str">
        <f aca="false">IF($B271="","",COUNTIFS('Cleans Log'!$C$5:$C$1004,$B271,'Cleans Log'!$R$5:$R$1004,$A271,'Cleans Log'!$O$5:$O$1004,"&gt;0"))</f>
        <v/>
      </c>
      <c r="H271" s="28" t="str">
        <f aca="false">IF($B271="","",SUMIFS('Cleans Log'!$O$5:$O$1004,'Cleans Log'!$C$5:$C$1004,$B271,'Cleans Log'!$R$5:$R$1004,$A271))</f>
        <v/>
      </c>
      <c r="I271" s="30" t="str">
        <f aca="false">IF($A271="","",$A271+7)</f>
        <v/>
      </c>
      <c r="J271" s="27" t="str">
        <f aca="true">IF($B271="","",IF($C271&lt;&gt;"","Paid",IF(TODAY()&gt;=$I271,"PAY NOW","Upcoming")))</f>
        <v/>
      </c>
    </row>
    <row r="272" customFormat="false" ht="15" hidden="false" customHeight="false" outlineLevel="0" collapsed="false">
      <c r="A272" s="22"/>
      <c r="B272" s="23"/>
      <c r="C272" s="22"/>
      <c r="D272" s="23"/>
      <c r="E272" s="23"/>
      <c r="F272" s="27" t="str">
        <f aca="false">IF($B272="","",IFERROR(INDEX(Cleaners!$B$5:$B$34,MATCH($B272,Cleaners!$A$5:$A$34,0)),"?"))</f>
        <v/>
      </c>
      <c r="G272" s="31" t="str">
        <f aca="false">IF($B272="","",COUNTIFS('Cleans Log'!$C$5:$C$1004,$B272,'Cleans Log'!$R$5:$R$1004,$A272,'Cleans Log'!$O$5:$O$1004,"&gt;0"))</f>
        <v/>
      </c>
      <c r="H272" s="28" t="str">
        <f aca="false">IF($B272="","",SUMIFS('Cleans Log'!$O$5:$O$1004,'Cleans Log'!$C$5:$C$1004,$B272,'Cleans Log'!$R$5:$R$1004,$A272))</f>
        <v/>
      </c>
      <c r="I272" s="30" t="str">
        <f aca="false">IF($A272="","",$A272+7)</f>
        <v/>
      </c>
      <c r="J272" s="27" t="str">
        <f aca="true">IF($B272="","",IF($C272&lt;&gt;"","Paid",IF(TODAY()&gt;=$I272,"PAY NOW","Upcoming")))</f>
        <v/>
      </c>
    </row>
    <row r="273" customFormat="false" ht="15" hidden="false" customHeight="false" outlineLevel="0" collapsed="false">
      <c r="A273" s="22"/>
      <c r="B273" s="23"/>
      <c r="C273" s="22"/>
      <c r="D273" s="23"/>
      <c r="E273" s="23"/>
      <c r="F273" s="27" t="str">
        <f aca="false">IF($B273="","",IFERROR(INDEX(Cleaners!$B$5:$B$34,MATCH($B273,Cleaners!$A$5:$A$34,0)),"?"))</f>
        <v/>
      </c>
      <c r="G273" s="31" t="str">
        <f aca="false">IF($B273="","",COUNTIFS('Cleans Log'!$C$5:$C$1004,$B273,'Cleans Log'!$R$5:$R$1004,$A273,'Cleans Log'!$O$5:$O$1004,"&gt;0"))</f>
        <v/>
      </c>
      <c r="H273" s="28" t="str">
        <f aca="false">IF($B273="","",SUMIFS('Cleans Log'!$O$5:$O$1004,'Cleans Log'!$C$5:$C$1004,$B273,'Cleans Log'!$R$5:$R$1004,$A273))</f>
        <v/>
      </c>
      <c r="I273" s="30" t="str">
        <f aca="false">IF($A273="","",$A273+7)</f>
        <v/>
      </c>
      <c r="J273" s="27" t="str">
        <f aca="true">IF($B273="","",IF($C273&lt;&gt;"","Paid",IF(TODAY()&gt;=$I273,"PAY NOW","Upcoming")))</f>
        <v/>
      </c>
    </row>
    <row r="274" customFormat="false" ht="15" hidden="false" customHeight="false" outlineLevel="0" collapsed="false">
      <c r="A274" s="22"/>
      <c r="B274" s="23"/>
      <c r="C274" s="22"/>
      <c r="D274" s="23"/>
      <c r="E274" s="23"/>
      <c r="F274" s="27" t="str">
        <f aca="false">IF($B274="","",IFERROR(INDEX(Cleaners!$B$5:$B$34,MATCH($B274,Cleaners!$A$5:$A$34,0)),"?"))</f>
        <v/>
      </c>
      <c r="G274" s="31" t="str">
        <f aca="false">IF($B274="","",COUNTIFS('Cleans Log'!$C$5:$C$1004,$B274,'Cleans Log'!$R$5:$R$1004,$A274,'Cleans Log'!$O$5:$O$1004,"&gt;0"))</f>
        <v/>
      </c>
      <c r="H274" s="28" t="str">
        <f aca="false">IF($B274="","",SUMIFS('Cleans Log'!$O$5:$O$1004,'Cleans Log'!$C$5:$C$1004,$B274,'Cleans Log'!$R$5:$R$1004,$A274))</f>
        <v/>
      </c>
      <c r="I274" s="30" t="str">
        <f aca="false">IF($A274="","",$A274+7)</f>
        <v/>
      </c>
      <c r="J274" s="27" t="str">
        <f aca="true">IF($B274="","",IF($C274&lt;&gt;"","Paid",IF(TODAY()&gt;=$I274,"PAY NOW","Upcoming")))</f>
        <v/>
      </c>
    </row>
    <row r="275" customFormat="false" ht="15" hidden="false" customHeight="false" outlineLevel="0" collapsed="false">
      <c r="A275" s="22"/>
      <c r="B275" s="23"/>
      <c r="C275" s="22"/>
      <c r="D275" s="23"/>
      <c r="E275" s="23"/>
      <c r="F275" s="27" t="str">
        <f aca="false">IF($B275="","",IFERROR(INDEX(Cleaners!$B$5:$B$34,MATCH($B275,Cleaners!$A$5:$A$34,0)),"?"))</f>
        <v/>
      </c>
      <c r="G275" s="31" t="str">
        <f aca="false">IF($B275="","",COUNTIFS('Cleans Log'!$C$5:$C$1004,$B275,'Cleans Log'!$R$5:$R$1004,$A275,'Cleans Log'!$O$5:$O$1004,"&gt;0"))</f>
        <v/>
      </c>
      <c r="H275" s="28" t="str">
        <f aca="false">IF($B275="","",SUMIFS('Cleans Log'!$O$5:$O$1004,'Cleans Log'!$C$5:$C$1004,$B275,'Cleans Log'!$R$5:$R$1004,$A275))</f>
        <v/>
      </c>
      <c r="I275" s="30" t="str">
        <f aca="false">IF($A275="","",$A275+7)</f>
        <v/>
      </c>
      <c r="J275" s="27" t="str">
        <f aca="true">IF($B275="","",IF($C275&lt;&gt;"","Paid",IF(TODAY()&gt;=$I275,"PAY NOW","Upcoming")))</f>
        <v/>
      </c>
    </row>
    <row r="276" customFormat="false" ht="15" hidden="false" customHeight="false" outlineLevel="0" collapsed="false">
      <c r="A276" s="22"/>
      <c r="B276" s="23"/>
      <c r="C276" s="22"/>
      <c r="D276" s="23"/>
      <c r="E276" s="23"/>
      <c r="F276" s="27" t="str">
        <f aca="false">IF($B276="","",IFERROR(INDEX(Cleaners!$B$5:$B$34,MATCH($B276,Cleaners!$A$5:$A$34,0)),"?"))</f>
        <v/>
      </c>
      <c r="G276" s="31" t="str">
        <f aca="false">IF($B276="","",COUNTIFS('Cleans Log'!$C$5:$C$1004,$B276,'Cleans Log'!$R$5:$R$1004,$A276,'Cleans Log'!$O$5:$O$1004,"&gt;0"))</f>
        <v/>
      </c>
      <c r="H276" s="28" t="str">
        <f aca="false">IF($B276="","",SUMIFS('Cleans Log'!$O$5:$O$1004,'Cleans Log'!$C$5:$C$1004,$B276,'Cleans Log'!$R$5:$R$1004,$A276))</f>
        <v/>
      </c>
      <c r="I276" s="30" t="str">
        <f aca="false">IF($A276="","",$A276+7)</f>
        <v/>
      </c>
      <c r="J276" s="27" t="str">
        <f aca="true">IF($B276="","",IF($C276&lt;&gt;"","Paid",IF(TODAY()&gt;=$I276,"PAY NOW","Upcoming")))</f>
        <v/>
      </c>
    </row>
    <row r="277" customFormat="false" ht="15" hidden="false" customHeight="false" outlineLevel="0" collapsed="false">
      <c r="A277" s="22"/>
      <c r="B277" s="23"/>
      <c r="C277" s="22"/>
      <c r="D277" s="23"/>
      <c r="E277" s="23"/>
      <c r="F277" s="27" t="str">
        <f aca="false">IF($B277="","",IFERROR(INDEX(Cleaners!$B$5:$B$34,MATCH($B277,Cleaners!$A$5:$A$34,0)),"?"))</f>
        <v/>
      </c>
      <c r="G277" s="31" t="str">
        <f aca="false">IF($B277="","",COUNTIFS('Cleans Log'!$C$5:$C$1004,$B277,'Cleans Log'!$R$5:$R$1004,$A277,'Cleans Log'!$O$5:$O$1004,"&gt;0"))</f>
        <v/>
      </c>
      <c r="H277" s="28" t="str">
        <f aca="false">IF($B277="","",SUMIFS('Cleans Log'!$O$5:$O$1004,'Cleans Log'!$C$5:$C$1004,$B277,'Cleans Log'!$R$5:$R$1004,$A277))</f>
        <v/>
      </c>
      <c r="I277" s="30" t="str">
        <f aca="false">IF($A277="","",$A277+7)</f>
        <v/>
      </c>
      <c r="J277" s="27" t="str">
        <f aca="true">IF($B277="","",IF($C277&lt;&gt;"","Paid",IF(TODAY()&gt;=$I277,"PAY NOW","Upcoming")))</f>
        <v/>
      </c>
    </row>
    <row r="278" customFormat="false" ht="15" hidden="false" customHeight="false" outlineLevel="0" collapsed="false">
      <c r="A278" s="22"/>
      <c r="B278" s="23"/>
      <c r="C278" s="22"/>
      <c r="D278" s="23"/>
      <c r="E278" s="23"/>
      <c r="F278" s="27" t="str">
        <f aca="false">IF($B278="","",IFERROR(INDEX(Cleaners!$B$5:$B$34,MATCH($B278,Cleaners!$A$5:$A$34,0)),"?"))</f>
        <v/>
      </c>
      <c r="G278" s="31" t="str">
        <f aca="false">IF($B278="","",COUNTIFS('Cleans Log'!$C$5:$C$1004,$B278,'Cleans Log'!$R$5:$R$1004,$A278,'Cleans Log'!$O$5:$O$1004,"&gt;0"))</f>
        <v/>
      </c>
      <c r="H278" s="28" t="str">
        <f aca="false">IF($B278="","",SUMIFS('Cleans Log'!$O$5:$O$1004,'Cleans Log'!$C$5:$C$1004,$B278,'Cleans Log'!$R$5:$R$1004,$A278))</f>
        <v/>
      </c>
      <c r="I278" s="30" t="str">
        <f aca="false">IF($A278="","",$A278+7)</f>
        <v/>
      </c>
      <c r="J278" s="27" t="str">
        <f aca="true">IF($B278="","",IF($C278&lt;&gt;"","Paid",IF(TODAY()&gt;=$I278,"PAY NOW","Upcoming")))</f>
        <v/>
      </c>
    </row>
    <row r="279" customFormat="false" ht="15" hidden="false" customHeight="false" outlineLevel="0" collapsed="false">
      <c r="A279" s="22"/>
      <c r="B279" s="23"/>
      <c r="C279" s="22"/>
      <c r="D279" s="23"/>
      <c r="E279" s="23"/>
      <c r="F279" s="27" t="str">
        <f aca="false">IF($B279="","",IFERROR(INDEX(Cleaners!$B$5:$B$34,MATCH($B279,Cleaners!$A$5:$A$34,0)),"?"))</f>
        <v/>
      </c>
      <c r="G279" s="31" t="str">
        <f aca="false">IF($B279="","",COUNTIFS('Cleans Log'!$C$5:$C$1004,$B279,'Cleans Log'!$R$5:$R$1004,$A279,'Cleans Log'!$O$5:$O$1004,"&gt;0"))</f>
        <v/>
      </c>
      <c r="H279" s="28" t="str">
        <f aca="false">IF($B279="","",SUMIFS('Cleans Log'!$O$5:$O$1004,'Cleans Log'!$C$5:$C$1004,$B279,'Cleans Log'!$R$5:$R$1004,$A279))</f>
        <v/>
      </c>
      <c r="I279" s="30" t="str">
        <f aca="false">IF($A279="","",$A279+7)</f>
        <v/>
      </c>
      <c r="J279" s="27" t="str">
        <f aca="true">IF($B279="","",IF($C279&lt;&gt;"","Paid",IF(TODAY()&gt;=$I279,"PAY NOW","Upcoming")))</f>
        <v/>
      </c>
    </row>
    <row r="280" customFormat="false" ht="15" hidden="false" customHeight="false" outlineLevel="0" collapsed="false">
      <c r="A280" s="22"/>
      <c r="B280" s="23"/>
      <c r="C280" s="22"/>
      <c r="D280" s="23"/>
      <c r="E280" s="23"/>
      <c r="F280" s="27" t="str">
        <f aca="false">IF($B280="","",IFERROR(INDEX(Cleaners!$B$5:$B$34,MATCH($B280,Cleaners!$A$5:$A$34,0)),"?"))</f>
        <v/>
      </c>
      <c r="G280" s="31" t="str">
        <f aca="false">IF($B280="","",COUNTIFS('Cleans Log'!$C$5:$C$1004,$B280,'Cleans Log'!$R$5:$R$1004,$A280,'Cleans Log'!$O$5:$O$1004,"&gt;0"))</f>
        <v/>
      </c>
      <c r="H280" s="28" t="str">
        <f aca="false">IF($B280="","",SUMIFS('Cleans Log'!$O$5:$O$1004,'Cleans Log'!$C$5:$C$1004,$B280,'Cleans Log'!$R$5:$R$1004,$A280))</f>
        <v/>
      </c>
      <c r="I280" s="30" t="str">
        <f aca="false">IF($A280="","",$A280+7)</f>
        <v/>
      </c>
      <c r="J280" s="27" t="str">
        <f aca="true">IF($B280="","",IF($C280&lt;&gt;"","Paid",IF(TODAY()&gt;=$I280,"PAY NOW","Upcoming")))</f>
        <v/>
      </c>
    </row>
    <row r="281" customFormat="false" ht="15" hidden="false" customHeight="false" outlineLevel="0" collapsed="false">
      <c r="A281" s="22"/>
      <c r="B281" s="23"/>
      <c r="C281" s="22"/>
      <c r="D281" s="23"/>
      <c r="E281" s="23"/>
      <c r="F281" s="27" t="str">
        <f aca="false">IF($B281="","",IFERROR(INDEX(Cleaners!$B$5:$B$34,MATCH($B281,Cleaners!$A$5:$A$34,0)),"?"))</f>
        <v/>
      </c>
      <c r="G281" s="31" t="str">
        <f aca="false">IF($B281="","",COUNTIFS('Cleans Log'!$C$5:$C$1004,$B281,'Cleans Log'!$R$5:$R$1004,$A281,'Cleans Log'!$O$5:$O$1004,"&gt;0"))</f>
        <v/>
      </c>
      <c r="H281" s="28" t="str">
        <f aca="false">IF($B281="","",SUMIFS('Cleans Log'!$O$5:$O$1004,'Cleans Log'!$C$5:$C$1004,$B281,'Cleans Log'!$R$5:$R$1004,$A281))</f>
        <v/>
      </c>
      <c r="I281" s="30" t="str">
        <f aca="false">IF($A281="","",$A281+7)</f>
        <v/>
      </c>
      <c r="J281" s="27" t="str">
        <f aca="true">IF($B281="","",IF($C281&lt;&gt;"","Paid",IF(TODAY()&gt;=$I281,"PAY NOW","Upcoming")))</f>
        <v/>
      </c>
    </row>
    <row r="282" customFormat="false" ht="15" hidden="false" customHeight="false" outlineLevel="0" collapsed="false">
      <c r="A282" s="22"/>
      <c r="B282" s="23"/>
      <c r="C282" s="22"/>
      <c r="D282" s="23"/>
      <c r="E282" s="23"/>
      <c r="F282" s="27" t="str">
        <f aca="false">IF($B282="","",IFERROR(INDEX(Cleaners!$B$5:$B$34,MATCH($B282,Cleaners!$A$5:$A$34,0)),"?"))</f>
        <v/>
      </c>
      <c r="G282" s="31" t="str">
        <f aca="false">IF($B282="","",COUNTIFS('Cleans Log'!$C$5:$C$1004,$B282,'Cleans Log'!$R$5:$R$1004,$A282,'Cleans Log'!$O$5:$O$1004,"&gt;0"))</f>
        <v/>
      </c>
      <c r="H282" s="28" t="str">
        <f aca="false">IF($B282="","",SUMIFS('Cleans Log'!$O$5:$O$1004,'Cleans Log'!$C$5:$C$1004,$B282,'Cleans Log'!$R$5:$R$1004,$A282))</f>
        <v/>
      </c>
      <c r="I282" s="30" t="str">
        <f aca="false">IF($A282="","",$A282+7)</f>
        <v/>
      </c>
      <c r="J282" s="27" t="str">
        <f aca="true">IF($B282="","",IF($C282&lt;&gt;"","Paid",IF(TODAY()&gt;=$I282,"PAY NOW","Upcoming")))</f>
        <v/>
      </c>
    </row>
    <row r="283" customFormat="false" ht="15" hidden="false" customHeight="false" outlineLevel="0" collapsed="false">
      <c r="A283" s="22"/>
      <c r="B283" s="23"/>
      <c r="C283" s="22"/>
      <c r="D283" s="23"/>
      <c r="E283" s="23"/>
      <c r="F283" s="27" t="str">
        <f aca="false">IF($B283="","",IFERROR(INDEX(Cleaners!$B$5:$B$34,MATCH($B283,Cleaners!$A$5:$A$34,0)),"?"))</f>
        <v/>
      </c>
      <c r="G283" s="31" t="str">
        <f aca="false">IF($B283="","",COUNTIFS('Cleans Log'!$C$5:$C$1004,$B283,'Cleans Log'!$R$5:$R$1004,$A283,'Cleans Log'!$O$5:$O$1004,"&gt;0"))</f>
        <v/>
      </c>
      <c r="H283" s="28" t="str">
        <f aca="false">IF($B283="","",SUMIFS('Cleans Log'!$O$5:$O$1004,'Cleans Log'!$C$5:$C$1004,$B283,'Cleans Log'!$R$5:$R$1004,$A283))</f>
        <v/>
      </c>
      <c r="I283" s="30" t="str">
        <f aca="false">IF($A283="","",$A283+7)</f>
        <v/>
      </c>
      <c r="J283" s="27" t="str">
        <f aca="true">IF($B283="","",IF($C283&lt;&gt;"","Paid",IF(TODAY()&gt;=$I283,"PAY NOW","Upcoming")))</f>
        <v/>
      </c>
    </row>
    <row r="284" customFormat="false" ht="15" hidden="false" customHeight="false" outlineLevel="0" collapsed="false">
      <c r="A284" s="22"/>
      <c r="B284" s="23"/>
      <c r="C284" s="22"/>
      <c r="D284" s="23"/>
      <c r="E284" s="23"/>
      <c r="F284" s="27" t="str">
        <f aca="false">IF($B284="","",IFERROR(INDEX(Cleaners!$B$5:$B$34,MATCH($B284,Cleaners!$A$5:$A$34,0)),"?"))</f>
        <v/>
      </c>
      <c r="G284" s="31" t="str">
        <f aca="false">IF($B284="","",COUNTIFS('Cleans Log'!$C$5:$C$1004,$B284,'Cleans Log'!$R$5:$R$1004,$A284,'Cleans Log'!$O$5:$O$1004,"&gt;0"))</f>
        <v/>
      </c>
      <c r="H284" s="28" t="str">
        <f aca="false">IF($B284="","",SUMIFS('Cleans Log'!$O$5:$O$1004,'Cleans Log'!$C$5:$C$1004,$B284,'Cleans Log'!$R$5:$R$1004,$A284))</f>
        <v/>
      </c>
      <c r="I284" s="30" t="str">
        <f aca="false">IF($A284="","",$A284+7)</f>
        <v/>
      </c>
      <c r="J284" s="27" t="str">
        <f aca="true">IF($B284="","",IF($C284&lt;&gt;"","Paid",IF(TODAY()&gt;=$I284,"PAY NOW","Upcoming")))</f>
        <v/>
      </c>
    </row>
    <row r="285" customFormat="false" ht="15" hidden="false" customHeight="false" outlineLevel="0" collapsed="false">
      <c r="A285" s="22"/>
      <c r="B285" s="23"/>
      <c r="C285" s="22"/>
      <c r="D285" s="23"/>
      <c r="E285" s="23"/>
      <c r="F285" s="27" t="str">
        <f aca="false">IF($B285="","",IFERROR(INDEX(Cleaners!$B$5:$B$34,MATCH($B285,Cleaners!$A$5:$A$34,0)),"?"))</f>
        <v/>
      </c>
      <c r="G285" s="31" t="str">
        <f aca="false">IF($B285="","",COUNTIFS('Cleans Log'!$C$5:$C$1004,$B285,'Cleans Log'!$R$5:$R$1004,$A285,'Cleans Log'!$O$5:$O$1004,"&gt;0"))</f>
        <v/>
      </c>
      <c r="H285" s="28" t="str">
        <f aca="false">IF($B285="","",SUMIFS('Cleans Log'!$O$5:$O$1004,'Cleans Log'!$C$5:$C$1004,$B285,'Cleans Log'!$R$5:$R$1004,$A285))</f>
        <v/>
      </c>
      <c r="I285" s="30" t="str">
        <f aca="false">IF($A285="","",$A285+7)</f>
        <v/>
      </c>
      <c r="J285" s="27" t="str">
        <f aca="true">IF($B285="","",IF($C285&lt;&gt;"","Paid",IF(TODAY()&gt;=$I285,"PAY NOW","Upcoming")))</f>
        <v/>
      </c>
    </row>
    <row r="286" customFormat="false" ht="15" hidden="false" customHeight="false" outlineLevel="0" collapsed="false">
      <c r="A286" s="22"/>
      <c r="B286" s="23"/>
      <c r="C286" s="22"/>
      <c r="D286" s="23"/>
      <c r="E286" s="23"/>
      <c r="F286" s="27" t="str">
        <f aca="false">IF($B286="","",IFERROR(INDEX(Cleaners!$B$5:$B$34,MATCH($B286,Cleaners!$A$5:$A$34,0)),"?"))</f>
        <v/>
      </c>
      <c r="G286" s="31" t="str">
        <f aca="false">IF($B286="","",COUNTIFS('Cleans Log'!$C$5:$C$1004,$B286,'Cleans Log'!$R$5:$R$1004,$A286,'Cleans Log'!$O$5:$O$1004,"&gt;0"))</f>
        <v/>
      </c>
      <c r="H286" s="28" t="str">
        <f aca="false">IF($B286="","",SUMIFS('Cleans Log'!$O$5:$O$1004,'Cleans Log'!$C$5:$C$1004,$B286,'Cleans Log'!$R$5:$R$1004,$A286))</f>
        <v/>
      </c>
      <c r="I286" s="30" t="str">
        <f aca="false">IF($A286="","",$A286+7)</f>
        <v/>
      </c>
      <c r="J286" s="27" t="str">
        <f aca="true">IF($B286="","",IF($C286&lt;&gt;"","Paid",IF(TODAY()&gt;=$I286,"PAY NOW","Upcoming")))</f>
        <v/>
      </c>
    </row>
    <row r="287" customFormat="false" ht="15" hidden="false" customHeight="false" outlineLevel="0" collapsed="false">
      <c r="A287" s="22"/>
      <c r="B287" s="23"/>
      <c r="C287" s="22"/>
      <c r="D287" s="23"/>
      <c r="E287" s="23"/>
      <c r="F287" s="27" t="str">
        <f aca="false">IF($B287="","",IFERROR(INDEX(Cleaners!$B$5:$B$34,MATCH($B287,Cleaners!$A$5:$A$34,0)),"?"))</f>
        <v/>
      </c>
      <c r="G287" s="31" t="str">
        <f aca="false">IF($B287="","",COUNTIFS('Cleans Log'!$C$5:$C$1004,$B287,'Cleans Log'!$R$5:$R$1004,$A287,'Cleans Log'!$O$5:$O$1004,"&gt;0"))</f>
        <v/>
      </c>
      <c r="H287" s="28" t="str">
        <f aca="false">IF($B287="","",SUMIFS('Cleans Log'!$O$5:$O$1004,'Cleans Log'!$C$5:$C$1004,$B287,'Cleans Log'!$R$5:$R$1004,$A287))</f>
        <v/>
      </c>
      <c r="I287" s="30" t="str">
        <f aca="false">IF($A287="","",$A287+7)</f>
        <v/>
      </c>
      <c r="J287" s="27" t="str">
        <f aca="true">IF($B287="","",IF($C287&lt;&gt;"","Paid",IF(TODAY()&gt;=$I287,"PAY NOW","Upcoming")))</f>
        <v/>
      </c>
    </row>
    <row r="288" customFormat="false" ht="15" hidden="false" customHeight="false" outlineLevel="0" collapsed="false">
      <c r="A288" s="22"/>
      <c r="B288" s="23"/>
      <c r="C288" s="22"/>
      <c r="D288" s="23"/>
      <c r="E288" s="23"/>
      <c r="F288" s="27" t="str">
        <f aca="false">IF($B288="","",IFERROR(INDEX(Cleaners!$B$5:$B$34,MATCH($B288,Cleaners!$A$5:$A$34,0)),"?"))</f>
        <v/>
      </c>
      <c r="G288" s="31" t="str">
        <f aca="false">IF($B288="","",COUNTIFS('Cleans Log'!$C$5:$C$1004,$B288,'Cleans Log'!$R$5:$R$1004,$A288,'Cleans Log'!$O$5:$O$1004,"&gt;0"))</f>
        <v/>
      </c>
      <c r="H288" s="28" t="str">
        <f aca="false">IF($B288="","",SUMIFS('Cleans Log'!$O$5:$O$1004,'Cleans Log'!$C$5:$C$1004,$B288,'Cleans Log'!$R$5:$R$1004,$A288))</f>
        <v/>
      </c>
      <c r="I288" s="30" t="str">
        <f aca="false">IF($A288="","",$A288+7)</f>
        <v/>
      </c>
      <c r="J288" s="27" t="str">
        <f aca="true">IF($B288="","",IF($C288&lt;&gt;"","Paid",IF(TODAY()&gt;=$I288,"PAY NOW","Upcoming")))</f>
        <v/>
      </c>
    </row>
    <row r="289" customFormat="false" ht="15" hidden="false" customHeight="false" outlineLevel="0" collapsed="false">
      <c r="A289" s="22"/>
      <c r="B289" s="23"/>
      <c r="C289" s="22"/>
      <c r="D289" s="23"/>
      <c r="E289" s="23"/>
      <c r="F289" s="27" t="str">
        <f aca="false">IF($B289="","",IFERROR(INDEX(Cleaners!$B$5:$B$34,MATCH($B289,Cleaners!$A$5:$A$34,0)),"?"))</f>
        <v/>
      </c>
      <c r="G289" s="31" t="str">
        <f aca="false">IF($B289="","",COUNTIFS('Cleans Log'!$C$5:$C$1004,$B289,'Cleans Log'!$R$5:$R$1004,$A289,'Cleans Log'!$O$5:$O$1004,"&gt;0"))</f>
        <v/>
      </c>
      <c r="H289" s="28" t="str">
        <f aca="false">IF($B289="","",SUMIFS('Cleans Log'!$O$5:$O$1004,'Cleans Log'!$C$5:$C$1004,$B289,'Cleans Log'!$R$5:$R$1004,$A289))</f>
        <v/>
      </c>
      <c r="I289" s="30" t="str">
        <f aca="false">IF($A289="","",$A289+7)</f>
        <v/>
      </c>
      <c r="J289" s="27" t="str">
        <f aca="true">IF($B289="","",IF($C289&lt;&gt;"","Paid",IF(TODAY()&gt;=$I289,"PAY NOW","Upcoming")))</f>
        <v/>
      </c>
    </row>
    <row r="290" customFormat="false" ht="15" hidden="false" customHeight="false" outlineLevel="0" collapsed="false">
      <c r="A290" s="22"/>
      <c r="B290" s="23"/>
      <c r="C290" s="22"/>
      <c r="D290" s="23"/>
      <c r="E290" s="23"/>
      <c r="F290" s="27" t="str">
        <f aca="false">IF($B290="","",IFERROR(INDEX(Cleaners!$B$5:$B$34,MATCH($B290,Cleaners!$A$5:$A$34,0)),"?"))</f>
        <v/>
      </c>
      <c r="G290" s="31" t="str">
        <f aca="false">IF($B290="","",COUNTIFS('Cleans Log'!$C$5:$C$1004,$B290,'Cleans Log'!$R$5:$R$1004,$A290,'Cleans Log'!$O$5:$O$1004,"&gt;0"))</f>
        <v/>
      </c>
      <c r="H290" s="28" t="str">
        <f aca="false">IF($B290="","",SUMIFS('Cleans Log'!$O$5:$O$1004,'Cleans Log'!$C$5:$C$1004,$B290,'Cleans Log'!$R$5:$R$1004,$A290))</f>
        <v/>
      </c>
      <c r="I290" s="30" t="str">
        <f aca="false">IF($A290="","",$A290+7)</f>
        <v/>
      </c>
      <c r="J290" s="27" t="str">
        <f aca="true">IF($B290="","",IF($C290&lt;&gt;"","Paid",IF(TODAY()&gt;=$I290,"PAY NOW","Upcoming")))</f>
        <v/>
      </c>
    </row>
    <row r="291" customFormat="false" ht="15" hidden="false" customHeight="false" outlineLevel="0" collapsed="false">
      <c r="A291" s="22"/>
      <c r="B291" s="23"/>
      <c r="C291" s="22"/>
      <c r="D291" s="23"/>
      <c r="E291" s="23"/>
      <c r="F291" s="27" t="str">
        <f aca="false">IF($B291="","",IFERROR(INDEX(Cleaners!$B$5:$B$34,MATCH($B291,Cleaners!$A$5:$A$34,0)),"?"))</f>
        <v/>
      </c>
      <c r="G291" s="31" t="str">
        <f aca="false">IF($B291="","",COUNTIFS('Cleans Log'!$C$5:$C$1004,$B291,'Cleans Log'!$R$5:$R$1004,$A291,'Cleans Log'!$O$5:$O$1004,"&gt;0"))</f>
        <v/>
      </c>
      <c r="H291" s="28" t="str">
        <f aca="false">IF($B291="","",SUMIFS('Cleans Log'!$O$5:$O$1004,'Cleans Log'!$C$5:$C$1004,$B291,'Cleans Log'!$R$5:$R$1004,$A291))</f>
        <v/>
      </c>
      <c r="I291" s="30" t="str">
        <f aca="false">IF($A291="","",$A291+7)</f>
        <v/>
      </c>
      <c r="J291" s="27" t="str">
        <f aca="true">IF($B291="","",IF($C291&lt;&gt;"","Paid",IF(TODAY()&gt;=$I291,"PAY NOW","Upcoming")))</f>
        <v/>
      </c>
    </row>
    <row r="292" customFormat="false" ht="15" hidden="false" customHeight="false" outlineLevel="0" collapsed="false">
      <c r="A292" s="22"/>
      <c r="B292" s="23"/>
      <c r="C292" s="22"/>
      <c r="D292" s="23"/>
      <c r="E292" s="23"/>
      <c r="F292" s="27" t="str">
        <f aca="false">IF($B292="","",IFERROR(INDEX(Cleaners!$B$5:$B$34,MATCH($B292,Cleaners!$A$5:$A$34,0)),"?"))</f>
        <v/>
      </c>
      <c r="G292" s="31" t="str">
        <f aca="false">IF($B292="","",COUNTIFS('Cleans Log'!$C$5:$C$1004,$B292,'Cleans Log'!$R$5:$R$1004,$A292,'Cleans Log'!$O$5:$O$1004,"&gt;0"))</f>
        <v/>
      </c>
      <c r="H292" s="28" t="str">
        <f aca="false">IF($B292="","",SUMIFS('Cleans Log'!$O$5:$O$1004,'Cleans Log'!$C$5:$C$1004,$B292,'Cleans Log'!$R$5:$R$1004,$A292))</f>
        <v/>
      </c>
      <c r="I292" s="30" t="str">
        <f aca="false">IF($A292="","",$A292+7)</f>
        <v/>
      </c>
      <c r="J292" s="27" t="str">
        <f aca="true">IF($B292="","",IF($C292&lt;&gt;"","Paid",IF(TODAY()&gt;=$I292,"PAY NOW","Upcoming")))</f>
        <v/>
      </c>
    </row>
    <row r="293" customFormat="false" ht="15" hidden="false" customHeight="false" outlineLevel="0" collapsed="false">
      <c r="A293" s="22"/>
      <c r="B293" s="23"/>
      <c r="C293" s="22"/>
      <c r="D293" s="23"/>
      <c r="E293" s="23"/>
      <c r="F293" s="27" t="str">
        <f aca="false">IF($B293="","",IFERROR(INDEX(Cleaners!$B$5:$B$34,MATCH($B293,Cleaners!$A$5:$A$34,0)),"?"))</f>
        <v/>
      </c>
      <c r="G293" s="31" t="str">
        <f aca="false">IF($B293="","",COUNTIFS('Cleans Log'!$C$5:$C$1004,$B293,'Cleans Log'!$R$5:$R$1004,$A293,'Cleans Log'!$O$5:$O$1004,"&gt;0"))</f>
        <v/>
      </c>
      <c r="H293" s="28" t="str">
        <f aca="false">IF($B293="","",SUMIFS('Cleans Log'!$O$5:$O$1004,'Cleans Log'!$C$5:$C$1004,$B293,'Cleans Log'!$R$5:$R$1004,$A293))</f>
        <v/>
      </c>
      <c r="I293" s="30" t="str">
        <f aca="false">IF($A293="","",$A293+7)</f>
        <v/>
      </c>
      <c r="J293" s="27" t="str">
        <f aca="true">IF($B293="","",IF($C293&lt;&gt;"","Paid",IF(TODAY()&gt;=$I293,"PAY NOW","Upcoming")))</f>
        <v/>
      </c>
    </row>
    <row r="294" customFormat="false" ht="15" hidden="false" customHeight="false" outlineLevel="0" collapsed="false">
      <c r="A294" s="22"/>
      <c r="B294" s="23"/>
      <c r="C294" s="22"/>
      <c r="D294" s="23"/>
      <c r="E294" s="23"/>
      <c r="F294" s="27" t="str">
        <f aca="false">IF($B294="","",IFERROR(INDEX(Cleaners!$B$5:$B$34,MATCH($B294,Cleaners!$A$5:$A$34,0)),"?"))</f>
        <v/>
      </c>
      <c r="G294" s="31" t="str">
        <f aca="false">IF($B294="","",COUNTIFS('Cleans Log'!$C$5:$C$1004,$B294,'Cleans Log'!$R$5:$R$1004,$A294,'Cleans Log'!$O$5:$O$1004,"&gt;0"))</f>
        <v/>
      </c>
      <c r="H294" s="28" t="str">
        <f aca="false">IF($B294="","",SUMIFS('Cleans Log'!$O$5:$O$1004,'Cleans Log'!$C$5:$C$1004,$B294,'Cleans Log'!$R$5:$R$1004,$A294))</f>
        <v/>
      </c>
      <c r="I294" s="30" t="str">
        <f aca="false">IF($A294="","",$A294+7)</f>
        <v/>
      </c>
      <c r="J294" s="27" t="str">
        <f aca="true">IF($B294="","",IF($C294&lt;&gt;"","Paid",IF(TODAY()&gt;=$I294,"PAY NOW","Upcoming")))</f>
        <v/>
      </c>
    </row>
    <row r="295" customFormat="false" ht="15" hidden="false" customHeight="false" outlineLevel="0" collapsed="false">
      <c r="A295" s="22"/>
      <c r="B295" s="23"/>
      <c r="C295" s="22"/>
      <c r="D295" s="23"/>
      <c r="E295" s="23"/>
      <c r="F295" s="27" t="str">
        <f aca="false">IF($B295="","",IFERROR(INDEX(Cleaners!$B$5:$B$34,MATCH($B295,Cleaners!$A$5:$A$34,0)),"?"))</f>
        <v/>
      </c>
      <c r="G295" s="31" t="str">
        <f aca="false">IF($B295="","",COUNTIFS('Cleans Log'!$C$5:$C$1004,$B295,'Cleans Log'!$R$5:$R$1004,$A295,'Cleans Log'!$O$5:$O$1004,"&gt;0"))</f>
        <v/>
      </c>
      <c r="H295" s="28" t="str">
        <f aca="false">IF($B295="","",SUMIFS('Cleans Log'!$O$5:$O$1004,'Cleans Log'!$C$5:$C$1004,$B295,'Cleans Log'!$R$5:$R$1004,$A295))</f>
        <v/>
      </c>
      <c r="I295" s="30" t="str">
        <f aca="false">IF($A295="","",$A295+7)</f>
        <v/>
      </c>
      <c r="J295" s="27" t="str">
        <f aca="true">IF($B295="","",IF($C295&lt;&gt;"","Paid",IF(TODAY()&gt;=$I295,"PAY NOW","Upcoming")))</f>
        <v/>
      </c>
    </row>
    <row r="296" customFormat="false" ht="15" hidden="false" customHeight="false" outlineLevel="0" collapsed="false">
      <c r="A296" s="22"/>
      <c r="B296" s="23"/>
      <c r="C296" s="22"/>
      <c r="D296" s="23"/>
      <c r="E296" s="23"/>
      <c r="F296" s="27" t="str">
        <f aca="false">IF($B296="","",IFERROR(INDEX(Cleaners!$B$5:$B$34,MATCH($B296,Cleaners!$A$5:$A$34,0)),"?"))</f>
        <v/>
      </c>
      <c r="G296" s="31" t="str">
        <f aca="false">IF($B296="","",COUNTIFS('Cleans Log'!$C$5:$C$1004,$B296,'Cleans Log'!$R$5:$R$1004,$A296,'Cleans Log'!$O$5:$O$1004,"&gt;0"))</f>
        <v/>
      </c>
      <c r="H296" s="28" t="str">
        <f aca="false">IF($B296="","",SUMIFS('Cleans Log'!$O$5:$O$1004,'Cleans Log'!$C$5:$C$1004,$B296,'Cleans Log'!$R$5:$R$1004,$A296))</f>
        <v/>
      </c>
      <c r="I296" s="30" t="str">
        <f aca="false">IF($A296="","",$A296+7)</f>
        <v/>
      </c>
      <c r="J296" s="27" t="str">
        <f aca="true">IF($B296="","",IF($C296&lt;&gt;"","Paid",IF(TODAY()&gt;=$I296,"PAY NOW","Upcoming")))</f>
        <v/>
      </c>
    </row>
    <row r="297" customFormat="false" ht="15" hidden="false" customHeight="false" outlineLevel="0" collapsed="false">
      <c r="A297" s="22"/>
      <c r="B297" s="23"/>
      <c r="C297" s="22"/>
      <c r="D297" s="23"/>
      <c r="E297" s="23"/>
      <c r="F297" s="27" t="str">
        <f aca="false">IF($B297="","",IFERROR(INDEX(Cleaners!$B$5:$B$34,MATCH($B297,Cleaners!$A$5:$A$34,0)),"?"))</f>
        <v/>
      </c>
      <c r="G297" s="31" t="str">
        <f aca="false">IF($B297="","",COUNTIFS('Cleans Log'!$C$5:$C$1004,$B297,'Cleans Log'!$R$5:$R$1004,$A297,'Cleans Log'!$O$5:$O$1004,"&gt;0"))</f>
        <v/>
      </c>
      <c r="H297" s="28" t="str">
        <f aca="false">IF($B297="","",SUMIFS('Cleans Log'!$O$5:$O$1004,'Cleans Log'!$C$5:$C$1004,$B297,'Cleans Log'!$R$5:$R$1004,$A297))</f>
        <v/>
      </c>
      <c r="I297" s="30" t="str">
        <f aca="false">IF($A297="","",$A297+7)</f>
        <v/>
      </c>
      <c r="J297" s="27" t="str">
        <f aca="true">IF($B297="","",IF($C297&lt;&gt;"","Paid",IF(TODAY()&gt;=$I297,"PAY NOW","Upcoming")))</f>
        <v/>
      </c>
    </row>
    <row r="298" customFormat="false" ht="15" hidden="false" customHeight="false" outlineLevel="0" collapsed="false">
      <c r="A298" s="22"/>
      <c r="B298" s="23"/>
      <c r="C298" s="22"/>
      <c r="D298" s="23"/>
      <c r="E298" s="23"/>
      <c r="F298" s="27" t="str">
        <f aca="false">IF($B298="","",IFERROR(INDEX(Cleaners!$B$5:$B$34,MATCH($B298,Cleaners!$A$5:$A$34,0)),"?"))</f>
        <v/>
      </c>
      <c r="G298" s="31" t="str">
        <f aca="false">IF($B298="","",COUNTIFS('Cleans Log'!$C$5:$C$1004,$B298,'Cleans Log'!$R$5:$R$1004,$A298,'Cleans Log'!$O$5:$O$1004,"&gt;0"))</f>
        <v/>
      </c>
      <c r="H298" s="28" t="str">
        <f aca="false">IF($B298="","",SUMIFS('Cleans Log'!$O$5:$O$1004,'Cleans Log'!$C$5:$C$1004,$B298,'Cleans Log'!$R$5:$R$1004,$A298))</f>
        <v/>
      </c>
      <c r="I298" s="30" t="str">
        <f aca="false">IF($A298="","",$A298+7)</f>
        <v/>
      </c>
      <c r="J298" s="27" t="str">
        <f aca="true">IF($B298="","",IF($C298&lt;&gt;"","Paid",IF(TODAY()&gt;=$I298,"PAY NOW","Upcoming")))</f>
        <v/>
      </c>
    </row>
    <row r="299" customFormat="false" ht="15" hidden="false" customHeight="false" outlineLevel="0" collapsed="false">
      <c r="A299" s="22"/>
      <c r="B299" s="23"/>
      <c r="C299" s="22"/>
      <c r="D299" s="23"/>
      <c r="E299" s="23"/>
      <c r="F299" s="27" t="str">
        <f aca="false">IF($B299="","",IFERROR(INDEX(Cleaners!$B$5:$B$34,MATCH($B299,Cleaners!$A$5:$A$34,0)),"?"))</f>
        <v/>
      </c>
      <c r="G299" s="31" t="str">
        <f aca="false">IF($B299="","",COUNTIFS('Cleans Log'!$C$5:$C$1004,$B299,'Cleans Log'!$R$5:$R$1004,$A299,'Cleans Log'!$O$5:$O$1004,"&gt;0"))</f>
        <v/>
      </c>
      <c r="H299" s="28" t="str">
        <f aca="false">IF($B299="","",SUMIFS('Cleans Log'!$O$5:$O$1004,'Cleans Log'!$C$5:$C$1004,$B299,'Cleans Log'!$R$5:$R$1004,$A299))</f>
        <v/>
      </c>
      <c r="I299" s="30" t="str">
        <f aca="false">IF($A299="","",$A299+7)</f>
        <v/>
      </c>
      <c r="J299" s="27" t="str">
        <f aca="true">IF($B299="","",IF($C299&lt;&gt;"","Paid",IF(TODAY()&gt;=$I299,"PAY NOW","Upcoming")))</f>
        <v/>
      </c>
    </row>
    <row r="300" customFormat="false" ht="15" hidden="false" customHeight="false" outlineLevel="0" collapsed="false">
      <c r="A300" s="22"/>
      <c r="B300" s="23"/>
      <c r="C300" s="22"/>
      <c r="D300" s="23"/>
      <c r="E300" s="23"/>
      <c r="F300" s="27" t="str">
        <f aca="false">IF($B300="","",IFERROR(INDEX(Cleaners!$B$5:$B$34,MATCH($B300,Cleaners!$A$5:$A$34,0)),"?"))</f>
        <v/>
      </c>
      <c r="G300" s="31" t="str">
        <f aca="false">IF($B300="","",COUNTIFS('Cleans Log'!$C$5:$C$1004,$B300,'Cleans Log'!$R$5:$R$1004,$A300,'Cleans Log'!$O$5:$O$1004,"&gt;0"))</f>
        <v/>
      </c>
      <c r="H300" s="28" t="str">
        <f aca="false">IF($B300="","",SUMIFS('Cleans Log'!$O$5:$O$1004,'Cleans Log'!$C$5:$C$1004,$B300,'Cleans Log'!$R$5:$R$1004,$A300))</f>
        <v/>
      </c>
      <c r="I300" s="30" t="str">
        <f aca="false">IF($A300="","",$A300+7)</f>
        <v/>
      </c>
      <c r="J300" s="27" t="str">
        <f aca="true">IF($B300="","",IF($C300&lt;&gt;"","Paid",IF(TODAY()&gt;=$I300,"PAY NOW","Upcoming")))</f>
        <v/>
      </c>
    </row>
    <row r="301" customFormat="false" ht="15" hidden="false" customHeight="false" outlineLevel="0" collapsed="false">
      <c r="A301" s="22"/>
      <c r="B301" s="23"/>
      <c r="C301" s="22"/>
      <c r="D301" s="23"/>
      <c r="E301" s="23"/>
      <c r="F301" s="27" t="str">
        <f aca="false">IF($B301="","",IFERROR(INDEX(Cleaners!$B$5:$B$34,MATCH($B301,Cleaners!$A$5:$A$34,0)),"?"))</f>
        <v/>
      </c>
      <c r="G301" s="31" t="str">
        <f aca="false">IF($B301="","",COUNTIFS('Cleans Log'!$C$5:$C$1004,$B301,'Cleans Log'!$R$5:$R$1004,$A301,'Cleans Log'!$O$5:$O$1004,"&gt;0"))</f>
        <v/>
      </c>
      <c r="H301" s="28" t="str">
        <f aca="false">IF($B301="","",SUMIFS('Cleans Log'!$O$5:$O$1004,'Cleans Log'!$C$5:$C$1004,$B301,'Cleans Log'!$R$5:$R$1004,$A301))</f>
        <v/>
      </c>
      <c r="I301" s="30" t="str">
        <f aca="false">IF($A301="","",$A301+7)</f>
        <v/>
      </c>
      <c r="J301" s="27" t="str">
        <f aca="true">IF($B301="","",IF($C301&lt;&gt;"","Paid",IF(TODAY()&gt;=$I301,"PAY NOW","Upcoming")))</f>
        <v/>
      </c>
    </row>
    <row r="302" customFormat="false" ht="15" hidden="false" customHeight="false" outlineLevel="0" collapsed="false">
      <c r="A302" s="22"/>
      <c r="B302" s="23"/>
      <c r="C302" s="22"/>
      <c r="D302" s="23"/>
      <c r="E302" s="23"/>
      <c r="F302" s="27" t="str">
        <f aca="false">IF($B302="","",IFERROR(INDEX(Cleaners!$B$5:$B$34,MATCH($B302,Cleaners!$A$5:$A$34,0)),"?"))</f>
        <v/>
      </c>
      <c r="G302" s="31" t="str">
        <f aca="false">IF($B302="","",COUNTIFS('Cleans Log'!$C$5:$C$1004,$B302,'Cleans Log'!$R$5:$R$1004,$A302,'Cleans Log'!$O$5:$O$1004,"&gt;0"))</f>
        <v/>
      </c>
      <c r="H302" s="28" t="str">
        <f aca="false">IF($B302="","",SUMIFS('Cleans Log'!$O$5:$O$1004,'Cleans Log'!$C$5:$C$1004,$B302,'Cleans Log'!$R$5:$R$1004,$A302))</f>
        <v/>
      </c>
      <c r="I302" s="30" t="str">
        <f aca="false">IF($A302="","",$A302+7)</f>
        <v/>
      </c>
      <c r="J302" s="27" t="str">
        <f aca="true">IF($B302="","",IF($C302&lt;&gt;"","Paid",IF(TODAY()&gt;=$I302,"PAY NOW","Upcoming")))</f>
        <v/>
      </c>
    </row>
    <row r="303" customFormat="false" ht="15" hidden="false" customHeight="false" outlineLevel="0" collapsed="false">
      <c r="A303" s="22"/>
      <c r="B303" s="23"/>
      <c r="C303" s="22"/>
      <c r="D303" s="23"/>
      <c r="E303" s="23"/>
      <c r="F303" s="27" t="str">
        <f aca="false">IF($B303="","",IFERROR(INDEX(Cleaners!$B$5:$B$34,MATCH($B303,Cleaners!$A$5:$A$34,0)),"?"))</f>
        <v/>
      </c>
      <c r="G303" s="31" t="str">
        <f aca="false">IF($B303="","",COUNTIFS('Cleans Log'!$C$5:$C$1004,$B303,'Cleans Log'!$R$5:$R$1004,$A303,'Cleans Log'!$O$5:$O$1004,"&gt;0"))</f>
        <v/>
      </c>
      <c r="H303" s="28" t="str">
        <f aca="false">IF($B303="","",SUMIFS('Cleans Log'!$O$5:$O$1004,'Cleans Log'!$C$5:$C$1004,$B303,'Cleans Log'!$R$5:$R$1004,$A303))</f>
        <v/>
      </c>
      <c r="I303" s="30" t="str">
        <f aca="false">IF($A303="","",$A303+7)</f>
        <v/>
      </c>
      <c r="J303" s="27" t="str">
        <f aca="true">IF($B303="","",IF($C303&lt;&gt;"","Paid",IF(TODAY()&gt;=$I303,"PAY NOW","Upcoming")))</f>
        <v/>
      </c>
    </row>
    <row r="304" customFormat="false" ht="15" hidden="false" customHeight="false" outlineLevel="0" collapsed="false">
      <c r="A304" s="22"/>
      <c r="B304" s="23"/>
      <c r="C304" s="22"/>
      <c r="D304" s="23"/>
      <c r="E304" s="23"/>
      <c r="F304" s="27" t="str">
        <f aca="false">IF($B304="","",IFERROR(INDEX(Cleaners!$B$5:$B$34,MATCH($B304,Cleaners!$A$5:$A$34,0)),"?"))</f>
        <v/>
      </c>
      <c r="G304" s="31" t="str">
        <f aca="false">IF($B304="","",COUNTIFS('Cleans Log'!$C$5:$C$1004,$B304,'Cleans Log'!$R$5:$R$1004,$A304,'Cleans Log'!$O$5:$O$1004,"&gt;0"))</f>
        <v/>
      </c>
      <c r="H304" s="28" t="str">
        <f aca="false">IF($B304="","",SUMIFS('Cleans Log'!$O$5:$O$1004,'Cleans Log'!$C$5:$C$1004,$B304,'Cleans Log'!$R$5:$R$1004,$A304))</f>
        <v/>
      </c>
      <c r="I304" s="30" t="str">
        <f aca="false">IF($A304="","",$A304+7)</f>
        <v/>
      </c>
      <c r="J304" s="27" t="str">
        <f aca="true">IF($B304="","",IF($C304&lt;&gt;"","Paid",IF(TODAY()&gt;=$I304,"PAY NOW","Upcoming")))</f>
        <v/>
      </c>
    </row>
    <row r="305" customFormat="false" ht="15" hidden="false" customHeight="false" outlineLevel="0" collapsed="false">
      <c r="A305" s="22"/>
      <c r="B305" s="23"/>
      <c r="C305" s="22"/>
      <c r="D305" s="23"/>
      <c r="E305" s="23"/>
      <c r="F305" s="27" t="str">
        <f aca="false">IF($B305="","",IFERROR(INDEX(Cleaners!$B$5:$B$34,MATCH($B305,Cleaners!$A$5:$A$34,0)),"?"))</f>
        <v/>
      </c>
      <c r="G305" s="31" t="str">
        <f aca="false">IF($B305="","",COUNTIFS('Cleans Log'!$C$5:$C$1004,$B305,'Cleans Log'!$R$5:$R$1004,$A305,'Cleans Log'!$O$5:$O$1004,"&gt;0"))</f>
        <v/>
      </c>
      <c r="H305" s="28" t="str">
        <f aca="false">IF($B305="","",SUMIFS('Cleans Log'!$O$5:$O$1004,'Cleans Log'!$C$5:$C$1004,$B305,'Cleans Log'!$R$5:$R$1004,$A305))</f>
        <v/>
      </c>
      <c r="I305" s="30" t="str">
        <f aca="false">IF($A305="","",$A305+7)</f>
        <v/>
      </c>
      <c r="J305" s="27" t="str">
        <f aca="true">IF($B305="","",IF($C305&lt;&gt;"","Paid",IF(TODAY()&gt;=$I305,"PAY NOW","Upcoming")))</f>
        <v/>
      </c>
    </row>
    <row r="306" customFormat="false" ht="15" hidden="false" customHeight="false" outlineLevel="0" collapsed="false">
      <c r="A306" s="22"/>
      <c r="B306" s="23"/>
      <c r="C306" s="22"/>
      <c r="D306" s="23"/>
      <c r="E306" s="23"/>
      <c r="F306" s="27" t="str">
        <f aca="false">IF($B306="","",IFERROR(INDEX(Cleaners!$B$5:$B$34,MATCH($B306,Cleaners!$A$5:$A$34,0)),"?"))</f>
        <v/>
      </c>
      <c r="G306" s="31" t="str">
        <f aca="false">IF($B306="","",COUNTIFS('Cleans Log'!$C$5:$C$1004,$B306,'Cleans Log'!$R$5:$R$1004,$A306,'Cleans Log'!$O$5:$O$1004,"&gt;0"))</f>
        <v/>
      </c>
      <c r="H306" s="28" t="str">
        <f aca="false">IF($B306="","",SUMIFS('Cleans Log'!$O$5:$O$1004,'Cleans Log'!$C$5:$C$1004,$B306,'Cleans Log'!$R$5:$R$1004,$A306))</f>
        <v/>
      </c>
      <c r="I306" s="30" t="str">
        <f aca="false">IF($A306="","",$A306+7)</f>
        <v/>
      </c>
      <c r="J306" s="27" t="str">
        <f aca="true">IF($B306="","",IF($C306&lt;&gt;"","Paid",IF(TODAY()&gt;=$I306,"PAY NOW","Upcoming")))</f>
        <v/>
      </c>
    </row>
    <row r="307" customFormat="false" ht="15" hidden="false" customHeight="false" outlineLevel="0" collapsed="false">
      <c r="A307" s="22"/>
      <c r="B307" s="23"/>
      <c r="C307" s="22"/>
      <c r="D307" s="23"/>
      <c r="E307" s="23"/>
      <c r="F307" s="27" t="str">
        <f aca="false">IF($B307="","",IFERROR(INDEX(Cleaners!$B$5:$B$34,MATCH($B307,Cleaners!$A$5:$A$34,0)),"?"))</f>
        <v/>
      </c>
      <c r="G307" s="31" t="str">
        <f aca="false">IF($B307="","",COUNTIFS('Cleans Log'!$C$5:$C$1004,$B307,'Cleans Log'!$R$5:$R$1004,$A307,'Cleans Log'!$O$5:$O$1004,"&gt;0"))</f>
        <v/>
      </c>
      <c r="H307" s="28" t="str">
        <f aca="false">IF($B307="","",SUMIFS('Cleans Log'!$O$5:$O$1004,'Cleans Log'!$C$5:$C$1004,$B307,'Cleans Log'!$R$5:$R$1004,$A307))</f>
        <v/>
      </c>
      <c r="I307" s="30" t="str">
        <f aca="false">IF($A307="","",$A307+7)</f>
        <v/>
      </c>
      <c r="J307" s="27" t="str">
        <f aca="true">IF($B307="","",IF($C307&lt;&gt;"","Paid",IF(TODAY()&gt;=$I307,"PAY NOW","Upcoming")))</f>
        <v/>
      </c>
    </row>
    <row r="308" customFormat="false" ht="15" hidden="false" customHeight="false" outlineLevel="0" collapsed="false">
      <c r="A308" s="22"/>
      <c r="B308" s="23"/>
      <c r="C308" s="22"/>
      <c r="D308" s="23"/>
      <c r="E308" s="23"/>
      <c r="F308" s="27" t="str">
        <f aca="false">IF($B308="","",IFERROR(INDEX(Cleaners!$B$5:$B$34,MATCH($B308,Cleaners!$A$5:$A$34,0)),"?"))</f>
        <v/>
      </c>
      <c r="G308" s="31" t="str">
        <f aca="false">IF($B308="","",COUNTIFS('Cleans Log'!$C$5:$C$1004,$B308,'Cleans Log'!$R$5:$R$1004,$A308,'Cleans Log'!$O$5:$O$1004,"&gt;0"))</f>
        <v/>
      </c>
      <c r="H308" s="28" t="str">
        <f aca="false">IF($B308="","",SUMIFS('Cleans Log'!$O$5:$O$1004,'Cleans Log'!$C$5:$C$1004,$B308,'Cleans Log'!$R$5:$R$1004,$A308))</f>
        <v/>
      </c>
      <c r="I308" s="30" t="str">
        <f aca="false">IF($A308="","",$A308+7)</f>
        <v/>
      </c>
      <c r="J308" s="27" t="str">
        <f aca="true">IF($B308="","",IF($C308&lt;&gt;"","Paid",IF(TODAY()&gt;=$I308,"PAY NOW","Upcoming")))</f>
        <v/>
      </c>
    </row>
    <row r="309" customFormat="false" ht="15" hidden="false" customHeight="false" outlineLevel="0" collapsed="false">
      <c r="A309" s="22"/>
      <c r="B309" s="23"/>
      <c r="C309" s="22"/>
      <c r="D309" s="23"/>
      <c r="E309" s="23"/>
      <c r="F309" s="27" t="str">
        <f aca="false">IF($B309="","",IFERROR(INDEX(Cleaners!$B$5:$B$34,MATCH($B309,Cleaners!$A$5:$A$34,0)),"?"))</f>
        <v/>
      </c>
      <c r="G309" s="31" t="str">
        <f aca="false">IF($B309="","",COUNTIFS('Cleans Log'!$C$5:$C$1004,$B309,'Cleans Log'!$R$5:$R$1004,$A309,'Cleans Log'!$O$5:$O$1004,"&gt;0"))</f>
        <v/>
      </c>
      <c r="H309" s="28" t="str">
        <f aca="false">IF($B309="","",SUMIFS('Cleans Log'!$O$5:$O$1004,'Cleans Log'!$C$5:$C$1004,$B309,'Cleans Log'!$R$5:$R$1004,$A309))</f>
        <v/>
      </c>
      <c r="I309" s="30" t="str">
        <f aca="false">IF($A309="","",$A309+7)</f>
        <v/>
      </c>
      <c r="J309" s="27" t="str">
        <f aca="true">IF($B309="","",IF($C309&lt;&gt;"","Paid",IF(TODAY()&gt;=$I309,"PAY NOW","Upcoming")))</f>
        <v/>
      </c>
    </row>
    <row r="310" customFormat="false" ht="15" hidden="false" customHeight="false" outlineLevel="0" collapsed="false">
      <c r="A310" s="22"/>
      <c r="B310" s="23"/>
      <c r="C310" s="22"/>
      <c r="D310" s="23"/>
      <c r="E310" s="23"/>
      <c r="F310" s="27" t="str">
        <f aca="false">IF($B310="","",IFERROR(INDEX(Cleaners!$B$5:$B$34,MATCH($B310,Cleaners!$A$5:$A$34,0)),"?"))</f>
        <v/>
      </c>
      <c r="G310" s="31" t="str">
        <f aca="false">IF($B310="","",COUNTIFS('Cleans Log'!$C$5:$C$1004,$B310,'Cleans Log'!$R$5:$R$1004,$A310,'Cleans Log'!$O$5:$O$1004,"&gt;0"))</f>
        <v/>
      </c>
      <c r="H310" s="28" t="str">
        <f aca="false">IF($B310="","",SUMIFS('Cleans Log'!$O$5:$O$1004,'Cleans Log'!$C$5:$C$1004,$B310,'Cleans Log'!$R$5:$R$1004,$A310))</f>
        <v/>
      </c>
      <c r="I310" s="30" t="str">
        <f aca="false">IF($A310="","",$A310+7)</f>
        <v/>
      </c>
      <c r="J310" s="27" t="str">
        <f aca="true">IF($B310="","",IF($C310&lt;&gt;"","Paid",IF(TODAY()&gt;=$I310,"PAY NOW","Upcoming")))</f>
        <v/>
      </c>
    </row>
    <row r="311" customFormat="false" ht="15" hidden="false" customHeight="false" outlineLevel="0" collapsed="false">
      <c r="A311" s="22"/>
      <c r="B311" s="23"/>
      <c r="C311" s="22"/>
      <c r="D311" s="23"/>
      <c r="E311" s="23"/>
      <c r="F311" s="27" t="str">
        <f aca="false">IF($B311="","",IFERROR(INDEX(Cleaners!$B$5:$B$34,MATCH($B311,Cleaners!$A$5:$A$34,0)),"?"))</f>
        <v/>
      </c>
      <c r="G311" s="31" t="str">
        <f aca="false">IF($B311="","",COUNTIFS('Cleans Log'!$C$5:$C$1004,$B311,'Cleans Log'!$R$5:$R$1004,$A311,'Cleans Log'!$O$5:$O$1004,"&gt;0"))</f>
        <v/>
      </c>
      <c r="H311" s="28" t="str">
        <f aca="false">IF($B311="","",SUMIFS('Cleans Log'!$O$5:$O$1004,'Cleans Log'!$C$5:$C$1004,$B311,'Cleans Log'!$R$5:$R$1004,$A311))</f>
        <v/>
      </c>
      <c r="I311" s="30" t="str">
        <f aca="false">IF($A311="","",$A311+7)</f>
        <v/>
      </c>
      <c r="J311" s="27" t="str">
        <f aca="true">IF($B311="","",IF($C311&lt;&gt;"","Paid",IF(TODAY()&gt;=$I311,"PAY NOW","Upcoming")))</f>
        <v/>
      </c>
    </row>
    <row r="312" customFormat="false" ht="15" hidden="false" customHeight="false" outlineLevel="0" collapsed="false">
      <c r="A312" s="22"/>
      <c r="B312" s="23"/>
      <c r="C312" s="22"/>
      <c r="D312" s="23"/>
      <c r="E312" s="23"/>
      <c r="F312" s="27" t="str">
        <f aca="false">IF($B312="","",IFERROR(INDEX(Cleaners!$B$5:$B$34,MATCH($B312,Cleaners!$A$5:$A$34,0)),"?"))</f>
        <v/>
      </c>
      <c r="G312" s="31" t="str">
        <f aca="false">IF($B312="","",COUNTIFS('Cleans Log'!$C$5:$C$1004,$B312,'Cleans Log'!$R$5:$R$1004,$A312,'Cleans Log'!$O$5:$O$1004,"&gt;0"))</f>
        <v/>
      </c>
      <c r="H312" s="28" t="str">
        <f aca="false">IF($B312="","",SUMIFS('Cleans Log'!$O$5:$O$1004,'Cleans Log'!$C$5:$C$1004,$B312,'Cleans Log'!$R$5:$R$1004,$A312))</f>
        <v/>
      </c>
      <c r="I312" s="30" t="str">
        <f aca="false">IF($A312="","",$A312+7)</f>
        <v/>
      </c>
      <c r="J312" s="27" t="str">
        <f aca="true">IF($B312="","",IF($C312&lt;&gt;"","Paid",IF(TODAY()&gt;=$I312,"PAY NOW","Upcoming")))</f>
        <v/>
      </c>
    </row>
    <row r="313" customFormat="false" ht="15" hidden="false" customHeight="false" outlineLevel="0" collapsed="false">
      <c r="A313" s="22"/>
      <c r="B313" s="23"/>
      <c r="C313" s="22"/>
      <c r="D313" s="23"/>
      <c r="E313" s="23"/>
      <c r="F313" s="27" t="str">
        <f aca="false">IF($B313="","",IFERROR(INDEX(Cleaners!$B$5:$B$34,MATCH($B313,Cleaners!$A$5:$A$34,0)),"?"))</f>
        <v/>
      </c>
      <c r="G313" s="31" t="str">
        <f aca="false">IF($B313="","",COUNTIFS('Cleans Log'!$C$5:$C$1004,$B313,'Cleans Log'!$R$5:$R$1004,$A313,'Cleans Log'!$O$5:$O$1004,"&gt;0"))</f>
        <v/>
      </c>
      <c r="H313" s="28" t="str">
        <f aca="false">IF($B313="","",SUMIFS('Cleans Log'!$O$5:$O$1004,'Cleans Log'!$C$5:$C$1004,$B313,'Cleans Log'!$R$5:$R$1004,$A313))</f>
        <v/>
      </c>
      <c r="I313" s="30" t="str">
        <f aca="false">IF($A313="","",$A313+7)</f>
        <v/>
      </c>
      <c r="J313" s="27" t="str">
        <f aca="true">IF($B313="","",IF($C313&lt;&gt;"","Paid",IF(TODAY()&gt;=$I313,"PAY NOW","Upcoming")))</f>
        <v/>
      </c>
    </row>
    <row r="314" customFormat="false" ht="15" hidden="false" customHeight="false" outlineLevel="0" collapsed="false">
      <c r="A314" s="22"/>
      <c r="B314" s="23"/>
      <c r="C314" s="22"/>
      <c r="D314" s="23"/>
      <c r="E314" s="23"/>
      <c r="F314" s="27" t="str">
        <f aca="false">IF($B314="","",IFERROR(INDEX(Cleaners!$B$5:$B$34,MATCH($B314,Cleaners!$A$5:$A$34,0)),"?"))</f>
        <v/>
      </c>
      <c r="G314" s="31" t="str">
        <f aca="false">IF($B314="","",COUNTIFS('Cleans Log'!$C$5:$C$1004,$B314,'Cleans Log'!$R$5:$R$1004,$A314,'Cleans Log'!$O$5:$O$1004,"&gt;0"))</f>
        <v/>
      </c>
      <c r="H314" s="28" t="str">
        <f aca="false">IF($B314="","",SUMIFS('Cleans Log'!$O$5:$O$1004,'Cleans Log'!$C$5:$C$1004,$B314,'Cleans Log'!$R$5:$R$1004,$A314))</f>
        <v/>
      </c>
      <c r="I314" s="30" t="str">
        <f aca="false">IF($A314="","",$A314+7)</f>
        <v/>
      </c>
      <c r="J314" s="27" t="str">
        <f aca="true">IF($B314="","",IF($C314&lt;&gt;"","Paid",IF(TODAY()&gt;=$I314,"PAY NOW","Upcoming")))</f>
        <v/>
      </c>
    </row>
    <row r="315" customFormat="false" ht="15" hidden="false" customHeight="false" outlineLevel="0" collapsed="false">
      <c r="A315" s="22"/>
      <c r="B315" s="23"/>
      <c r="C315" s="22"/>
      <c r="D315" s="23"/>
      <c r="E315" s="23"/>
      <c r="F315" s="27" t="str">
        <f aca="false">IF($B315="","",IFERROR(INDEX(Cleaners!$B$5:$B$34,MATCH($B315,Cleaners!$A$5:$A$34,0)),"?"))</f>
        <v/>
      </c>
      <c r="G315" s="31" t="str">
        <f aca="false">IF($B315="","",COUNTIFS('Cleans Log'!$C$5:$C$1004,$B315,'Cleans Log'!$R$5:$R$1004,$A315,'Cleans Log'!$O$5:$O$1004,"&gt;0"))</f>
        <v/>
      </c>
      <c r="H315" s="28" t="str">
        <f aca="false">IF($B315="","",SUMIFS('Cleans Log'!$O$5:$O$1004,'Cleans Log'!$C$5:$C$1004,$B315,'Cleans Log'!$R$5:$R$1004,$A315))</f>
        <v/>
      </c>
      <c r="I315" s="30" t="str">
        <f aca="false">IF($A315="","",$A315+7)</f>
        <v/>
      </c>
      <c r="J315" s="27" t="str">
        <f aca="true">IF($B315="","",IF($C315&lt;&gt;"","Paid",IF(TODAY()&gt;=$I315,"PAY NOW","Upcoming")))</f>
        <v/>
      </c>
    </row>
    <row r="316" customFormat="false" ht="15" hidden="false" customHeight="false" outlineLevel="0" collapsed="false">
      <c r="A316" s="22"/>
      <c r="B316" s="23"/>
      <c r="C316" s="22"/>
      <c r="D316" s="23"/>
      <c r="E316" s="23"/>
      <c r="F316" s="27" t="str">
        <f aca="false">IF($B316="","",IFERROR(INDEX(Cleaners!$B$5:$B$34,MATCH($B316,Cleaners!$A$5:$A$34,0)),"?"))</f>
        <v/>
      </c>
      <c r="G316" s="31" t="str">
        <f aca="false">IF($B316="","",COUNTIFS('Cleans Log'!$C$5:$C$1004,$B316,'Cleans Log'!$R$5:$R$1004,$A316,'Cleans Log'!$O$5:$O$1004,"&gt;0"))</f>
        <v/>
      </c>
      <c r="H316" s="28" t="str">
        <f aca="false">IF($B316="","",SUMIFS('Cleans Log'!$O$5:$O$1004,'Cleans Log'!$C$5:$C$1004,$B316,'Cleans Log'!$R$5:$R$1004,$A316))</f>
        <v/>
      </c>
      <c r="I316" s="30" t="str">
        <f aca="false">IF($A316="","",$A316+7)</f>
        <v/>
      </c>
      <c r="J316" s="27" t="str">
        <f aca="true">IF($B316="","",IF($C316&lt;&gt;"","Paid",IF(TODAY()&gt;=$I316,"PAY NOW","Upcoming")))</f>
        <v/>
      </c>
    </row>
    <row r="317" customFormat="false" ht="15" hidden="false" customHeight="false" outlineLevel="0" collapsed="false">
      <c r="A317" s="22"/>
      <c r="B317" s="23"/>
      <c r="C317" s="22"/>
      <c r="D317" s="23"/>
      <c r="E317" s="23"/>
      <c r="F317" s="27" t="str">
        <f aca="false">IF($B317="","",IFERROR(INDEX(Cleaners!$B$5:$B$34,MATCH($B317,Cleaners!$A$5:$A$34,0)),"?"))</f>
        <v/>
      </c>
      <c r="G317" s="31" t="str">
        <f aca="false">IF($B317="","",COUNTIFS('Cleans Log'!$C$5:$C$1004,$B317,'Cleans Log'!$R$5:$R$1004,$A317,'Cleans Log'!$O$5:$O$1004,"&gt;0"))</f>
        <v/>
      </c>
      <c r="H317" s="28" t="str">
        <f aca="false">IF($B317="","",SUMIFS('Cleans Log'!$O$5:$O$1004,'Cleans Log'!$C$5:$C$1004,$B317,'Cleans Log'!$R$5:$R$1004,$A317))</f>
        <v/>
      </c>
      <c r="I317" s="30" t="str">
        <f aca="false">IF($A317="","",$A317+7)</f>
        <v/>
      </c>
      <c r="J317" s="27" t="str">
        <f aca="true">IF($B317="","",IF($C317&lt;&gt;"","Paid",IF(TODAY()&gt;=$I317,"PAY NOW","Upcoming")))</f>
        <v/>
      </c>
    </row>
    <row r="318" customFormat="false" ht="15" hidden="false" customHeight="false" outlineLevel="0" collapsed="false">
      <c r="A318" s="22"/>
      <c r="B318" s="23"/>
      <c r="C318" s="22"/>
      <c r="D318" s="23"/>
      <c r="E318" s="23"/>
      <c r="F318" s="27" t="str">
        <f aca="false">IF($B318="","",IFERROR(INDEX(Cleaners!$B$5:$B$34,MATCH($B318,Cleaners!$A$5:$A$34,0)),"?"))</f>
        <v/>
      </c>
      <c r="G318" s="31" t="str">
        <f aca="false">IF($B318="","",COUNTIFS('Cleans Log'!$C$5:$C$1004,$B318,'Cleans Log'!$R$5:$R$1004,$A318,'Cleans Log'!$O$5:$O$1004,"&gt;0"))</f>
        <v/>
      </c>
      <c r="H318" s="28" t="str">
        <f aca="false">IF($B318="","",SUMIFS('Cleans Log'!$O$5:$O$1004,'Cleans Log'!$C$5:$C$1004,$B318,'Cleans Log'!$R$5:$R$1004,$A318))</f>
        <v/>
      </c>
      <c r="I318" s="30" t="str">
        <f aca="false">IF($A318="","",$A318+7)</f>
        <v/>
      </c>
      <c r="J318" s="27" t="str">
        <f aca="true">IF($B318="","",IF($C318&lt;&gt;"","Paid",IF(TODAY()&gt;=$I318,"PAY NOW","Upcoming")))</f>
        <v/>
      </c>
    </row>
    <row r="319" customFormat="false" ht="15" hidden="false" customHeight="false" outlineLevel="0" collapsed="false">
      <c r="A319" s="22"/>
      <c r="B319" s="23"/>
      <c r="C319" s="22"/>
      <c r="D319" s="23"/>
      <c r="E319" s="23"/>
      <c r="F319" s="27" t="str">
        <f aca="false">IF($B319="","",IFERROR(INDEX(Cleaners!$B$5:$B$34,MATCH($B319,Cleaners!$A$5:$A$34,0)),"?"))</f>
        <v/>
      </c>
      <c r="G319" s="31" t="str">
        <f aca="false">IF($B319="","",COUNTIFS('Cleans Log'!$C$5:$C$1004,$B319,'Cleans Log'!$R$5:$R$1004,$A319,'Cleans Log'!$O$5:$O$1004,"&gt;0"))</f>
        <v/>
      </c>
      <c r="H319" s="28" t="str">
        <f aca="false">IF($B319="","",SUMIFS('Cleans Log'!$O$5:$O$1004,'Cleans Log'!$C$5:$C$1004,$B319,'Cleans Log'!$R$5:$R$1004,$A319))</f>
        <v/>
      </c>
      <c r="I319" s="30" t="str">
        <f aca="false">IF($A319="","",$A319+7)</f>
        <v/>
      </c>
      <c r="J319" s="27" t="str">
        <f aca="true">IF($B319="","",IF($C319&lt;&gt;"","Paid",IF(TODAY()&gt;=$I319,"PAY NOW","Upcoming")))</f>
        <v/>
      </c>
    </row>
    <row r="320" customFormat="false" ht="15" hidden="false" customHeight="false" outlineLevel="0" collapsed="false">
      <c r="A320" s="22"/>
      <c r="B320" s="23"/>
      <c r="C320" s="22"/>
      <c r="D320" s="23"/>
      <c r="E320" s="23"/>
      <c r="F320" s="27" t="str">
        <f aca="false">IF($B320="","",IFERROR(INDEX(Cleaners!$B$5:$B$34,MATCH($B320,Cleaners!$A$5:$A$34,0)),"?"))</f>
        <v/>
      </c>
      <c r="G320" s="31" t="str">
        <f aca="false">IF($B320="","",COUNTIFS('Cleans Log'!$C$5:$C$1004,$B320,'Cleans Log'!$R$5:$R$1004,$A320,'Cleans Log'!$O$5:$O$1004,"&gt;0"))</f>
        <v/>
      </c>
      <c r="H320" s="28" t="str">
        <f aca="false">IF($B320="","",SUMIFS('Cleans Log'!$O$5:$O$1004,'Cleans Log'!$C$5:$C$1004,$B320,'Cleans Log'!$R$5:$R$1004,$A320))</f>
        <v/>
      </c>
      <c r="I320" s="30" t="str">
        <f aca="false">IF($A320="","",$A320+7)</f>
        <v/>
      </c>
      <c r="J320" s="27" t="str">
        <f aca="true">IF($B320="","",IF($C320&lt;&gt;"","Paid",IF(TODAY()&gt;=$I320,"PAY NOW","Upcoming")))</f>
        <v/>
      </c>
    </row>
    <row r="321" customFormat="false" ht="15" hidden="false" customHeight="false" outlineLevel="0" collapsed="false">
      <c r="A321" s="22"/>
      <c r="B321" s="23"/>
      <c r="C321" s="22"/>
      <c r="D321" s="23"/>
      <c r="E321" s="23"/>
      <c r="F321" s="27" t="str">
        <f aca="false">IF($B321="","",IFERROR(INDEX(Cleaners!$B$5:$B$34,MATCH($B321,Cleaners!$A$5:$A$34,0)),"?"))</f>
        <v/>
      </c>
      <c r="G321" s="31" t="str">
        <f aca="false">IF($B321="","",COUNTIFS('Cleans Log'!$C$5:$C$1004,$B321,'Cleans Log'!$R$5:$R$1004,$A321,'Cleans Log'!$O$5:$O$1004,"&gt;0"))</f>
        <v/>
      </c>
      <c r="H321" s="28" t="str">
        <f aca="false">IF($B321="","",SUMIFS('Cleans Log'!$O$5:$O$1004,'Cleans Log'!$C$5:$C$1004,$B321,'Cleans Log'!$R$5:$R$1004,$A321))</f>
        <v/>
      </c>
      <c r="I321" s="30" t="str">
        <f aca="false">IF($A321="","",$A321+7)</f>
        <v/>
      </c>
      <c r="J321" s="27" t="str">
        <f aca="true">IF($B321="","",IF($C321&lt;&gt;"","Paid",IF(TODAY()&gt;=$I321,"PAY NOW","Upcoming")))</f>
        <v/>
      </c>
    </row>
    <row r="322" customFormat="false" ht="15" hidden="false" customHeight="false" outlineLevel="0" collapsed="false">
      <c r="A322" s="22"/>
      <c r="B322" s="23"/>
      <c r="C322" s="22"/>
      <c r="D322" s="23"/>
      <c r="E322" s="23"/>
      <c r="F322" s="27" t="str">
        <f aca="false">IF($B322="","",IFERROR(INDEX(Cleaners!$B$5:$B$34,MATCH($B322,Cleaners!$A$5:$A$34,0)),"?"))</f>
        <v/>
      </c>
      <c r="G322" s="31" t="str">
        <f aca="false">IF($B322="","",COUNTIFS('Cleans Log'!$C$5:$C$1004,$B322,'Cleans Log'!$R$5:$R$1004,$A322,'Cleans Log'!$O$5:$O$1004,"&gt;0"))</f>
        <v/>
      </c>
      <c r="H322" s="28" t="str">
        <f aca="false">IF($B322="","",SUMIFS('Cleans Log'!$O$5:$O$1004,'Cleans Log'!$C$5:$C$1004,$B322,'Cleans Log'!$R$5:$R$1004,$A322))</f>
        <v/>
      </c>
      <c r="I322" s="30" t="str">
        <f aca="false">IF($A322="","",$A322+7)</f>
        <v/>
      </c>
      <c r="J322" s="27" t="str">
        <f aca="true">IF($B322="","",IF($C322&lt;&gt;"","Paid",IF(TODAY()&gt;=$I322,"PAY NOW","Upcoming")))</f>
        <v/>
      </c>
    </row>
    <row r="323" customFormat="false" ht="15" hidden="false" customHeight="false" outlineLevel="0" collapsed="false">
      <c r="A323" s="22"/>
      <c r="B323" s="23"/>
      <c r="C323" s="22"/>
      <c r="D323" s="23"/>
      <c r="E323" s="23"/>
      <c r="F323" s="27" t="str">
        <f aca="false">IF($B323="","",IFERROR(INDEX(Cleaners!$B$5:$B$34,MATCH($B323,Cleaners!$A$5:$A$34,0)),"?"))</f>
        <v/>
      </c>
      <c r="G323" s="31" t="str">
        <f aca="false">IF($B323="","",COUNTIFS('Cleans Log'!$C$5:$C$1004,$B323,'Cleans Log'!$R$5:$R$1004,$A323,'Cleans Log'!$O$5:$O$1004,"&gt;0"))</f>
        <v/>
      </c>
      <c r="H323" s="28" t="str">
        <f aca="false">IF($B323="","",SUMIFS('Cleans Log'!$O$5:$O$1004,'Cleans Log'!$C$5:$C$1004,$B323,'Cleans Log'!$R$5:$R$1004,$A323))</f>
        <v/>
      </c>
      <c r="I323" s="30" t="str">
        <f aca="false">IF($A323="","",$A323+7)</f>
        <v/>
      </c>
      <c r="J323" s="27" t="str">
        <f aca="true">IF($B323="","",IF($C323&lt;&gt;"","Paid",IF(TODAY()&gt;=$I323,"PAY NOW","Upcoming")))</f>
        <v/>
      </c>
    </row>
    <row r="324" customFormat="false" ht="15" hidden="false" customHeight="false" outlineLevel="0" collapsed="false">
      <c r="A324" s="22"/>
      <c r="B324" s="23"/>
      <c r="C324" s="22"/>
      <c r="D324" s="23"/>
      <c r="E324" s="23"/>
      <c r="F324" s="27" t="str">
        <f aca="false">IF($B324="","",IFERROR(INDEX(Cleaners!$B$5:$B$34,MATCH($B324,Cleaners!$A$5:$A$34,0)),"?"))</f>
        <v/>
      </c>
      <c r="G324" s="31" t="str">
        <f aca="false">IF($B324="","",COUNTIFS('Cleans Log'!$C$5:$C$1004,$B324,'Cleans Log'!$R$5:$R$1004,$A324,'Cleans Log'!$O$5:$O$1004,"&gt;0"))</f>
        <v/>
      </c>
      <c r="H324" s="28" t="str">
        <f aca="false">IF($B324="","",SUMIFS('Cleans Log'!$O$5:$O$1004,'Cleans Log'!$C$5:$C$1004,$B324,'Cleans Log'!$R$5:$R$1004,$A324))</f>
        <v/>
      </c>
      <c r="I324" s="30" t="str">
        <f aca="false">IF($A324="","",$A324+7)</f>
        <v/>
      </c>
      <c r="J324" s="27" t="str">
        <f aca="true">IF($B324="","",IF($C324&lt;&gt;"","Paid",IF(TODAY()&gt;=$I324,"PAY NOW","Upcoming")))</f>
        <v/>
      </c>
    </row>
    <row r="325" customFormat="false" ht="15" hidden="false" customHeight="false" outlineLevel="0" collapsed="false">
      <c r="A325" s="22"/>
      <c r="B325" s="23"/>
      <c r="C325" s="22"/>
      <c r="D325" s="23"/>
      <c r="E325" s="23"/>
      <c r="F325" s="27" t="str">
        <f aca="false">IF($B325="","",IFERROR(INDEX(Cleaners!$B$5:$B$34,MATCH($B325,Cleaners!$A$5:$A$34,0)),"?"))</f>
        <v/>
      </c>
      <c r="G325" s="31" t="str">
        <f aca="false">IF($B325="","",COUNTIFS('Cleans Log'!$C$5:$C$1004,$B325,'Cleans Log'!$R$5:$R$1004,$A325,'Cleans Log'!$O$5:$O$1004,"&gt;0"))</f>
        <v/>
      </c>
      <c r="H325" s="28" t="str">
        <f aca="false">IF($B325="","",SUMIFS('Cleans Log'!$O$5:$O$1004,'Cleans Log'!$C$5:$C$1004,$B325,'Cleans Log'!$R$5:$R$1004,$A325))</f>
        <v/>
      </c>
      <c r="I325" s="30" t="str">
        <f aca="false">IF($A325="","",$A325+7)</f>
        <v/>
      </c>
      <c r="J325" s="27" t="str">
        <f aca="true">IF($B325="","",IF($C325&lt;&gt;"","Paid",IF(TODAY()&gt;=$I325,"PAY NOW","Upcoming")))</f>
        <v/>
      </c>
    </row>
    <row r="326" customFormat="false" ht="15" hidden="false" customHeight="false" outlineLevel="0" collapsed="false">
      <c r="A326" s="22"/>
      <c r="B326" s="23"/>
      <c r="C326" s="22"/>
      <c r="D326" s="23"/>
      <c r="E326" s="23"/>
      <c r="F326" s="27" t="str">
        <f aca="false">IF($B326="","",IFERROR(INDEX(Cleaners!$B$5:$B$34,MATCH($B326,Cleaners!$A$5:$A$34,0)),"?"))</f>
        <v/>
      </c>
      <c r="G326" s="31" t="str">
        <f aca="false">IF($B326="","",COUNTIFS('Cleans Log'!$C$5:$C$1004,$B326,'Cleans Log'!$R$5:$R$1004,$A326,'Cleans Log'!$O$5:$O$1004,"&gt;0"))</f>
        <v/>
      </c>
      <c r="H326" s="28" t="str">
        <f aca="false">IF($B326="","",SUMIFS('Cleans Log'!$O$5:$O$1004,'Cleans Log'!$C$5:$C$1004,$B326,'Cleans Log'!$R$5:$R$1004,$A326))</f>
        <v/>
      </c>
      <c r="I326" s="30" t="str">
        <f aca="false">IF($A326="","",$A326+7)</f>
        <v/>
      </c>
      <c r="J326" s="27" t="str">
        <f aca="true">IF($B326="","",IF($C326&lt;&gt;"","Paid",IF(TODAY()&gt;=$I326,"PAY NOW","Upcoming")))</f>
        <v/>
      </c>
    </row>
    <row r="327" customFormat="false" ht="15" hidden="false" customHeight="false" outlineLevel="0" collapsed="false">
      <c r="A327" s="22"/>
      <c r="B327" s="23"/>
      <c r="C327" s="22"/>
      <c r="D327" s="23"/>
      <c r="E327" s="23"/>
      <c r="F327" s="27" t="str">
        <f aca="false">IF($B327="","",IFERROR(INDEX(Cleaners!$B$5:$B$34,MATCH($B327,Cleaners!$A$5:$A$34,0)),"?"))</f>
        <v/>
      </c>
      <c r="G327" s="31" t="str">
        <f aca="false">IF($B327="","",COUNTIFS('Cleans Log'!$C$5:$C$1004,$B327,'Cleans Log'!$R$5:$R$1004,$A327,'Cleans Log'!$O$5:$O$1004,"&gt;0"))</f>
        <v/>
      </c>
      <c r="H327" s="28" t="str">
        <f aca="false">IF($B327="","",SUMIFS('Cleans Log'!$O$5:$O$1004,'Cleans Log'!$C$5:$C$1004,$B327,'Cleans Log'!$R$5:$R$1004,$A327))</f>
        <v/>
      </c>
      <c r="I327" s="30" t="str">
        <f aca="false">IF($A327="","",$A327+7)</f>
        <v/>
      </c>
      <c r="J327" s="27" t="str">
        <f aca="true">IF($B327="","",IF($C327&lt;&gt;"","Paid",IF(TODAY()&gt;=$I327,"PAY NOW","Upcoming")))</f>
        <v/>
      </c>
    </row>
    <row r="328" customFormat="false" ht="15" hidden="false" customHeight="false" outlineLevel="0" collapsed="false">
      <c r="A328" s="22"/>
      <c r="B328" s="23"/>
      <c r="C328" s="22"/>
      <c r="D328" s="23"/>
      <c r="E328" s="23"/>
      <c r="F328" s="27" t="str">
        <f aca="false">IF($B328="","",IFERROR(INDEX(Cleaners!$B$5:$B$34,MATCH($B328,Cleaners!$A$5:$A$34,0)),"?"))</f>
        <v/>
      </c>
      <c r="G328" s="31" t="str">
        <f aca="false">IF($B328="","",COUNTIFS('Cleans Log'!$C$5:$C$1004,$B328,'Cleans Log'!$R$5:$R$1004,$A328,'Cleans Log'!$O$5:$O$1004,"&gt;0"))</f>
        <v/>
      </c>
      <c r="H328" s="28" t="str">
        <f aca="false">IF($B328="","",SUMIFS('Cleans Log'!$O$5:$O$1004,'Cleans Log'!$C$5:$C$1004,$B328,'Cleans Log'!$R$5:$R$1004,$A328))</f>
        <v/>
      </c>
      <c r="I328" s="30" t="str">
        <f aca="false">IF($A328="","",$A328+7)</f>
        <v/>
      </c>
      <c r="J328" s="27" t="str">
        <f aca="true">IF($B328="","",IF($C328&lt;&gt;"","Paid",IF(TODAY()&gt;=$I328,"PAY NOW","Upcoming")))</f>
        <v/>
      </c>
    </row>
    <row r="329" customFormat="false" ht="15" hidden="false" customHeight="false" outlineLevel="0" collapsed="false">
      <c r="A329" s="22"/>
      <c r="B329" s="23"/>
      <c r="C329" s="22"/>
      <c r="D329" s="23"/>
      <c r="E329" s="23"/>
      <c r="F329" s="27" t="str">
        <f aca="false">IF($B329="","",IFERROR(INDEX(Cleaners!$B$5:$B$34,MATCH($B329,Cleaners!$A$5:$A$34,0)),"?"))</f>
        <v/>
      </c>
      <c r="G329" s="31" t="str">
        <f aca="false">IF($B329="","",COUNTIFS('Cleans Log'!$C$5:$C$1004,$B329,'Cleans Log'!$R$5:$R$1004,$A329,'Cleans Log'!$O$5:$O$1004,"&gt;0"))</f>
        <v/>
      </c>
      <c r="H329" s="28" t="str">
        <f aca="false">IF($B329="","",SUMIFS('Cleans Log'!$O$5:$O$1004,'Cleans Log'!$C$5:$C$1004,$B329,'Cleans Log'!$R$5:$R$1004,$A329))</f>
        <v/>
      </c>
      <c r="I329" s="30" t="str">
        <f aca="false">IF($A329="","",$A329+7)</f>
        <v/>
      </c>
      <c r="J329" s="27" t="str">
        <f aca="true">IF($B329="","",IF($C329&lt;&gt;"","Paid",IF(TODAY()&gt;=$I329,"PAY NOW","Upcoming")))</f>
        <v/>
      </c>
    </row>
    <row r="330" customFormat="false" ht="15" hidden="false" customHeight="false" outlineLevel="0" collapsed="false">
      <c r="A330" s="22"/>
      <c r="B330" s="23"/>
      <c r="C330" s="22"/>
      <c r="D330" s="23"/>
      <c r="E330" s="23"/>
      <c r="F330" s="27" t="str">
        <f aca="false">IF($B330="","",IFERROR(INDEX(Cleaners!$B$5:$B$34,MATCH($B330,Cleaners!$A$5:$A$34,0)),"?"))</f>
        <v/>
      </c>
      <c r="G330" s="31" t="str">
        <f aca="false">IF($B330="","",COUNTIFS('Cleans Log'!$C$5:$C$1004,$B330,'Cleans Log'!$R$5:$R$1004,$A330,'Cleans Log'!$O$5:$O$1004,"&gt;0"))</f>
        <v/>
      </c>
      <c r="H330" s="28" t="str">
        <f aca="false">IF($B330="","",SUMIFS('Cleans Log'!$O$5:$O$1004,'Cleans Log'!$C$5:$C$1004,$B330,'Cleans Log'!$R$5:$R$1004,$A330))</f>
        <v/>
      </c>
      <c r="I330" s="30" t="str">
        <f aca="false">IF($A330="","",$A330+7)</f>
        <v/>
      </c>
      <c r="J330" s="27" t="str">
        <f aca="true">IF($B330="","",IF($C330&lt;&gt;"","Paid",IF(TODAY()&gt;=$I330,"PAY NOW","Upcoming")))</f>
        <v/>
      </c>
    </row>
    <row r="331" customFormat="false" ht="15" hidden="false" customHeight="false" outlineLevel="0" collapsed="false">
      <c r="A331" s="22"/>
      <c r="B331" s="23"/>
      <c r="C331" s="22"/>
      <c r="D331" s="23"/>
      <c r="E331" s="23"/>
      <c r="F331" s="27" t="str">
        <f aca="false">IF($B331="","",IFERROR(INDEX(Cleaners!$B$5:$B$34,MATCH($B331,Cleaners!$A$5:$A$34,0)),"?"))</f>
        <v/>
      </c>
      <c r="G331" s="31" t="str">
        <f aca="false">IF($B331="","",COUNTIFS('Cleans Log'!$C$5:$C$1004,$B331,'Cleans Log'!$R$5:$R$1004,$A331,'Cleans Log'!$O$5:$O$1004,"&gt;0"))</f>
        <v/>
      </c>
      <c r="H331" s="28" t="str">
        <f aca="false">IF($B331="","",SUMIFS('Cleans Log'!$O$5:$O$1004,'Cleans Log'!$C$5:$C$1004,$B331,'Cleans Log'!$R$5:$R$1004,$A331))</f>
        <v/>
      </c>
      <c r="I331" s="30" t="str">
        <f aca="false">IF($A331="","",$A331+7)</f>
        <v/>
      </c>
      <c r="J331" s="27" t="str">
        <f aca="true">IF($B331="","",IF($C331&lt;&gt;"","Paid",IF(TODAY()&gt;=$I331,"PAY NOW","Upcoming")))</f>
        <v/>
      </c>
    </row>
    <row r="332" customFormat="false" ht="15" hidden="false" customHeight="false" outlineLevel="0" collapsed="false">
      <c r="A332" s="22"/>
      <c r="B332" s="23"/>
      <c r="C332" s="22"/>
      <c r="D332" s="23"/>
      <c r="E332" s="23"/>
      <c r="F332" s="27" t="str">
        <f aca="false">IF($B332="","",IFERROR(INDEX(Cleaners!$B$5:$B$34,MATCH($B332,Cleaners!$A$5:$A$34,0)),"?"))</f>
        <v/>
      </c>
      <c r="G332" s="31" t="str">
        <f aca="false">IF($B332="","",COUNTIFS('Cleans Log'!$C$5:$C$1004,$B332,'Cleans Log'!$R$5:$R$1004,$A332,'Cleans Log'!$O$5:$O$1004,"&gt;0"))</f>
        <v/>
      </c>
      <c r="H332" s="28" t="str">
        <f aca="false">IF($B332="","",SUMIFS('Cleans Log'!$O$5:$O$1004,'Cleans Log'!$C$5:$C$1004,$B332,'Cleans Log'!$R$5:$R$1004,$A332))</f>
        <v/>
      </c>
      <c r="I332" s="30" t="str">
        <f aca="false">IF($A332="","",$A332+7)</f>
        <v/>
      </c>
      <c r="J332" s="27" t="str">
        <f aca="true">IF($B332="","",IF($C332&lt;&gt;"","Paid",IF(TODAY()&gt;=$I332,"PAY NOW","Upcoming")))</f>
        <v/>
      </c>
    </row>
    <row r="333" customFormat="false" ht="15" hidden="false" customHeight="false" outlineLevel="0" collapsed="false">
      <c r="A333" s="22"/>
      <c r="B333" s="23"/>
      <c r="C333" s="22"/>
      <c r="D333" s="23"/>
      <c r="E333" s="23"/>
      <c r="F333" s="27" t="str">
        <f aca="false">IF($B333="","",IFERROR(INDEX(Cleaners!$B$5:$B$34,MATCH($B333,Cleaners!$A$5:$A$34,0)),"?"))</f>
        <v/>
      </c>
      <c r="G333" s="31" t="str">
        <f aca="false">IF($B333="","",COUNTIFS('Cleans Log'!$C$5:$C$1004,$B333,'Cleans Log'!$R$5:$R$1004,$A333,'Cleans Log'!$O$5:$O$1004,"&gt;0"))</f>
        <v/>
      </c>
      <c r="H333" s="28" t="str">
        <f aca="false">IF($B333="","",SUMIFS('Cleans Log'!$O$5:$O$1004,'Cleans Log'!$C$5:$C$1004,$B333,'Cleans Log'!$R$5:$R$1004,$A333))</f>
        <v/>
      </c>
      <c r="I333" s="30" t="str">
        <f aca="false">IF($A333="","",$A333+7)</f>
        <v/>
      </c>
      <c r="J333" s="27" t="str">
        <f aca="true">IF($B333="","",IF($C333&lt;&gt;"","Paid",IF(TODAY()&gt;=$I333,"PAY NOW","Upcoming")))</f>
        <v/>
      </c>
    </row>
    <row r="334" customFormat="false" ht="15" hidden="false" customHeight="false" outlineLevel="0" collapsed="false">
      <c r="A334" s="22"/>
      <c r="B334" s="23"/>
      <c r="C334" s="22"/>
      <c r="D334" s="23"/>
      <c r="E334" s="23"/>
      <c r="F334" s="27" t="str">
        <f aca="false">IF($B334="","",IFERROR(INDEX(Cleaners!$B$5:$B$34,MATCH($B334,Cleaners!$A$5:$A$34,0)),"?"))</f>
        <v/>
      </c>
      <c r="G334" s="31" t="str">
        <f aca="false">IF($B334="","",COUNTIFS('Cleans Log'!$C$5:$C$1004,$B334,'Cleans Log'!$R$5:$R$1004,$A334,'Cleans Log'!$O$5:$O$1004,"&gt;0"))</f>
        <v/>
      </c>
      <c r="H334" s="28" t="str">
        <f aca="false">IF($B334="","",SUMIFS('Cleans Log'!$O$5:$O$1004,'Cleans Log'!$C$5:$C$1004,$B334,'Cleans Log'!$R$5:$R$1004,$A334))</f>
        <v/>
      </c>
      <c r="I334" s="30" t="str">
        <f aca="false">IF($A334="","",$A334+7)</f>
        <v/>
      </c>
      <c r="J334" s="27" t="str">
        <f aca="true">IF($B334="","",IF($C334&lt;&gt;"","Paid",IF(TODAY()&gt;=$I334,"PAY NOW","Upcoming")))</f>
        <v/>
      </c>
    </row>
    <row r="335" customFormat="false" ht="15" hidden="false" customHeight="false" outlineLevel="0" collapsed="false">
      <c r="A335" s="22"/>
      <c r="B335" s="23"/>
      <c r="C335" s="22"/>
      <c r="D335" s="23"/>
      <c r="E335" s="23"/>
      <c r="F335" s="27" t="str">
        <f aca="false">IF($B335="","",IFERROR(INDEX(Cleaners!$B$5:$B$34,MATCH($B335,Cleaners!$A$5:$A$34,0)),"?"))</f>
        <v/>
      </c>
      <c r="G335" s="31" t="str">
        <f aca="false">IF($B335="","",COUNTIFS('Cleans Log'!$C$5:$C$1004,$B335,'Cleans Log'!$R$5:$R$1004,$A335,'Cleans Log'!$O$5:$O$1004,"&gt;0"))</f>
        <v/>
      </c>
      <c r="H335" s="28" t="str">
        <f aca="false">IF($B335="","",SUMIFS('Cleans Log'!$O$5:$O$1004,'Cleans Log'!$C$5:$C$1004,$B335,'Cleans Log'!$R$5:$R$1004,$A335))</f>
        <v/>
      </c>
      <c r="I335" s="30" t="str">
        <f aca="false">IF($A335="","",$A335+7)</f>
        <v/>
      </c>
      <c r="J335" s="27" t="str">
        <f aca="true">IF($B335="","",IF($C335&lt;&gt;"","Paid",IF(TODAY()&gt;=$I335,"PAY NOW","Upcoming")))</f>
        <v/>
      </c>
    </row>
    <row r="336" customFormat="false" ht="15" hidden="false" customHeight="false" outlineLevel="0" collapsed="false">
      <c r="A336" s="22"/>
      <c r="B336" s="23"/>
      <c r="C336" s="22"/>
      <c r="D336" s="23"/>
      <c r="E336" s="23"/>
      <c r="F336" s="27" t="str">
        <f aca="false">IF($B336="","",IFERROR(INDEX(Cleaners!$B$5:$B$34,MATCH($B336,Cleaners!$A$5:$A$34,0)),"?"))</f>
        <v/>
      </c>
      <c r="G336" s="31" t="str">
        <f aca="false">IF($B336="","",COUNTIFS('Cleans Log'!$C$5:$C$1004,$B336,'Cleans Log'!$R$5:$R$1004,$A336,'Cleans Log'!$O$5:$O$1004,"&gt;0"))</f>
        <v/>
      </c>
      <c r="H336" s="28" t="str">
        <f aca="false">IF($B336="","",SUMIFS('Cleans Log'!$O$5:$O$1004,'Cleans Log'!$C$5:$C$1004,$B336,'Cleans Log'!$R$5:$R$1004,$A336))</f>
        <v/>
      </c>
      <c r="I336" s="30" t="str">
        <f aca="false">IF($A336="","",$A336+7)</f>
        <v/>
      </c>
      <c r="J336" s="27" t="str">
        <f aca="true">IF($B336="","",IF($C336&lt;&gt;"","Paid",IF(TODAY()&gt;=$I336,"PAY NOW","Upcoming")))</f>
        <v/>
      </c>
    </row>
    <row r="337" customFormat="false" ht="15" hidden="false" customHeight="false" outlineLevel="0" collapsed="false">
      <c r="A337" s="22"/>
      <c r="B337" s="23"/>
      <c r="C337" s="22"/>
      <c r="D337" s="23"/>
      <c r="E337" s="23"/>
      <c r="F337" s="27" t="str">
        <f aca="false">IF($B337="","",IFERROR(INDEX(Cleaners!$B$5:$B$34,MATCH($B337,Cleaners!$A$5:$A$34,0)),"?"))</f>
        <v/>
      </c>
      <c r="G337" s="31" t="str">
        <f aca="false">IF($B337="","",COUNTIFS('Cleans Log'!$C$5:$C$1004,$B337,'Cleans Log'!$R$5:$R$1004,$A337,'Cleans Log'!$O$5:$O$1004,"&gt;0"))</f>
        <v/>
      </c>
      <c r="H337" s="28" t="str">
        <f aca="false">IF($B337="","",SUMIFS('Cleans Log'!$O$5:$O$1004,'Cleans Log'!$C$5:$C$1004,$B337,'Cleans Log'!$R$5:$R$1004,$A337))</f>
        <v/>
      </c>
      <c r="I337" s="30" t="str">
        <f aca="false">IF($A337="","",$A337+7)</f>
        <v/>
      </c>
      <c r="J337" s="27" t="str">
        <f aca="true">IF($B337="","",IF($C337&lt;&gt;"","Paid",IF(TODAY()&gt;=$I337,"PAY NOW","Upcoming")))</f>
        <v/>
      </c>
    </row>
    <row r="338" customFormat="false" ht="15" hidden="false" customHeight="false" outlineLevel="0" collapsed="false">
      <c r="A338" s="22"/>
      <c r="B338" s="23"/>
      <c r="C338" s="22"/>
      <c r="D338" s="23"/>
      <c r="E338" s="23"/>
      <c r="F338" s="27" t="str">
        <f aca="false">IF($B338="","",IFERROR(INDEX(Cleaners!$B$5:$B$34,MATCH($B338,Cleaners!$A$5:$A$34,0)),"?"))</f>
        <v/>
      </c>
      <c r="G338" s="31" t="str">
        <f aca="false">IF($B338="","",COUNTIFS('Cleans Log'!$C$5:$C$1004,$B338,'Cleans Log'!$R$5:$R$1004,$A338,'Cleans Log'!$O$5:$O$1004,"&gt;0"))</f>
        <v/>
      </c>
      <c r="H338" s="28" t="str">
        <f aca="false">IF($B338="","",SUMIFS('Cleans Log'!$O$5:$O$1004,'Cleans Log'!$C$5:$C$1004,$B338,'Cleans Log'!$R$5:$R$1004,$A338))</f>
        <v/>
      </c>
      <c r="I338" s="30" t="str">
        <f aca="false">IF($A338="","",$A338+7)</f>
        <v/>
      </c>
      <c r="J338" s="27" t="str">
        <f aca="true">IF($B338="","",IF($C338&lt;&gt;"","Paid",IF(TODAY()&gt;=$I338,"PAY NOW","Upcoming")))</f>
        <v/>
      </c>
    </row>
    <row r="339" customFormat="false" ht="15" hidden="false" customHeight="false" outlineLevel="0" collapsed="false">
      <c r="A339" s="22"/>
      <c r="B339" s="23"/>
      <c r="C339" s="22"/>
      <c r="D339" s="23"/>
      <c r="E339" s="23"/>
      <c r="F339" s="27" t="str">
        <f aca="false">IF($B339="","",IFERROR(INDEX(Cleaners!$B$5:$B$34,MATCH($B339,Cleaners!$A$5:$A$34,0)),"?"))</f>
        <v/>
      </c>
      <c r="G339" s="31" t="str">
        <f aca="false">IF($B339="","",COUNTIFS('Cleans Log'!$C$5:$C$1004,$B339,'Cleans Log'!$R$5:$R$1004,$A339,'Cleans Log'!$O$5:$O$1004,"&gt;0"))</f>
        <v/>
      </c>
      <c r="H339" s="28" t="str">
        <f aca="false">IF($B339="","",SUMIFS('Cleans Log'!$O$5:$O$1004,'Cleans Log'!$C$5:$C$1004,$B339,'Cleans Log'!$R$5:$R$1004,$A339))</f>
        <v/>
      </c>
      <c r="I339" s="30" t="str">
        <f aca="false">IF($A339="","",$A339+7)</f>
        <v/>
      </c>
      <c r="J339" s="27" t="str">
        <f aca="true">IF($B339="","",IF($C339&lt;&gt;"","Paid",IF(TODAY()&gt;=$I339,"PAY NOW","Upcoming")))</f>
        <v/>
      </c>
    </row>
    <row r="340" customFormat="false" ht="15" hidden="false" customHeight="false" outlineLevel="0" collapsed="false">
      <c r="A340" s="22"/>
      <c r="B340" s="23"/>
      <c r="C340" s="22"/>
      <c r="D340" s="23"/>
      <c r="E340" s="23"/>
      <c r="F340" s="27" t="str">
        <f aca="false">IF($B340="","",IFERROR(INDEX(Cleaners!$B$5:$B$34,MATCH($B340,Cleaners!$A$5:$A$34,0)),"?"))</f>
        <v/>
      </c>
      <c r="G340" s="31" t="str">
        <f aca="false">IF($B340="","",COUNTIFS('Cleans Log'!$C$5:$C$1004,$B340,'Cleans Log'!$R$5:$R$1004,$A340,'Cleans Log'!$O$5:$O$1004,"&gt;0"))</f>
        <v/>
      </c>
      <c r="H340" s="28" t="str">
        <f aca="false">IF($B340="","",SUMIFS('Cleans Log'!$O$5:$O$1004,'Cleans Log'!$C$5:$C$1004,$B340,'Cleans Log'!$R$5:$R$1004,$A340))</f>
        <v/>
      </c>
      <c r="I340" s="30" t="str">
        <f aca="false">IF($A340="","",$A340+7)</f>
        <v/>
      </c>
      <c r="J340" s="27" t="str">
        <f aca="true">IF($B340="","",IF($C340&lt;&gt;"","Paid",IF(TODAY()&gt;=$I340,"PAY NOW","Upcoming")))</f>
        <v/>
      </c>
    </row>
    <row r="341" customFormat="false" ht="15" hidden="false" customHeight="false" outlineLevel="0" collapsed="false">
      <c r="A341" s="22"/>
      <c r="B341" s="23"/>
      <c r="C341" s="22"/>
      <c r="D341" s="23"/>
      <c r="E341" s="23"/>
      <c r="F341" s="27" t="str">
        <f aca="false">IF($B341="","",IFERROR(INDEX(Cleaners!$B$5:$B$34,MATCH($B341,Cleaners!$A$5:$A$34,0)),"?"))</f>
        <v/>
      </c>
      <c r="G341" s="31" t="str">
        <f aca="false">IF($B341="","",COUNTIFS('Cleans Log'!$C$5:$C$1004,$B341,'Cleans Log'!$R$5:$R$1004,$A341,'Cleans Log'!$O$5:$O$1004,"&gt;0"))</f>
        <v/>
      </c>
      <c r="H341" s="28" t="str">
        <f aca="false">IF($B341="","",SUMIFS('Cleans Log'!$O$5:$O$1004,'Cleans Log'!$C$5:$C$1004,$B341,'Cleans Log'!$R$5:$R$1004,$A341))</f>
        <v/>
      </c>
      <c r="I341" s="30" t="str">
        <f aca="false">IF($A341="","",$A341+7)</f>
        <v/>
      </c>
      <c r="J341" s="27" t="str">
        <f aca="true">IF($B341="","",IF($C341&lt;&gt;"","Paid",IF(TODAY()&gt;=$I341,"PAY NOW","Upcoming")))</f>
        <v/>
      </c>
    </row>
    <row r="342" customFormat="false" ht="15" hidden="false" customHeight="false" outlineLevel="0" collapsed="false">
      <c r="A342" s="22"/>
      <c r="B342" s="23"/>
      <c r="C342" s="22"/>
      <c r="D342" s="23"/>
      <c r="E342" s="23"/>
      <c r="F342" s="27" t="str">
        <f aca="false">IF($B342="","",IFERROR(INDEX(Cleaners!$B$5:$B$34,MATCH($B342,Cleaners!$A$5:$A$34,0)),"?"))</f>
        <v/>
      </c>
      <c r="G342" s="31" t="str">
        <f aca="false">IF($B342="","",COUNTIFS('Cleans Log'!$C$5:$C$1004,$B342,'Cleans Log'!$R$5:$R$1004,$A342,'Cleans Log'!$O$5:$O$1004,"&gt;0"))</f>
        <v/>
      </c>
      <c r="H342" s="28" t="str">
        <f aca="false">IF($B342="","",SUMIFS('Cleans Log'!$O$5:$O$1004,'Cleans Log'!$C$5:$C$1004,$B342,'Cleans Log'!$R$5:$R$1004,$A342))</f>
        <v/>
      </c>
      <c r="I342" s="30" t="str">
        <f aca="false">IF($A342="","",$A342+7)</f>
        <v/>
      </c>
      <c r="J342" s="27" t="str">
        <f aca="true">IF($B342="","",IF($C342&lt;&gt;"","Paid",IF(TODAY()&gt;=$I342,"PAY NOW","Upcoming")))</f>
        <v/>
      </c>
    </row>
    <row r="343" customFormat="false" ht="15" hidden="false" customHeight="false" outlineLevel="0" collapsed="false">
      <c r="A343" s="22"/>
      <c r="B343" s="23"/>
      <c r="C343" s="22"/>
      <c r="D343" s="23"/>
      <c r="E343" s="23"/>
      <c r="F343" s="27" t="str">
        <f aca="false">IF($B343="","",IFERROR(INDEX(Cleaners!$B$5:$B$34,MATCH($B343,Cleaners!$A$5:$A$34,0)),"?"))</f>
        <v/>
      </c>
      <c r="G343" s="31" t="str">
        <f aca="false">IF($B343="","",COUNTIFS('Cleans Log'!$C$5:$C$1004,$B343,'Cleans Log'!$R$5:$R$1004,$A343,'Cleans Log'!$O$5:$O$1004,"&gt;0"))</f>
        <v/>
      </c>
      <c r="H343" s="28" t="str">
        <f aca="false">IF($B343="","",SUMIFS('Cleans Log'!$O$5:$O$1004,'Cleans Log'!$C$5:$C$1004,$B343,'Cleans Log'!$R$5:$R$1004,$A343))</f>
        <v/>
      </c>
      <c r="I343" s="30" t="str">
        <f aca="false">IF($A343="","",$A343+7)</f>
        <v/>
      </c>
      <c r="J343" s="27" t="str">
        <f aca="true">IF($B343="","",IF($C343&lt;&gt;"","Paid",IF(TODAY()&gt;=$I343,"PAY NOW","Upcoming")))</f>
        <v/>
      </c>
    </row>
    <row r="344" customFormat="false" ht="15" hidden="false" customHeight="false" outlineLevel="0" collapsed="false">
      <c r="A344" s="22"/>
      <c r="B344" s="23"/>
      <c r="C344" s="22"/>
      <c r="D344" s="23"/>
      <c r="E344" s="23"/>
      <c r="F344" s="27" t="str">
        <f aca="false">IF($B344="","",IFERROR(INDEX(Cleaners!$B$5:$B$34,MATCH($B344,Cleaners!$A$5:$A$34,0)),"?"))</f>
        <v/>
      </c>
      <c r="G344" s="31" t="str">
        <f aca="false">IF($B344="","",COUNTIFS('Cleans Log'!$C$5:$C$1004,$B344,'Cleans Log'!$R$5:$R$1004,$A344,'Cleans Log'!$O$5:$O$1004,"&gt;0"))</f>
        <v/>
      </c>
      <c r="H344" s="28" t="str">
        <f aca="false">IF($B344="","",SUMIFS('Cleans Log'!$O$5:$O$1004,'Cleans Log'!$C$5:$C$1004,$B344,'Cleans Log'!$R$5:$R$1004,$A344))</f>
        <v/>
      </c>
      <c r="I344" s="30" t="str">
        <f aca="false">IF($A344="","",$A344+7)</f>
        <v/>
      </c>
      <c r="J344" s="27" t="str">
        <f aca="true">IF($B344="","",IF($C344&lt;&gt;"","Paid",IF(TODAY()&gt;=$I344,"PAY NOW","Upcoming")))</f>
        <v/>
      </c>
    </row>
    <row r="345" customFormat="false" ht="15" hidden="false" customHeight="false" outlineLevel="0" collapsed="false">
      <c r="A345" s="22"/>
      <c r="B345" s="23"/>
      <c r="C345" s="22"/>
      <c r="D345" s="23"/>
      <c r="E345" s="23"/>
      <c r="F345" s="27" t="str">
        <f aca="false">IF($B345="","",IFERROR(INDEX(Cleaners!$B$5:$B$34,MATCH($B345,Cleaners!$A$5:$A$34,0)),"?"))</f>
        <v/>
      </c>
      <c r="G345" s="31" t="str">
        <f aca="false">IF($B345="","",COUNTIFS('Cleans Log'!$C$5:$C$1004,$B345,'Cleans Log'!$R$5:$R$1004,$A345,'Cleans Log'!$O$5:$O$1004,"&gt;0"))</f>
        <v/>
      </c>
      <c r="H345" s="28" t="str">
        <f aca="false">IF($B345="","",SUMIFS('Cleans Log'!$O$5:$O$1004,'Cleans Log'!$C$5:$C$1004,$B345,'Cleans Log'!$R$5:$R$1004,$A345))</f>
        <v/>
      </c>
      <c r="I345" s="30" t="str">
        <f aca="false">IF($A345="","",$A345+7)</f>
        <v/>
      </c>
      <c r="J345" s="27" t="str">
        <f aca="true">IF($B345="","",IF($C345&lt;&gt;"","Paid",IF(TODAY()&gt;=$I345,"PAY NOW","Upcoming")))</f>
        <v/>
      </c>
    </row>
    <row r="346" customFormat="false" ht="15" hidden="false" customHeight="false" outlineLevel="0" collapsed="false">
      <c r="A346" s="22"/>
      <c r="B346" s="23"/>
      <c r="C346" s="22"/>
      <c r="D346" s="23"/>
      <c r="E346" s="23"/>
      <c r="F346" s="27" t="str">
        <f aca="false">IF($B346="","",IFERROR(INDEX(Cleaners!$B$5:$B$34,MATCH($B346,Cleaners!$A$5:$A$34,0)),"?"))</f>
        <v/>
      </c>
      <c r="G346" s="31" t="str">
        <f aca="false">IF($B346="","",COUNTIFS('Cleans Log'!$C$5:$C$1004,$B346,'Cleans Log'!$R$5:$R$1004,$A346,'Cleans Log'!$O$5:$O$1004,"&gt;0"))</f>
        <v/>
      </c>
      <c r="H346" s="28" t="str">
        <f aca="false">IF($B346="","",SUMIFS('Cleans Log'!$O$5:$O$1004,'Cleans Log'!$C$5:$C$1004,$B346,'Cleans Log'!$R$5:$R$1004,$A346))</f>
        <v/>
      </c>
      <c r="I346" s="30" t="str">
        <f aca="false">IF($A346="","",$A346+7)</f>
        <v/>
      </c>
      <c r="J346" s="27" t="str">
        <f aca="true">IF($B346="","",IF($C346&lt;&gt;"","Paid",IF(TODAY()&gt;=$I346,"PAY NOW","Upcoming")))</f>
        <v/>
      </c>
    </row>
    <row r="347" customFormat="false" ht="15" hidden="false" customHeight="false" outlineLevel="0" collapsed="false">
      <c r="A347" s="22"/>
      <c r="B347" s="23"/>
      <c r="C347" s="22"/>
      <c r="D347" s="23"/>
      <c r="E347" s="23"/>
      <c r="F347" s="27" t="str">
        <f aca="false">IF($B347="","",IFERROR(INDEX(Cleaners!$B$5:$B$34,MATCH($B347,Cleaners!$A$5:$A$34,0)),"?"))</f>
        <v/>
      </c>
      <c r="G347" s="31" t="str">
        <f aca="false">IF($B347="","",COUNTIFS('Cleans Log'!$C$5:$C$1004,$B347,'Cleans Log'!$R$5:$R$1004,$A347,'Cleans Log'!$O$5:$O$1004,"&gt;0"))</f>
        <v/>
      </c>
      <c r="H347" s="28" t="str">
        <f aca="false">IF($B347="","",SUMIFS('Cleans Log'!$O$5:$O$1004,'Cleans Log'!$C$5:$C$1004,$B347,'Cleans Log'!$R$5:$R$1004,$A347))</f>
        <v/>
      </c>
      <c r="I347" s="30" t="str">
        <f aca="false">IF($A347="","",$A347+7)</f>
        <v/>
      </c>
      <c r="J347" s="27" t="str">
        <f aca="true">IF($B347="","",IF($C347&lt;&gt;"","Paid",IF(TODAY()&gt;=$I347,"PAY NOW","Upcoming")))</f>
        <v/>
      </c>
    </row>
    <row r="348" customFormat="false" ht="15" hidden="false" customHeight="false" outlineLevel="0" collapsed="false">
      <c r="A348" s="22"/>
      <c r="B348" s="23"/>
      <c r="C348" s="22"/>
      <c r="D348" s="23"/>
      <c r="E348" s="23"/>
      <c r="F348" s="27" t="str">
        <f aca="false">IF($B348="","",IFERROR(INDEX(Cleaners!$B$5:$B$34,MATCH($B348,Cleaners!$A$5:$A$34,0)),"?"))</f>
        <v/>
      </c>
      <c r="G348" s="31" t="str">
        <f aca="false">IF($B348="","",COUNTIFS('Cleans Log'!$C$5:$C$1004,$B348,'Cleans Log'!$R$5:$R$1004,$A348,'Cleans Log'!$O$5:$O$1004,"&gt;0"))</f>
        <v/>
      </c>
      <c r="H348" s="28" t="str">
        <f aca="false">IF($B348="","",SUMIFS('Cleans Log'!$O$5:$O$1004,'Cleans Log'!$C$5:$C$1004,$B348,'Cleans Log'!$R$5:$R$1004,$A348))</f>
        <v/>
      </c>
      <c r="I348" s="30" t="str">
        <f aca="false">IF($A348="","",$A348+7)</f>
        <v/>
      </c>
      <c r="J348" s="27" t="str">
        <f aca="true">IF($B348="","",IF($C348&lt;&gt;"","Paid",IF(TODAY()&gt;=$I348,"PAY NOW","Upcoming")))</f>
        <v/>
      </c>
    </row>
    <row r="349" customFormat="false" ht="15" hidden="false" customHeight="false" outlineLevel="0" collapsed="false">
      <c r="A349" s="22"/>
      <c r="B349" s="23"/>
      <c r="C349" s="22"/>
      <c r="D349" s="23"/>
      <c r="E349" s="23"/>
      <c r="F349" s="27" t="str">
        <f aca="false">IF($B349="","",IFERROR(INDEX(Cleaners!$B$5:$B$34,MATCH($B349,Cleaners!$A$5:$A$34,0)),"?"))</f>
        <v/>
      </c>
      <c r="G349" s="31" t="str">
        <f aca="false">IF($B349="","",COUNTIFS('Cleans Log'!$C$5:$C$1004,$B349,'Cleans Log'!$R$5:$R$1004,$A349,'Cleans Log'!$O$5:$O$1004,"&gt;0"))</f>
        <v/>
      </c>
      <c r="H349" s="28" t="str">
        <f aca="false">IF($B349="","",SUMIFS('Cleans Log'!$O$5:$O$1004,'Cleans Log'!$C$5:$C$1004,$B349,'Cleans Log'!$R$5:$R$1004,$A349))</f>
        <v/>
      </c>
      <c r="I349" s="30" t="str">
        <f aca="false">IF($A349="","",$A349+7)</f>
        <v/>
      </c>
      <c r="J349" s="27" t="str">
        <f aca="true">IF($B349="","",IF($C349&lt;&gt;"","Paid",IF(TODAY()&gt;=$I349,"PAY NOW","Upcoming")))</f>
        <v/>
      </c>
    </row>
    <row r="350" customFormat="false" ht="15" hidden="false" customHeight="false" outlineLevel="0" collapsed="false">
      <c r="A350" s="22"/>
      <c r="B350" s="23"/>
      <c r="C350" s="22"/>
      <c r="D350" s="23"/>
      <c r="E350" s="23"/>
      <c r="F350" s="27" t="str">
        <f aca="false">IF($B350="","",IFERROR(INDEX(Cleaners!$B$5:$B$34,MATCH($B350,Cleaners!$A$5:$A$34,0)),"?"))</f>
        <v/>
      </c>
      <c r="G350" s="31" t="str">
        <f aca="false">IF($B350="","",COUNTIFS('Cleans Log'!$C$5:$C$1004,$B350,'Cleans Log'!$R$5:$R$1004,$A350,'Cleans Log'!$O$5:$O$1004,"&gt;0"))</f>
        <v/>
      </c>
      <c r="H350" s="28" t="str">
        <f aca="false">IF($B350="","",SUMIFS('Cleans Log'!$O$5:$O$1004,'Cleans Log'!$C$5:$C$1004,$B350,'Cleans Log'!$R$5:$R$1004,$A350))</f>
        <v/>
      </c>
      <c r="I350" s="30" t="str">
        <f aca="false">IF($A350="","",$A350+7)</f>
        <v/>
      </c>
      <c r="J350" s="27" t="str">
        <f aca="true">IF($B350="","",IF($C350&lt;&gt;"","Paid",IF(TODAY()&gt;=$I350,"PAY NOW","Upcoming")))</f>
        <v/>
      </c>
    </row>
    <row r="351" customFormat="false" ht="15" hidden="false" customHeight="false" outlineLevel="0" collapsed="false">
      <c r="A351" s="22"/>
      <c r="B351" s="23"/>
      <c r="C351" s="22"/>
      <c r="D351" s="23"/>
      <c r="E351" s="23"/>
      <c r="F351" s="27" t="str">
        <f aca="false">IF($B351="","",IFERROR(INDEX(Cleaners!$B$5:$B$34,MATCH($B351,Cleaners!$A$5:$A$34,0)),"?"))</f>
        <v/>
      </c>
      <c r="G351" s="31" t="str">
        <f aca="false">IF($B351="","",COUNTIFS('Cleans Log'!$C$5:$C$1004,$B351,'Cleans Log'!$R$5:$R$1004,$A351,'Cleans Log'!$O$5:$O$1004,"&gt;0"))</f>
        <v/>
      </c>
      <c r="H351" s="28" t="str">
        <f aca="false">IF($B351="","",SUMIFS('Cleans Log'!$O$5:$O$1004,'Cleans Log'!$C$5:$C$1004,$B351,'Cleans Log'!$R$5:$R$1004,$A351))</f>
        <v/>
      </c>
      <c r="I351" s="30" t="str">
        <f aca="false">IF($A351="","",$A351+7)</f>
        <v/>
      </c>
      <c r="J351" s="27" t="str">
        <f aca="true">IF($B351="","",IF($C351&lt;&gt;"","Paid",IF(TODAY()&gt;=$I351,"PAY NOW","Upcoming")))</f>
        <v/>
      </c>
    </row>
    <row r="352" customFormat="false" ht="15" hidden="false" customHeight="false" outlineLevel="0" collapsed="false">
      <c r="A352" s="22"/>
      <c r="B352" s="23"/>
      <c r="C352" s="22"/>
      <c r="D352" s="23"/>
      <c r="E352" s="23"/>
      <c r="F352" s="27" t="str">
        <f aca="false">IF($B352="","",IFERROR(INDEX(Cleaners!$B$5:$B$34,MATCH($B352,Cleaners!$A$5:$A$34,0)),"?"))</f>
        <v/>
      </c>
      <c r="G352" s="31" t="str">
        <f aca="false">IF($B352="","",COUNTIFS('Cleans Log'!$C$5:$C$1004,$B352,'Cleans Log'!$R$5:$R$1004,$A352,'Cleans Log'!$O$5:$O$1004,"&gt;0"))</f>
        <v/>
      </c>
      <c r="H352" s="28" t="str">
        <f aca="false">IF($B352="","",SUMIFS('Cleans Log'!$O$5:$O$1004,'Cleans Log'!$C$5:$C$1004,$B352,'Cleans Log'!$R$5:$R$1004,$A352))</f>
        <v/>
      </c>
      <c r="I352" s="30" t="str">
        <f aca="false">IF($A352="","",$A352+7)</f>
        <v/>
      </c>
      <c r="J352" s="27" t="str">
        <f aca="true">IF($B352="","",IF($C352&lt;&gt;"","Paid",IF(TODAY()&gt;=$I352,"PAY NOW","Upcoming")))</f>
        <v/>
      </c>
    </row>
    <row r="353" customFormat="false" ht="15" hidden="false" customHeight="false" outlineLevel="0" collapsed="false">
      <c r="A353" s="22"/>
      <c r="B353" s="23"/>
      <c r="C353" s="22"/>
      <c r="D353" s="23"/>
      <c r="E353" s="23"/>
      <c r="F353" s="27" t="str">
        <f aca="false">IF($B353="","",IFERROR(INDEX(Cleaners!$B$5:$B$34,MATCH($B353,Cleaners!$A$5:$A$34,0)),"?"))</f>
        <v/>
      </c>
      <c r="G353" s="31" t="str">
        <f aca="false">IF($B353="","",COUNTIFS('Cleans Log'!$C$5:$C$1004,$B353,'Cleans Log'!$R$5:$R$1004,$A353,'Cleans Log'!$O$5:$O$1004,"&gt;0"))</f>
        <v/>
      </c>
      <c r="H353" s="28" t="str">
        <f aca="false">IF($B353="","",SUMIFS('Cleans Log'!$O$5:$O$1004,'Cleans Log'!$C$5:$C$1004,$B353,'Cleans Log'!$R$5:$R$1004,$A353))</f>
        <v/>
      </c>
      <c r="I353" s="30" t="str">
        <f aca="false">IF($A353="","",$A353+7)</f>
        <v/>
      </c>
      <c r="J353" s="27" t="str">
        <f aca="true">IF($B353="","",IF($C353&lt;&gt;"","Paid",IF(TODAY()&gt;=$I353,"PAY NOW","Upcoming")))</f>
        <v/>
      </c>
    </row>
    <row r="354" customFormat="false" ht="15" hidden="false" customHeight="false" outlineLevel="0" collapsed="false">
      <c r="A354" s="22"/>
      <c r="B354" s="23"/>
      <c r="C354" s="22"/>
      <c r="D354" s="23"/>
      <c r="E354" s="23"/>
      <c r="F354" s="27" t="str">
        <f aca="false">IF($B354="","",IFERROR(INDEX(Cleaners!$B$5:$B$34,MATCH($B354,Cleaners!$A$5:$A$34,0)),"?"))</f>
        <v/>
      </c>
      <c r="G354" s="31" t="str">
        <f aca="false">IF($B354="","",COUNTIFS('Cleans Log'!$C$5:$C$1004,$B354,'Cleans Log'!$R$5:$R$1004,$A354,'Cleans Log'!$O$5:$O$1004,"&gt;0"))</f>
        <v/>
      </c>
      <c r="H354" s="28" t="str">
        <f aca="false">IF($B354="","",SUMIFS('Cleans Log'!$O$5:$O$1004,'Cleans Log'!$C$5:$C$1004,$B354,'Cleans Log'!$R$5:$R$1004,$A354))</f>
        <v/>
      </c>
      <c r="I354" s="30" t="str">
        <f aca="false">IF($A354="","",$A354+7)</f>
        <v/>
      </c>
      <c r="J354" s="27" t="str">
        <f aca="true">IF($B354="","",IF($C354&lt;&gt;"","Paid",IF(TODAY()&gt;=$I354,"PAY NOW","Upcoming")))</f>
        <v/>
      </c>
    </row>
    <row r="355" customFormat="false" ht="15" hidden="false" customHeight="false" outlineLevel="0" collapsed="false">
      <c r="A355" s="22"/>
      <c r="B355" s="23"/>
      <c r="C355" s="22"/>
      <c r="D355" s="23"/>
      <c r="E355" s="23"/>
      <c r="F355" s="27" t="str">
        <f aca="false">IF($B355="","",IFERROR(INDEX(Cleaners!$B$5:$B$34,MATCH($B355,Cleaners!$A$5:$A$34,0)),"?"))</f>
        <v/>
      </c>
      <c r="G355" s="31" t="str">
        <f aca="false">IF($B355="","",COUNTIFS('Cleans Log'!$C$5:$C$1004,$B355,'Cleans Log'!$R$5:$R$1004,$A355,'Cleans Log'!$O$5:$O$1004,"&gt;0"))</f>
        <v/>
      </c>
      <c r="H355" s="28" t="str">
        <f aca="false">IF($B355="","",SUMIFS('Cleans Log'!$O$5:$O$1004,'Cleans Log'!$C$5:$C$1004,$B355,'Cleans Log'!$R$5:$R$1004,$A355))</f>
        <v/>
      </c>
      <c r="I355" s="30" t="str">
        <f aca="false">IF($A355="","",$A355+7)</f>
        <v/>
      </c>
      <c r="J355" s="27" t="str">
        <f aca="true">IF($B355="","",IF($C355&lt;&gt;"","Paid",IF(TODAY()&gt;=$I355,"PAY NOW","Upcoming")))</f>
        <v/>
      </c>
    </row>
    <row r="356" customFormat="false" ht="15" hidden="false" customHeight="false" outlineLevel="0" collapsed="false">
      <c r="A356" s="22"/>
      <c r="B356" s="23"/>
      <c r="C356" s="22"/>
      <c r="D356" s="23"/>
      <c r="E356" s="23"/>
      <c r="F356" s="27" t="str">
        <f aca="false">IF($B356="","",IFERROR(INDEX(Cleaners!$B$5:$B$34,MATCH($B356,Cleaners!$A$5:$A$34,0)),"?"))</f>
        <v/>
      </c>
      <c r="G356" s="31" t="str">
        <f aca="false">IF($B356="","",COUNTIFS('Cleans Log'!$C$5:$C$1004,$B356,'Cleans Log'!$R$5:$R$1004,$A356,'Cleans Log'!$O$5:$O$1004,"&gt;0"))</f>
        <v/>
      </c>
      <c r="H356" s="28" t="str">
        <f aca="false">IF($B356="","",SUMIFS('Cleans Log'!$O$5:$O$1004,'Cleans Log'!$C$5:$C$1004,$B356,'Cleans Log'!$R$5:$R$1004,$A356))</f>
        <v/>
      </c>
      <c r="I356" s="30" t="str">
        <f aca="false">IF($A356="","",$A356+7)</f>
        <v/>
      </c>
      <c r="J356" s="27" t="str">
        <f aca="true">IF($B356="","",IF($C356&lt;&gt;"","Paid",IF(TODAY()&gt;=$I356,"PAY NOW","Upcoming")))</f>
        <v/>
      </c>
    </row>
    <row r="357" customFormat="false" ht="15" hidden="false" customHeight="false" outlineLevel="0" collapsed="false">
      <c r="A357" s="22"/>
      <c r="B357" s="23"/>
      <c r="C357" s="22"/>
      <c r="D357" s="23"/>
      <c r="E357" s="23"/>
      <c r="F357" s="27" t="str">
        <f aca="false">IF($B357="","",IFERROR(INDEX(Cleaners!$B$5:$B$34,MATCH($B357,Cleaners!$A$5:$A$34,0)),"?"))</f>
        <v/>
      </c>
      <c r="G357" s="31" t="str">
        <f aca="false">IF($B357="","",COUNTIFS('Cleans Log'!$C$5:$C$1004,$B357,'Cleans Log'!$R$5:$R$1004,$A357,'Cleans Log'!$O$5:$O$1004,"&gt;0"))</f>
        <v/>
      </c>
      <c r="H357" s="28" t="str">
        <f aca="false">IF($B357="","",SUMIFS('Cleans Log'!$O$5:$O$1004,'Cleans Log'!$C$5:$C$1004,$B357,'Cleans Log'!$R$5:$R$1004,$A357))</f>
        <v/>
      </c>
      <c r="I357" s="30" t="str">
        <f aca="false">IF($A357="","",$A357+7)</f>
        <v/>
      </c>
      <c r="J357" s="27" t="str">
        <f aca="true">IF($B357="","",IF($C357&lt;&gt;"","Paid",IF(TODAY()&gt;=$I357,"PAY NOW","Upcoming")))</f>
        <v/>
      </c>
    </row>
    <row r="358" customFormat="false" ht="15" hidden="false" customHeight="false" outlineLevel="0" collapsed="false">
      <c r="A358" s="22"/>
      <c r="B358" s="23"/>
      <c r="C358" s="22"/>
      <c r="D358" s="23"/>
      <c r="E358" s="23"/>
      <c r="F358" s="27" t="str">
        <f aca="false">IF($B358="","",IFERROR(INDEX(Cleaners!$B$5:$B$34,MATCH($B358,Cleaners!$A$5:$A$34,0)),"?"))</f>
        <v/>
      </c>
      <c r="G358" s="31" t="str">
        <f aca="false">IF($B358="","",COUNTIFS('Cleans Log'!$C$5:$C$1004,$B358,'Cleans Log'!$R$5:$R$1004,$A358,'Cleans Log'!$O$5:$O$1004,"&gt;0"))</f>
        <v/>
      </c>
      <c r="H358" s="28" t="str">
        <f aca="false">IF($B358="","",SUMIFS('Cleans Log'!$O$5:$O$1004,'Cleans Log'!$C$5:$C$1004,$B358,'Cleans Log'!$R$5:$R$1004,$A358))</f>
        <v/>
      </c>
      <c r="I358" s="30" t="str">
        <f aca="false">IF($A358="","",$A358+7)</f>
        <v/>
      </c>
      <c r="J358" s="27" t="str">
        <f aca="true">IF($B358="","",IF($C358&lt;&gt;"","Paid",IF(TODAY()&gt;=$I358,"PAY NOW","Upcoming")))</f>
        <v/>
      </c>
    </row>
    <row r="359" customFormat="false" ht="15" hidden="false" customHeight="false" outlineLevel="0" collapsed="false">
      <c r="A359" s="22"/>
      <c r="B359" s="23"/>
      <c r="C359" s="22"/>
      <c r="D359" s="23"/>
      <c r="E359" s="23"/>
      <c r="F359" s="27" t="str">
        <f aca="false">IF($B359="","",IFERROR(INDEX(Cleaners!$B$5:$B$34,MATCH($B359,Cleaners!$A$5:$A$34,0)),"?"))</f>
        <v/>
      </c>
      <c r="G359" s="31" t="str">
        <f aca="false">IF($B359="","",COUNTIFS('Cleans Log'!$C$5:$C$1004,$B359,'Cleans Log'!$R$5:$R$1004,$A359,'Cleans Log'!$O$5:$O$1004,"&gt;0"))</f>
        <v/>
      </c>
      <c r="H359" s="28" t="str">
        <f aca="false">IF($B359="","",SUMIFS('Cleans Log'!$O$5:$O$1004,'Cleans Log'!$C$5:$C$1004,$B359,'Cleans Log'!$R$5:$R$1004,$A359))</f>
        <v/>
      </c>
      <c r="I359" s="30" t="str">
        <f aca="false">IF($A359="","",$A359+7)</f>
        <v/>
      </c>
      <c r="J359" s="27" t="str">
        <f aca="true">IF($B359="","",IF($C359&lt;&gt;"","Paid",IF(TODAY()&gt;=$I359,"PAY NOW","Upcoming")))</f>
        <v/>
      </c>
    </row>
    <row r="360" customFormat="false" ht="15" hidden="false" customHeight="false" outlineLevel="0" collapsed="false">
      <c r="A360" s="22"/>
      <c r="B360" s="23"/>
      <c r="C360" s="22"/>
      <c r="D360" s="23"/>
      <c r="E360" s="23"/>
      <c r="F360" s="27" t="str">
        <f aca="false">IF($B360="","",IFERROR(INDEX(Cleaners!$B$5:$B$34,MATCH($B360,Cleaners!$A$5:$A$34,0)),"?"))</f>
        <v/>
      </c>
      <c r="G360" s="31" t="str">
        <f aca="false">IF($B360="","",COUNTIFS('Cleans Log'!$C$5:$C$1004,$B360,'Cleans Log'!$R$5:$R$1004,$A360,'Cleans Log'!$O$5:$O$1004,"&gt;0"))</f>
        <v/>
      </c>
      <c r="H360" s="28" t="str">
        <f aca="false">IF($B360="","",SUMIFS('Cleans Log'!$O$5:$O$1004,'Cleans Log'!$C$5:$C$1004,$B360,'Cleans Log'!$R$5:$R$1004,$A360))</f>
        <v/>
      </c>
      <c r="I360" s="30" t="str">
        <f aca="false">IF($A360="","",$A360+7)</f>
        <v/>
      </c>
      <c r="J360" s="27" t="str">
        <f aca="true">IF($B360="","",IF($C360&lt;&gt;"","Paid",IF(TODAY()&gt;=$I360,"PAY NOW","Upcoming")))</f>
        <v/>
      </c>
    </row>
    <row r="361" customFormat="false" ht="15" hidden="false" customHeight="false" outlineLevel="0" collapsed="false">
      <c r="A361" s="22"/>
      <c r="B361" s="23"/>
      <c r="C361" s="22"/>
      <c r="D361" s="23"/>
      <c r="E361" s="23"/>
      <c r="F361" s="27" t="str">
        <f aca="false">IF($B361="","",IFERROR(INDEX(Cleaners!$B$5:$B$34,MATCH($B361,Cleaners!$A$5:$A$34,0)),"?"))</f>
        <v/>
      </c>
      <c r="G361" s="31" t="str">
        <f aca="false">IF($B361="","",COUNTIFS('Cleans Log'!$C$5:$C$1004,$B361,'Cleans Log'!$R$5:$R$1004,$A361,'Cleans Log'!$O$5:$O$1004,"&gt;0"))</f>
        <v/>
      </c>
      <c r="H361" s="28" t="str">
        <f aca="false">IF($B361="","",SUMIFS('Cleans Log'!$O$5:$O$1004,'Cleans Log'!$C$5:$C$1004,$B361,'Cleans Log'!$R$5:$R$1004,$A361))</f>
        <v/>
      </c>
      <c r="I361" s="30" t="str">
        <f aca="false">IF($A361="","",$A361+7)</f>
        <v/>
      </c>
      <c r="J361" s="27" t="str">
        <f aca="true">IF($B361="","",IF($C361&lt;&gt;"","Paid",IF(TODAY()&gt;=$I361,"PAY NOW","Upcoming")))</f>
        <v/>
      </c>
    </row>
    <row r="362" customFormat="false" ht="15" hidden="false" customHeight="false" outlineLevel="0" collapsed="false">
      <c r="A362" s="22"/>
      <c r="B362" s="23"/>
      <c r="C362" s="22"/>
      <c r="D362" s="23"/>
      <c r="E362" s="23"/>
      <c r="F362" s="27" t="str">
        <f aca="false">IF($B362="","",IFERROR(INDEX(Cleaners!$B$5:$B$34,MATCH($B362,Cleaners!$A$5:$A$34,0)),"?"))</f>
        <v/>
      </c>
      <c r="G362" s="31" t="str">
        <f aca="false">IF($B362="","",COUNTIFS('Cleans Log'!$C$5:$C$1004,$B362,'Cleans Log'!$R$5:$R$1004,$A362,'Cleans Log'!$O$5:$O$1004,"&gt;0"))</f>
        <v/>
      </c>
      <c r="H362" s="28" t="str">
        <f aca="false">IF($B362="","",SUMIFS('Cleans Log'!$O$5:$O$1004,'Cleans Log'!$C$5:$C$1004,$B362,'Cleans Log'!$R$5:$R$1004,$A362))</f>
        <v/>
      </c>
      <c r="I362" s="30" t="str">
        <f aca="false">IF($A362="","",$A362+7)</f>
        <v/>
      </c>
      <c r="J362" s="27" t="str">
        <f aca="true">IF($B362="","",IF($C362&lt;&gt;"","Paid",IF(TODAY()&gt;=$I362,"PAY NOW","Upcoming")))</f>
        <v/>
      </c>
    </row>
    <row r="363" customFormat="false" ht="15" hidden="false" customHeight="false" outlineLevel="0" collapsed="false">
      <c r="A363" s="22"/>
      <c r="B363" s="23"/>
      <c r="C363" s="22"/>
      <c r="D363" s="23"/>
      <c r="E363" s="23"/>
      <c r="F363" s="27" t="str">
        <f aca="false">IF($B363="","",IFERROR(INDEX(Cleaners!$B$5:$B$34,MATCH($B363,Cleaners!$A$5:$A$34,0)),"?"))</f>
        <v/>
      </c>
      <c r="G363" s="31" t="str">
        <f aca="false">IF($B363="","",COUNTIFS('Cleans Log'!$C$5:$C$1004,$B363,'Cleans Log'!$R$5:$R$1004,$A363,'Cleans Log'!$O$5:$O$1004,"&gt;0"))</f>
        <v/>
      </c>
      <c r="H363" s="28" t="str">
        <f aca="false">IF($B363="","",SUMIFS('Cleans Log'!$O$5:$O$1004,'Cleans Log'!$C$5:$C$1004,$B363,'Cleans Log'!$R$5:$R$1004,$A363))</f>
        <v/>
      </c>
      <c r="I363" s="30" t="str">
        <f aca="false">IF($A363="","",$A363+7)</f>
        <v/>
      </c>
      <c r="J363" s="27" t="str">
        <f aca="true">IF($B363="","",IF($C363&lt;&gt;"","Paid",IF(TODAY()&gt;=$I363,"PAY NOW","Upcoming")))</f>
        <v/>
      </c>
    </row>
    <row r="364" customFormat="false" ht="15" hidden="false" customHeight="false" outlineLevel="0" collapsed="false">
      <c r="A364" s="22"/>
      <c r="B364" s="23"/>
      <c r="C364" s="22"/>
      <c r="D364" s="23"/>
      <c r="E364" s="23"/>
      <c r="F364" s="27" t="str">
        <f aca="false">IF($B364="","",IFERROR(INDEX(Cleaners!$B$5:$B$34,MATCH($B364,Cleaners!$A$5:$A$34,0)),"?"))</f>
        <v/>
      </c>
      <c r="G364" s="31" t="str">
        <f aca="false">IF($B364="","",COUNTIFS('Cleans Log'!$C$5:$C$1004,$B364,'Cleans Log'!$R$5:$R$1004,$A364,'Cleans Log'!$O$5:$O$1004,"&gt;0"))</f>
        <v/>
      </c>
      <c r="H364" s="28" t="str">
        <f aca="false">IF($B364="","",SUMIFS('Cleans Log'!$O$5:$O$1004,'Cleans Log'!$C$5:$C$1004,$B364,'Cleans Log'!$R$5:$R$1004,$A364))</f>
        <v/>
      </c>
      <c r="I364" s="30" t="str">
        <f aca="false">IF($A364="","",$A364+7)</f>
        <v/>
      </c>
      <c r="J364" s="27" t="str">
        <f aca="true">IF($B364="","",IF($C364&lt;&gt;"","Paid",IF(TODAY()&gt;=$I364,"PAY NOW","Upcoming")))</f>
        <v/>
      </c>
    </row>
    <row r="365" customFormat="false" ht="15" hidden="false" customHeight="false" outlineLevel="0" collapsed="false">
      <c r="A365" s="22"/>
      <c r="B365" s="23"/>
      <c r="C365" s="22"/>
      <c r="D365" s="23"/>
      <c r="E365" s="23"/>
      <c r="F365" s="27" t="str">
        <f aca="false">IF($B365="","",IFERROR(INDEX(Cleaners!$B$5:$B$34,MATCH($B365,Cleaners!$A$5:$A$34,0)),"?"))</f>
        <v/>
      </c>
      <c r="G365" s="31" t="str">
        <f aca="false">IF($B365="","",COUNTIFS('Cleans Log'!$C$5:$C$1004,$B365,'Cleans Log'!$R$5:$R$1004,$A365,'Cleans Log'!$O$5:$O$1004,"&gt;0"))</f>
        <v/>
      </c>
      <c r="H365" s="28" t="str">
        <f aca="false">IF($B365="","",SUMIFS('Cleans Log'!$O$5:$O$1004,'Cleans Log'!$C$5:$C$1004,$B365,'Cleans Log'!$R$5:$R$1004,$A365))</f>
        <v/>
      </c>
      <c r="I365" s="30" t="str">
        <f aca="false">IF($A365="","",$A365+7)</f>
        <v/>
      </c>
      <c r="J365" s="27" t="str">
        <f aca="true">IF($B365="","",IF($C365&lt;&gt;"","Paid",IF(TODAY()&gt;=$I365,"PAY NOW","Upcoming")))</f>
        <v/>
      </c>
    </row>
    <row r="366" customFormat="false" ht="15" hidden="false" customHeight="false" outlineLevel="0" collapsed="false">
      <c r="A366" s="22"/>
      <c r="B366" s="23"/>
      <c r="C366" s="22"/>
      <c r="D366" s="23"/>
      <c r="E366" s="23"/>
      <c r="F366" s="27" t="str">
        <f aca="false">IF($B366="","",IFERROR(INDEX(Cleaners!$B$5:$B$34,MATCH($B366,Cleaners!$A$5:$A$34,0)),"?"))</f>
        <v/>
      </c>
      <c r="G366" s="31" t="str">
        <f aca="false">IF($B366="","",COUNTIFS('Cleans Log'!$C$5:$C$1004,$B366,'Cleans Log'!$R$5:$R$1004,$A366,'Cleans Log'!$O$5:$O$1004,"&gt;0"))</f>
        <v/>
      </c>
      <c r="H366" s="28" t="str">
        <f aca="false">IF($B366="","",SUMIFS('Cleans Log'!$O$5:$O$1004,'Cleans Log'!$C$5:$C$1004,$B366,'Cleans Log'!$R$5:$R$1004,$A366))</f>
        <v/>
      </c>
      <c r="I366" s="30" t="str">
        <f aca="false">IF($A366="","",$A366+7)</f>
        <v/>
      </c>
      <c r="J366" s="27" t="str">
        <f aca="true">IF($B366="","",IF($C366&lt;&gt;"","Paid",IF(TODAY()&gt;=$I366,"PAY NOW","Upcoming")))</f>
        <v/>
      </c>
    </row>
    <row r="367" customFormat="false" ht="15" hidden="false" customHeight="false" outlineLevel="0" collapsed="false">
      <c r="A367" s="22"/>
      <c r="B367" s="23"/>
      <c r="C367" s="22"/>
      <c r="D367" s="23"/>
      <c r="E367" s="23"/>
      <c r="F367" s="27" t="str">
        <f aca="false">IF($B367="","",IFERROR(INDEX(Cleaners!$B$5:$B$34,MATCH($B367,Cleaners!$A$5:$A$34,0)),"?"))</f>
        <v/>
      </c>
      <c r="G367" s="31" t="str">
        <f aca="false">IF($B367="","",COUNTIFS('Cleans Log'!$C$5:$C$1004,$B367,'Cleans Log'!$R$5:$R$1004,$A367,'Cleans Log'!$O$5:$O$1004,"&gt;0"))</f>
        <v/>
      </c>
      <c r="H367" s="28" t="str">
        <f aca="false">IF($B367="","",SUMIFS('Cleans Log'!$O$5:$O$1004,'Cleans Log'!$C$5:$C$1004,$B367,'Cleans Log'!$R$5:$R$1004,$A367))</f>
        <v/>
      </c>
      <c r="I367" s="30" t="str">
        <f aca="false">IF($A367="","",$A367+7)</f>
        <v/>
      </c>
      <c r="J367" s="27" t="str">
        <f aca="true">IF($B367="","",IF($C367&lt;&gt;"","Paid",IF(TODAY()&gt;=$I367,"PAY NOW","Upcoming")))</f>
        <v/>
      </c>
    </row>
    <row r="368" customFormat="false" ht="15" hidden="false" customHeight="false" outlineLevel="0" collapsed="false">
      <c r="A368" s="22"/>
      <c r="B368" s="23"/>
      <c r="C368" s="22"/>
      <c r="D368" s="23"/>
      <c r="E368" s="23"/>
      <c r="F368" s="27" t="str">
        <f aca="false">IF($B368="","",IFERROR(INDEX(Cleaners!$B$5:$B$34,MATCH($B368,Cleaners!$A$5:$A$34,0)),"?"))</f>
        <v/>
      </c>
      <c r="G368" s="31" t="str">
        <f aca="false">IF($B368="","",COUNTIFS('Cleans Log'!$C$5:$C$1004,$B368,'Cleans Log'!$R$5:$R$1004,$A368,'Cleans Log'!$O$5:$O$1004,"&gt;0"))</f>
        <v/>
      </c>
      <c r="H368" s="28" t="str">
        <f aca="false">IF($B368="","",SUMIFS('Cleans Log'!$O$5:$O$1004,'Cleans Log'!$C$5:$C$1004,$B368,'Cleans Log'!$R$5:$R$1004,$A368))</f>
        <v/>
      </c>
      <c r="I368" s="30" t="str">
        <f aca="false">IF($A368="","",$A368+7)</f>
        <v/>
      </c>
      <c r="J368" s="27" t="str">
        <f aca="true">IF($B368="","",IF($C368&lt;&gt;"","Paid",IF(TODAY()&gt;=$I368,"PAY NOW","Upcoming")))</f>
        <v/>
      </c>
    </row>
    <row r="369" customFormat="false" ht="15" hidden="false" customHeight="false" outlineLevel="0" collapsed="false">
      <c r="A369" s="22"/>
      <c r="B369" s="23"/>
      <c r="C369" s="22"/>
      <c r="D369" s="23"/>
      <c r="E369" s="23"/>
      <c r="F369" s="27" t="str">
        <f aca="false">IF($B369="","",IFERROR(INDEX(Cleaners!$B$5:$B$34,MATCH($B369,Cleaners!$A$5:$A$34,0)),"?"))</f>
        <v/>
      </c>
      <c r="G369" s="31" t="str">
        <f aca="false">IF($B369="","",COUNTIFS('Cleans Log'!$C$5:$C$1004,$B369,'Cleans Log'!$R$5:$R$1004,$A369,'Cleans Log'!$O$5:$O$1004,"&gt;0"))</f>
        <v/>
      </c>
      <c r="H369" s="28" t="str">
        <f aca="false">IF($B369="","",SUMIFS('Cleans Log'!$O$5:$O$1004,'Cleans Log'!$C$5:$C$1004,$B369,'Cleans Log'!$R$5:$R$1004,$A369))</f>
        <v/>
      </c>
      <c r="I369" s="30" t="str">
        <f aca="false">IF($A369="","",$A369+7)</f>
        <v/>
      </c>
      <c r="J369" s="27" t="str">
        <f aca="true">IF($B369="","",IF($C369&lt;&gt;"","Paid",IF(TODAY()&gt;=$I369,"PAY NOW","Upcoming")))</f>
        <v/>
      </c>
    </row>
    <row r="370" customFormat="false" ht="15" hidden="false" customHeight="false" outlineLevel="0" collapsed="false">
      <c r="A370" s="22"/>
      <c r="B370" s="23"/>
      <c r="C370" s="22"/>
      <c r="D370" s="23"/>
      <c r="E370" s="23"/>
      <c r="F370" s="27" t="str">
        <f aca="false">IF($B370="","",IFERROR(INDEX(Cleaners!$B$5:$B$34,MATCH($B370,Cleaners!$A$5:$A$34,0)),"?"))</f>
        <v/>
      </c>
      <c r="G370" s="31" t="str">
        <f aca="false">IF($B370="","",COUNTIFS('Cleans Log'!$C$5:$C$1004,$B370,'Cleans Log'!$R$5:$R$1004,$A370,'Cleans Log'!$O$5:$O$1004,"&gt;0"))</f>
        <v/>
      </c>
      <c r="H370" s="28" t="str">
        <f aca="false">IF($B370="","",SUMIFS('Cleans Log'!$O$5:$O$1004,'Cleans Log'!$C$5:$C$1004,$B370,'Cleans Log'!$R$5:$R$1004,$A370))</f>
        <v/>
      </c>
      <c r="I370" s="30" t="str">
        <f aca="false">IF($A370="","",$A370+7)</f>
        <v/>
      </c>
      <c r="J370" s="27" t="str">
        <f aca="true">IF($B370="","",IF($C370&lt;&gt;"","Paid",IF(TODAY()&gt;=$I370,"PAY NOW","Upcoming")))</f>
        <v/>
      </c>
    </row>
    <row r="371" customFormat="false" ht="15" hidden="false" customHeight="false" outlineLevel="0" collapsed="false">
      <c r="A371" s="22"/>
      <c r="B371" s="23"/>
      <c r="C371" s="22"/>
      <c r="D371" s="23"/>
      <c r="E371" s="23"/>
      <c r="F371" s="27" t="str">
        <f aca="false">IF($B371="","",IFERROR(INDEX(Cleaners!$B$5:$B$34,MATCH($B371,Cleaners!$A$5:$A$34,0)),"?"))</f>
        <v/>
      </c>
      <c r="G371" s="31" t="str">
        <f aca="false">IF($B371="","",COUNTIFS('Cleans Log'!$C$5:$C$1004,$B371,'Cleans Log'!$R$5:$R$1004,$A371,'Cleans Log'!$O$5:$O$1004,"&gt;0"))</f>
        <v/>
      </c>
      <c r="H371" s="28" t="str">
        <f aca="false">IF($B371="","",SUMIFS('Cleans Log'!$O$5:$O$1004,'Cleans Log'!$C$5:$C$1004,$B371,'Cleans Log'!$R$5:$R$1004,$A371))</f>
        <v/>
      </c>
      <c r="I371" s="30" t="str">
        <f aca="false">IF($A371="","",$A371+7)</f>
        <v/>
      </c>
      <c r="J371" s="27" t="str">
        <f aca="true">IF($B371="","",IF($C371&lt;&gt;"","Paid",IF(TODAY()&gt;=$I371,"PAY NOW","Upcoming")))</f>
        <v/>
      </c>
    </row>
    <row r="372" customFormat="false" ht="15" hidden="false" customHeight="false" outlineLevel="0" collapsed="false">
      <c r="A372" s="22"/>
      <c r="B372" s="23"/>
      <c r="C372" s="22"/>
      <c r="D372" s="23"/>
      <c r="E372" s="23"/>
      <c r="F372" s="27" t="str">
        <f aca="false">IF($B372="","",IFERROR(INDEX(Cleaners!$B$5:$B$34,MATCH($B372,Cleaners!$A$5:$A$34,0)),"?"))</f>
        <v/>
      </c>
      <c r="G372" s="31" t="str">
        <f aca="false">IF($B372="","",COUNTIFS('Cleans Log'!$C$5:$C$1004,$B372,'Cleans Log'!$R$5:$R$1004,$A372,'Cleans Log'!$O$5:$O$1004,"&gt;0"))</f>
        <v/>
      </c>
      <c r="H372" s="28" t="str">
        <f aca="false">IF($B372="","",SUMIFS('Cleans Log'!$O$5:$O$1004,'Cleans Log'!$C$5:$C$1004,$B372,'Cleans Log'!$R$5:$R$1004,$A372))</f>
        <v/>
      </c>
      <c r="I372" s="30" t="str">
        <f aca="false">IF($A372="","",$A372+7)</f>
        <v/>
      </c>
      <c r="J372" s="27" t="str">
        <f aca="true">IF($B372="","",IF($C372&lt;&gt;"","Paid",IF(TODAY()&gt;=$I372,"PAY NOW","Upcoming")))</f>
        <v/>
      </c>
    </row>
    <row r="373" customFormat="false" ht="15" hidden="false" customHeight="false" outlineLevel="0" collapsed="false">
      <c r="A373" s="22"/>
      <c r="B373" s="23"/>
      <c r="C373" s="22"/>
      <c r="D373" s="23"/>
      <c r="E373" s="23"/>
      <c r="F373" s="27" t="str">
        <f aca="false">IF($B373="","",IFERROR(INDEX(Cleaners!$B$5:$B$34,MATCH($B373,Cleaners!$A$5:$A$34,0)),"?"))</f>
        <v/>
      </c>
      <c r="G373" s="31" t="str">
        <f aca="false">IF($B373="","",COUNTIFS('Cleans Log'!$C$5:$C$1004,$B373,'Cleans Log'!$R$5:$R$1004,$A373,'Cleans Log'!$O$5:$O$1004,"&gt;0"))</f>
        <v/>
      </c>
      <c r="H373" s="28" t="str">
        <f aca="false">IF($B373="","",SUMIFS('Cleans Log'!$O$5:$O$1004,'Cleans Log'!$C$5:$C$1004,$B373,'Cleans Log'!$R$5:$R$1004,$A373))</f>
        <v/>
      </c>
      <c r="I373" s="30" t="str">
        <f aca="false">IF($A373="","",$A373+7)</f>
        <v/>
      </c>
      <c r="J373" s="27" t="str">
        <f aca="true">IF($B373="","",IF($C373&lt;&gt;"","Paid",IF(TODAY()&gt;=$I373,"PAY NOW","Upcoming")))</f>
        <v/>
      </c>
    </row>
    <row r="374" customFormat="false" ht="15" hidden="false" customHeight="false" outlineLevel="0" collapsed="false">
      <c r="A374" s="22"/>
      <c r="B374" s="23"/>
      <c r="C374" s="22"/>
      <c r="D374" s="23"/>
      <c r="E374" s="23"/>
      <c r="F374" s="27" t="str">
        <f aca="false">IF($B374="","",IFERROR(INDEX(Cleaners!$B$5:$B$34,MATCH($B374,Cleaners!$A$5:$A$34,0)),"?"))</f>
        <v/>
      </c>
      <c r="G374" s="31" t="str">
        <f aca="false">IF($B374="","",COUNTIFS('Cleans Log'!$C$5:$C$1004,$B374,'Cleans Log'!$R$5:$R$1004,$A374,'Cleans Log'!$O$5:$O$1004,"&gt;0"))</f>
        <v/>
      </c>
      <c r="H374" s="28" t="str">
        <f aca="false">IF($B374="","",SUMIFS('Cleans Log'!$O$5:$O$1004,'Cleans Log'!$C$5:$C$1004,$B374,'Cleans Log'!$R$5:$R$1004,$A374))</f>
        <v/>
      </c>
      <c r="I374" s="30" t="str">
        <f aca="false">IF($A374="","",$A374+7)</f>
        <v/>
      </c>
      <c r="J374" s="27" t="str">
        <f aca="true">IF($B374="","",IF($C374&lt;&gt;"","Paid",IF(TODAY()&gt;=$I374,"PAY NOW","Upcoming")))</f>
        <v/>
      </c>
    </row>
    <row r="375" customFormat="false" ht="15" hidden="false" customHeight="false" outlineLevel="0" collapsed="false">
      <c r="A375" s="22"/>
      <c r="B375" s="23"/>
      <c r="C375" s="22"/>
      <c r="D375" s="23"/>
      <c r="E375" s="23"/>
      <c r="F375" s="27" t="str">
        <f aca="false">IF($B375="","",IFERROR(INDEX(Cleaners!$B$5:$B$34,MATCH($B375,Cleaners!$A$5:$A$34,0)),"?"))</f>
        <v/>
      </c>
      <c r="G375" s="31" t="str">
        <f aca="false">IF($B375="","",COUNTIFS('Cleans Log'!$C$5:$C$1004,$B375,'Cleans Log'!$R$5:$R$1004,$A375,'Cleans Log'!$O$5:$O$1004,"&gt;0"))</f>
        <v/>
      </c>
      <c r="H375" s="28" t="str">
        <f aca="false">IF($B375="","",SUMIFS('Cleans Log'!$O$5:$O$1004,'Cleans Log'!$C$5:$C$1004,$B375,'Cleans Log'!$R$5:$R$1004,$A375))</f>
        <v/>
      </c>
      <c r="I375" s="30" t="str">
        <f aca="false">IF($A375="","",$A375+7)</f>
        <v/>
      </c>
      <c r="J375" s="27" t="str">
        <f aca="true">IF($B375="","",IF($C375&lt;&gt;"","Paid",IF(TODAY()&gt;=$I375,"PAY NOW","Upcoming")))</f>
        <v/>
      </c>
    </row>
    <row r="376" customFormat="false" ht="15" hidden="false" customHeight="false" outlineLevel="0" collapsed="false">
      <c r="A376" s="22"/>
      <c r="B376" s="23"/>
      <c r="C376" s="22"/>
      <c r="D376" s="23"/>
      <c r="E376" s="23"/>
      <c r="F376" s="27" t="str">
        <f aca="false">IF($B376="","",IFERROR(INDEX(Cleaners!$B$5:$B$34,MATCH($B376,Cleaners!$A$5:$A$34,0)),"?"))</f>
        <v/>
      </c>
      <c r="G376" s="31" t="str">
        <f aca="false">IF($B376="","",COUNTIFS('Cleans Log'!$C$5:$C$1004,$B376,'Cleans Log'!$R$5:$R$1004,$A376,'Cleans Log'!$O$5:$O$1004,"&gt;0"))</f>
        <v/>
      </c>
      <c r="H376" s="28" t="str">
        <f aca="false">IF($B376="","",SUMIFS('Cleans Log'!$O$5:$O$1004,'Cleans Log'!$C$5:$C$1004,$B376,'Cleans Log'!$R$5:$R$1004,$A376))</f>
        <v/>
      </c>
      <c r="I376" s="30" t="str">
        <f aca="false">IF($A376="","",$A376+7)</f>
        <v/>
      </c>
      <c r="J376" s="27" t="str">
        <f aca="true">IF($B376="","",IF($C376&lt;&gt;"","Paid",IF(TODAY()&gt;=$I376,"PAY NOW","Upcoming")))</f>
        <v/>
      </c>
    </row>
    <row r="377" customFormat="false" ht="15" hidden="false" customHeight="false" outlineLevel="0" collapsed="false">
      <c r="A377" s="22"/>
      <c r="B377" s="23"/>
      <c r="C377" s="22"/>
      <c r="D377" s="23"/>
      <c r="E377" s="23"/>
      <c r="F377" s="27" t="str">
        <f aca="false">IF($B377="","",IFERROR(INDEX(Cleaners!$B$5:$B$34,MATCH($B377,Cleaners!$A$5:$A$34,0)),"?"))</f>
        <v/>
      </c>
      <c r="G377" s="31" t="str">
        <f aca="false">IF($B377="","",COUNTIFS('Cleans Log'!$C$5:$C$1004,$B377,'Cleans Log'!$R$5:$R$1004,$A377,'Cleans Log'!$O$5:$O$1004,"&gt;0"))</f>
        <v/>
      </c>
      <c r="H377" s="28" t="str">
        <f aca="false">IF($B377="","",SUMIFS('Cleans Log'!$O$5:$O$1004,'Cleans Log'!$C$5:$C$1004,$B377,'Cleans Log'!$R$5:$R$1004,$A377))</f>
        <v/>
      </c>
      <c r="I377" s="30" t="str">
        <f aca="false">IF($A377="","",$A377+7)</f>
        <v/>
      </c>
      <c r="J377" s="27" t="str">
        <f aca="true">IF($B377="","",IF($C377&lt;&gt;"","Paid",IF(TODAY()&gt;=$I377,"PAY NOW","Upcoming")))</f>
        <v/>
      </c>
    </row>
    <row r="378" customFormat="false" ht="15" hidden="false" customHeight="false" outlineLevel="0" collapsed="false">
      <c r="A378" s="22"/>
      <c r="B378" s="23"/>
      <c r="C378" s="22"/>
      <c r="D378" s="23"/>
      <c r="E378" s="23"/>
      <c r="F378" s="27" t="str">
        <f aca="false">IF($B378="","",IFERROR(INDEX(Cleaners!$B$5:$B$34,MATCH($B378,Cleaners!$A$5:$A$34,0)),"?"))</f>
        <v/>
      </c>
      <c r="G378" s="31" t="str">
        <f aca="false">IF($B378="","",COUNTIFS('Cleans Log'!$C$5:$C$1004,$B378,'Cleans Log'!$R$5:$R$1004,$A378,'Cleans Log'!$O$5:$O$1004,"&gt;0"))</f>
        <v/>
      </c>
      <c r="H378" s="28" t="str">
        <f aca="false">IF($B378="","",SUMIFS('Cleans Log'!$O$5:$O$1004,'Cleans Log'!$C$5:$C$1004,$B378,'Cleans Log'!$R$5:$R$1004,$A378))</f>
        <v/>
      </c>
      <c r="I378" s="30" t="str">
        <f aca="false">IF($A378="","",$A378+7)</f>
        <v/>
      </c>
      <c r="J378" s="27" t="str">
        <f aca="true">IF($B378="","",IF($C378&lt;&gt;"","Paid",IF(TODAY()&gt;=$I378,"PAY NOW","Upcoming")))</f>
        <v/>
      </c>
    </row>
    <row r="379" customFormat="false" ht="15" hidden="false" customHeight="false" outlineLevel="0" collapsed="false">
      <c r="A379" s="22"/>
      <c r="B379" s="23"/>
      <c r="C379" s="22"/>
      <c r="D379" s="23"/>
      <c r="E379" s="23"/>
      <c r="F379" s="27" t="str">
        <f aca="false">IF($B379="","",IFERROR(INDEX(Cleaners!$B$5:$B$34,MATCH($B379,Cleaners!$A$5:$A$34,0)),"?"))</f>
        <v/>
      </c>
      <c r="G379" s="31" t="str">
        <f aca="false">IF($B379="","",COUNTIFS('Cleans Log'!$C$5:$C$1004,$B379,'Cleans Log'!$R$5:$R$1004,$A379,'Cleans Log'!$O$5:$O$1004,"&gt;0"))</f>
        <v/>
      </c>
      <c r="H379" s="28" t="str">
        <f aca="false">IF($B379="","",SUMIFS('Cleans Log'!$O$5:$O$1004,'Cleans Log'!$C$5:$C$1004,$B379,'Cleans Log'!$R$5:$R$1004,$A379))</f>
        <v/>
      </c>
      <c r="I379" s="30" t="str">
        <f aca="false">IF($A379="","",$A379+7)</f>
        <v/>
      </c>
      <c r="J379" s="27" t="str">
        <f aca="true">IF($B379="","",IF($C379&lt;&gt;"","Paid",IF(TODAY()&gt;=$I379,"PAY NOW","Upcoming")))</f>
        <v/>
      </c>
    </row>
    <row r="380" customFormat="false" ht="15" hidden="false" customHeight="false" outlineLevel="0" collapsed="false">
      <c r="A380" s="22"/>
      <c r="B380" s="23"/>
      <c r="C380" s="22"/>
      <c r="D380" s="23"/>
      <c r="E380" s="23"/>
      <c r="F380" s="27" t="str">
        <f aca="false">IF($B380="","",IFERROR(INDEX(Cleaners!$B$5:$B$34,MATCH($B380,Cleaners!$A$5:$A$34,0)),"?"))</f>
        <v/>
      </c>
      <c r="G380" s="31" t="str">
        <f aca="false">IF($B380="","",COUNTIFS('Cleans Log'!$C$5:$C$1004,$B380,'Cleans Log'!$R$5:$R$1004,$A380,'Cleans Log'!$O$5:$O$1004,"&gt;0"))</f>
        <v/>
      </c>
      <c r="H380" s="28" t="str">
        <f aca="false">IF($B380="","",SUMIFS('Cleans Log'!$O$5:$O$1004,'Cleans Log'!$C$5:$C$1004,$B380,'Cleans Log'!$R$5:$R$1004,$A380))</f>
        <v/>
      </c>
      <c r="I380" s="30" t="str">
        <f aca="false">IF($A380="","",$A380+7)</f>
        <v/>
      </c>
      <c r="J380" s="27" t="str">
        <f aca="true">IF($B380="","",IF($C380&lt;&gt;"","Paid",IF(TODAY()&gt;=$I380,"PAY NOW","Upcoming")))</f>
        <v/>
      </c>
    </row>
    <row r="381" customFormat="false" ht="15" hidden="false" customHeight="false" outlineLevel="0" collapsed="false">
      <c r="A381" s="22"/>
      <c r="B381" s="23"/>
      <c r="C381" s="22"/>
      <c r="D381" s="23"/>
      <c r="E381" s="23"/>
      <c r="F381" s="27" t="str">
        <f aca="false">IF($B381="","",IFERROR(INDEX(Cleaners!$B$5:$B$34,MATCH($B381,Cleaners!$A$5:$A$34,0)),"?"))</f>
        <v/>
      </c>
      <c r="G381" s="31" t="str">
        <f aca="false">IF($B381="","",COUNTIFS('Cleans Log'!$C$5:$C$1004,$B381,'Cleans Log'!$R$5:$R$1004,$A381,'Cleans Log'!$O$5:$O$1004,"&gt;0"))</f>
        <v/>
      </c>
      <c r="H381" s="28" t="str">
        <f aca="false">IF($B381="","",SUMIFS('Cleans Log'!$O$5:$O$1004,'Cleans Log'!$C$5:$C$1004,$B381,'Cleans Log'!$R$5:$R$1004,$A381))</f>
        <v/>
      </c>
      <c r="I381" s="30" t="str">
        <f aca="false">IF($A381="","",$A381+7)</f>
        <v/>
      </c>
      <c r="J381" s="27" t="str">
        <f aca="true">IF($B381="","",IF($C381&lt;&gt;"","Paid",IF(TODAY()&gt;=$I381,"PAY NOW","Upcoming")))</f>
        <v/>
      </c>
    </row>
    <row r="382" customFormat="false" ht="15" hidden="false" customHeight="false" outlineLevel="0" collapsed="false">
      <c r="A382" s="22"/>
      <c r="B382" s="23"/>
      <c r="C382" s="22"/>
      <c r="D382" s="23"/>
      <c r="E382" s="23"/>
      <c r="F382" s="27" t="str">
        <f aca="false">IF($B382="","",IFERROR(INDEX(Cleaners!$B$5:$B$34,MATCH($B382,Cleaners!$A$5:$A$34,0)),"?"))</f>
        <v/>
      </c>
      <c r="G382" s="31" t="str">
        <f aca="false">IF($B382="","",COUNTIFS('Cleans Log'!$C$5:$C$1004,$B382,'Cleans Log'!$R$5:$R$1004,$A382,'Cleans Log'!$O$5:$O$1004,"&gt;0"))</f>
        <v/>
      </c>
      <c r="H382" s="28" t="str">
        <f aca="false">IF($B382="","",SUMIFS('Cleans Log'!$O$5:$O$1004,'Cleans Log'!$C$5:$C$1004,$B382,'Cleans Log'!$R$5:$R$1004,$A382))</f>
        <v/>
      </c>
      <c r="I382" s="30" t="str">
        <f aca="false">IF($A382="","",$A382+7)</f>
        <v/>
      </c>
      <c r="J382" s="27" t="str">
        <f aca="true">IF($B382="","",IF($C382&lt;&gt;"","Paid",IF(TODAY()&gt;=$I382,"PAY NOW","Upcoming")))</f>
        <v/>
      </c>
    </row>
    <row r="383" customFormat="false" ht="15" hidden="false" customHeight="false" outlineLevel="0" collapsed="false">
      <c r="A383" s="22"/>
      <c r="B383" s="23"/>
      <c r="C383" s="22"/>
      <c r="D383" s="23"/>
      <c r="E383" s="23"/>
      <c r="F383" s="27" t="str">
        <f aca="false">IF($B383="","",IFERROR(INDEX(Cleaners!$B$5:$B$34,MATCH($B383,Cleaners!$A$5:$A$34,0)),"?"))</f>
        <v/>
      </c>
      <c r="G383" s="31" t="str">
        <f aca="false">IF($B383="","",COUNTIFS('Cleans Log'!$C$5:$C$1004,$B383,'Cleans Log'!$R$5:$R$1004,$A383,'Cleans Log'!$O$5:$O$1004,"&gt;0"))</f>
        <v/>
      </c>
      <c r="H383" s="28" t="str">
        <f aca="false">IF($B383="","",SUMIFS('Cleans Log'!$O$5:$O$1004,'Cleans Log'!$C$5:$C$1004,$B383,'Cleans Log'!$R$5:$R$1004,$A383))</f>
        <v/>
      </c>
      <c r="I383" s="30" t="str">
        <f aca="false">IF($A383="","",$A383+7)</f>
        <v/>
      </c>
      <c r="J383" s="27" t="str">
        <f aca="true">IF($B383="","",IF($C383&lt;&gt;"","Paid",IF(TODAY()&gt;=$I383,"PAY NOW","Upcoming")))</f>
        <v/>
      </c>
    </row>
    <row r="384" customFormat="false" ht="15" hidden="false" customHeight="false" outlineLevel="0" collapsed="false">
      <c r="A384" s="22"/>
      <c r="B384" s="23"/>
      <c r="C384" s="22"/>
      <c r="D384" s="23"/>
      <c r="E384" s="23"/>
      <c r="F384" s="27" t="str">
        <f aca="false">IF($B384="","",IFERROR(INDEX(Cleaners!$B$5:$B$34,MATCH($B384,Cleaners!$A$5:$A$34,0)),"?"))</f>
        <v/>
      </c>
      <c r="G384" s="31" t="str">
        <f aca="false">IF($B384="","",COUNTIFS('Cleans Log'!$C$5:$C$1004,$B384,'Cleans Log'!$R$5:$R$1004,$A384,'Cleans Log'!$O$5:$O$1004,"&gt;0"))</f>
        <v/>
      </c>
      <c r="H384" s="28" t="str">
        <f aca="false">IF($B384="","",SUMIFS('Cleans Log'!$O$5:$O$1004,'Cleans Log'!$C$5:$C$1004,$B384,'Cleans Log'!$R$5:$R$1004,$A384))</f>
        <v/>
      </c>
      <c r="I384" s="30" t="str">
        <f aca="false">IF($A384="","",$A384+7)</f>
        <v/>
      </c>
      <c r="J384" s="27" t="str">
        <f aca="true">IF($B384="","",IF($C384&lt;&gt;"","Paid",IF(TODAY()&gt;=$I384,"PAY NOW","Upcoming")))</f>
        <v/>
      </c>
    </row>
    <row r="385" customFormat="false" ht="15" hidden="false" customHeight="false" outlineLevel="0" collapsed="false">
      <c r="A385" s="22"/>
      <c r="B385" s="23"/>
      <c r="C385" s="22"/>
      <c r="D385" s="23"/>
      <c r="E385" s="23"/>
      <c r="F385" s="27" t="str">
        <f aca="false">IF($B385="","",IFERROR(INDEX(Cleaners!$B$5:$B$34,MATCH($B385,Cleaners!$A$5:$A$34,0)),"?"))</f>
        <v/>
      </c>
      <c r="G385" s="31" t="str">
        <f aca="false">IF($B385="","",COUNTIFS('Cleans Log'!$C$5:$C$1004,$B385,'Cleans Log'!$R$5:$R$1004,$A385,'Cleans Log'!$O$5:$O$1004,"&gt;0"))</f>
        <v/>
      </c>
      <c r="H385" s="28" t="str">
        <f aca="false">IF($B385="","",SUMIFS('Cleans Log'!$O$5:$O$1004,'Cleans Log'!$C$5:$C$1004,$B385,'Cleans Log'!$R$5:$R$1004,$A385))</f>
        <v/>
      </c>
      <c r="I385" s="30" t="str">
        <f aca="false">IF($A385="","",$A385+7)</f>
        <v/>
      </c>
      <c r="J385" s="27" t="str">
        <f aca="true">IF($B385="","",IF($C385&lt;&gt;"","Paid",IF(TODAY()&gt;=$I385,"PAY NOW","Upcoming")))</f>
        <v/>
      </c>
    </row>
    <row r="386" customFormat="false" ht="15" hidden="false" customHeight="false" outlineLevel="0" collapsed="false">
      <c r="A386" s="22"/>
      <c r="B386" s="23"/>
      <c r="C386" s="22"/>
      <c r="D386" s="23"/>
      <c r="E386" s="23"/>
      <c r="F386" s="27" t="str">
        <f aca="false">IF($B386="","",IFERROR(INDEX(Cleaners!$B$5:$B$34,MATCH($B386,Cleaners!$A$5:$A$34,0)),"?"))</f>
        <v/>
      </c>
      <c r="G386" s="31" t="str">
        <f aca="false">IF($B386="","",COUNTIFS('Cleans Log'!$C$5:$C$1004,$B386,'Cleans Log'!$R$5:$R$1004,$A386,'Cleans Log'!$O$5:$O$1004,"&gt;0"))</f>
        <v/>
      </c>
      <c r="H386" s="28" t="str">
        <f aca="false">IF($B386="","",SUMIFS('Cleans Log'!$O$5:$O$1004,'Cleans Log'!$C$5:$C$1004,$B386,'Cleans Log'!$R$5:$R$1004,$A386))</f>
        <v/>
      </c>
      <c r="I386" s="30" t="str">
        <f aca="false">IF($A386="","",$A386+7)</f>
        <v/>
      </c>
      <c r="J386" s="27" t="str">
        <f aca="true">IF($B386="","",IF($C386&lt;&gt;"","Paid",IF(TODAY()&gt;=$I386,"PAY NOW","Upcoming")))</f>
        <v/>
      </c>
    </row>
    <row r="387" customFormat="false" ht="15" hidden="false" customHeight="false" outlineLevel="0" collapsed="false">
      <c r="A387" s="22"/>
      <c r="B387" s="23"/>
      <c r="C387" s="22"/>
      <c r="D387" s="23"/>
      <c r="E387" s="23"/>
      <c r="F387" s="27" t="str">
        <f aca="false">IF($B387="","",IFERROR(INDEX(Cleaners!$B$5:$B$34,MATCH($B387,Cleaners!$A$5:$A$34,0)),"?"))</f>
        <v/>
      </c>
      <c r="G387" s="31" t="str">
        <f aca="false">IF($B387="","",COUNTIFS('Cleans Log'!$C$5:$C$1004,$B387,'Cleans Log'!$R$5:$R$1004,$A387,'Cleans Log'!$O$5:$O$1004,"&gt;0"))</f>
        <v/>
      </c>
      <c r="H387" s="28" t="str">
        <f aca="false">IF($B387="","",SUMIFS('Cleans Log'!$O$5:$O$1004,'Cleans Log'!$C$5:$C$1004,$B387,'Cleans Log'!$R$5:$R$1004,$A387))</f>
        <v/>
      </c>
      <c r="I387" s="30" t="str">
        <f aca="false">IF($A387="","",$A387+7)</f>
        <v/>
      </c>
      <c r="J387" s="27" t="str">
        <f aca="true">IF($B387="","",IF($C387&lt;&gt;"","Paid",IF(TODAY()&gt;=$I387,"PAY NOW","Upcoming")))</f>
        <v/>
      </c>
    </row>
    <row r="388" customFormat="false" ht="15" hidden="false" customHeight="false" outlineLevel="0" collapsed="false">
      <c r="A388" s="22"/>
      <c r="B388" s="23"/>
      <c r="C388" s="22"/>
      <c r="D388" s="23"/>
      <c r="E388" s="23"/>
      <c r="F388" s="27" t="str">
        <f aca="false">IF($B388="","",IFERROR(INDEX(Cleaners!$B$5:$B$34,MATCH($B388,Cleaners!$A$5:$A$34,0)),"?"))</f>
        <v/>
      </c>
      <c r="G388" s="31" t="str">
        <f aca="false">IF($B388="","",COUNTIFS('Cleans Log'!$C$5:$C$1004,$B388,'Cleans Log'!$R$5:$R$1004,$A388,'Cleans Log'!$O$5:$O$1004,"&gt;0"))</f>
        <v/>
      </c>
      <c r="H388" s="28" t="str">
        <f aca="false">IF($B388="","",SUMIFS('Cleans Log'!$O$5:$O$1004,'Cleans Log'!$C$5:$C$1004,$B388,'Cleans Log'!$R$5:$R$1004,$A388))</f>
        <v/>
      </c>
      <c r="I388" s="30" t="str">
        <f aca="false">IF($A388="","",$A388+7)</f>
        <v/>
      </c>
      <c r="J388" s="27" t="str">
        <f aca="true">IF($B388="","",IF($C388&lt;&gt;"","Paid",IF(TODAY()&gt;=$I388,"PAY NOW","Upcoming")))</f>
        <v/>
      </c>
    </row>
    <row r="389" customFormat="false" ht="15" hidden="false" customHeight="false" outlineLevel="0" collapsed="false">
      <c r="A389" s="22"/>
      <c r="B389" s="23"/>
      <c r="C389" s="22"/>
      <c r="D389" s="23"/>
      <c r="E389" s="23"/>
      <c r="F389" s="27" t="str">
        <f aca="false">IF($B389="","",IFERROR(INDEX(Cleaners!$B$5:$B$34,MATCH($B389,Cleaners!$A$5:$A$34,0)),"?"))</f>
        <v/>
      </c>
      <c r="G389" s="31" t="str">
        <f aca="false">IF($B389="","",COUNTIFS('Cleans Log'!$C$5:$C$1004,$B389,'Cleans Log'!$R$5:$R$1004,$A389,'Cleans Log'!$O$5:$O$1004,"&gt;0"))</f>
        <v/>
      </c>
      <c r="H389" s="28" t="str">
        <f aca="false">IF($B389="","",SUMIFS('Cleans Log'!$O$5:$O$1004,'Cleans Log'!$C$5:$C$1004,$B389,'Cleans Log'!$R$5:$R$1004,$A389))</f>
        <v/>
      </c>
      <c r="I389" s="30" t="str">
        <f aca="false">IF($A389="","",$A389+7)</f>
        <v/>
      </c>
      <c r="J389" s="27" t="str">
        <f aca="true">IF($B389="","",IF($C389&lt;&gt;"","Paid",IF(TODAY()&gt;=$I389,"PAY NOW","Upcoming")))</f>
        <v/>
      </c>
    </row>
    <row r="390" customFormat="false" ht="15" hidden="false" customHeight="false" outlineLevel="0" collapsed="false">
      <c r="A390" s="22"/>
      <c r="B390" s="23"/>
      <c r="C390" s="22"/>
      <c r="D390" s="23"/>
      <c r="E390" s="23"/>
      <c r="F390" s="27" t="str">
        <f aca="false">IF($B390="","",IFERROR(INDEX(Cleaners!$B$5:$B$34,MATCH($B390,Cleaners!$A$5:$A$34,0)),"?"))</f>
        <v/>
      </c>
      <c r="G390" s="31" t="str">
        <f aca="false">IF($B390="","",COUNTIFS('Cleans Log'!$C$5:$C$1004,$B390,'Cleans Log'!$R$5:$R$1004,$A390,'Cleans Log'!$O$5:$O$1004,"&gt;0"))</f>
        <v/>
      </c>
      <c r="H390" s="28" t="str">
        <f aca="false">IF($B390="","",SUMIFS('Cleans Log'!$O$5:$O$1004,'Cleans Log'!$C$5:$C$1004,$B390,'Cleans Log'!$R$5:$R$1004,$A390))</f>
        <v/>
      </c>
      <c r="I390" s="30" t="str">
        <f aca="false">IF($A390="","",$A390+7)</f>
        <v/>
      </c>
      <c r="J390" s="27" t="str">
        <f aca="true">IF($B390="","",IF($C390&lt;&gt;"","Paid",IF(TODAY()&gt;=$I390,"PAY NOW","Upcoming")))</f>
        <v/>
      </c>
    </row>
    <row r="391" customFormat="false" ht="15" hidden="false" customHeight="false" outlineLevel="0" collapsed="false">
      <c r="A391" s="22"/>
      <c r="B391" s="23"/>
      <c r="C391" s="22"/>
      <c r="D391" s="23"/>
      <c r="E391" s="23"/>
      <c r="F391" s="27" t="str">
        <f aca="false">IF($B391="","",IFERROR(INDEX(Cleaners!$B$5:$B$34,MATCH($B391,Cleaners!$A$5:$A$34,0)),"?"))</f>
        <v/>
      </c>
      <c r="G391" s="31" t="str">
        <f aca="false">IF($B391="","",COUNTIFS('Cleans Log'!$C$5:$C$1004,$B391,'Cleans Log'!$R$5:$R$1004,$A391,'Cleans Log'!$O$5:$O$1004,"&gt;0"))</f>
        <v/>
      </c>
      <c r="H391" s="28" t="str">
        <f aca="false">IF($B391="","",SUMIFS('Cleans Log'!$O$5:$O$1004,'Cleans Log'!$C$5:$C$1004,$B391,'Cleans Log'!$R$5:$R$1004,$A391))</f>
        <v/>
      </c>
      <c r="I391" s="30" t="str">
        <f aca="false">IF($A391="","",$A391+7)</f>
        <v/>
      </c>
      <c r="J391" s="27" t="str">
        <f aca="true">IF($B391="","",IF($C391&lt;&gt;"","Paid",IF(TODAY()&gt;=$I391,"PAY NOW","Upcoming")))</f>
        <v/>
      </c>
    </row>
    <row r="392" customFormat="false" ht="15" hidden="false" customHeight="false" outlineLevel="0" collapsed="false">
      <c r="A392" s="22"/>
      <c r="B392" s="23"/>
      <c r="C392" s="22"/>
      <c r="D392" s="23"/>
      <c r="E392" s="23"/>
      <c r="F392" s="27" t="str">
        <f aca="false">IF($B392="","",IFERROR(INDEX(Cleaners!$B$5:$B$34,MATCH($B392,Cleaners!$A$5:$A$34,0)),"?"))</f>
        <v/>
      </c>
      <c r="G392" s="31" t="str">
        <f aca="false">IF($B392="","",COUNTIFS('Cleans Log'!$C$5:$C$1004,$B392,'Cleans Log'!$R$5:$R$1004,$A392,'Cleans Log'!$O$5:$O$1004,"&gt;0"))</f>
        <v/>
      </c>
      <c r="H392" s="28" t="str">
        <f aca="false">IF($B392="","",SUMIFS('Cleans Log'!$O$5:$O$1004,'Cleans Log'!$C$5:$C$1004,$B392,'Cleans Log'!$R$5:$R$1004,$A392))</f>
        <v/>
      </c>
      <c r="I392" s="30" t="str">
        <f aca="false">IF($A392="","",$A392+7)</f>
        <v/>
      </c>
      <c r="J392" s="27" t="str">
        <f aca="true">IF($B392="","",IF($C392&lt;&gt;"","Paid",IF(TODAY()&gt;=$I392,"PAY NOW","Upcoming")))</f>
        <v/>
      </c>
    </row>
    <row r="393" customFormat="false" ht="15" hidden="false" customHeight="false" outlineLevel="0" collapsed="false">
      <c r="A393" s="22"/>
      <c r="B393" s="23"/>
      <c r="C393" s="22"/>
      <c r="D393" s="23"/>
      <c r="E393" s="23"/>
      <c r="F393" s="27" t="str">
        <f aca="false">IF($B393="","",IFERROR(INDEX(Cleaners!$B$5:$B$34,MATCH($B393,Cleaners!$A$5:$A$34,0)),"?"))</f>
        <v/>
      </c>
      <c r="G393" s="31" t="str">
        <f aca="false">IF($B393="","",COUNTIFS('Cleans Log'!$C$5:$C$1004,$B393,'Cleans Log'!$R$5:$R$1004,$A393,'Cleans Log'!$O$5:$O$1004,"&gt;0"))</f>
        <v/>
      </c>
      <c r="H393" s="28" t="str">
        <f aca="false">IF($B393="","",SUMIFS('Cleans Log'!$O$5:$O$1004,'Cleans Log'!$C$5:$C$1004,$B393,'Cleans Log'!$R$5:$R$1004,$A393))</f>
        <v/>
      </c>
      <c r="I393" s="30" t="str">
        <f aca="false">IF($A393="","",$A393+7)</f>
        <v/>
      </c>
      <c r="J393" s="27" t="str">
        <f aca="true">IF($B393="","",IF($C393&lt;&gt;"","Paid",IF(TODAY()&gt;=$I393,"PAY NOW","Upcoming")))</f>
        <v/>
      </c>
    </row>
    <row r="394" customFormat="false" ht="15" hidden="false" customHeight="false" outlineLevel="0" collapsed="false">
      <c r="A394" s="22"/>
      <c r="B394" s="23"/>
      <c r="C394" s="22"/>
      <c r="D394" s="23"/>
      <c r="E394" s="23"/>
      <c r="F394" s="27" t="str">
        <f aca="false">IF($B394="","",IFERROR(INDEX(Cleaners!$B$5:$B$34,MATCH($B394,Cleaners!$A$5:$A$34,0)),"?"))</f>
        <v/>
      </c>
      <c r="G394" s="31" t="str">
        <f aca="false">IF($B394="","",COUNTIFS('Cleans Log'!$C$5:$C$1004,$B394,'Cleans Log'!$R$5:$R$1004,$A394,'Cleans Log'!$O$5:$O$1004,"&gt;0"))</f>
        <v/>
      </c>
      <c r="H394" s="28" t="str">
        <f aca="false">IF($B394="","",SUMIFS('Cleans Log'!$O$5:$O$1004,'Cleans Log'!$C$5:$C$1004,$B394,'Cleans Log'!$R$5:$R$1004,$A394))</f>
        <v/>
      </c>
      <c r="I394" s="30" t="str">
        <f aca="false">IF($A394="","",$A394+7)</f>
        <v/>
      </c>
      <c r="J394" s="27" t="str">
        <f aca="true">IF($B394="","",IF($C394&lt;&gt;"","Paid",IF(TODAY()&gt;=$I394,"PAY NOW","Upcoming")))</f>
        <v/>
      </c>
    </row>
    <row r="395" customFormat="false" ht="15" hidden="false" customHeight="false" outlineLevel="0" collapsed="false">
      <c r="A395" s="22"/>
      <c r="B395" s="23"/>
      <c r="C395" s="22"/>
      <c r="D395" s="23"/>
      <c r="E395" s="23"/>
      <c r="F395" s="27" t="str">
        <f aca="false">IF($B395="","",IFERROR(INDEX(Cleaners!$B$5:$B$34,MATCH($B395,Cleaners!$A$5:$A$34,0)),"?"))</f>
        <v/>
      </c>
      <c r="G395" s="31" t="str">
        <f aca="false">IF($B395="","",COUNTIFS('Cleans Log'!$C$5:$C$1004,$B395,'Cleans Log'!$R$5:$R$1004,$A395,'Cleans Log'!$O$5:$O$1004,"&gt;0"))</f>
        <v/>
      </c>
      <c r="H395" s="28" t="str">
        <f aca="false">IF($B395="","",SUMIFS('Cleans Log'!$O$5:$O$1004,'Cleans Log'!$C$5:$C$1004,$B395,'Cleans Log'!$R$5:$R$1004,$A395))</f>
        <v/>
      </c>
      <c r="I395" s="30" t="str">
        <f aca="false">IF($A395="","",$A395+7)</f>
        <v/>
      </c>
      <c r="J395" s="27" t="str">
        <f aca="true">IF($B395="","",IF($C395&lt;&gt;"","Paid",IF(TODAY()&gt;=$I395,"PAY NOW","Upcoming")))</f>
        <v/>
      </c>
    </row>
    <row r="396" customFormat="false" ht="15" hidden="false" customHeight="false" outlineLevel="0" collapsed="false">
      <c r="A396" s="22"/>
      <c r="B396" s="23"/>
      <c r="C396" s="22"/>
      <c r="D396" s="23"/>
      <c r="E396" s="23"/>
      <c r="F396" s="27" t="str">
        <f aca="false">IF($B396="","",IFERROR(INDEX(Cleaners!$B$5:$B$34,MATCH($B396,Cleaners!$A$5:$A$34,0)),"?"))</f>
        <v/>
      </c>
      <c r="G396" s="31" t="str">
        <f aca="false">IF($B396="","",COUNTIFS('Cleans Log'!$C$5:$C$1004,$B396,'Cleans Log'!$R$5:$R$1004,$A396,'Cleans Log'!$O$5:$O$1004,"&gt;0"))</f>
        <v/>
      </c>
      <c r="H396" s="28" t="str">
        <f aca="false">IF($B396="","",SUMIFS('Cleans Log'!$O$5:$O$1004,'Cleans Log'!$C$5:$C$1004,$B396,'Cleans Log'!$R$5:$R$1004,$A396))</f>
        <v/>
      </c>
      <c r="I396" s="30" t="str">
        <f aca="false">IF($A396="","",$A396+7)</f>
        <v/>
      </c>
      <c r="J396" s="27" t="str">
        <f aca="true">IF($B396="","",IF($C396&lt;&gt;"","Paid",IF(TODAY()&gt;=$I396,"PAY NOW","Upcoming")))</f>
        <v/>
      </c>
    </row>
    <row r="397" customFormat="false" ht="15" hidden="false" customHeight="false" outlineLevel="0" collapsed="false">
      <c r="A397" s="22"/>
      <c r="B397" s="23"/>
      <c r="C397" s="22"/>
      <c r="D397" s="23"/>
      <c r="E397" s="23"/>
      <c r="F397" s="27" t="str">
        <f aca="false">IF($B397="","",IFERROR(INDEX(Cleaners!$B$5:$B$34,MATCH($B397,Cleaners!$A$5:$A$34,0)),"?"))</f>
        <v/>
      </c>
      <c r="G397" s="31" t="str">
        <f aca="false">IF($B397="","",COUNTIFS('Cleans Log'!$C$5:$C$1004,$B397,'Cleans Log'!$R$5:$R$1004,$A397,'Cleans Log'!$O$5:$O$1004,"&gt;0"))</f>
        <v/>
      </c>
      <c r="H397" s="28" t="str">
        <f aca="false">IF($B397="","",SUMIFS('Cleans Log'!$O$5:$O$1004,'Cleans Log'!$C$5:$C$1004,$B397,'Cleans Log'!$R$5:$R$1004,$A397))</f>
        <v/>
      </c>
      <c r="I397" s="30" t="str">
        <f aca="false">IF($A397="","",$A397+7)</f>
        <v/>
      </c>
      <c r="J397" s="27" t="str">
        <f aca="true">IF($B397="","",IF($C397&lt;&gt;"","Paid",IF(TODAY()&gt;=$I397,"PAY NOW","Upcoming")))</f>
        <v/>
      </c>
    </row>
    <row r="398" customFormat="false" ht="15" hidden="false" customHeight="false" outlineLevel="0" collapsed="false">
      <c r="A398" s="22"/>
      <c r="B398" s="23"/>
      <c r="C398" s="22"/>
      <c r="D398" s="23"/>
      <c r="E398" s="23"/>
      <c r="F398" s="27" t="str">
        <f aca="false">IF($B398="","",IFERROR(INDEX(Cleaners!$B$5:$B$34,MATCH($B398,Cleaners!$A$5:$A$34,0)),"?"))</f>
        <v/>
      </c>
      <c r="G398" s="31" t="str">
        <f aca="false">IF($B398="","",COUNTIFS('Cleans Log'!$C$5:$C$1004,$B398,'Cleans Log'!$R$5:$R$1004,$A398,'Cleans Log'!$O$5:$O$1004,"&gt;0"))</f>
        <v/>
      </c>
      <c r="H398" s="28" t="str">
        <f aca="false">IF($B398="","",SUMIFS('Cleans Log'!$O$5:$O$1004,'Cleans Log'!$C$5:$C$1004,$B398,'Cleans Log'!$R$5:$R$1004,$A398))</f>
        <v/>
      </c>
      <c r="I398" s="30" t="str">
        <f aca="false">IF($A398="","",$A398+7)</f>
        <v/>
      </c>
      <c r="J398" s="27" t="str">
        <f aca="true">IF($B398="","",IF($C398&lt;&gt;"","Paid",IF(TODAY()&gt;=$I398,"PAY NOW","Upcoming")))</f>
        <v/>
      </c>
    </row>
    <row r="399" customFormat="false" ht="15" hidden="false" customHeight="false" outlineLevel="0" collapsed="false">
      <c r="A399" s="22"/>
      <c r="B399" s="23"/>
      <c r="C399" s="22"/>
      <c r="D399" s="23"/>
      <c r="E399" s="23"/>
      <c r="F399" s="27" t="str">
        <f aca="false">IF($B399="","",IFERROR(INDEX(Cleaners!$B$5:$B$34,MATCH($B399,Cleaners!$A$5:$A$34,0)),"?"))</f>
        <v/>
      </c>
      <c r="G399" s="31" t="str">
        <f aca="false">IF($B399="","",COUNTIFS('Cleans Log'!$C$5:$C$1004,$B399,'Cleans Log'!$R$5:$R$1004,$A399,'Cleans Log'!$O$5:$O$1004,"&gt;0"))</f>
        <v/>
      </c>
      <c r="H399" s="28" t="str">
        <f aca="false">IF($B399="","",SUMIFS('Cleans Log'!$O$5:$O$1004,'Cleans Log'!$C$5:$C$1004,$B399,'Cleans Log'!$R$5:$R$1004,$A399))</f>
        <v/>
      </c>
      <c r="I399" s="30" t="str">
        <f aca="false">IF($A399="","",$A399+7)</f>
        <v/>
      </c>
      <c r="J399" s="27" t="str">
        <f aca="true">IF($B399="","",IF($C399&lt;&gt;"","Paid",IF(TODAY()&gt;=$I399,"PAY NOW","Upcoming")))</f>
        <v/>
      </c>
    </row>
    <row r="400" customFormat="false" ht="15" hidden="false" customHeight="false" outlineLevel="0" collapsed="false">
      <c r="A400" s="22"/>
      <c r="B400" s="23"/>
      <c r="C400" s="22"/>
      <c r="D400" s="23"/>
      <c r="E400" s="23"/>
      <c r="F400" s="27" t="str">
        <f aca="false">IF($B400="","",IFERROR(INDEX(Cleaners!$B$5:$B$34,MATCH($B400,Cleaners!$A$5:$A$34,0)),"?"))</f>
        <v/>
      </c>
      <c r="G400" s="31" t="str">
        <f aca="false">IF($B400="","",COUNTIFS('Cleans Log'!$C$5:$C$1004,$B400,'Cleans Log'!$R$5:$R$1004,$A400,'Cleans Log'!$O$5:$O$1004,"&gt;0"))</f>
        <v/>
      </c>
      <c r="H400" s="28" t="str">
        <f aca="false">IF($B400="","",SUMIFS('Cleans Log'!$O$5:$O$1004,'Cleans Log'!$C$5:$C$1004,$B400,'Cleans Log'!$R$5:$R$1004,$A400))</f>
        <v/>
      </c>
      <c r="I400" s="30" t="str">
        <f aca="false">IF($A400="","",$A400+7)</f>
        <v/>
      </c>
      <c r="J400" s="27" t="str">
        <f aca="true">IF($B400="","",IF($C400&lt;&gt;"","Paid",IF(TODAY()&gt;=$I400,"PAY NOW","Upcoming")))</f>
        <v/>
      </c>
    </row>
    <row r="401" customFormat="false" ht="15" hidden="false" customHeight="false" outlineLevel="0" collapsed="false">
      <c r="A401" s="22"/>
      <c r="B401" s="23"/>
      <c r="C401" s="22"/>
      <c r="D401" s="23"/>
      <c r="E401" s="23"/>
      <c r="F401" s="27" t="str">
        <f aca="false">IF($B401="","",IFERROR(INDEX(Cleaners!$B$5:$B$34,MATCH($B401,Cleaners!$A$5:$A$34,0)),"?"))</f>
        <v/>
      </c>
      <c r="G401" s="31" t="str">
        <f aca="false">IF($B401="","",COUNTIFS('Cleans Log'!$C$5:$C$1004,$B401,'Cleans Log'!$R$5:$R$1004,$A401,'Cleans Log'!$O$5:$O$1004,"&gt;0"))</f>
        <v/>
      </c>
      <c r="H401" s="28" t="str">
        <f aca="false">IF($B401="","",SUMIFS('Cleans Log'!$O$5:$O$1004,'Cleans Log'!$C$5:$C$1004,$B401,'Cleans Log'!$R$5:$R$1004,$A401))</f>
        <v/>
      </c>
      <c r="I401" s="30" t="str">
        <f aca="false">IF($A401="","",$A401+7)</f>
        <v/>
      </c>
      <c r="J401" s="27" t="str">
        <f aca="true">IF($B401="","",IF($C401&lt;&gt;"","Paid",IF(TODAY()&gt;=$I401,"PAY NOW","Upcoming")))</f>
        <v/>
      </c>
    </row>
    <row r="402" customFormat="false" ht="15" hidden="false" customHeight="false" outlineLevel="0" collapsed="false">
      <c r="A402" s="22"/>
      <c r="B402" s="23"/>
      <c r="C402" s="22"/>
      <c r="D402" s="23"/>
      <c r="E402" s="23"/>
      <c r="F402" s="27" t="str">
        <f aca="false">IF($B402="","",IFERROR(INDEX(Cleaners!$B$5:$B$34,MATCH($B402,Cleaners!$A$5:$A$34,0)),"?"))</f>
        <v/>
      </c>
      <c r="G402" s="31" t="str">
        <f aca="false">IF($B402="","",COUNTIFS('Cleans Log'!$C$5:$C$1004,$B402,'Cleans Log'!$R$5:$R$1004,$A402,'Cleans Log'!$O$5:$O$1004,"&gt;0"))</f>
        <v/>
      </c>
      <c r="H402" s="28" t="str">
        <f aca="false">IF($B402="","",SUMIFS('Cleans Log'!$O$5:$O$1004,'Cleans Log'!$C$5:$C$1004,$B402,'Cleans Log'!$R$5:$R$1004,$A402))</f>
        <v/>
      </c>
      <c r="I402" s="30" t="str">
        <f aca="false">IF($A402="","",$A402+7)</f>
        <v/>
      </c>
      <c r="J402" s="27" t="str">
        <f aca="true">IF($B402="","",IF($C402&lt;&gt;"","Paid",IF(TODAY()&gt;=$I402,"PAY NOW","Upcoming")))</f>
        <v/>
      </c>
    </row>
    <row r="403" customFormat="false" ht="15" hidden="false" customHeight="false" outlineLevel="0" collapsed="false">
      <c r="A403" s="22"/>
      <c r="B403" s="23"/>
      <c r="C403" s="22"/>
      <c r="D403" s="23"/>
      <c r="E403" s="23"/>
      <c r="F403" s="27" t="str">
        <f aca="false">IF($B403="","",IFERROR(INDEX(Cleaners!$B$5:$B$34,MATCH($B403,Cleaners!$A$5:$A$34,0)),"?"))</f>
        <v/>
      </c>
      <c r="G403" s="31" t="str">
        <f aca="false">IF($B403="","",COUNTIFS('Cleans Log'!$C$5:$C$1004,$B403,'Cleans Log'!$R$5:$R$1004,$A403,'Cleans Log'!$O$5:$O$1004,"&gt;0"))</f>
        <v/>
      </c>
      <c r="H403" s="28" t="str">
        <f aca="false">IF($B403="","",SUMIFS('Cleans Log'!$O$5:$O$1004,'Cleans Log'!$C$5:$C$1004,$B403,'Cleans Log'!$R$5:$R$1004,$A403))</f>
        <v/>
      </c>
      <c r="I403" s="30" t="str">
        <f aca="false">IF($A403="","",$A403+7)</f>
        <v/>
      </c>
      <c r="J403" s="27" t="str">
        <f aca="true">IF($B403="","",IF($C403&lt;&gt;"","Paid",IF(TODAY()&gt;=$I403,"PAY NOW","Upcoming")))</f>
        <v/>
      </c>
    </row>
    <row r="404" customFormat="false" ht="15" hidden="false" customHeight="false" outlineLevel="0" collapsed="false">
      <c r="A404" s="22"/>
      <c r="B404" s="23"/>
      <c r="C404" s="22"/>
      <c r="D404" s="23"/>
      <c r="E404" s="23"/>
      <c r="F404" s="27" t="str">
        <f aca="false">IF($B404="","",IFERROR(INDEX(Cleaners!$B$5:$B$34,MATCH($B404,Cleaners!$A$5:$A$34,0)),"?"))</f>
        <v/>
      </c>
      <c r="G404" s="31" t="str">
        <f aca="false">IF($B404="","",COUNTIFS('Cleans Log'!$C$5:$C$1004,$B404,'Cleans Log'!$R$5:$R$1004,$A404,'Cleans Log'!$O$5:$O$1004,"&gt;0"))</f>
        <v/>
      </c>
      <c r="H404" s="28" t="str">
        <f aca="false">IF($B404="","",SUMIFS('Cleans Log'!$O$5:$O$1004,'Cleans Log'!$C$5:$C$1004,$B404,'Cleans Log'!$R$5:$R$1004,$A404))</f>
        <v/>
      </c>
      <c r="I404" s="30" t="str">
        <f aca="false">IF($A404="","",$A404+7)</f>
        <v/>
      </c>
      <c r="J404" s="27" t="str">
        <f aca="true">IF($B404="","",IF($C404&lt;&gt;"","Paid",IF(TODAY()&gt;=$I404,"PAY NOW","Upcoming")))</f>
        <v/>
      </c>
    </row>
    <row r="405" customFormat="false" ht="15" hidden="false" customHeight="false" outlineLevel="0" collapsed="false">
      <c r="A405" s="22"/>
      <c r="B405" s="23"/>
      <c r="C405" s="22"/>
      <c r="D405" s="23"/>
      <c r="E405" s="23"/>
      <c r="F405" s="27" t="str">
        <f aca="false">IF($B405="","",IFERROR(INDEX(Cleaners!$B$5:$B$34,MATCH($B405,Cleaners!$A$5:$A$34,0)),"?"))</f>
        <v/>
      </c>
      <c r="G405" s="31" t="str">
        <f aca="false">IF($B405="","",COUNTIFS('Cleans Log'!$C$5:$C$1004,$B405,'Cleans Log'!$R$5:$R$1004,$A405,'Cleans Log'!$O$5:$O$1004,"&gt;0"))</f>
        <v/>
      </c>
      <c r="H405" s="28" t="str">
        <f aca="false">IF($B405="","",SUMIFS('Cleans Log'!$O$5:$O$1004,'Cleans Log'!$C$5:$C$1004,$B405,'Cleans Log'!$R$5:$R$1004,$A405))</f>
        <v/>
      </c>
      <c r="I405" s="30" t="str">
        <f aca="false">IF($A405="","",$A405+7)</f>
        <v/>
      </c>
      <c r="J405" s="27" t="str">
        <f aca="true">IF($B405="","",IF($C405&lt;&gt;"","Paid",IF(TODAY()&gt;=$I405,"PAY NOW","Upcoming")))</f>
        <v/>
      </c>
    </row>
    <row r="406" customFormat="false" ht="15" hidden="false" customHeight="false" outlineLevel="0" collapsed="false">
      <c r="A406" s="22"/>
      <c r="B406" s="23"/>
      <c r="C406" s="22"/>
      <c r="D406" s="23"/>
      <c r="E406" s="23"/>
      <c r="F406" s="27" t="str">
        <f aca="false">IF($B406="","",IFERROR(INDEX(Cleaners!$B$5:$B$34,MATCH($B406,Cleaners!$A$5:$A$34,0)),"?"))</f>
        <v/>
      </c>
      <c r="G406" s="31" t="str">
        <f aca="false">IF($B406="","",COUNTIFS('Cleans Log'!$C$5:$C$1004,$B406,'Cleans Log'!$R$5:$R$1004,$A406,'Cleans Log'!$O$5:$O$1004,"&gt;0"))</f>
        <v/>
      </c>
      <c r="H406" s="28" t="str">
        <f aca="false">IF($B406="","",SUMIFS('Cleans Log'!$O$5:$O$1004,'Cleans Log'!$C$5:$C$1004,$B406,'Cleans Log'!$R$5:$R$1004,$A406))</f>
        <v/>
      </c>
      <c r="I406" s="30" t="str">
        <f aca="false">IF($A406="","",$A406+7)</f>
        <v/>
      </c>
      <c r="J406" s="27" t="str">
        <f aca="true">IF($B406="","",IF($C406&lt;&gt;"","Paid",IF(TODAY()&gt;=$I406,"PAY NOW","Upcoming")))</f>
        <v/>
      </c>
    </row>
    <row r="407" customFormat="false" ht="15" hidden="false" customHeight="false" outlineLevel="0" collapsed="false">
      <c r="A407" s="22"/>
      <c r="B407" s="23"/>
      <c r="C407" s="22"/>
      <c r="D407" s="23"/>
      <c r="E407" s="23"/>
      <c r="F407" s="27" t="str">
        <f aca="false">IF($B407="","",IFERROR(INDEX(Cleaners!$B$5:$B$34,MATCH($B407,Cleaners!$A$5:$A$34,0)),"?"))</f>
        <v/>
      </c>
      <c r="G407" s="31" t="str">
        <f aca="false">IF($B407="","",COUNTIFS('Cleans Log'!$C$5:$C$1004,$B407,'Cleans Log'!$R$5:$R$1004,$A407,'Cleans Log'!$O$5:$O$1004,"&gt;0"))</f>
        <v/>
      </c>
      <c r="H407" s="28" t="str">
        <f aca="false">IF($B407="","",SUMIFS('Cleans Log'!$O$5:$O$1004,'Cleans Log'!$C$5:$C$1004,$B407,'Cleans Log'!$R$5:$R$1004,$A407))</f>
        <v/>
      </c>
      <c r="I407" s="30" t="str">
        <f aca="false">IF($A407="","",$A407+7)</f>
        <v/>
      </c>
      <c r="J407" s="27" t="str">
        <f aca="true">IF($B407="","",IF($C407&lt;&gt;"","Paid",IF(TODAY()&gt;=$I407,"PAY NOW","Upcoming")))</f>
        <v/>
      </c>
    </row>
    <row r="408" customFormat="false" ht="15" hidden="false" customHeight="false" outlineLevel="0" collapsed="false">
      <c r="A408" s="22"/>
      <c r="B408" s="23"/>
      <c r="C408" s="22"/>
      <c r="D408" s="23"/>
      <c r="E408" s="23"/>
      <c r="F408" s="27" t="str">
        <f aca="false">IF($B408="","",IFERROR(INDEX(Cleaners!$B$5:$B$34,MATCH($B408,Cleaners!$A$5:$A$34,0)),"?"))</f>
        <v/>
      </c>
      <c r="G408" s="31" t="str">
        <f aca="false">IF($B408="","",COUNTIFS('Cleans Log'!$C$5:$C$1004,$B408,'Cleans Log'!$R$5:$R$1004,$A408,'Cleans Log'!$O$5:$O$1004,"&gt;0"))</f>
        <v/>
      </c>
      <c r="H408" s="28" t="str">
        <f aca="false">IF($B408="","",SUMIFS('Cleans Log'!$O$5:$O$1004,'Cleans Log'!$C$5:$C$1004,$B408,'Cleans Log'!$R$5:$R$1004,$A408))</f>
        <v/>
      </c>
      <c r="I408" s="30" t="str">
        <f aca="false">IF($A408="","",$A408+7)</f>
        <v/>
      </c>
      <c r="J408" s="27" t="str">
        <f aca="true">IF($B408="","",IF($C408&lt;&gt;"","Paid",IF(TODAY()&gt;=$I408,"PAY NOW","Upcoming")))</f>
        <v/>
      </c>
    </row>
    <row r="409" customFormat="false" ht="15" hidden="false" customHeight="false" outlineLevel="0" collapsed="false">
      <c r="A409" s="22"/>
      <c r="B409" s="23"/>
      <c r="C409" s="22"/>
      <c r="D409" s="23"/>
      <c r="E409" s="23"/>
      <c r="F409" s="27" t="str">
        <f aca="false">IF($B409="","",IFERROR(INDEX(Cleaners!$B$5:$B$34,MATCH($B409,Cleaners!$A$5:$A$34,0)),"?"))</f>
        <v/>
      </c>
      <c r="G409" s="31" t="str">
        <f aca="false">IF($B409="","",COUNTIFS('Cleans Log'!$C$5:$C$1004,$B409,'Cleans Log'!$R$5:$R$1004,$A409,'Cleans Log'!$O$5:$O$1004,"&gt;0"))</f>
        <v/>
      </c>
      <c r="H409" s="28" t="str">
        <f aca="false">IF($B409="","",SUMIFS('Cleans Log'!$O$5:$O$1004,'Cleans Log'!$C$5:$C$1004,$B409,'Cleans Log'!$R$5:$R$1004,$A409))</f>
        <v/>
      </c>
      <c r="I409" s="30" t="str">
        <f aca="false">IF($A409="","",$A409+7)</f>
        <v/>
      </c>
      <c r="J409" s="27" t="str">
        <f aca="true">IF($B409="","",IF($C409&lt;&gt;"","Paid",IF(TODAY()&gt;=$I409,"PAY NOW","Upcoming")))</f>
        <v/>
      </c>
    </row>
    <row r="410" customFormat="false" ht="15" hidden="false" customHeight="false" outlineLevel="0" collapsed="false">
      <c r="A410" s="22"/>
      <c r="B410" s="23"/>
      <c r="C410" s="22"/>
      <c r="D410" s="23"/>
      <c r="E410" s="23"/>
      <c r="F410" s="27" t="str">
        <f aca="false">IF($B410="","",IFERROR(INDEX(Cleaners!$B$5:$B$34,MATCH($B410,Cleaners!$A$5:$A$34,0)),"?"))</f>
        <v/>
      </c>
      <c r="G410" s="31" t="str">
        <f aca="false">IF($B410="","",COUNTIFS('Cleans Log'!$C$5:$C$1004,$B410,'Cleans Log'!$R$5:$R$1004,$A410,'Cleans Log'!$O$5:$O$1004,"&gt;0"))</f>
        <v/>
      </c>
      <c r="H410" s="28" t="str">
        <f aca="false">IF($B410="","",SUMIFS('Cleans Log'!$O$5:$O$1004,'Cleans Log'!$C$5:$C$1004,$B410,'Cleans Log'!$R$5:$R$1004,$A410))</f>
        <v/>
      </c>
      <c r="I410" s="30" t="str">
        <f aca="false">IF($A410="","",$A410+7)</f>
        <v/>
      </c>
      <c r="J410" s="27" t="str">
        <f aca="true">IF($B410="","",IF($C410&lt;&gt;"","Paid",IF(TODAY()&gt;=$I410,"PAY NOW","Upcoming")))</f>
        <v/>
      </c>
    </row>
    <row r="411" customFormat="false" ht="15" hidden="false" customHeight="false" outlineLevel="0" collapsed="false">
      <c r="A411" s="22"/>
      <c r="B411" s="23"/>
      <c r="C411" s="22"/>
      <c r="D411" s="23"/>
      <c r="E411" s="23"/>
      <c r="F411" s="27" t="str">
        <f aca="false">IF($B411="","",IFERROR(INDEX(Cleaners!$B$5:$B$34,MATCH($B411,Cleaners!$A$5:$A$34,0)),"?"))</f>
        <v/>
      </c>
      <c r="G411" s="31" t="str">
        <f aca="false">IF($B411="","",COUNTIFS('Cleans Log'!$C$5:$C$1004,$B411,'Cleans Log'!$R$5:$R$1004,$A411,'Cleans Log'!$O$5:$O$1004,"&gt;0"))</f>
        <v/>
      </c>
      <c r="H411" s="28" t="str">
        <f aca="false">IF($B411="","",SUMIFS('Cleans Log'!$O$5:$O$1004,'Cleans Log'!$C$5:$C$1004,$B411,'Cleans Log'!$R$5:$R$1004,$A411))</f>
        <v/>
      </c>
      <c r="I411" s="30" t="str">
        <f aca="false">IF($A411="","",$A411+7)</f>
        <v/>
      </c>
      <c r="J411" s="27" t="str">
        <f aca="true">IF($B411="","",IF($C411&lt;&gt;"","Paid",IF(TODAY()&gt;=$I411,"PAY NOW","Upcoming")))</f>
        <v/>
      </c>
    </row>
    <row r="412" customFormat="false" ht="15" hidden="false" customHeight="false" outlineLevel="0" collapsed="false">
      <c r="A412" s="22"/>
      <c r="B412" s="23"/>
      <c r="C412" s="22"/>
      <c r="D412" s="23"/>
      <c r="E412" s="23"/>
      <c r="F412" s="27" t="str">
        <f aca="false">IF($B412="","",IFERROR(INDEX(Cleaners!$B$5:$B$34,MATCH($B412,Cleaners!$A$5:$A$34,0)),"?"))</f>
        <v/>
      </c>
      <c r="G412" s="31" t="str">
        <f aca="false">IF($B412="","",COUNTIFS('Cleans Log'!$C$5:$C$1004,$B412,'Cleans Log'!$R$5:$R$1004,$A412,'Cleans Log'!$O$5:$O$1004,"&gt;0"))</f>
        <v/>
      </c>
      <c r="H412" s="28" t="str">
        <f aca="false">IF($B412="","",SUMIFS('Cleans Log'!$O$5:$O$1004,'Cleans Log'!$C$5:$C$1004,$B412,'Cleans Log'!$R$5:$R$1004,$A412))</f>
        <v/>
      </c>
      <c r="I412" s="30" t="str">
        <f aca="false">IF($A412="","",$A412+7)</f>
        <v/>
      </c>
      <c r="J412" s="27" t="str">
        <f aca="true">IF($B412="","",IF($C412&lt;&gt;"","Paid",IF(TODAY()&gt;=$I412,"PAY NOW","Upcoming")))</f>
        <v/>
      </c>
    </row>
    <row r="413" customFormat="false" ht="15" hidden="false" customHeight="false" outlineLevel="0" collapsed="false">
      <c r="A413" s="22"/>
      <c r="B413" s="23"/>
      <c r="C413" s="22"/>
      <c r="D413" s="23"/>
      <c r="E413" s="23"/>
      <c r="F413" s="27" t="str">
        <f aca="false">IF($B413="","",IFERROR(INDEX(Cleaners!$B$5:$B$34,MATCH($B413,Cleaners!$A$5:$A$34,0)),"?"))</f>
        <v/>
      </c>
      <c r="G413" s="31" t="str">
        <f aca="false">IF($B413="","",COUNTIFS('Cleans Log'!$C$5:$C$1004,$B413,'Cleans Log'!$R$5:$R$1004,$A413,'Cleans Log'!$O$5:$O$1004,"&gt;0"))</f>
        <v/>
      </c>
      <c r="H413" s="28" t="str">
        <f aca="false">IF($B413="","",SUMIFS('Cleans Log'!$O$5:$O$1004,'Cleans Log'!$C$5:$C$1004,$B413,'Cleans Log'!$R$5:$R$1004,$A413))</f>
        <v/>
      </c>
      <c r="I413" s="30" t="str">
        <f aca="false">IF($A413="","",$A413+7)</f>
        <v/>
      </c>
      <c r="J413" s="27" t="str">
        <f aca="true">IF($B413="","",IF($C413&lt;&gt;"","Paid",IF(TODAY()&gt;=$I413,"PAY NOW","Upcoming")))</f>
        <v/>
      </c>
    </row>
    <row r="414" customFormat="false" ht="15" hidden="false" customHeight="false" outlineLevel="0" collapsed="false">
      <c r="A414" s="22"/>
      <c r="B414" s="23"/>
      <c r="C414" s="22"/>
      <c r="D414" s="23"/>
      <c r="E414" s="23"/>
      <c r="F414" s="27" t="str">
        <f aca="false">IF($B414="","",IFERROR(INDEX(Cleaners!$B$5:$B$34,MATCH($B414,Cleaners!$A$5:$A$34,0)),"?"))</f>
        <v/>
      </c>
      <c r="G414" s="31" t="str">
        <f aca="false">IF($B414="","",COUNTIFS('Cleans Log'!$C$5:$C$1004,$B414,'Cleans Log'!$R$5:$R$1004,$A414,'Cleans Log'!$O$5:$O$1004,"&gt;0"))</f>
        <v/>
      </c>
      <c r="H414" s="28" t="str">
        <f aca="false">IF($B414="","",SUMIFS('Cleans Log'!$O$5:$O$1004,'Cleans Log'!$C$5:$C$1004,$B414,'Cleans Log'!$R$5:$R$1004,$A414))</f>
        <v/>
      </c>
      <c r="I414" s="30" t="str">
        <f aca="false">IF($A414="","",$A414+7)</f>
        <v/>
      </c>
      <c r="J414" s="27" t="str">
        <f aca="true">IF($B414="","",IF($C414&lt;&gt;"","Paid",IF(TODAY()&gt;=$I414,"PAY NOW","Upcoming")))</f>
        <v/>
      </c>
    </row>
    <row r="415" customFormat="false" ht="15" hidden="false" customHeight="false" outlineLevel="0" collapsed="false">
      <c r="A415" s="22"/>
      <c r="B415" s="23"/>
      <c r="C415" s="22"/>
      <c r="D415" s="23"/>
      <c r="E415" s="23"/>
      <c r="F415" s="27" t="str">
        <f aca="false">IF($B415="","",IFERROR(INDEX(Cleaners!$B$5:$B$34,MATCH($B415,Cleaners!$A$5:$A$34,0)),"?"))</f>
        <v/>
      </c>
      <c r="G415" s="31" t="str">
        <f aca="false">IF($B415="","",COUNTIFS('Cleans Log'!$C$5:$C$1004,$B415,'Cleans Log'!$R$5:$R$1004,$A415,'Cleans Log'!$O$5:$O$1004,"&gt;0"))</f>
        <v/>
      </c>
      <c r="H415" s="28" t="str">
        <f aca="false">IF($B415="","",SUMIFS('Cleans Log'!$O$5:$O$1004,'Cleans Log'!$C$5:$C$1004,$B415,'Cleans Log'!$R$5:$R$1004,$A415))</f>
        <v/>
      </c>
      <c r="I415" s="30" t="str">
        <f aca="false">IF($A415="","",$A415+7)</f>
        <v/>
      </c>
      <c r="J415" s="27" t="str">
        <f aca="true">IF($B415="","",IF($C415&lt;&gt;"","Paid",IF(TODAY()&gt;=$I415,"PAY NOW","Upcoming")))</f>
        <v/>
      </c>
    </row>
    <row r="416" customFormat="false" ht="15" hidden="false" customHeight="false" outlineLevel="0" collapsed="false">
      <c r="A416" s="22"/>
      <c r="B416" s="23"/>
      <c r="C416" s="22"/>
      <c r="D416" s="23"/>
      <c r="E416" s="23"/>
      <c r="F416" s="27" t="str">
        <f aca="false">IF($B416="","",IFERROR(INDEX(Cleaners!$B$5:$B$34,MATCH($B416,Cleaners!$A$5:$A$34,0)),"?"))</f>
        <v/>
      </c>
      <c r="G416" s="31" t="str">
        <f aca="false">IF($B416="","",COUNTIFS('Cleans Log'!$C$5:$C$1004,$B416,'Cleans Log'!$R$5:$R$1004,$A416,'Cleans Log'!$O$5:$O$1004,"&gt;0"))</f>
        <v/>
      </c>
      <c r="H416" s="28" t="str">
        <f aca="false">IF($B416="","",SUMIFS('Cleans Log'!$O$5:$O$1004,'Cleans Log'!$C$5:$C$1004,$B416,'Cleans Log'!$R$5:$R$1004,$A416))</f>
        <v/>
      </c>
      <c r="I416" s="30" t="str">
        <f aca="false">IF($A416="","",$A416+7)</f>
        <v/>
      </c>
      <c r="J416" s="27" t="str">
        <f aca="true">IF($B416="","",IF($C416&lt;&gt;"","Paid",IF(TODAY()&gt;=$I416,"PAY NOW","Upcoming")))</f>
        <v/>
      </c>
    </row>
    <row r="417" customFormat="false" ht="15" hidden="false" customHeight="false" outlineLevel="0" collapsed="false">
      <c r="A417" s="22"/>
      <c r="B417" s="23"/>
      <c r="C417" s="22"/>
      <c r="D417" s="23"/>
      <c r="E417" s="23"/>
      <c r="F417" s="27" t="str">
        <f aca="false">IF($B417="","",IFERROR(INDEX(Cleaners!$B$5:$B$34,MATCH($B417,Cleaners!$A$5:$A$34,0)),"?"))</f>
        <v/>
      </c>
      <c r="G417" s="31" t="str">
        <f aca="false">IF($B417="","",COUNTIFS('Cleans Log'!$C$5:$C$1004,$B417,'Cleans Log'!$R$5:$R$1004,$A417,'Cleans Log'!$O$5:$O$1004,"&gt;0"))</f>
        <v/>
      </c>
      <c r="H417" s="28" t="str">
        <f aca="false">IF($B417="","",SUMIFS('Cleans Log'!$O$5:$O$1004,'Cleans Log'!$C$5:$C$1004,$B417,'Cleans Log'!$R$5:$R$1004,$A417))</f>
        <v/>
      </c>
      <c r="I417" s="30" t="str">
        <f aca="false">IF($A417="","",$A417+7)</f>
        <v/>
      </c>
      <c r="J417" s="27" t="str">
        <f aca="true">IF($B417="","",IF($C417&lt;&gt;"","Paid",IF(TODAY()&gt;=$I417,"PAY NOW","Upcoming")))</f>
        <v/>
      </c>
    </row>
    <row r="418" customFormat="false" ht="15" hidden="false" customHeight="false" outlineLevel="0" collapsed="false">
      <c r="A418" s="22"/>
      <c r="B418" s="23"/>
      <c r="C418" s="22"/>
      <c r="D418" s="23"/>
      <c r="E418" s="23"/>
      <c r="F418" s="27" t="str">
        <f aca="false">IF($B418="","",IFERROR(INDEX(Cleaners!$B$5:$B$34,MATCH($B418,Cleaners!$A$5:$A$34,0)),"?"))</f>
        <v/>
      </c>
      <c r="G418" s="31" t="str">
        <f aca="false">IF($B418="","",COUNTIFS('Cleans Log'!$C$5:$C$1004,$B418,'Cleans Log'!$R$5:$R$1004,$A418,'Cleans Log'!$O$5:$O$1004,"&gt;0"))</f>
        <v/>
      </c>
      <c r="H418" s="28" t="str">
        <f aca="false">IF($B418="","",SUMIFS('Cleans Log'!$O$5:$O$1004,'Cleans Log'!$C$5:$C$1004,$B418,'Cleans Log'!$R$5:$R$1004,$A418))</f>
        <v/>
      </c>
      <c r="I418" s="30" t="str">
        <f aca="false">IF($A418="","",$A418+7)</f>
        <v/>
      </c>
      <c r="J418" s="27" t="str">
        <f aca="true">IF($B418="","",IF($C418&lt;&gt;"","Paid",IF(TODAY()&gt;=$I418,"PAY NOW","Upcoming")))</f>
        <v/>
      </c>
    </row>
    <row r="419" customFormat="false" ht="15" hidden="false" customHeight="false" outlineLevel="0" collapsed="false">
      <c r="A419" s="22"/>
      <c r="B419" s="23"/>
      <c r="C419" s="22"/>
      <c r="D419" s="23"/>
      <c r="E419" s="23"/>
      <c r="F419" s="27" t="str">
        <f aca="false">IF($B419="","",IFERROR(INDEX(Cleaners!$B$5:$B$34,MATCH($B419,Cleaners!$A$5:$A$34,0)),"?"))</f>
        <v/>
      </c>
      <c r="G419" s="31" t="str">
        <f aca="false">IF($B419="","",COUNTIFS('Cleans Log'!$C$5:$C$1004,$B419,'Cleans Log'!$R$5:$R$1004,$A419,'Cleans Log'!$O$5:$O$1004,"&gt;0"))</f>
        <v/>
      </c>
      <c r="H419" s="28" t="str">
        <f aca="false">IF($B419="","",SUMIFS('Cleans Log'!$O$5:$O$1004,'Cleans Log'!$C$5:$C$1004,$B419,'Cleans Log'!$R$5:$R$1004,$A419))</f>
        <v/>
      </c>
      <c r="I419" s="30" t="str">
        <f aca="false">IF($A419="","",$A419+7)</f>
        <v/>
      </c>
      <c r="J419" s="27" t="str">
        <f aca="true">IF($B419="","",IF($C419&lt;&gt;"","Paid",IF(TODAY()&gt;=$I419,"PAY NOW","Upcoming")))</f>
        <v/>
      </c>
    </row>
    <row r="420" customFormat="false" ht="15" hidden="false" customHeight="false" outlineLevel="0" collapsed="false">
      <c r="A420" s="22"/>
      <c r="B420" s="23"/>
      <c r="C420" s="22"/>
      <c r="D420" s="23"/>
      <c r="E420" s="23"/>
      <c r="F420" s="27" t="str">
        <f aca="false">IF($B420="","",IFERROR(INDEX(Cleaners!$B$5:$B$34,MATCH($B420,Cleaners!$A$5:$A$34,0)),"?"))</f>
        <v/>
      </c>
      <c r="G420" s="31" t="str">
        <f aca="false">IF($B420="","",COUNTIFS('Cleans Log'!$C$5:$C$1004,$B420,'Cleans Log'!$R$5:$R$1004,$A420,'Cleans Log'!$O$5:$O$1004,"&gt;0"))</f>
        <v/>
      </c>
      <c r="H420" s="28" t="str">
        <f aca="false">IF($B420="","",SUMIFS('Cleans Log'!$O$5:$O$1004,'Cleans Log'!$C$5:$C$1004,$B420,'Cleans Log'!$R$5:$R$1004,$A420))</f>
        <v/>
      </c>
      <c r="I420" s="30" t="str">
        <f aca="false">IF($A420="","",$A420+7)</f>
        <v/>
      </c>
      <c r="J420" s="27" t="str">
        <f aca="true">IF($B420="","",IF($C420&lt;&gt;"","Paid",IF(TODAY()&gt;=$I420,"PAY NOW","Upcoming")))</f>
        <v/>
      </c>
    </row>
    <row r="421" customFormat="false" ht="15" hidden="false" customHeight="false" outlineLevel="0" collapsed="false">
      <c r="A421" s="22"/>
      <c r="B421" s="23"/>
      <c r="C421" s="22"/>
      <c r="D421" s="23"/>
      <c r="E421" s="23"/>
      <c r="F421" s="27" t="str">
        <f aca="false">IF($B421="","",IFERROR(INDEX(Cleaners!$B$5:$B$34,MATCH($B421,Cleaners!$A$5:$A$34,0)),"?"))</f>
        <v/>
      </c>
      <c r="G421" s="31" t="str">
        <f aca="false">IF($B421="","",COUNTIFS('Cleans Log'!$C$5:$C$1004,$B421,'Cleans Log'!$R$5:$R$1004,$A421,'Cleans Log'!$O$5:$O$1004,"&gt;0"))</f>
        <v/>
      </c>
      <c r="H421" s="28" t="str">
        <f aca="false">IF($B421="","",SUMIFS('Cleans Log'!$O$5:$O$1004,'Cleans Log'!$C$5:$C$1004,$B421,'Cleans Log'!$R$5:$R$1004,$A421))</f>
        <v/>
      </c>
      <c r="I421" s="30" t="str">
        <f aca="false">IF($A421="","",$A421+7)</f>
        <v/>
      </c>
      <c r="J421" s="27" t="str">
        <f aca="true">IF($B421="","",IF($C421&lt;&gt;"","Paid",IF(TODAY()&gt;=$I421,"PAY NOW","Upcoming")))</f>
        <v/>
      </c>
    </row>
    <row r="422" customFormat="false" ht="15" hidden="false" customHeight="false" outlineLevel="0" collapsed="false">
      <c r="A422" s="22"/>
      <c r="B422" s="23"/>
      <c r="C422" s="22"/>
      <c r="D422" s="23"/>
      <c r="E422" s="23"/>
      <c r="F422" s="27" t="str">
        <f aca="false">IF($B422="","",IFERROR(INDEX(Cleaners!$B$5:$B$34,MATCH($B422,Cleaners!$A$5:$A$34,0)),"?"))</f>
        <v/>
      </c>
      <c r="G422" s="31" t="str">
        <f aca="false">IF($B422="","",COUNTIFS('Cleans Log'!$C$5:$C$1004,$B422,'Cleans Log'!$R$5:$R$1004,$A422,'Cleans Log'!$O$5:$O$1004,"&gt;0"))</f>
        <v/>
      </c>
      <c r="H422" s="28" t="str">
        <f aca="false">IF($B422="","",SUMIFS('Cleans Log'!$O$5:$O$1004,'Cleans Log'!$C$5:$C$1004,$B422,'Cleans Log'!$R$5:$R$1004,$A422))</f>
        <v/>
      </c>
      <c r="I422" s="30" t="str">
        <f aca="false">IF($A422="","",$A422+7)</f>
        <v/>
      </c>
      <c r="J422" s="27" t="str">
        <f aca="true">IF($B422="","",IF($C422&lt;&gt;"","Paid",IF(TODAY()&gt;=$I422,"PAY NOW","Upcoming")))</f>
        <v/>
      </c>
    </row>
    <row r="423" customFormat="false" ht="15" hidden="false" customHeight="false" outlineLevel="0" collapsed="false">
      <c r="A423" s="22"/>
      <c r="B423" s="23"/>
      <c r="C423" s="22"/>
      <c r="D423" s="23"/>
      <c r="E423" s="23"/>
      <c r="F423" s="27" t="str">
        <f aca="false">IF($B423="","",IFERROR(INDEX(Cleaners!$B$5:$B$34,MATCH($B423,Cleaners!$A$5:$A$34,0)),"?"))</f>
        <v/>
      </c>
      <c r="G423" s="31" t="str">
        <f aca="false">IF($B423="","",COUNTIFS('Cleans Log'!$C$5:$C$1004,$B423,'Cleans Log'!$R$5:$R$1004,$A423,'Cleans Log'!$O$5:$O$1004,"&gt;0"))</f>
        <v/>
      </c>
      <c r="H423" s="28" t="str">
        <f aca="false">IF($B423="","",SUMIFS('Cleans Log'!$O$5:$O$1004,'Cleans Log'!$C$5:$C$1004,$B423,'Cleans Log'!$R$5:$R$1004,$A423))</f>
        <v/>
      </c>
      <c r="I423" s="30" t="str">
        <f aca="false">IF($A423="","",$A423+7)</f>
        <v/>
      </c>
      <c r="J423" s="27" t="str">
        <f aca="true">IF($B423="","",IF($C423&lt;&gt;"","Paid",IF(TODAY()&gt;=$I423,"PAY NOW","Upcoming")))</f>
        <v/>
      </c>
    </row>
    <row r="424" customFormat="false" ht="15" hidden="false" customHeight="false" outlineLevel="0" collapsed="false">
      <c r="A424" s="22"/>
      <c r="B424" s="23"/>
      <c r="C424" s="22"/>
      <c r="D424" s="23"/>
      <c r="E424" s="23"/>
      <c r="F424" s="27" t="str">
        <f aca="false">IF($B424="","",IFERROR(INDEX(Cleaners!$B$5:$B$34,MATCH($B424,Cleaners!$A$5:$A$34,0)),"?"))</f>
        <v/>
      </c>
      <c r="G424" s="31" t="str">
        <f aca="false">IF($B424="","",COUNTIFS('Cleans Log'!$C$5:$C$1004,$B424,'Cleans Log'!$R$5:$R$1004,$A424,'Cleans Log'!$O$5:$O$1004,"&gt;0"))</f>
        <v/>
      </c>
      <c r="H424" s="28" t="str">
        <f aca="false">IF($B424="","",SUMIFS('Cleans Log'!$O$5:$O$1004,'Cleans Log'!$C$5:$C$1004,$B424,'Cleans Log'!$R$5:$R$1004,$A424))</f>
        <v/>
      </c>
      <c r="I424" s="30" t="str">
        <f aca="false">IF($A424="","",$A424+7)</f>
        <v/>
      </c>
      <c r="J424" s="27" t="str">
        <f aca="true">IF($B424="","",IF($C424&lt;&gt;"","Paid",IF(TODAY()&gt;=$I424,"PAY NOW","Upcoming")))</f>
        <v/>
      </c>
    </row>
    <row r="425" customFormat="false" ht="15" hidden="false" customHeight="false" outlineLevel="0" collapsed="false">
      <c r="A425" s="22"/>
      <c r="B425" s="23"/>
      <c r="C425" s="22"/>
      <c r="D425" s="23"/>
      <c r="E425" s="23"/>
      <c r="F425" s="27" t="str">
        <f aca="false">IF($B425="","",IFERROR(INDEX(Cleaners!$B$5:$B$34,MATCH($B425,Cleaners!$A$5:$A$34,0)),"?"))</f>
        <v/>
      </c>
      <c r="G425" s="31" t="str">
        <f aca="false">IF($B425="","",COUNTIFS('Cleans Log'!$C$5:$C$1004,$B425,'Cleans Log'!$R$5:$R$1004,$A425,'Cleans Log'!$O$5:$O$1004,"&gt;0"))</f>
        <v/>
      </c>
      <c r="H425" s="28" t="str">
        <f aca="false">IF($B425="","",SUMIFS('Cleans Log'!$O$5:$O$1004,'Cleans Log'!$C$5:$C$1004,$B425,'Cleans Log'!$R$5:$R$1004,$A425))</f>
        <v/>
      </c>
      <c r="I425" s="30" t="str">
        <f aca="false">IF($A425="","",$A425+7)</f>
        <v/>
      </c>
      <c r="J425" s="27" t="str">
        <f aca="true">IF($B425="","",IF($C425&lt;&gt;"","Paid",IF(TODAY()&gt;=$I425,"PAY NOW","Upcoming")))</f>
        <v/>
      </c>
    </row>
    <row r="426" customFormat="false" ht="15" hidden="false" customHeight="false" outlineLevel="0" collapsed="false">
      <c r="A426" s="22"/>
      <c r="B426" s="23"/>
      <c r="C426" s="22"/>
      <c r="D426" s="23"/>
      <c r="E426" s="23"/>
      <c r="F426" s="27" t="str">
        <f aca="false">IF($B426="","",IFERROR(INDEX(Cleaners!$B$5:$B$34,MATCH($B426,Cleaners!$A$5:$A$34,0)),"?"))</f>
        <v/>
      </c>
      <c r="G426" s="31" t="str">
        <f aca="false">IF($B426="","",COUNTIFS('Cleans Log'!$C$5:$C$1004,$B426,'Cleans Log'!$R$5:$R$1004,$A426,'Cleans Log'!$O$5:$O$1004,"&gt;0"))</f>
        <v/>
      </c>
      <c r="H426" s="28" t="str">
        <f aca="false">IF($B426="","",SUMIFS('Cleans Log'!$O$5:$O$1004,'Cleans Log'!$C$5:$C$1004,$B426,'Cleans Log'!$R$5:$R$1004,$A426))</f>
        <v/>
      </c>
      <c r="I426" s="30" t="str">
        <f aca="false">IF($A426="","",$A426+7)</f>
        <v/>
      </c>
      <c r="J426" s="27" t="str">
        <f aca="true">IF($B426="","",IF($C426&lt;&gt;"","Paid",IF(TODAY()&gt;=$I426,"PAY NOW","Upcoming")))</f>
        <v/>
      </c>
    </row>
    <row r="427" customFormat="false" ht="15" hidden="false" customHeight="false" outlineLevel="0" collapsed="false">
      <c r="A427" s="22"/>
      <c r="B427" s="23"/>
      <c r="C427" s="22"/>
      <c r="D427" s="23"/>
      <c r="E427" s="23"/>
      <c r="F427" s="27" t="str">
        <f aca="false">IF($B427="","",IFERROR(INDEX(Cleaners!$B$5:$B$34,MATCH($B427,Cleaners!$A$5:$A$34,0)),"?"))</f>
        <v/>
      </c>
      <c r="G427" s="31" t="str">
        <f aca="false">IF($B427="","",COUNTIFS('Cleans Log'!$C$5:$C$1004,$B427,'Cleans Log'!$R$5:$R$1004,$A427,'Cleans Log'!$O$5:$O$1004,"&gt;0"))</f>
        <v/>
      </c>
      <c r="H427" s="28" t="str">
        <f aca="false">IF($B427="","",SUMIFS('Cleans Log'!$O$5:$O$1004,'Cleans Log'!$C$5:$C$1004,$B427,'Cleans Log'!$R$5:$R$1004,$A427))</f>
        <v/>
      </c>
      <c r="I427" s="30" t="str">
        <f aca="false">IF($A427="","",$A427+7)</f>
        <v/>
      </c>
      <c r="J427" s="27" t="str">
        <f aca="true">IF($B427="","",IF($C427&lt;&gt;"","Paid",IF(TODAY()&gt;=$I427,"PAY NOW","Upcoming")))</f>
        <v/>
      </c>
    </row>
    <row r="428" customFormat="false" ht="15" hidden="false" customHeight="false" outlineLevel="0" collapsed="false">
      <c r="A428" s="22"/>
      <c r="B428" s="23"/>
      <c r="C428" s="22"/>
      <c r="D428" s="23"/>
      <c r="E428" s="23"/>
      <c r="F428" s="27" t="str">
        <f aca="false">IF($B428="","",IFERROR(INDEX(Cleaners!$B$5:$B$34,MATCH($B428,Cleaners!$A$5:$A$34,0)),"?"))</f>
        <v/>
      </c>
      <c r="G428" s="31" t="str">
        <f aca="false">IF($B428="","",COUNTIFS('Cleans Log'!$C$5:$C$1004,$B428,'Cleans Log'!$R$5:$R$1004,$A428,'Cleans Log'!$O$5:$O$1004,"&gt;0"))</f>
        <v/>
      </c>
      <c r="H428" s="28" t="str">
        <f aca="false">IF($B428="","",SUMIFS('Cleans Log'!$O$5:$O$1004,'Cleans Log'!$C$5:$C$1004,$B428,'Cleans Log'!$R$5:$R$1004,$A428))</f>
        <v/>
      </c>
      <c r="I428" s="30" t="str">
        <f aca="false">IF($A428="","",$A428+7)</f>
        <v/>
      </c>
      <c r="J428" s="27" t="str">
        <f aca="true">IF($B428="","",IF($C428&lt;&gt;"","Paid",IF(TODAY()&gt;=$I428,"PAY NOW","Upcoming")))</f>
        <v/>
      </c>
    </row>
    <row r="429" customFormat="false" ht="15" hidden="false" customHeight="false" outlineLevel="0" collapsed="false">
      <c r="A429" s="22"/>
      <c r="B429" s="23"/>
      <c r="C429" s="22"/>
      <c r="D429" s="23"/>
      <c r="E429" s="23"/>
      <c r="F429" s="27" t="str">
        <f aca="false">IF($B429="","",IFERROR(INDEX(Cleaners!$B$5:$B$34,MATCH($B429,Cleaners!$A$5:$A$34,0)),"?"))</f>
        <v/>
      </c>
      <c r="G429" s="31" t="str">
        <f aca="false">IF($B429="","",COUNTIFS('Cleans Log'!$C$5:$C$1004,$B429,'Cleans Log'!$R$5:$R$1004,$A429,'Cleans Log'!$O$5:$O$1004,"&gt;0"))</f>
        <v/>
      </c>
      <c r="H429" s="28" t="str">
        <f aca="false">IF($B429="","",SUMIFS('Cleans Log'!$O$5:$O$1004,'Cleans Log'!$C$5:$C$1004,$B429,'Cleans Log'!$R$5:$R$1004,$A429))</f>
        <v/>
      </c>
      <c r="I429" s="30" t="str">
        <f aca="false">IF($A429="","",$A429+7)</f>
        <v/>
      </c>
      <c r="J429" s="27" t="str">
        <f aca="true">IF($B429="","",IF($C429&lt;&gt;"","Paid",IF(TODAY()&gt;=$I429,"PAY NOW","Upcoming")))</f>
        <v/>
      </c>
    </row>
    <row r="430" customFormat="false" ht="15" hidden="false" customHeight="false" outlineLevel="0" collapsed="false">
      <c r="A430" s="22"/>
      <c r="B430" s="23"/>
      <c r="C430" s="22"/>
      <c r="D430" s="23"/>
      <c r="E430" s="23"/>
      <c r="F430" s="27" t="str">
        <f aca="false">IF($B430="","",IFERROR(INDEX(Cleaners!$B$5:$B$34,MATCH($B430,Cleaners!$A$5:$A$34,0)),"?"))</f>
        <v/>
      </c>
      <c r="G430" s="31" t="str">
        <f aca="false">IF($B430="","",COUNTIFS('Cleans Log'!$C$5:$C$1004,$B430,'Cleans Log'!$R$5:$R$1004,$A430,'Cleans Log'!$O$5:$O$1004,"&gt;0"))</f>
        <v/>
      </c>
      <c r="H430" s="28" t="str">
        <f aca="false">IF($B430="","",SUMIFS('Cleans Log'!$O$5:$O$1004,'Cleans Log'!$C$5:$C$1004,$B430,'Cleans Log'!$R$5:$R$1004,$A430))</f>
        <v/>
      </c>
      <c r="I430" s="30" t="str">
        <f aca="false">IF($A430="","",$A430+7)</f>
        <v/>
      </c>
      <c r="J430" s="27" t="str">
        <f aca="true">IF($B430="","",IF($C430&lt;&gt;"","Paid",IF(TODAY()&gt;=$I430,"PAY NOW","Upcoming")))</f>
        <v/>
      </c>
    </row>
    <row r="431" customFormat="false" ht="15" hidden="false" customHeight="false" outlineLevel="0" collapsed="false">
      <c r="A431" s="22"/>
      <c r="B431" s="23"/>
      <c r="C431" s="22"/>
      <c r="D431" s="23"/>
      <c r="E431" s="23"/>
      <c r="F431" s="27" t="str">
        <f aca="false">IF($B431="","",IFERROR(INDEX(Cleaners!$B$5:$B$34,MATCH($B431,Cleaners!$A$5:$A$34,0)),"?"))</f>
        <v/>
      </c>
      <c r="G431" s="31" t="str">
        <f aca="false">IF($B431="","",COUNTIFS('Cleans Log'!$C$5:$C$1004,$B431,'Cleans Log'!$R$5:$R$1004,$A431,'Cleans Log'!$O$5:$O$1004,"&gt;0"))</f>
        <v/>
      </c>
      <c r="H431" s="28" t="str">
        <f aca="false">IF($B431="","",SUMIFS('Cleans Log'!$O$5:$O$1004,'Cleans Log'!$C$5:$C$1004,$B431,'Cleans Log'!$R$5:$R$1004,$A431))</f>
        <v/>
      </c>
      <c r="I431" s="30" t="str">
        <f aca="false">IF($A431="","",$A431+7)</f>
        <v/>
      </c>
      <c r="J431" s="27" t="str">
        <f aca="true">IF($B431="","",IF($C431&lt;&gt;"","Paid",IF(TODAY()&gt;=$I431,"PAY NOW","Upcoming")))</f>
        <v/>
      </c>
    </row>
    <row r="432" customFormat="false" ht="15" hidden="false" customHeight="false" outlineLevel="0" collapsed="false">
      <c r="A432" s="22"/>
      <c r="B432" s="23"/>
      <c r="C432" s="22"/>
      <c r="D432" s="23"/>
      <c r="E432" s="23"/>
      <c r="F432" s="27" t="str">
        <f aca="false">IF($B432="","",IFERROR(INDEX(Cleaners!$B$5:$B$34,MATCH($B432,Cleaners!$A$5:$A$34,0)),"?"))</f>
        <v/>
      </c>
      <c r="G432" s="31" t="str">
        <f aca="false">IF($B432="","",COUNTIFS('Cleans Log'!$C$5:$C$1004,$B432,'Cleans Log'!$R$5:$R$1004,$A432,'Cleans Log'!$O$5:$O$1004,"&gt;0"))</f>
        <v/>
      </c>
      <c r="H432" s="28" t="str">
        <f aca="false">IF($B432="","",SUMIFS('Cleans Log'!$O$5:$O$1004,'Cleans Log'!$C$5:$C$1004,$B432,'Cleans Log'!$R$5:$R$1004,$A432))</f>
        <v/>
      </c>
      <c r="I432" s="30" t="str">
        <f aca="false">IF($A432="","",$A432+7)</f>
        <v/>
      </c>
      <c r="J432" s="27" t="str">
        <f aca="true">IF($B432="","",IF($C432&lt;&gt;"","Paid",IF(TODAY()&gt;=$I432,"PAY NOW","Upcoming")))</f>
        <v/>
      </c>
    </row>
    <row r="433" customFormat="false" ht="15" hidden="false" customHeight="false" outlineLevel="0" collapsed="false">
      <c r="A433" s="22"/>
      <c r="B433" s="23"/>
      <c r="C433" s="22"/>
      <c r="D433" s="23"/>
      <c r="E433" s="23"/>
      <c r="F433" s="27" t="str">
        <f aca="false">IF($B433="","",IFERROR(INDEX(Cleaners!$B$5:$B$34,MATCH($B433,Cleaners!$A$5:$A$34,0)),"?"))</f>
        <v/>
      </c>
      <c r="G433" s="31" t="str">
        <f aca="false">IF($B433="","",COUNTIFS('Cleans Log'!$C$5:$C$1004,$B433,'Cleans Log'!$R$5:$R$1004,$A433,'Cleans Log'!$O$5:$O$1004,"&gt;0"))</f>
        <v/>
      </c>
      <c r="H433" s="28" t="str">
        <f aca="false">IF($B433="","",SUMIFS('Cleans Log'!$O$5:$O$1004,'Cleans Log'!$C$5:$C$1004,$B433,'Cleans Log'!$R$5:$R$1004,$A433))</f>
        <v/>
      </c>
      <c r="I433" s="30" t="str">
        <f aca="false">IF($A433="","",$A433+7)</f>
        <v/>
      </c>
      <c r="J433" s="27" t="str">
        <f aca="true">IF($B433="","",IF($C433&lt;&gt;"","Paid",IF(TODAY()&gt;=$I433,"PAY NOW","Upcoming")))</f>
        <v/>
      </c>
    </row>
    <row r="434" customFormat="false" ht="15" hidden="false" customHeight="false" outlineLevel="0" collapsed="false">
      <c r="A434" s="22"/>
      <c r="B434" s="23"/>
      <c r="C434" s="22"/>
      <c r="D434" s="23"/>
      <c r="E434" s="23"/>
      <c r="F434" s="27" t="str">
        <f aca="false">IF($B434="","",IFERROR(INDEX(Cleaners!$B$5:$B$34,MATCH($B434,Cleaners!$A$5:$A$34,0)),"?"))</f>
        <v/>
      </c>
      <c r="G434" s="31" t="str">
        <f aca="false">IF($B434="","",COUNTIFS('Cleans Log'!$C$5:$C$1004,$B434,'Cleans Log'!$R$5:$R$1004,$A434,'Cleans Log'!$O$5:$O$1004,"&gt;0"))</f>
        <v/>
      </c>
      <c r="H434" s="28" t="str">
        <f aca="false">IF($B434="","",SUMIFS('Cleans Log'!$O$5:$O$1004,'Cleans Log'!$C$5:$C$1004,$B434,'Cleans Log'!$R$5:$R$1004,$A434))</f>
        <v/>
      </c>
      <c r="I434" s="30" t="str">
        <f aca="false">IF($A434="","",$A434+7)</f>
        <v/>
      </c>
      <c r="J434" s="27" t="str">
        <f aca="true">IF($B434="","",IF($C434&lt;&gt;"","Paid",IF(TODAY()&gt;=$I434,"PAY NOW","Upcoming")))</f>
        <v/>
      </c>
    </row>
    <row r="435" customFormat="false" ht="15" hidden="false" customHeight="false" outlineLevel="0" collapsed="false">
      <c r="A435" s="22"/>
      <c r="B435" s="23"/>
      <c r="C435" s="22"/>
      <c r="D435" s="23"/>
      <c r="E435" s="23"/>
      <c r="F435" s="27" t="str">
        <f aca="false">IF($B435="","",IFERROR(INDEX(Cleaners!$B$5:$B$34,MATCH($B435,Cleaners!$A$5:$A$34,0)),"?"))</f>
        <v/>
      </c>
      <c r="G435" s="31" t="str">
        <f aca="false">IF($B435="","",COUNTIFS('Cleans Log'!$C$5:$C$1004,$B435,'Cleans Log'!$R$5:$R$1004,$A435,'Cleans Log'!$O$5:$O$1004,"&gt;0"))</f>
        <v/>
      </c>
      <c r="H435" s="28" t="str">
        <f aca="false">IF($B435="","",SUMIFS('Cleans Log'!$O$5:$O$1004,'Cleans Log'!$C$5:$C$1004,$B435,'Cleans Log'!$R$5:$R$1004,$A435))</f>
        <v/>
      </c>
      <c r="I435" s="30" t="str">
        <f aca="false">IF($A435="","",$A435+7)</f>
        <v/>
      </c>
      <c r="J435" s="27" t="str">
        <f aca="true">IF($B435="","",IF($C435&lt;&gt;"","Paid",IF(TODAY()&gt;=$I435,"PAY NOW","Upcoming")))</f>
        <v/>
      </c>
    </row>
    <row r="436" customFormat="false" ht="15" hidden="false" customHeight="false" outlineLevel="0" collapsed="false">
      <c r="A436" s="22"/>
      <c r="B436" s="23"/>
      <c r="C436" s="22"/>
      <c r="D436" s="23"/>
      <c r="E436" s="23"/>
      <c r="F436" s="27" t="str">
        <f aca="false">IF($B436="","",IFERROR(INDEX(Cleaners!$B$5:$B$34,MATCH($B436,Cleaners!$A$5:$A$34,0)),"?"))</f>
        <v/>
      </c>
      <c r="G436" s="31" t="str">
        <f aca="false">IF($B436="","",COUNTIFS('Cleans Log'!$C$5:$C$1004,$B436,'Cleans Log'!$R$5:$R$1004,$A436,'Cleans Log'!$O$5:$O$1004,"&gt;0"))</f>
        <v/>
      </c>
      <c r="H436" s="28" t="str">
        <f aca="false">IF($B436="","",SUMIFS('Cleans Log'!$O$5:$O$1004,'Cleans Log'!$C$5:$C$1004,$B436,'Cleans Log'!$R$5:$R$1004,$A436))</f>
        <v/>
      </c>
      <c r="I436" s="30" t="str">
        <f aca="false">IF($A436="","",$A436+7)</f>
        <v/>
      </c>
      <c r="J436" s="27" t="str">
        <f aca="true">IF($B436="","",IF($C436&lt;&gt;"","Paid",IF(TODAY()&gt;=$I436,"PAY NOW","Upcoming")))</f>
        <v/>
      </c>
    </row>
    <row r="437" customFormat="false" ht="15" hidden="false" customHeight="false" outlineLevel="0" collapsed="false">
      <c r="A437" s="22"/>
      <c r="B437" s="23"/>
      <c r="C437" s="22"/>
      <c r="D437" s="23"/>
      <c r="E437" s="23"/>
      <c r="F437" s="27" t="str">
        <f aca="false">IF($B437="","",IFERROR(INDEX(Cleaners!$B$5:$B$34,MATCH($B437,Cleaners!$A$5:$A$34,0)),"?"))</f>
        <v/>
      </c>
      <c r="G437" s="31" t="str">
        <f aca="false">IF($B437="","",COUNTIFS('Cleans Log'!$C$5:$C$1004,$B437,'Cleans Log'!$R$5:$R$1004,$A437,'Cleans Log'!$O$5:$O$1004,"&gt;0"))</f>
        <v/>
      </c>
      <c r="H437" s="28" t="str">
        <f aca="false">IF($B437="","",SUMIFS('Cleans Log'!$O$5:$O$1004,'Cleans Log'!$C$5:$C$1004,$B437,'Cleans Log'!$R$5:$R$1004,$A437))</f>
        <v/>
      </c>
      <c r="I437" s="30" t="str">
        <f aca="false">IF($A437="","",$A437+7)</f>
        <v/>
      </c>
      <c r="J437" s="27" t="str">
        <f aca="true">IF($B437="","",IF($C437&lt;&gt;"","Paid",IF(TODAY()&gt;=$I437,"PAY NOW","Upcoming")))</f>
        <v/>
      </c>
    </row>
    <row r="438" customFormat="false" ht="15" hidden="false" customHeight="false" outlineLevel="0" collapsed="false">
      <c r="A438" s="22"/>
      <c r="B438" s="23"/>
      <c r="C438" s="22"/>
      <c r="D438" s="23"/>
      <c r="E438" s="23"/>
      <c r="F438" s="27" t="str">
        <f aca="false">IF($B438="","",IFERROR(INDEX(Cleaners!$B$5:$B$34,MATCH($B438,Cleaners!$A$5:$A$34,0)),"?"))</f>
        <v/>
      </c>
      <c r="G438" s="31" t="str">
        <f aca="false">IF($B438="","",COUNTIFS('Cleans Log'!$C$5:$C$1004,$B438,'Cleans Log'!$R$5:$R$1004,$A438,'Cleans Log'!$O$5:$O$1004,"&gt;0"))</f>
        <v/>
      </c>
      <c r="H438" s="28" t="str">
        <f aca="false">IF($B438="","",SUMIFS('Cleans Log'!$O$5:$O$1004,'Cleans Log'!$C$5:$C$1004,$B438,'Cleans Log'!$R$5:$R$1004,$A438))</f>
        <v/>
      </c>
      <c r="I438" s="30" t="str">
        <f aca="false">IF($A438="","",$A438+7)</f>
        <v/>
      </c>
      <c r="J438" s="27" t="str">
        <f aca="true">IF($B438="","",IF($C438&lt;&gt;"","Paid",IF(TODAY()&gt;=$I438,"PAY NOW","Upcoming")))</f>
        <v/>
      </c>
    </row>
    <row r="439" customFormat="false" ht="15" hidden="false" customHeight="false" outlineLevel="0" collapsed="false">
      <c r="A439" s="22"/>
      <c r="B439" s="23"/>
      <c r="C439" s="22"/>
      <c r="D439" s="23"/>
      <c r="E439" s="23"/>
      <c r="F439" s="27" t="str">
        <f aca="false">IF($B439="","",IFERROR(INDEX(Cleaners!$B$5:$B$34,MATCH($B439,Cleaners!$A$5:$A$34,0)),"?"))</f>
        <v/>
      </c>
      <c r="G439" s="31" t="str">
        <f aca="false">IF($B439="","",COUNTIFS('Cleans Log'!$C$5:$C$1004,$B439,'Cleans Log'!$R$5:$R$1004,$A439,'Cleans Log'!$O$5:$O$1004,"&gt;0"))</f>
        <v/>
      </c>
      <c r="H439" s="28" t="str">
        <f aca="false">IF($B439="","",SUMIFS('Cleans Log'!$O$5:$O$1004,'Cleans Log'!$C$5:$C$1004,$B439,'Cleans Log'!$R$5:$R$1004,$A439))</f>
        <v/>
      </c>
      <c r="I439" s="30" t="str">
        <f aca="false">IF($A439="","",$A439+7)</f>
        <v/>
      </c>
      <c r="J439" s="27" t="str">
        <f aca="true">IF($B439="","",IF($C439&lt;&gt;"","Paid",IF(TODAY()&gt;=$I439,"PAY NOW","Upcoming")))</f>
        <v/>
      </c>
    </row>
    <row r="440" customFormat="false" ht="15" hidden="false" customHeight="false" outlineLevel="0" collapsed="false">
      <c r="A440" s="22"/>
      <c r="B440" s="23"/>
      <c r="C440" s="22"/>
      <c r="D440" s="23"/>
      <c r="E440" s="23"/>
      <c r="F440" s="27" t="str">
        <f aca="false">IF($B440="","",IFERROR(INDEX(Cleaners!$B$5:$B$34,MATCH($B440,Cleaners!$A$5:$A$34,0)),"?"))</f>
        <v/>
      </c>
      <c r="G440" s="31" t="str">
        <f aca="false">IF($B440="","",COUNTIFS('Cleans Log'!$C$5:$C$1004,$B440,'Cleans Log'!$R$5:$R$1004,$A440,'Cleans Log'!$O$5:$O$1004,"&gt;0"))</f>
        <v/>
      </c>
      <c r="H440" s="28" t="str">
        <f aca="false">IF($B440="","",SUMIFS('Cleans Log'!$O$5:$O$1004,'Cleans Log'!$C$5:$C$1004,$B440,'Cleans Log'!$R$5:$R$1004,$A440))</f>
        <v/>
      </c>
      <c r="I440" s="30" t="str">
        <f aca="false">IF($A440="","",$A440+7)</f>
        <v/>
      </c>
      <c r="J440" s="27" t="str">
        <f aca="true">IF($B440="","",IF($C440&lt;&gt;"","Paid",IF(TODAY()&gt;=$I440,"PAY NOW","Upcoming")))</f>
        <v/>
      </c>
    </row>
    <row r="441" customFormat="false" ht="15" hidden="false" customHeight="false" outlineLevel="0" collapsed="false">
      <c r="A441" s="22"/>
      <c r="B441" s="23"/>
      <c r="C441" s="22"/>
      <c r="D441" s="23"/>
      <c r="E441" s="23"/>
      <c r="F441" s="27" t="str">
        <f aca="false">IF($B441="","",IFERROR(INDEX(Cleaners!$B$5:$B$34,MATCH($B441,Cleaners!$A$5:$A$34,0)),"?"))</f>
        <v/>
      </c>
      <c r="G441" s="31" t="str">
        <f aca="false">IF($B441="","",COUNTIFS('Cleans Log'!$C$5:$C$1004,$B441,'Cleans Log'!$R$5:$R$1004,$A441,'Cleans Log'!$O$5:$O$1004,"&gt;0"))</f>
        <v/>
      </c>
      <c r="H441" s="28" t="str">
        <f aca="false">IF($B441="","",SUMIFS('Cleans Log'!$O$5:$O$1004,'Cleans Log'!$C$5:$C$1004,$B441,'Cleans Log'!$R$5:$R$1004,$A441))</f>
        <v/>
      </c>
      <c r="I441" s="30" t="str">
        <f aca="false">IF($A441="","",$A441+7)</f>
        <v/>
      </c>
      <c r="J441" s="27" t="str">
        <f aca="true">IF($B441="","",IF($C441&lt;&gt;"","Paid",IF(TODAY()&gt;=$I441,"PAY NOW","Upcoming")))</f>
        <v/>
      </c>
    </row>
    <row r="442" customFormat="false" ht="15" hidden="false" customHeight="false" outlineLevel="0" collapsed="false">
      <c r="A442" s="22"/>
      <c r="B442" s="23"/>
      <c r="C442" s="22"/>
      <c r="D442" s="23"/>
      <c r="E442" s="23"/>
      <c r="F442" s="27" t="str">
        <f aca="false">IF($B442="","",IFERROR(INDEX(Cleaners!$B$5:$B$34,MATCH($B442,Cleaners!$A$5:$A$34,0)),"?"))</f>
        <v/>
      </c>
      <c r="G442" s="31" t="str">
        <f aca="false">IF($B442="","",COUNTIFS('Cleans Log'!$C$5:$C$1004,$B442,'Cleans Log'!$R$5:$R$1004,$A442,'Cleans Log'!$O$5:$O$1004,"&gt;0"))</f>
        <v/>
      </c>
      <c r="H442" s="28" t="str">
        <f aca="false">IF($B442="","",SUMIFS('Cleans Log'!$O$5:$O$1004,'Cleans Log'!$C$5:$C$1004,$B442,'Cleans Log'!$R$5:$R$1004,$A442))</f>
        <v/>
      </c>
      <c r="I442" s="30" t="str">
        <f aca="false">IF($A442="","",$A442+7)</f>
        <v/>
      </c>
      <c r="J442" s="27" t="str">
        <f aca="true">IF($B442="","",IF($C442&lt;&gt;"","Paid",IF(TODAY()&gt;=$I442,"PAY NOW","Upcoming")))</f>
        <v/>
      </c>
    </row>
    <row r="443" customFormat="false" ht="15" hidden="false" customHeight="false" outlineLevel="0" collapsed="false">
      <c r="A443" s="22"/>
      <c r="B443" s="23"/>
      <c r="C443" s="22"/>
      <c r="D443" s="23"/>
      <c r="E443" s="23"/>
      <c r="F443" s="27" t="str">
        <f aca="false">IF($B443="","",IFERROR(INDEX(Cleaners!$B$5:$B$34,MATCH($B443,Cleaners!$A$5:$A$34,0)),"?"))</f>
        <v/>
      </c>
      <c r="G443" s="31" t="str">
        <f aca="false">IF($B443="","",COUNTIFS('Cleans Log'!$C$5:$C$1004,$B443,'Cleans Log'!$R$5:$R$1004,$A443,'Cleans Log'!$O$5:$O$1004,"&gt;0"))</f>
        <v/>
      </c>
      <c r="H443" s="28" t="str">
        <f aca="false">IF($B443="","",SUMIFS('Cleans Log'!$O$5:$O$1004,'Cleans Log'!$C$5:$C$1004,$B443,'Cleans Log'!$R$5:$R$1004,$A443))</f>
        <v/>
      </c>
      <c r="I443" s="30" t="str">
        <f aca="false">IF($A443="","",$A443+7)</f>
        <v/>
      </c>
      <c r="J443" s="27" t="str">
        <f aca="true">IF($B443="","",IF($C443&lt;&gt;"","Paid",IF(TODAY()&gt;=$I443,"PAY NOW","Upcoming")))</f>
        <v/>
      </c>
    </row>
    <row r="444" customFormat="false" ht="15" hidden="false" customHeight="false" outlineLevel="0" collapsed="false">
      <c r="A444" s="22"/>
      <c r="B444" s="23"/>
      <c r="C444" s="22"/>
      <c r="D444" s="23"/>
      <c r="E444" s="23"/>
      <c r="F444" s="27" t="str">
        <f aca="false">IF($B444="","",IFERROR(INDEX(Cleaners!$B$5:$B$34,MATCH($B444,Cleaners!$A$5:$A$34,0)),"?"))</f>
        <v/>
      </c>
      <c r="G444" s="31" t="str">
        <f aca="false">IF($B444="","",COUNTIFS('Cleans Log'!$C$5:$C$1004,$B444,'Cleans Log'!$R$5:$R$1004,$A444,'Cleans Log'!$O$5:$O$1004,"&gt;0"))</f>
        <v/>
      </c>
      <c r="H444" s="28" t="str">
        <f aca="false">IF($B444="","",SUMIFS('Cleans Log'!$O$5:$O$1004,'Cleans Log'!$C$5:$C$1004,$B444,'Cleans Log'!$R$5:$R$1004,$A444))</f>
        <v/>
      </c>
      <c r="I444" s="30" t="str">
        <f aca="false">IF($A444="","",$A444+7)</f>
        <v/>
      </c>
      <c r="J444" s="27" t="str">
        <f aca="true">IF($B444="","",IF($C444&lt;&gt;"","Paid",IF(TODAY()&gt;=$I444,"PAY NOW","Upcoming")))</f>
        <v/>
      </c>
    </row>
    <row r="445" customFormat="false" ht="15" hidden="false" customHeight="false" outlineLevel="0" collapsed="false">
      <c r="A445" s="22"/>
      <c r="B445" s="23"/>
      <c r="C445" s="22"/>
      <c r="D445" s="23"/>
      <c r="E445" s="23"/>
      <c r="F445" s="27" t="str">
        <f aca="false">IF($B445="","",IFERROR(INDEX(Cleaners!$B$5:$B$34,MATCH($B445,Cleaners!$A$5:$A$34,0)),"?"))</f>
        <v/>
      </c>
      <c r="G445" s="31" t="str">
        <f aca="false">IF($B445="","",COUNTIFS('Cleans Log'!$C$5:$C$1004,$B445,'Cleans Log'!$R$5:$R$1004,$A445,'Cleans Log'!$O$5:$O$1004,"&gt;0"))</f>
        <v/>
      </c>
      <c r="H445" s="28" t="str">
        <f aca="false">IF($B445="","",SUMIFS('Cleans Log'!$O$5:$O$1004,'Cleans Log'!$C$5:$C$1004,$B445,'Cleans Log'!$R$5:$R$1004,$A445))</f>
        <v/>
      </c>
      <c r="I445" s="30" t="str">
        <f aca="false">IF($A445="","",$A445+7)</f>
        <v/>
      </c>
      <c r="J445" s="27" t="str">
        <f aca="true">IF($B445="","",IF($C445&lt;&gt;"","Paid",IF(TODAY()&gt;=$I445,"PAY NOW","Upcoming")))</f>
        <v/>
      </c>
    </row>
    <row r="446" customFormat="false" ht="15" hidden="false" customHeight="false" outlineLevel="0" collapsed="false">
      <c r="A446" s="22"/>
      <c r="B446" s="23"/>
      <c r="C446" s="22"/>
      <c r="D446" s="23"/>
      <c r="E446" s="23"/>
      <c r="F446" s="27" t="str">
        <f aca="false">IF($B446="","",IFERROR(INDEX(Cleaners!$B$5:$B$34,MATCH($B446,Cleaners!$A$5:$A$34,0)),"?"))</f>
        <v/>
      </c>
      <c r="G446" s="31" t="str">
        <f aca="false">IF($B446="","",COUNTIFS('Cleans Log'!$C$5:$C$1004,$B446,'Cleans Log'!$R$5:$R$1004,$A446,'Cleans Log'!$O$5:$O$1004,"&gt;0"))</f>
        <v/>
      </c>
      <c r="H446" s="28" t="str">
        <f aca="false">IF($B446="","",SUMIFS('Cleans Log'!$O$5:$O$1004,'Cleans Log'!$C$5:$C$1004,$B446,'Cleans Log'!$R$5:$R$1004,$A446))</f>
        <v/>
      </c>
      <c r="I446" s="30" t="str">
        <f aca="false">IF($A446="","",$A446+7)</f>
        <v/>
      </c>
      <c r="J446" s="27" t="str">
        <f aca="true">IF($B446="","",IF($C446&lt;&gt;"","Paid",IF(TODAY()&gt;=$I446,"PAY NOW","Upcoming")))</f>
        <v/>
      </c>
    </row>
    <row r="447" customFormat="false" ht="15" hidden="false" customHeight="false" outlineLevel="0" collapsed="false">
      <c r="A447" s="22"/>
      <c r="B447" s="23"/>
      <c r="C447" s="22"/>
      <c r="D447" s="23"/>
      <c r="E447" s="23"/>
      <c r="F447" s="27" t="str">
        <f aca="false">IF($B447="","",IFERROR(INDEX(Cleaners!$B$5:$B$34,MATCH($B447,Cleaners!$A$5:$A$34,0)),"?"))</f>
        <v/>
      </c>
      <c r="G447" s="31" t="str">
        <f aca="false">IF($B447="","",COUNTIFS('Cleans Log'!$C$5:$C$1004,$B447,'Cleans Log'!$R$5:$R$1004,$A447,'Cleans Log'!$O$5:$O$1004,"&gt;0"))</f>
        <v/>
      </c>
      <c r="H447" s="28" t="str">
        <f aca="false">IF($B447="","",SUMIFS('Cleans Log'!$O$5:$O$1004,'Cleans Log'!$C$5:$C$1004,$B447,'Cleans Log'!$R$5:$R$1004,$A447))</f>
        <v/>
      </c>
      <c r="I447" s="30" t="str">
        <f aca="false">IF($A447="","",$A447+7)</f>
        <v/>
      </c>
      <c r="J447" s="27" t="str">
        <f aca="true">IF($B447="","",IF($C447&lt;&gt;"","Paid",IF(TODAY()&gt;=$I447,"PAY NOW","Upcoming")))</f>
        <v/>
      </c>
    </row>
    <row r="448" customFormat="false" ht="15" hidden="false" customHeight="false" outlineLevel="0" collapsed="false">
      <c r="A448" s="22"/>
      <c r="B448" s="23"/>
      <c r="C448" s="22"/>
      <c r="D448" s="23"/>
      <c r="E448" s="23"/>
      <c r="F448" s="27" t="str">
        <f aca="false">IF($B448="","",IFERROR(INDEX(Cleaners!$B$5:$B$34,MATCH($B448,Cleaners!$A$5:$A$34,0)),"?"))</f>
        <v/>
      </c>
      <c r="G448" s="31" t="str">
        <f aca="false">IF($B448="","",COUNTIFS('Cleans Log'!$C$5:$C$1004,$B448,'Cleans Log'!$R$5:$R$1004,$A448,'Cleans Log'!$O$5:$O$1004,"&gt;0"))</f>
        <v/>
      </c>
      <c r="H448" s="28" t="str">
        <f aca="false">IF($B448="","",SUMIFS('Cleans Log'!$O$5:$O$1004,'Cleans Log'!$C$5:$C$1004,$B448,'Cleans Log'!$R$5:$R$1004,$A448))</f>
        <v/>
      </c>
      <c r="I448" s="30" t="str">
        <f aca="false">IF($A448="","",$A448+7)</f>
        <v/>
      </c>
      <c r="J448" s="27" t="str">
        <f aca="true">IF($B448="","",IF($C448&lt;&gt;"","Paid",IF(TODAY()&gt;=$I448,"PAY NOW","Upcoming")))</f>
        <v/>
      </c>
    </row>
    <row r="449" customFormat="false" ht="15" hidden="false" customHeight="false" outlineLevel="0" collapsed="false">
      <c r="A449" s="22"/>
      <c r="B449" s="23"/>
      <c r="C449" s="22"/>
      <c r="D449" s="23"/>
      <c r="E449" s="23"/>
      <c r="F449" s="27" t="str">
        <f aca="false">IF($B449="","",IFERROR(INDEX(Cleaners!$B$5:$B$34,MATCH($B449,Cleaners!$A$5:$A$34,0)),"?"))</f>
        <v/>
      </c>
      <c r="G449" s="31" t="str">
        <f aca="false">IF($B449="","",COUNTIFS('Cleans Log'!$C$5:$C$1004,$B449,'Cleans Log'!$R$5:$R$1004,$A449,'Cleans Log'!$O$5:$O$1004,"&gt;0"))</f>
        <v/>
      </c>
      <c r="H449" s="28" t="str">
        <f aca="false">IF($B449="","",SUMIFS('Cleans Log'!$O$5:$O$1004,'Cleans Log'!$C$5:$C$1004,$B449,'Cleans Log'!$R$5:$R$1004,$A449))</f>
        <v/>
      </c>
      <c r="I449" s="30" t="str">
        <f aca="false">IF($A449="","",$A449+7)</f>
        <v/>
      </c>
      <c r="J449" s="27" t="str">
        <f aca="true">IF($B449="","",IF($C449&lt;&gt;"","Paid",IF(TODAY()&gt;=$I449,"PAY NOW","Upcoming")))</f>
        <v/>
      </c>
    </row>
    <row r="450" customFormat="false" ht="15" hidden="false" customHeight="false" outlineLevel="0" collapsed="false">
      <c r="A450" s="22"/>
      <c r="B450" s="23"/>
      <c r="C450" s="22"/>
      <c r="D450" s="23"/>
      <c r="E450" s="23"/>
      <c r="F450" s="27" t="str">
        <f aca="false">IF($B450="","",IFERROR(INDEX(Cleaners!$B$5:$B$34,MATCH($B450,Cleaners!$A$5:$A$34,0)),"?"))</f>
        <v/>
      </c>
      <c r="G450" s="31" t="str">
        <f aca="false">IF($B450="","",COUNTIFS('Cleans Log'!$C$5:$C$1004,$B450,'Cleans Log'!$R$5:$R$1004,$A450,'Cleans Log'!$O$5:$O$1004,"&gt;0"))</f>
        <v/>
      </c>
      <c r="H450" s="28" t="str">
        <f aca="false">IF($B450="","",SUMIFS('Cleans Log'!$O$5:$O$1004,'Cleans Log'!$C$5:$C$1004,$B450,'Cleans Log'!$R$5:$R$1004,$A450))</f>
        <v/>
      </c>
      <c r="I450" s="30" t="str">
        <f aca="false">IF($A450="","",$A450+7)</f>
        <v/>
      </c>
      <c r="J450" s="27" t="str">
        <f aca="true">IF($B450="","",IF($C450&lt;&gt;"","Paid",IF(TODAY()&gt;=$I450,"PAY NOW","Upcoming")))</f>
        <v/>
      </c>
    </row>
    <row r="451" customFormat="false" ht="15" hidden="false" customHeight="false" outlineLevel="0" collapsed="false">
      <c r="A451" s="22"/>
      <c r="B451" s="23"/>
      <c r="C451" s="22"/>
      <c r="D451" s="23"/>
      <c r="E451" s="23"/>
      <c r="F451" s="27" t="str">
        <f aca="false">IF($B451="","",IFERROR(INDEX(Cleaners!$B$5:$B$34,MATCH($B451,Cleaners!$A$5:$A$34,0)),"?"))</f>
        <v/>
      </c>
      <c r="G451" s="31" t="str">
        <f aca="false">IF($B451="","",COUNTIFS('Cleans Log'!$C$5:$C$1004,$B451,'Cleans Log'!$R$5:$R$1004,$A451,'Cleans Log'!$O$5:$O$1004,"&gt;0"))</f>
        <v/>
      </c>
      <c r="H451" s="28" t="str">
        <f aca="false">IF($B451="","",SUMIFS('Cleans Log'!$O$5:$O$1004,'Cleans Log'!$C$5:$C$1004,$B451,'Cleans Log'!$R$5:$R$1004,$A451))</f>
        <v/>
      </c>
      <c r="I451" s="30" t="str">
        <f aca="false">IF($A451="","",$A451+7)</f>
        <v/>
      </c>
      <c r="J451" s="27" t="str">
        <f aca="true">IF($B451="","",IF($C451&lt;&gt;"","Paid",IF(TODAY()&gt;=$I451,"PAY NOW","Upcoming")))</f>
        <v/>
      </c>
    </row>
    <row r="452" customFormat="false" ht="15" hidden="false" customHeight="false" outlineLevel="0" collapsed="false">
      <c r="A452" s="22"/>
      <c r="B452" s="23"/>
      <c r="C452" s="22"/>
      <c r="D452" s="23"/>
      <c r="E452" s="23"/>
      <c r="F452" s="27" t="str">
        <f aca="false">IF($B452="","",IFERROR(INDEX(Cleaners!$B$5:$B$34,MATCH($B452,Cleaners!$A$5:$A$34,0)),"?"))</f>
        <v/>
      </c>
      <c r="G452" s="31" t="str">
        <f aca="false">IF($B452="","",COUNTIFS('Cleans Log'!$C$5:$C$1004,$B452,'Cleans Log'!$R$5:$R$1004,$A452,'Cleans Log'!$O$5:$O$1004,"&gt;0"))</f>
        <v/>
      </c>
      <c r="H452" s="28" t="str">
        <f aca="false">IF($B452="","",SUMIFS('Cleans Log'!$O$5:$O$1004,'Cleans Log'!$C$5:$C$1004,$B452,'Cleans Log'!$R$5:$R$1004,$A452))</f>
        <v/>
      </c>
      <c r="I452" s="30" t="str">
        <f aca="false">IF($A452="","",$A452+7)</f>
        <v/>
      </c>
      <c r="J452" s="27" t="str">
        <f aca="true">IF($B452="","",IF($C452&lt;&gt;"","Paid",IF(TODAY()&gt;=$I452,"PAY NOW","Upcoming")))</f>
        <v/>
      </c>
    </row>
    <row r="453" customFormat="false" ht="15" hidden="false" customHeight="false" outlineLevel="0" collapsed="false">
      <c r="A453" s="22"/>
      <c r="B453" s="23"/>
      <c r="C453" s="22"/>
      <c r="D453" s="23"/>
      <c r="E453" s="23"/>
      <c r="F453" s="27" t="str">
        <f aca="false">IF($B453="","",IFERROR(INDEX(Cleaners!$B$5:$B$34,MATCH($B453,Cleaners!$A$5:$A$34,0)),"?"))</f>
        <v/>
      </c>
      <c r="G453" s="31" t="str">
        <f aca="false">IF($B453="","",COUNTIFS('Cleans Log'!$C$5:$C$1004,$B453,'Cleans Log'!$R$5:$R$1004,$A453,'Cleans Log'!$O$5:$O$1004,"&gt;0"))</f>
        <v/>
      </c>
      <c r="H453" s="28" t="str">
        <f aca="false">IF($B453="","",SUMIFS('Cleans Log'!$O$5:$O$1004,'Cleans Log'!$C$5:$C$1004,$B453,'Cleans Log'!$R$5:$R$1004,$A453))</f>
        <v/>
      </c>
      <c r="I453" s="30" t="str">
        <f aca="false">IF($A453="","",$A453+7)</f>
        <v/>
      </c>
      <c r="J453" s="27" t="str">
        <f aca="true">IF($B453="","",IF($C453&lt;&gt;"","Paid",IF(TODAY()&gt;=$I453,"PAY NOW","Upcoming")))</f>
        <v/>
      </c>
    </row>
    <row r="454" customFormat="false" ht="15" hidden="false" customHeight="false" outlineLevel="0" collapsed="false">
      <c r="A454" s="22"/>
      <c r="B454" s="23"/>
      <c r="C454" s="22"/>
      <c r="D454" s="23"/>
      <c r="E454" s="23"/>
      <c r="F454" s="27" t="str">
        <f aca="false">IF($B454="","",IFERROR(INDEX(Cleaners!$B$5:$B$34,MATCH($B454,Cleaners!$A$5:$A$34,0)),"?"))</f>
        <v/>
      </c>
      <c r="G454" s="31" t="str">
        <f aca="false">IF($B454="","",COUNTIFS('Cleans Log'!$C$5:$C$1004,$B454,'Cleans Log'!$R$5:$R$1004,$A454,'Cleans Log'!$O$5:$O$1004,"&gt;0"))</f>
        <v/>
      </c>
      <c r="H454" s="28" t="str">
        <f aca="false">IF($B454="","",SUMIFS('Cleans Log'!$O$5:$O$1004,'Cleans Log'!$C$5:$C$1004,$B454,'Cleans Log'!$R$5:$R$1004,$A454))</f>
        <v/>
      </c>
      <c r="I454" s="30" t="str">
        <f aca="false">IF($A454="","",$A454+7)</f>
        <v/>
      </c>
      <c r="J454" s="27" t="str">
        <f aca="true">IF($B454="","",IF($C454&lt;&gt;"","Paid",IF(TODAY()&gt;=$I454,"PAY NOW","Upcoming")))</f>
        <v/>
      </c>
    </row>
    <row r="455" customFormat="false" ht="15" hidden="false" customHeight="false" outlineLevel="0" collapsed="false">
      <c r="A455" s="22"/>
      <c r="B455" s="23"/>
      <c r="C455" s="22"/>
      <c r="D455" s="23"/>
      <c r="E455" s="23"/>
      <c r="F455" s="27" t="str">
        <f aca="false">IF($B455="","",IFERROR(INDEX(Cleaners!$B$5:$B$34,MATCH($B455,Cleaners!$A$5:$A$34,0)),"?"))</f>
        <v/>
      </c>
      <c r="G455" s="31" t="str">
        <f aca="false">IF($B455="","",COUNTIFS('Cleans Log'!$C$5:$C$1004,$B455,'Cleans Log'!$R$5:$R$1004,$A455,'Cleans Log'!$O$5:$O$1004,"&gt;0"))</f>
        <v/>
      </c>
      <c r="H455" s="28" t="str">
        <f aca="false">IF($B455="","",SUMIFS('Cleans Log'!$O$5:$O$1004,'Cleans Log'!$C$5:$C$1004,$B455,'Cleans Log'!$R$5:$R$1004,$A455))</f>
        <v/>
      </c>
      <c r="I455" s="30" t="str">
        <f aca="false">IF($A455="","",$A455+7)</f>
        <v/>
      </c>
      <c r="J455" s="27" t="str">
        <f aca="true">IF($B455="","",IF($C455&lt;&gt;"","Paid",IF(TODAY()&gt;=$I455,"PAY NOW","Upcoming")))</f>
        <v/>
      </c>
    </row>
    <row r="456" customFormat="false" ht="15" hidden="false" customHeight="false" outlineLevel="0" collapsed="false">
      <c r="A456" s="22"/>
      <c r="B456" s="23"/>
      <c r="C456" s="22"/>
      <c r="D456" s="23"/>
      <c r="E456" s="23"/>
      <c r="F456" s="27" t="str">
        <f aca="false">IF($B456="","",IFERROR(INDEX(Cleaners!$B$5:$B$34,MATCH($B456,Cleaners!$A$5:$A$34,0)),"?"))</f>
        <v/>
      </c>
      <c r="G456" s="31" t="str">
        <f aca="false">IF($B456="","",COUNTIFS('Cleans Log'!$C$5:$C$1004,$B456,'Cleans Log'!$R$5:$R$1004,$A456,'Cleans Log'!$O$5:$O$1004,"&gt;0"))</f>
        <v/>
      </c>
      <c r="H456" s="28" t="str">
        <f aca="false">IF($B456="","",SUMIFS('Cleans Log'!$O$5:$O$1004,'Cleans Log'!$C$5:$C$1004,$B456,'Cleans Log'!$R$5:$R$1004,$A456))</f>
        <v/>
      </c>
      <c r="I456" s="30" t="str">
        <f aca="false">IF($A456="","",$A456+7)</f>
        <v/>
      </c>
      <c r="J456" s="27" t="str">
        <f aca="true">IF($B456="","",IF($C456&lt;&gt;"","Paid",IF(TODAY()&gt;=$I456,"PAY NOW","Upcoming")))</f>
        <v/>
      </c>
    </row>
    <row r="457" customFormat="false" ht="15" hidden="false" customHeight="false" outlineLevel="0" collapsed="false">
      <c r="A457" s="22"/>
      <c r="B457" s="23"/>
      <c r="C457" s="22"/>
      <c r="D457" s="23"/>
      <c r="E457" s="23"/>
      <c r="F457" s="27" t="str">
        <f aca="false">IF($B457="","",IFERROR(INDEX(Cleaners!$B$5:$B$34,MATCH($B457,Cleaners!$A$5:$A$34,0)),"?"))</f>
        <v/>
      </c>
      <c r="G457" s="31" t="str">
        <f aca="false">IF($B457="","",COUNTIFS('Cleans Log'!$C$5:$C$1004,$B457,'Cleans Log'!$R$5:$R$1004,$A457,'Cleans Log'!$O$5:$O$1004,"&gt;0"))</f>
        <v/>
      </c>
      <c r="H457" s="28" t="str">
        <f aca="false">IF($B457="","",SUMIFS('Cleans Log'!$O$5:$O$1004,'Cleans Log'!$C$5:$C$1004,$B457,'Cleans Log'!$R$5:$R$1004,$A457))</f>
        <v/>
      </c>
      <c r="I457" s="30" t="str">
        <f aca="false">IF($A457="","",$A457+7)</f>
        <v/>
      </c>
      <c r="J457" s="27" t="str">
        <f aca="true">IF($B457="","",IF($C457&lt;&gt;"","Paid",IF(TODAY()&gt;=$I457,"PAY NOW","Upcoming")))</f>
        <v/>
      </c>
    </row>
    <row r="458" customFormat="false" ht="15" hidden="false" customHeight="false" outlineLevel="0" collapsed="false">
      <c r="A458" s="22"/>
      <c r="B458" s="23"/>
      <c r="C458" s="22"/>
      <c r="D458" s="23"/>
      <c r="E458" s="23"/>
      <c r="F458" s="27" t="str">
        <f aca="false">IF($B458="","",IFERROR(INDEX(Cleaners!$B$5:$B$34,MATCH($B458,Cleaners!$A$5:$A$34,0)),"?"))</f>
        <v/>
      </c>
      <c r="G458" s="31" t="str">
        <f aca="false">IF($B458="","",COUNTIFS('Cleans Log'!$C$5:$C$1004,$B458,'Cleans Log'!$R$5:$R$1004,$A458,'Cleans Log'!$O$5:$O$1004,"&gt;0"))</f>
        <v/>
      </c>
      <c r="H458" s="28" t="str">
        <f aca="false">IF($B458="","",SUMIFS('Cleans Log'!$O$5:$O$1004,'Cleans Log'!$C$5:$C$1004,$B458,'Cleans Log'!$R$5:$R$1004,$A458))</f>
        <v/>
      </c>
      <c r="I458" s="30" t="str">
        <f aca="false">IF($A458="","",$A458+7)</f>
        <v/>
      </c>
      <c r="J458" s="27" t="str">
        <f aca="true">IF($B458="","",IF($C458&lt;&gt;"","Paid",IF(TODAY()&gt;=$I458,"PAY NOW","Upcoming")))</f>
        <v/>
      </c>
    </row>
    <row r="459" customFormat="false" ht="15" hidden="false" customHeight="false" outlineLevel="0" collapsed="false">
      <c r="A459" s="22"/>
      <c r="B459" s="23"/>
      <c r="C459" s="22"/>
      <c r="D459" s="23"/>
      <c r="E459" s="23"/>
      <c r="F459" s="27" t="str">
        <f aca="false">IF($B459="","",IFERROR(INDEX(Cleaners!$B$5:$B$34,MATCH($B459,Cleaners!$A$5:$A$34,0)),"?"))</f>
        <v/>
      </c>
      <c r="G459" s="31" t="str">
        <f aca="false">IF($B459="","",COUNTIFS('Cleans Log'!$C$5:$C$1004,$B459,'Cleans Log'!$R$5:$R$1004,$A459,'Cleans Log'!$O$5:$O$1004,"&gt;0"))</f>
        <v/>
      </c>
      <c r="H459" s="28" t="str">
        <f aca="false">IF($B459="","",SUMIFS('Cleans Log'!$O$5:$O$1004,'Cleans Log'!$C$5:$C$1004,$B459,'Cleans Log'!$R$5:$R$1004,$A459))</f>
        <v/>
      </c>
      <c r="I459" s="30" t="str">
        <f aca="false">IF($A459="","",$A459+7)</f>
        <v/>
      </c>
      <c r="J459" s="27" t="str">
        <f aca="true">IF($B459="","",IF($C459&lt;&gt;"","Paid",IF(TODAY()&gt;=$I459,"PAY NOW","Upcoming")))</f>
        <v/>
      </c>
    </row>
    <row r="460" customFormat="false" ht="15" hidden="false" customHeight="false" outlineLevel="0" collapsed="false">
      <c r="A460" s="22"/>
      <c r="B460" s="23"/>
      <c r="C460" s="22"/>
      <c r="D460" s="23"/>
      <c r="E460" s="23"/>
      <c r="F460" s="27" t="str">
        <f aca="false">IF($B460="","",IFERROR(INDEX(Cleaners!$B$5:$B$34,MATCH($B460,Cleaners!$A$5:$A$34,0)),"?"))</f>
        <v/>
      </c>
      <c r="G460" s="31" t="str">
        <f aca="false">IF($B460="","",COUNTIFS('Cleans Log'!$C$5:$C$1004,$B460,'Cleans Log'!$R$5:$R$1004,$A460,'Cleans Log'!$O$5:$O$1004,"&gt;0"))</f>
        <v/>
      </c>
      <c r="H460" s="28" t="str">
        <f aca="false">IF($B460="","",SUMIFS('Cleans Log'!$O$5:$O$1004,'Cleans Log'!$C$5:$C$1004,$B460,'Cleans Log'!$R$5:$R$1004,$A460))</f>
        <v/>
      </c>
      <c r="I460" s="30" t="str">
        <f aca="false">IF($A460="","",$A460+7)</f>
        <v/>
      </c>
      <c r="J460" s="27" t="str">
        <f aca="true">IF($B460="","",IF($C460&lt;&gt;"","Paid",IF(TODAY()&gt;=$I460,"PAY NOW","Upcoming")))</f>
        <v/>
      </c>
    </row>
    <row r="461" customFormat="false" ht="15" hidden="false" customHeight="false" outlineLevel="0" collapsed="false">
      <c r="A461" s="22"/>
      <c r="B461" s="23"/>
      <c r="C461" s="22"/>
      <c r="D461" s="23"/>
      <c r="E461" s="23"/>
      <c r="F461" s="27" t="str">
        <f aca="false">IF($B461="","",IFERROR(INDEX(Cleaners!$B$5:$B$34,MATCH($B461,Cleaners!$A$5:$A$34,0)),"?"))</f>
        <v/>
      </c>
      <c r="G461" s="31" t="str">
        <f aca="false">IF($B461="","",COUNTIFS('Cleans Log'!$C$5:$C$1004,$B461,'Cleans Log'!$R$5:$R$1004,$A461,'Cleans Log'!$O$5:$O$1004,"&gt;0"))</f>
        <v/>
      </c>
      <c r="H461" s="28" t="str">
        <f aca="false">IF($B461="","",SUMIFS('Cleans Log'!$O$5:$O$1004,'Cleans Log'!$C$5:$C$1004,$B461,'Cleans Log'!$R$5:$R$1004,$A461))</f>
        <v/>
      </c>
      <c r="I461" s="30" t="str">
        <f aca="false">IF($A461="","",$A461+7)</f>
        <v/>
      </c>
      <c r="J461" s="27" t="str">
        <f aca="true">IF($B461="","",IF($C461&lt;&gt;"","Paid",IF(TODAY()&gt;=$I461,"PAY NOW","Upcoming")))</f>
        <v/>
      </c>
    </row>
    <row r="462" customFormat="false" ht="15" hidden="false" customHeight="false" outlineLevel="0" collapsed="false">
      <c r="A462" s="22"/>
      <c r="B462" s="23"/>
      <c r="C462" s="22"/>
      <c r="D462" s="23"/>
      <c r="E462" s="23"/>
      <c r="F462" s="27" t="str">
        <f aca="false">IF($B462="","",IFERROR(INDEX(Cleaners!$B$5:$B$34,MATCH($B462,Cleaners!$A$5:$A$34,0)),"?"))</f>
        <v/>
      </c>
      <c r="G462" s="31" t="str">
        <f aca="false">IF($B462="","",COUNTIFS('Cleans Log'!$C$5:$C$1004,$B462,'Cleans Log'!$R$5:$R$1004,$A462,'Cleans Log'!$O$5:$O$1004,"&gt;0"))</f>
        <v/>
      </c>
      <c r="H462" s="28" t="str">
        <f aca="false">IF($B462="","",SUMIFS('Cleans Log'!$O$5:$O$1004,'Cleans Log'!$C$5:$C$1004,$B462,'Cleans Log'!$R$5:$R$1004,$A462))</f>
        <v/>
      </c>
      <c r="I462" s="30" t="str">
        <f aca="false">IF($A462="","",$A462+7)</f>
        <v/>
      </c>
      <c r="J462" s="27" t="str">
        <f aca="true">IF($B462="","",IF($C462&lt;&gt;"","Paid",IF(TODAY()&gt;=$I462,"PAY NOW","Upcoming")))</f>
        <v/>
      </c>
    </row>
    <row r="463" customFormat="false" ht="15" hidden="false" customHeight="false" outlineLevel="0" collapsed="false">
      <c r="A463" s="22"/>
      <c r="B463" s="23"/>
      <c r="C463" s="22"/>
      <c r="D463" s="23"/>
      <c r="E463" s="23"/>
      <c r="F463" s="27" t="str">
        <f aca="false">IF($B463="","",IFERROR(INDEX(Cleaners!$B$5:$B$34,MATCH($B463,Cleaners!$A$5:$A$34,0)),"?"))</f>
        <v/>
      </c>
      <c r="G463" s="31" t="str">
        <f aca="false">IF($B463="","",COUNTIFS('Cleans Log'!$C$5:$C$1004,$B463,'Cleans Log'!$R$5:$R$1004,$A463,'Cleans Log'!$O$5:$O$1004,"&gt;0"))</f>
        <v/>
      </c>
      <c r="H463" s="28" t="str">
        <f aca="false">IF($B463="","",SUMIFS('Cleans Log'!$O$5:$O$1004,'Cleans Log'!$C$5:$C$1004,$B463,'Cleans Log'!$R$5:$R$1004,$A463))</f>
        <v/>
      </c>
      <c r="I463" s="30" t="str">
        <f aca="false">IF($A463="","",$A463+7)</f>
        <v/>
      </c>
      <c r="J463" s="27" t="str">
        <f aca="true">IF($B463="","",IF($C463&lt;&gt;"","Paid",IF(TODAY()&gt;=$I463,"PAY NOW","Upcoming")))</f>
        <v/>
      </c>
    </row>
    <row r="464" customFormat="false" ht="15" hidden="false" customHeight="false" outlineLevel="0" collapsed="false">
      <c r="A464" s="22"/>
      <c r="B464" s="23"/>
      <c r="C464" s="22"/>
      <c r="D464" s="23"/>
      <c r="E464" s="23"/>
      <c r="F464" s="27" t="str">
        <f aca="false">IF($B464="","",IFERROR(INDEX(Cleaners!$B$5:$B$34,MATCH($B464,Cleaners!$A$5:$A$34,0)),"?"))</f>
        <v/>
      </c>
      <c r="G464" s="31" t="str">
        <f aca="false">IF($B464="","",COUNTIFS('Cleans Log'!$C$5:$C$1004,$B464,'Cleans Log'!$R$5:$R$1004,$A464,'Cleans Log'!$O$5:$O$1004,"&gt;0"))</f>
        <v/>
      </c>
      <c r="H464" s="28" t="str">
        <f aca="false">IF($B464="","",SUMIFS('Cleans Log'!$O$5:$O$1004,'Cleans Log'!$C$5:$C$1004,$B464,'Cleans Log'!$R$5:$R$1004,$A464))</f>
        <v/>
      </c>
      <c r="I464" s="30" t="str">
        <f aca="false">IF($A464="","",$A464+7)</f>
        <v/>
      </c>
      <c r="J464" s="27" t="str">
        <f aca="true">IF($B464="","",IF($C464&lt;&gt;"","Paid",IF(TODAY()&gt;=$I464,"PAY NOW","Upcoming")))</f>
        <v/>
      </c>
    </row>
    <row r="465" customFormat="false" ht="15" hidden="false" customHeight="false" outlineLevel="0" collapsed="false">
      <c r="A465" s="22"/>
      <c r="B465" s="23"/>
      <c r="C465" s="22"/>
      <c r="D465" s="23"/>
      <c r="E465" s="23"/>
      <c r="F465" s="27" t="str">
        <f aca="false">IF($B465="","",IFERROR(INDEX(Cleaners!$B$5:$B$34,MATCH($B465,Cleaners!$A$5:$A$34,0)),"?"))</f>
        <v/>
      </c>
      <c r="G465" s="31" t="str">
        <f aca="false">IF($B465="","",COUNTIFS('Cleans Log'!$C$5:$C$1004,$B465,'Cleans Log'!$R$5:$R$1004,$A465,'Cleans Log'!$O$5:$O$1004,"&gt;0"))</f>
        <v/>
      </c>
      <c r="H465" s="28" t="str">
        <f aca="false">IF($B465="","",SUMIFS('Cleans Log'!$O$5:$O$1004,'Cleans Log'!$C$5:$C$1004,$B465,'Cleans Log'!$R$5:$R$1004,$A465))</f>
        <v/>
      </c>
      <c r="I465" s="30" t="str">
        <f aca="false">IF($A465="","",$A465+7)</f>
        <v/>
      </c>
      <c r="J465" s="27" t="str">
        <f aca="true">IF($B465="","",IF($C465&lt;&gt;"","Paid",IF(TODAY()&gt;=$I465,"PAY NOW","Upcoming")))</f>
        <v/>
      </c>
    </row>
    <row r="466" customFormat="false" ht="15" hidden="false" customHeight="false" outlineLevel="0" collapsed="false">
      <c r="A466" s="22"/>
      <c r="B466" s="23"/>
      <c r="C466" s="22"/>
      <c r="D466" s="23"/>
      <c r="E466" s="23"/>
      <c r="F466" s="27" t="str">
        <f aca="false">IF($B466="","",IFERROR(INDEX(Cleaners!$B$5:$B$34,MATCH($B466,Cleaners!$A$5:$A$34,0)),"?"))</f>
        <v/>
      </c>
      <c r="G466" s="31" t="str">
        <f aca="false">IF($B466="","",COUNTIFS('Cleans Log'!$C$5:$C$1004,$B466,'Cleans Log'!$R$5:$R$1004,$A466,'Cleans Log'!$O$5:$O$1004,"&gt;0"))</f>
        <v/>
      </c>
      <c r="H466" s="28" t="str">
        <f aca="false">IF($B466="","",SUMIFS('Cleans Log'!$O$5:$O$1004,'Cleans Log'!$C$5:$C$1004,$B466,'Cleans Log'!$R$5:$R$1004,$A466))</f>
        <v/>
      </c>
      <c r="I466" s="30" t="str">
        <f aca="false">IF($A466="","",$A466+7)</f>
        <v/>
      </c>
      <c r="J466" s="27" t="str">
        <f aca="true">IF($B466="","",IF($C466&lt;&gt;"","Paid",IF(TODAY()&gt;=$I466,"PAY NOW","Upcoming")))</f>
        <v/>
      </c>
    </row>
    <row r="467" customFormat="false" ht="15" hidden="false" customHeight="false" outlineLevel="0" collapsed="false">
      <c r="A467" s="22"/>
      <c r="B467" s="23"/>
      <c r="C467" s="22"/>
      <c r="D467" s="23"/>
      <c r="E467" s="23"/>
      <c r="F467" s="27" t="str">
        <f aca="false">IF($B467="","",IFERROR(INDEX(Cleaners!$B$5:$B$34,MATCH($B467,Cleaners!$A$5:$A$34,0)),"?"))</f>
        <v/>
      </c>
      <c r="G467" s="31" t="str">
        <f aca="false">IF($B467="","",COUNTIFS('Cleans Log'!$C$5:$C$1004,$B467,'Cleans Log'!$R$5:$R$1004,$A467,'Cleans Log'!$O$5:$O$1004,"&gt;0"))</f>
        <v/>
      </c>
      <c r="H467" s="28" t="str">
        <f aca="false">IF($B467="","",SUMIFS('Cleans Log'!$O$5:$O$1004,'Cleans Log'!$C$5:$C$1004,$B467,'Cleans Log'!$R$5:$R$1004,$A467))</f>
        <v/>
      </c>
      <c r="I467" s="30" t="str">
        <f aca="false">IF($A467="","",$A467+7)</f>
        <v/>
      </c>
      <c r="J467" s="27" t="str">
        <f aca="true">IF($B467="","",IF($C467&lt;&gt;"","Paid",IF(TODAY()&gt;=$I467,"PAY NOW","Upcoming")))</f>
        <v/>
      </c>
    </row>
    <row r="468" customFormat="false" ht="15" hidden="false" customHeight="false" outlineLevel="0" collapsed="false">
      <c r="A468" s="22"/>
      <c r="B468" s="23"/>
      <c r="C468" s="22"/>
      <c r="D468" s="23"/>
      <c r="E468" s="23"/>
      <c r="F468" s="27" t="str">
        <f aca="false">IF($B468="","",IFERROR(INDEX(Cleaners!$B$5:$B$34,MATCH($B468,Cleaners!$A$5:$A$34,0)),"?"))</f>
        <v/>
      </c>
      <c r="G468" s="31" t="str">
        <f aca="false">IF($B468="","",COUNTIFS('Cleans Log'!$C$5:$C$1004,$B468,'Cleans Log'!$R$5:$R$1004,$A468,'Cleans Log'!$O$5:$O$1004,"&gt;0"))</f>
        <v/>
      </c>
      <c r="H468" s="28" t="str">
        <f aca="false">IF($B468="","",SUMIFS('Cleans Log'!$O$5:$O$1004,'Cleans Log'!$C$5:$C$1004,$B468,'Cleans Log'!$R$5:$R$1004,$A468))</f>
        <v/>
      </c>
      <c r="I468" s="30" t="str">
        <f aca="false">IF($A468="","",$A468+7)</f>
        <v/>
      </c>
      <c r="J468" s="27" t="str">
        <f aca="true">IF($B468="","",IF($C468&lt;&gt;"","Paid",IF(TODAY()&gt;=$I468,"PAY NOW","Upcoming")))</f>
        <v/>
      </c>
    </row>
    <row r="469" customFormat="false" ht="15" hidden="false" customHeight="false" outlineLevel="0" collapsed="false">
      <c r="A469" s="22"/>
      <c r="B469" s="23"/>
      <c r="C469" s="22"/>
      <c r="D469" s="23"/>
      <c r="E469" s="23"/>
      <c r="F469" s="27" t="str">
        <f aca="false">IF($B469="","",IFERROR(INDEX(Cleaners!$B$5:$B$34,MATCH($B469,Cleaners!$A$5:$A$34,0)),"?"))</f>
        <v/>
      </c>
      <c r="G469" s="31" t="str">
        <f aca="false">IF($B469="","",COUNTIFS('Cleans Log'!$C$5:$C$1004,$B469,'Cleans Log'!$R$5:$R$1004,$A469,'Cleans Log'!$O$5:$O$1004,"&gt;0"))</f>
        <v/>
      </c>
      <c r="H469" s="28" t="str">
        <f aca="false">IF($B469="","",SUMIFS('Cleans Log'!$O$5:$O$1004,'Cleans Log'!$C$5:$C$1004,$B469,'Cleans Log'!$R$5:$R$1004,$A469))</f>
        <v/>
      </c>
      <c r="I469" s="30" t="str">
        <f aca="false">IF($A469="","",$A469+7)</f>
        <v/>
      </c>
      <c r="J469" s="27" t="str">
        <f aca="true">IF($B469="","",IF($C469&lt;&gt;"","Paid",IF(TODAY()&gt;=$I469,"PAY NOW","Upcoming")))</f>
        <v/>
      </c>
    </row>
    <row r="470" customFormat="false" ht="15" hidden="false" customHeight="false" outlineLevel="0" collapsed="false">
      <c r="A470" s="22"/>
      <c r="B470" s="23"/>
      <c r="C470" s="22"/>
      <c r="D470" s="23"/>
      <c r="E470" s="23"/>
      <c r="F470" s="27" t="str">
        <f aca="false">IF($B470="","",IFERROR(INDEX(Cleaners!$B$5:$B$34,MATCH($B470,Cleaners!$A$5:$A$34,0)),"?"))</f>
        <v/>
      </c>
      <c r="G470" s="31" t="str">
        <f aca="false">IF($B470="","",COUNTIFS('Cleans Log'!$C$5:$C$1004,$B470,'Cleans Log'!$R$5:$R$1004,$A470,'Cleans Log'!$O$5:$O$1004,"&gt;0"))</f>
        <v/>
      </c>
      <c r="H470" s="28" t="str">
        <f aca="false">IF($B470="","",SUMIFS('Cleans Log'!$O$5:$O$1004,'Cleans Log'!$C$5:$C$1004,$B470,'Cleans Log'!$R$5:$R$1004,$A470))</f>
        <v/>
      </c>
      <c r="I470" s="30" t="str">
        <f aca="false">IF($A470="","",$A470+7)</f>
        <v/>
      </c>
      <c r="J470" s="27" t="str">
        <f aca="true">IF($B470="","",IF($C470&lt;&gt;"","Paid",IF(TODAY()&gt;=$I470,"PAY NOW","Upcoming")))</f>
        <v/>
      </c>
    </row>
    <row r="471" customFormat="false" ht="15" hidden="false" customHeight="false" outlineLevel="0" collapsed="false">
      <c r="A471" s="22"/>
      <c r="B471" s="23"/>
      <c r="C471" s="22"/>
      <c r="D471" s="23"/>
      <c r="E471" s="23"/>
      <c r="F471" s="27" t="str">
        <f aca="false">IF($B471="","",IFERROR(INDEX(Cleaners!$B$5:$B$34,MATCH($B471,Cleaners!$A$5:$A$34,0)),"?"))</f>
        <v/>
      </c>
      <c r="G471" s="31" t="str">
        <f aca="false">IF($B471="","",COUNTIFS('Cleans Log'!$C$5:$C$1004,$B471,'Cleans Log'!$R$5:$R$1004,$A471,'Cleans Log'!$O$5:$O$1004,"&gt;0"))</f>
        <v/>
      </c>
      <c r="H471" s="28" t="str">
        <f aca="false">IF($B471="","",SUMIFS('Cleans Log'!$O$5:$O$1004,'Cleans Log'!$C$5:$C$1004,$B471,'Cleans Log'!$R$5:$R$1004,$A471))</f>
        <v/>
      </c>
      <c r="I471" s="30" t="str">
        <f aca="false">IF($A471="","",$A471+7)</f>
        <v/>
      </c>
      <c r="J471" s="27" t="str">
        <f aca="true">IF($B471="","",IF($C471&lt;&gt;"","Paid",IF(TODAY()&gt;=$I471,"PAY NOW","Upcoming")))</f>
        <v/>
      </c>
    </row>
    <row r="472" customFormat="false" ht="15" hidden="false" customHeight="false" outlineLevel="0" collapsed="false">
      <c r="A472" s="22"/>
      <c r="B472" s="23"/>
      <c r="C472" s="22"/>
      <c r="D472" s="23"/>
      <c r="E472" s="23"/>
      <c r="F472" s="27" t="str">
        <f aca="false">IF($B472="","",IFERROR(INDEX(Cleaners!$B$5:$B$34,MATCH($B472,Cleaners!$A$5:$A$34,0)),"?"))</f>
        <v/>
      </c>
      <c r="G472" s="31" t="str">
        <f aca="false">IF($B472="","",COUNTIFS('Cleans Log'!$C$5:$C$1004,$B472,'Cleans Log'!$R$5:$R$1004,$A472,'Cleans Log'!$O$5:$O$1004,"&gt;0"))</f>
        <v/>
      </c>
      <c r="H472" s="28" t="str">
        <f aca="false">IF($B472="","",SUMIFS('Cleans Log'!$O$5:$O$1004,'Cleans Log'!$C$5:$C$1004,$B472,'Cleans Log'!$R$5:$R$1004,$A472))</f>
        <v/>
      </c>
      <c r="I472" s="30" t="str">
        <f aca="false">IF($A472="","",$A472+7)</f>
        <v/>
      </c>
      <c r="J472" s="27" t="str">
        <f aca="true">IF($B472="","",IF($C472&lt;&gt;"","Paid",IF(TODAY()&gt;=$I472,"PAY NOW","Upcoming")))</f>
        <v/>
      </c>
    </row>
    <row r="473" customFormat="false" ht="15" hidden="false" customHeight="false" outlineLevel="0" collapsed="false">
      <c r="A473" s="22"/>
      <c r="B473" s="23"/>
      <c r="C473" s="22"/>
      <c r="D473" s="23"/>
      <c r="E473" s="23"/>
      <c r="F473" s="27" t="str">
        <f aca="false">IF($B473="","",IFERROR(INDEX(Cleaners!$B$5:$B$34,MATCH($B473,Cleaners!$A$5:$A$34,0)),"?"))</f>
        <v/>
      </c>
      <c r="G473" s="31" t="str">
        <f aca="false">IF($B473="","",COUNTIFS('Cleans Log'!$C$5:$C$1004,$B473,'Cleans Log'!$R$5:$R$1004,$A473,'Cleans Log'!$O$5:$O$1004,"&gt;0"))</f>
        <v/>
      </c>
      <c r="H473" s="28" t="str">
        <f aca="false">IF($B473="","",SUMIFS('Cleans Log'!$O$5:$O$1004,'Cleans Log'!$C$5:$C$1004,$B473,'Cleans Log'!$R$5:$R$1004,$A473))</f>
        <v/>
      </c>
      <c r="I473" s="30" t="str">
        <f aca="false">IF($A473="","",$A473+7)</f>
        <v/>
      </c>
      <c r="J473" s="27" t="str">
        <f aca="true">IF($B473="","",IF($C473&lt;&gt;"","Paid",IF(TODAY()&gt;=$I473,"PAY NOW","Upcoming")))</f>
        <v/>
      </c>
    </row>
    <row r="474" customFormat="false" ht="15" hidden="false" customHeight="false" outlineLevel="0" collapsed="false">
      <c r="A474" s="22"/>
      <c r="B474" s="23"/>
      <c r="C474" s="22"/>
      <c r="D474" s="23"/>
      <c r="E474" s="23"/>
      <c r="F474" s="27" t="str">
        <f aca="false">IF($B474="","",IFERROR(INDEX(Cleaners!$B$5:$B$34,MATCH($B474,Cleaners!$A$5:$A$34,0)),"?"))</f>
        <v/>
      </c>
      <c r="G474" s="31" t="str">
        <f aca="false">IF($B474="","",COUNTIFS('Cleans Log'!$C$5:$C$1004,$B474,'Cleans Log'!$R$5:$R$1004,$A474,'Cleans Log'!$O$5:$O$1004,"&gt;0"))</f>
        <v/>
      </c>
      <c r="H474" s="28" t="str">
        <f aca="false">IF($B474="","",SUMIFS('Cleans Log'!$O$5:$O$1004,'Cleans Log'!$C$5:$C$1004,$B474,'Cleans Log'!$R$5:$R$1004,$A474))</f>
        <v/>
      </c>
      <c r="I474" s="30" t="str">
        <f aca="false">IF($A474="","",$A474+7)</f>
        <v/>
      </c>
      <c r="J474" s="27" t="str">
        <f aca="true">IF($B474="","",IF($C474&lt;&gt;"","Paid",IF(TODAY()&gt;=$I474,"PAY NOW","Upcoming")))</f>
        <v/>
      </c>
    </row>
    <row r="475" customFormat="false" ht="15" hidden="false" customHeight="false" outlineLevel="0" collapsed="false">
      <c r="A475" s="22"/>
      <c r="B475" s="23"/>
      <c r="C475" s="22"/>
      <c r="D475" s="23"/>
      <c r="E475" s="23"/>
      <c r="F475" s="27" t="str">
        <f aca="false">IF($B475="","",IFERROR(INDEX(Cleaners!$B$5:$B$34,MATCH($B475,Cleaners!$A$5:$A$34,0)),"?"))</f>
        <v/>
      </c>
      <c r="G475" s="31" t="str">
        <f aca="false">IF($B475="","",COUNTIFS('Cleans Log'!$C$5:$C$1004,$B475,'Cleans Log'!$R$5:$R$1004,$A475,'Cleans Log'!$O$5:$O$1004,"&gt;0"))</f>
        <v/>
      </c>
      <c r="H475" s="28" t="str">
        <f aca="false">IF($B475="","",SUMIFS('Cleans Log'!$O$5:$O$1004,'Cleans Log'!$C$5:$C$1004,$B475,'Cleans Log'!$R$5:$R$1004,$A475))</f>
        <v/>
      </c>
      <c r="I475" s="30" t="str">
        <f aca="false">IF($A475="","",$A475+7)</f>
        <v/>
      </c>
      <c r="J475" s="27" t="str">
        <f aca="true">IF($B475="","",IF($C475&lt;&gt;"","Paid",IF(TODAY()&gt;=$I475,"PAY NOW","Upcoming")))</f>
        <v/>
      </c>
    </row>
    <row r="476" customFormat="false" ht="15" hidden="false" customHeight="false" outlineLevel="0" collapsed="false">
      <c r="A476" s="22"/>
      <c r="B476" s="23"/>
      <c r="C476" s="22"/>
      <c r="D476" s="23"/>
      <c r="E476" s="23"/>
      <c r="F476" s="27" t="str">
        <f aca="false">IF($B476="","",IFERROR(INDEX(Cleaners!$B$5:$B$34,MATCH($B476,Cleaners!$A$5:$A$34,0)),"?"))</f>
        <v/>
      </c>
      <c r="G476" s="31" t="str">
        <f aca="false">IF($B476="","",COUNTIFS('Cleans Log'!$C$5:$C$1004,$B476,'Cleans Log'!$R$5:$R$1004,$A476,'Cleans Log'!$O$5:$O$1004,"&gt;0"))</f>
        <v/>
      </c>
      <c r="H476" s="28" t="str">
        <f aca="false">IF($B476="","",SUMIFS('Cleans Log'!$O$5:$O$1004,'Cleans Log'!$C$5:$C$1004,$B476,'Cleans Log'!$R$5:$R$1004,$A476))</f>
        <v/>
      </c>
      <c r="I476" s="30" t="str">
        <f aca="false">IF($A476="","",$A476+7)</f>
        <v/>
      </c>
      <c r="J476" s="27" t="str">
        <f aca="true">IF($B476="","",IF($C476&lt;&gt;"","Paid",IF(TODAY()&gt;=$I476,"PAY NOW","Upcoming")))</f>
        <v/>
      </c>
    </row>
    <row r="477" customFormat="false" ht="15" hidden="false" customHeight="false" outlineLevel="0" collapsed="false">
      <c r="A477" s="22"/>
      <c r="B477" s="23"/>
      <c r="C477" s="22"/>
      <c r="D477" s="23"/>
      <c r="E477" s="23"/>
      <c r="F477" s="27" t="str">
        <f aca="false">IF($B477="","",IFERROR(INDEX(Cleaners!$B$5:$B$34,MATCH($B477,Cleaners!$A$5:$A$34,0)),"?"))</f>
        <v/>
      </c>
      <c r="G477" s="31" t="str">
        <f aca="false">IF($B477="","",COUNTIFS('Cleans Log'!$C$5:$C$1004,$B477,'Cleans Log'!$R$5:$R$1004,$A477,'Cleans Log'!$O$5:$O$1004,"&gt;0"))</f>
        <v/>
      </c>
      <c r="H477" s="28" t="str">
        <f aca="false">IF($B477="","",SUMIFS('Cleans Log'!$O$5:$O$1004,'Cleans Log'!$C$5:$C$1004,$B477,'Cleans Log'!$R$5:$R$1004,$A477))</f>
        <v/>
      </c>
      <c r="I477" s="30" t="str">
        <f aca="false">IF($A477="","",$A477+7)</f>
        <v/>
      </c>
      <c r="J477" s="27" t="str">
        <f aca="true">IF($B477="","",IF($C477&lt;&gt;"","Paid",IF(TODAY()&gt;=$I477,"PAY NOW","Upcoming")))</f>
        <v/>
      </c>
    </row>
    <row r="478" customFormat="false" ht="15" hidden="false" customHeight="false" outlineLevel="0" collapsed="false">
      <c r="A478" s="22"/>
      <c r="B478" s="23"/>
      <c r="C478" s="22"/>
      <c r="D478" s="23"/>
      <c r="E478" s="23"/>
      <c r="F478" s="27" t="str">
        <f aca="false">IF($B478="","",IFERROR(INDEX(Cleaners!$B$5:$B$34,MATCH($B478,Cleaners!$A$5:$A$34,0)),"?"))</f>
        <v/>
      </c>
      <c r="G478" s="31" t="str">
        <f aca="false">IF($B478="","",COUNTIFS('Cleans Log'!$C$5:$C$1004,$B478,'Cleans Log'!$R$5:$R$1004,$A478,'Cleans Log'!$O$5:$O$1004,"&gt;0"))</f>
        <v/>
      </c>
      <c r="H478" s="28" t="str">
        <f aca="false">IF($B478="","",SUMIFS('Cleans Log'!$O$5:$O$1004,'Cleans Log'!$C$5:$C$1004,$B478,'Cleans Log'!$R$5:$R$1004,$A478))</f>
        <v/>
      </c>
      <c r="I478" s="30" t="str">
        <f aca="false">IF($A478="","",$A478+7)</f>
        <v/>
      </c>
      <c r="J478" s="27" t="str">
        <f aca="true">IF($B478="","",IF($C478&lt;&gt;"","Paid",IF(TODAY()&gt;=$I478,"PAY NOW","Upcoming")))</f>
        <v/>
      </c>
    </row>
    <row r="479" customFormat="false" ht="15" hidden="false" customHeight="false" outlineLevel="0" collapsed="false">
      <c r="A479" s="22"/>
      <c r="B479" s="23"/>
      <c r="C479" s="22"/>
      <c r="D479" s="23"/>
      <c r="E479" s="23"/>
      <c r="F479" s="27" t="str">
        <f aca="false">IF($B479="","",IFERROR(INDEX(Cleaners!$B$5:$B$34,MATCH($B479,Cleaners!$A$5:$A$34,0)),"?"))</f>
        <v/>
      </c>
      <c r="G479" s="31" t="str">
        <f aca="false">IF($B479="","",COUNTIFS('Cleans Log'!$C$5:$C$1004,$B479,'Cleans Log'!$R$5:$R$1004,$A479,'Cleans Log'!$O$5:$O$1004,"&gt;0"))</f>
        <v/>
      </c>
      <c r="H479" s="28" t="str">
        <f aca="false">IF($B479="","",SUMIFS('Cleans Log'!$O$5:$O$1004,'Cleans Log'!$C$5:$C$1004,$B479,'Cleans Log'!$R$5:$R$1004,$A479))</f>
        <v/>
      </c>
      <c r="I479" s="30" t="str">
        <f aca="false">IF($A479="","",$A479+7)</f>
        <v/>
      </c>
      <c r="J479" s="27" t="str">
        <f aca="true">IF($B479="","",IF($C479&lt;&gt;"","Paid",IF(TODAY()&gt;=$I479,"PAY NOW","Upcoming")))</f>
        <v/>
      </c>
    </row>
    <row r="480" customFormat="false" ht="15" hidden="false" customHeight="false" outlineLevel="0" collapsed="false">
      <c r="A480" s="22"/>
      <c r="B480" s="23"/>
      <c r="C480" s="22"/>
      <c r="D480" s="23"/>
      <c r="E480" s="23"/>
      <c r="F480" s="27" t="str">
        <f aca="false">IF($B480="","",IFERROR(INDEX(Cleaners!$B$5:$B$34,MATCH($B480,Cleaners!$A$5:$A$34,0)),"?"))</f>
        <v/>
      </c>
      <c r="G480" s="31" t="str">
        <f aca="false">IF($B480="","",COUNTIFS('Cleans Log'!$C$5:$C$1004,$B480,'Cleans Log'!$R$5:$R$1004,$A480,'Cleans Log'!$O$5:$O$1004,"&gt;0"))</f>
        <v/>
      </c>
      <c r="H480" s="28" t="str">
        <f aca="false">IF($B480="","",SUMIFS('Cleans Log'!$O$5:$O$1004,'Cleans Log'!$C$5:$C$1004,$B480,'Cleans Log'!$R$5:$R$1004,$A480))</f>
        <v/>
      </c>
      <c r="I480" s="30" t="str">
        <f aca="false">IF($A480="","",$A480+7)</f>
        <v/>
      </c>
      <c r="J480" s="27" t="str">
        <f aca="true">IF($B480="","",IF($C480&lt;&gt;"","Paid",IF(TODAY()&gt;=$I480,"PAY NOW","Upcoming")))</f>
        <v/>
      </c>
    </row>
    <row r="481" customFormat="false" ht="15" hidden="false" customHeight="false" outlineLevel="0" collapsed="false">
      <c r="A481" s="22"/>
      <c r="B481" s="23"/>
      <c r="C481" s="22"/>
      <c r="D481" s="23"/>
      <c r="E481" s="23"/>
      <c r="F481" s="27" t="str">
        <f aca="false">IF($B481="","",IFERROR(INDEX(Cleaners!$B$5:$B$34,MATCH($B481,Cleaners!$A$5:$A$34,0)),"?"))</f>
        <v/>
      </c>
      <c r="G481" s="31" t="str">
        <f aca="false">IF($B481="","",COUNTIFS('Cleans Log'!$C$5:$C$1004,$B481,'Cleans Log'!$R$5:$R$1004,$A481,'Cleans Log'!$O$5:$O$1004,"&gt;0"))</f>
        <v/>
      </c>
      <c r="H481" s="28" t="str">
        <f aca="false">IF($B481="","",SUMIFS('Cleans Log'!$O$5:$O$1004,'Cleans Log'!$C$5:$C$1004,$B481,'Cleans Log'!$R$5:$R$1004,$A481))</f>
        <v/>
      </c>
      <c r="I481" s="30" t="str">
        <f aca="false">IF($A481="","",$A481+7)</f>
        <v/>
      </c>
      <c r="J481" s="27" t="str">
        <f aca="true">IF($B481="","",IF($C481&lt;&gt;"","Paid",IF(TODAY()&gt;=$I481,"PAY NOW","Upcoming")))</f>
        <v/>
      </c>
    </row>
    <row r="482" customFormat="false" ht="15" hidden="false" customHeight="false" outlineLevel="0" collapsed="false">
      <c r="A482" s="22"/>
      <c r="B482" s="23"/>
      <c r="C482" s="22"/>
      <c r="D482" s="23"/>
      <c r="E482" s="23"/>
      <c r="F482" s="27" t="str">
        <f aca="false">IF($B482="","",IFERROR(INDEX(Cleaners!$B$5:$B$34,MATCH($B482,Cleaners!$A$5:$A$34,0)),"?"))</f>
        <v/>
      </c>
      <c r="G482" s="31" t="str">
        <f aca="false">IF($B482="","",COUNTIFS('Cleans Log'!$C$5:$C$1004,$B482,'Cleans Log'!$R$5:$R$1004,$A482,'Cleans Log'!$O$5:$O$1004,"&gt;0"))</f>
        <v/>
      </c>
      <c r="H482" s="28" t="str">
        <f aca="false">IF($B482="","",SUMIFS('Cleans Log'!$O$5:$O$1004,'Cleans Log'!$C$5:$C$1004,$B482,'Cleans Log'!$R$5:$R$1004,$A482))</f>
        <v/>
      </c>
      <c r="I482" s="30" t="str">
        <f aca="false">IF($A482="","",$A482+7)</f>
        <v/>
      </c>
      <c r="J482" s="27" t="str">
        <f aca="true">IF($B482="","",IF($C482&lt;&gt;"","Paid",IF(TODAY()&gt;=$I482,"PAY NOW","Upcoming")))</f>
        <v/>
      </c>
    </row>
    <row r="483" customFormat="false" ht="15" hidden="false" customHeight="false" outlineLevel="0" collapsed="false">
      <c r="A483" s="22"/>
      <c r="B483" s="23"/>
      <c r="C483" s="22"/>
      <c r="D483" s="23"/>
      <c r="E483" s="23"/>
      <c r="F483" s="27" t="str">
        <f aca="false">IF($B483="","",IFERROR(INDEX(Cleaners!$B$5:$B$34,MATCH($B483,Cleaners!$A$5:$A$34,0)),"?"))</f>
        <v/>
      </c>
      <c r="G483" s="31" t="str">
        <f aca="false">IF($B483="","",COUNTIFS('Cleans Log'!$C$5:$C$1004,$B483,'Cleans Log'!$R$5:$R$1004,$A483,'Cleans Log'!$O$5:$O$1004,"&gt;0"))</f>
        <v/>
      </c>
      <c r="H483" s="28" t="str">
        <f aca="false">IF($B483="","",SUMIFS('Cleans Log'!$O$5:$O$1004,'Cleans Log'!$C$5:$C$1004,$B483,'Cleans Log'!$R$5:$R$1004,$A483))</f>
        <v/>
      </c>
      <c r="I483" s="30" t="str">
        <f aca="false">IF($A483="","",$A483+7)</f>
        <v/>
      </c>
      <c r="J483" s="27" t="str">
        <f aca="true">IF($B483="","",IF($C483&lt;&gt;"","Paid",IF(TODAY()&gt;=$I483,"PAY NOW","Upcoming")))</f>
        <v/>
      </c>
    </row>
    <row r="484" customFormat="false" ht="15" hidden="false" customHeight="false" outlineLevel="0" collapsed="false">
      <c r="A484" s="22"/>
      <c r="B484" s="23"/>
      <c r="C484" s="22"/>
      <c r="D484" s="23"/>
      <c r="E484" s="23"/>
      <c r="F484" s="27" t="str">
        <f aca="false">IF($B484="","",IFERROR(INDEX(Cleaners!$B$5:$B$34,MATCH($B484,Cleaners!$A$5:$A$34,0)),"?"))</f>
        <v/>
      </c>
      <c r="G484" s="31" t="str">
        <f aca="false">IF($B484="","",COUNTIFS('Cleans Log'!$C$5:$C$1004,$B484,'Cleans Log'!$R$5:$R$1004,$A484,'Cleans Log'!$O$5:$O$1004,"&gt;0"))</f>
        <v/>
      </c>
      <c r="H484" s="28" t="str">
        <f aca="false">IF($B484="","",SUMIFS('Cleans Log'!$O$5:$O$1004,'Cleans Log'!$C$5:$C$1004,$B484,'Cleans Log'!$R$5:$R$1004,$A484))</f>
        <v/>
      </c>
      <c r="I484" s="30" t="str">
        <f aca="false">IF($A484="","",$A484+7)</f>
        <v/>
      </c>
      <c r="J484" s="27" t="str">
        <f aca="true">IF($B484="","",IF($C484&lt;&gt;"","Paid",IF(TODAY()&gt;=$I484,"PAY NOW","Upcoming")))</f>
        <v/>
      </c>
    </row>
    <row r="485" customFormat="false" ht="15" hidden="false" customHeight="false" outlineLevel="0" collapsed="false">
      <c r="A485" s="22"/>
      <c r="B485" s="23"/>
      <c r="C485" s="22"/>
      <c r="D485" s="23"/>
      <c r="E485" s="23"/>
      <c r="F485" s="27" t="str">
        <f aca="false">IF($B485="","",IFERROR(INDEX(Cleaners!$B$5:$B$34,MATCH($B485,Cleaners!$A$5:$A$34,0)),"?"))</f>
        <v/>
      </c>
      <c r="G485" s="31" t="str">
        <f aca="false">IF($B485="","",COUNTIFS('Cleans Log'!$C$5:$C$1004,$B485,'Cleans Log'!$R$5:$R$1004,$A485,'Cleans Log'!$O$5:$O$1004,"&gt;0"))</f>
        <v/>
      </c>
      <c r="H485" s="28" t="str">
        <f aca="false">IF($B485="","",SUMIFS('Cleans Log'!$O$5:$O$1004,'Cleans Log'!$C$5:$C$1004,$B485,'Cleans Log'!$R$5:$R$1004,$A485))</f>
        <v/>
      </c>
      <c r="I485" s="30" t="str">
        <f aca="false">IF($A485="","",$A485+7)</f>
        <v/>
      </c>
      <c r="J485" s="27" t="str">
        <f aca="true">IF($B485="","",IF($C485&lt;&gt;"","Paid",IF(TODAY()&gt;=$I485,"PAY NOW","Upcoming")))</f>
        <v/>
      </c>
    </row>
    <row r="486" customFormat="false" ht="15" hidden="false" customHeight="false" outlineLevel="0" collapsed="false">
      <c r="A486" s="22"/>
      <c r="B486" s="23"/>
      <c r="C486" s="22"/>
      <c r="D486" s="23"/>
      <c r="E486" s="23"/>
      <c r="F486" s="27" t="str">
        <f aca="false">IF($B486="","",IFERROR(INDEX(Cleaners!$B$5:$B$34,MATCH($B486,Cleaners!$A$5:$A$34,0)),"?"))</f>
        <v/>
      </c>
      <c r="G486" s="31" t="str">
        <f aca="false">IF($B486="","",COUNTIFS('Cleans Log'!$C$5:$C$1004,$B486,'Cleans Log'!$R$5:$R$1004,$A486,'Cleans Log'!$O$5:$O$1004,"&gt;0"))</f>
        <v/>
      </c>
      <c r="H486" s="28" t="str">
        <f aca="false">IF($B486="","",SUMIFS('Cleans Log'!$O$5:$O$1004,'Cleans Log'!$C$5:$C$1004,$B486,'Cleans Log'!$R$5:$R$1004,$A486))</f>
        <v/>
      </c>
      <c r="I486" s="30" t="str">
        <f aca="false">IF($A486="","",$A486+7)</f>
        <v/>
      </c>
      <c r="J486" s="27" t="str">
        <f aca="true">IF($B486="","",IF($C486&lt;&gt;"","Paid",IF(TODAY()&gt;=$I486,"PAY NOW","Upcoming")))</f>
        <v/>
      </c>
    </row>
    <row r="487" customFormat="false" ht="15" hidden="false" customHeight="false" outlineLevel="0" collapsed="false">
      <c r="A487" s="22"/>
      <c r="B487" s="23"/>
      <c r="C487" s="22"/>
      <c r="D487" s="23"/>
      <c r="E487" s="23"/>
      <c r="F487" s="27" t="str">
        <f aca="false">IF($B487="","",IFERROR(INDEX(Cleaners!$B$5:$B$34,MATCH($B487,Cleaners!$A$5:$A$34,0)),"?"))</f>
        <v/>
      </c>
      <c r="G487" s="31" t="str">
        <f aca="false">IF($B487="","",COUNTIFS('Cleans Log'!$C$5:$C$1004,$B487,'Cleans Log'!$R$5:$R$1004,$A487,'Cleans Log'!$O$5:$O$1004,"&gt;0"))</f>
        <v/>
      </c>
      <c r="H487" s="28" t="str">
        <f aca="false">IF($B487="","",SUMIFS('Cleans Log'!$O$5:$O$1004,'Cleans Log'!$C$5:$C$1004,$B487,'Cleans Log'!$R$5:$R$1004,$A487))</f>
        <v/>
      </c>
      <c r="I487" s="30" t="str">
        <f aca="false">IF($A487="","",$A487+7)</f>
        <v/>
      </c>
      <c r="J487" s="27" t="str">
        <f aca="true">IF($B487="","",IF($C487&lt;&gt;"","Paid",IF(TODAY()&gt;=$I487,"PAY NOW","Upcoming")))</f>
        <v/>
      </c>
    </row>
    <row r="488" customFormat="false" ht="15" hidden="false" customHeight="false" outlineLevel="0" collapsed="false">
      <c r="A488" s="22"/>
      <c r="B488" s="23"/>
      <c r="C488" s="22"/>
      <c r="D488" s="23"/>
      <c r="E488" s="23"/>
      <c r="F488" s="27" t="str">
        <f aca="false">IF($B488="","",IFERROR(INDEX(Cleaners!$B$5:$B$34,MATCH($B488,Cleaners!$A$5:$A$34,0)),"?"))</f>
        <v/>
      </c>
      <c r="G488" s="31" t="str">
        <f aca="false">IF($B488="","",COUNTIFS('Cleans Log'!$C$5:$C$1004,$B488,'Cleans Log'!$R$5:$R$1004,$A488,'Cleans Log'!$O$5:$O$1004,"&gt;0"))</f>
        <v/>
      </c>
      <c r="H488" s="28" t="str">
        <f aca="false">IF($B488="","",SUMIFS('Cleans Log'!$O$5:$O$1004,'Cleans Log'!$C$5:$C$1004,$B488,'Cleans Log'!$R$5:$R$1004,$A488))</f>
        <v/>
      </c>
      <c r="I488" s="30" t="str">
        <f aca="false">IF($A488="","",$A488+7)</f>
        <v/>
      </c>
      <c r="J488" s="27" t="str">
        <f aca="true">IF($B488="","",IF($C488&lt;&gt;"","Paid",IF(TODAY()&gt;=$I488,"PAY NOW","Upcoming")))</f>
        <v/>
      </c>
    </row>
    <row r="489" customFormat="false" ht="15" hidden="false" customHeight="false" outlineLevel="0" collapsed="false">
      <c r="A489" s="22"/>
      <c r="B489" s="23"/>
      <c r="C489" s="22"/>
      <c r="D489" s="23"/>
      <c r="E489" s="23"/>
      <c r="F489" s="27" t="str">
        <f aca="false">IF($B489="","",IFERROR(INDEX(Cleaners!$B$5:$B$34,MATCH($B489,Cleaners!$A$5:$A$34,0)),"?"))</f>
        <v/>
      </c>
      <c r="G489" s="31" t="str">
        <f aca="false">IF($B489="","",COUNTIFS('Cleans Log'!$C$5:$C$1004,$B489,'Cleans Log'!$R$5:$R$1004,$A489,'Cleans Log'!$O$5:$O$1004,"&gt;0"))</f>
        <v/>
      </c>
      <c r="H489" s="28" t="str">
        <f aca="false">IF($B489="","",SUMIFS('Cleans Log'!$O$5:$O$1004,'Cleans Log'!$C$5:$C$1004,$B489,'Cleans Log'!$R$5:$R$1004,$A489))</f>
        <v/>
      </c>
      <c r="I489" s="30" t="str">
        <f aca="false">IF($A489="","",$A489+7)</f>
        <v/>
      </c>
      <c r="J489" s="27" t="str">
        <f aca="true">IF($B489="","",IF($C489&lt;&gt;"","Paid",IF(TODAY()&gt;=$I489,"PAY NOW","Upcoming")))</f>
        <v/>
      </c>
    </row>
    <row r="490" customFormat="false" ht="15" hidden="false" customHeight="false" outlineLevel="0" collapsed="false">
      <c r="A490" s="22"/>
      <c r="B490" s="23"/>
      <c r="C490" s="22"/>
      <c r="D490" s="23"/>
      <c r="E490" s="23"/>
      <c r="F490" s="27" t="str">
        <f aca="false">IF($B490="","",IFERROR(INDEX(Cleaners!$B$5:$B$34,MATCH($B490,Cleaners!$A$5:$A$34,0)),"?"))</f>
        <v/>
      </c>
      <c r="G490" s="31" t="str">
        <f aca="false">IF($B490="","",COUNTIFS('Cleans Log'!$C$5:$C$1004,$B490,'Cleans Log'!$R$5:$R$1004,$A490,'Cleans Log'!$O$5:$O$1004,"&gt;0"))</f>
        <v/>
      </c>
      <c r="H490" s="28" t="str">
        <f aca="false">IF($B490="","",SUMIFS('Cleans Log'!$O$5:$O$1004,'Cleans Log'!$C$5:$C$1004,$B490,'Cleans Log'!$R$5:$R$1004,$A490))</f>
        <v/>
      </c>
      <c r="I490" s="30" t="str">
        <f aca="false">IF($A490="","",$A490+7)</f>
        <v/>
      </c>
      <c r="J490" s="27" t="str">
        <f aca="true">IF($B490="","",IF($C490&lt;&gt;"","Paid",IF(TODAY()&gt;=$I490,"PAY NOW","Upcoming")))</f>
        <v/>
      </c>
    </row>
    <row r="491" customFormat="false" ht="15" hidden="false" customHeight="false" outlineLevel="0" collapsed="false">
      <c r="A491" s="22"/>
      <c r="B491" s="23"/>
      <c r="C491" s="22"/>
      <c r="D491" s="23"/>
      <c r="E491" s="23"/>
      <c r="F491" s="27" t="str">
        <f aca="false">IF($B491="","",IFERROR(INDEX(Cleaners!$B$5:$B$34,MATCH($B491,Cleaners!$A$5:$A$34,0)),"?"))</f>
        <v/>
      </c>
      <c r="G491" s="31" t="str">
        <f aca="false">IF($B491="","",COUNTIFS('Cleans Log'!$C$5:$C$1004,$B491,'Cleans Log'!$R$5:$R$1004,$A491,'Cleans Log'!$O$5:$O$1004,"&gt;0"))</f>
        <v/>
      </c>
      <c r="H491" s="28" t="str">
        <f aca="false">IF($B491="","",SUMIFS('Cleans Log'!$O$5:$O$1004,'Cleans Log'!$C$5:$C$1004,$B491,'Cleans Log'!$R$5:$R$1004,$A491))</f>
        <v/>
      </c>
      <c r="I491" s="30" t="str">
        <f aca="false">IF($A491="","",$A491+7)</f>
        <v/>
      </c>
      <c r="J491" s="27" t="str">
        <f aca="true">IF($B491="","",IF($C491&lt;&gt;"","Paid",IF(TODAY()&gt;=$I491,"PAY NOW","Upcoming")))</f>
        <v/>
      </c>
    </row>
    <row r="492" customFormat="false" ht="15" hidden="false" customHeight="false" outlineLevel="0" collapsed="false">
      <c r="A492" s="22"/>
      <c r="B492" s="23"/>
      <c r="C492" s="22"/>
      <c r="D492" s="23"/>
      <c r="E492" s="23"/>
      <c r="F492" s="27" t="str">
        <f aca="false">IF($B492="","",IFERROR(INDEX(Cleaners!$B$5:$B$34,MATCH($B492,Cleaners!$A$5:$A$34,0)),"?"))</f>
        <v/>
      </c>
      <c r="G492" s="31" t="str">
        <f aca="false">IF($B492="","",COUNTIFS('Cleans Log'!$C$5:$C$1004,$B492,'Cleans Log'!$R$5:$R$1004,$A492,'Cleans Log'!$O$5:$O$1004,"&gt;0"))</f>
        <v/>
      </c>
      <c r="H492" s="28" t="str">
        <f aca="false">IF($B492="","",SUMIFS('Cleans Log'!$O$5:$O$1004,'Cleans Log'!$C$5:$C$1004,$B492,'Cleans Log'!$R$5:$R$1004,$A492))</f>
        <v/>
      </c>
      <c r="I492" s="30" t="str">
        <f aca="false">IF($A492="","",$A492+7)</f>
        <v/>
      </c>
      <c r="J492" s="27" t="str">
        <f aca="true">IF($B492="","",IF($C492&lt;&gt;"","Paid",IF(TODAY()&gt;=$I492,"PAY NOW","Upcoming")))</f>
        <v/>
      </c>
    </row>
    <row r="493" customFormat="false" ht="15" hidden="false" customHeight="false" outlineLevel="0" collapsed="false">
      <c r="A493" s="22"/>
      <c r="B493" s="23"/>
      <c r="C493" s="22"/>
      <c r="D493" s="23"/>
      <c r="E493" s="23"/>
      <c r="F493" s="27" t="str">
        <f aca="false">IF($B493="","",IFERROR(INDEX(Cleaners!$B$5:$B$34,MATCH($B493,Cleaners!$A$5:$A$34,0)),"?"))</f>
        <v/>
      </c>
      <c r="G493" s="31" t="str">
        <f aca="false">IF($B493="","",COUNTIFS('Cleans Log'!$C$5:$C$1004,$B493,'Cleans Log'!$R$5:$R$1004,$A493,'Cleans Log'!$O$5:$O$1004,"&gt;0"))</f>
        <v/>
      </c>
      <c r="H493" s="28" t="str">
        <f aca="false">IF($B493="","",SUMIFS('Cleans Log'!$O$5:$O$1004,'Cleans Log'!$C$5:$C$1004,$B493,'Cleans Log'!$R$5:$R$1004,$A493))</f>
        <v/>
      </c>
      <c r="I493" s="30" t="str">
        <f aca="false">IF($A493="","",$A493+7)</f>
        <v/>
      </c>
      <c r="J493" s="27" t="str">
        <f aca="true">IF($B493="","",IF($C493&lt;&gt;"","Paid",IF(TODAY()&gt;=$I493,"PAY NOW","Upcoming")))</f>
        <v/>
      </c>
    </row>
    <row r="494" customFormat="false" ht="15" hidden="false" customHeight="false" outlineLevel="0" collapsed="false">
      <c r="A494" s="22"/>
      <c r="B494" s="23"/>
      <c r="C494" s="22"/>
      <c r="D494" s="23"/>
      <c r="E494" s="23"/>
      <c r="F494" s="27" t="str">
        <f aca="false">IF($B494="","",IFERROR(INDEX(Cleaners!$B$5:$B$34,MATCH($B494,Cleaners!$A$5:$A$34,0)),"?"))</f>
        <v/>
      </c>
      <c r="G494" s="31" t="str">
        <f aca="false">IF($B494="","",COUNTIFS('Cleans Log'!$C$5:$C$1004,$B494,'Cleans Log'!$R$5:$R$1004,$A494,'Cleans Log'!$O$5:$O$1004,"&gt;0"))</f>
        <v/>
      </c>
      <c r="H494" s="28" t="str">
        <f aca="false">IF($B494="","",SUMIFS('Cleans Log'!$O$5:$O$1004,'Cleans Log'!$C$5:$C$1004,$B494,'Cleans Log'!$R$5:$R$1004,$A494))</f>
        <v/>
      </c>
      <c r="I494" s="30" t="str">
        <f aca="false">IF($A494="","",$A494+7)</f>
        <v/>
      </c>
      <c r="J494" s="27" t="str">
        <f aca="true">IF($B494="","",IF($C494&lt;&gt;"","Paid",IF(TODAY()&gt;=$I494,"PAY NOW","Upcoming")))</f>
        <v/>
      </c>
    </row>
    <row r="495" customFormat="false" ht="15" hidden="false" customHeight="false" outlineLevel="0" collapsed="false">
      <c r="A495" s="22"/>
      <c r="B495" s="23"/>
      <c r="C495" s="22"/>
      <c r="D495" s="23"/>
      <c r="E495" s="23"/>
      <c r="F495" s="27" t="str">
        <f aca="false">IF($B495="","",IFERROR(INDEX(Cleaners!$B$5:$B$34,MATCH($B495,Cleaners!$A$5:$A$34,0)),"?"))</f>
        <v/>
      </c>
      <c r="G495" s="31" t="str">
        <f aca="false">IF($B495="","",COUNTIFS('Cleans Log'!$C$5:$C$1004,$B495,'Cleans Log'!$R$5:$R$1004,$A495,'Cleans Log'!$O$5:$O$1004,"&gt;0"))</f>
        <v/>
      </c>
      <c r="H495" s="28" t="str">
        <f aca="false">IF($B495="","",SUMIFS('Cleans Log'!$O$5:$O$1004,'Cleans Log'!$C$5:$C$1004,$B495,'Cleans Log'!$R$5:$R$1004,$A495))</f>
        <v/>
      </c>
      <c r="I495" s="30" t="str">
        <f aca="false">IF($A495="","",$A495+7)</f>
        <v/>
      </c>
      <c r="J495" s="27" t="str">
        <f aca="true">IF($B495="","",IF($C495&lt;&gt;"","Paid",IF(TODAY()&gt;=$I495,"PAY NOW","Upcoming")))</f>
        <v/>
      </c>
    </row>
    <row r="496" customFormat="false" ht="15" hidden="false" customHeight="false" outlineLevel="0" collapsed="false">
      <c r="A496" s="22"/>
      <c r="B496" s="23"/>
      <c r="C496" s="22"/>
      <c r="D496" s="23"/>
      <c r="E496" s="23"/>
      <c r="F496" s="27" t="str">
        <f aca="false">IF($B496="","",IFERROR(INDEX(Cleaners!$B$5:$B$34,MATCH($B496,Cleaners!$A$5:$A$34,0)),"?"))</f>
        <v/>
      </c>
      <c r="G496" s="31" t="str">
        <f aca="false">IF($B496="","",COUNTIFS('Cleans Log'!$C$5:$C$1004,$B496,'Cleans Log'!$R$5:$R$1004,$A496,'Cleans Log'!$O$5:$O$1004,"&gt;0"))</f>
        <v/>
      </c>
      <c r="H496" s="28" t="str">
        <f aca="false">IF($B496="","",SUMIFS('Cleans Log'!$O$5:$O$1004,'Cleans Log'!$C$5:$C$1004,$B496,'Cleans Log'!$R$5:$R$1004,$A496))</f>
        <v/>
      </c>
      <c r="I496" s="30" t="str">
        <f aca="false">IF($A496="","",$A496+7)</f>
        <v/>
      </c>
      <c r="J496" s="27" t="str">
        <f aca="true">IF($B496="","",IF($C496&lt;&gt;"","Paid",IF(TODAY()&gt;=$I496,"PAY NOW","Upcoming")))</f>
        <v/>
      </c>
    </row>
    <row r="497" customFormat="false" ht="15" hidden="false" customHeight="false" outlineLevel="0" collapsed="false">
      <c r="A497" s="22"/>
      <c r="B497" s="23"/>
      <c r="C497" s="22"/>
      <c r="D497" s="23"/>
      <c r="E497" s="23"/>
      <c r="F497" s="27" t="str">
        <f aca="false">IF($B497="","",IFERROR(INDEX(Cleaners!$B$5:$B$34,MATCH($B497,Cleaners!$A$5:$A$34,0)),"?"))</f>
        <v/>
      </c>
      <c r="G497" s="31" t="str">
        <f aca="false">IF($B497="","",COUNTIFS('Cleans Log'!$C$5:$C$1004,$B497,'Cleans Log'!$R$5:$R$1004,$A497,'Cleans Log'!$O$5:$O$1004,"&gt;0"))</f>
        <v/>
      </c>
      <c r="H497" s="28" t="str">
        <f aca="false">IF($B497="","",SUMIFS('Cleans Log'!$O$5:$O$1004,'Cleans Log'!$C$5:$C$1004,$B497,'Cleans Log'!$R$5:$R$1004,$A497))</f>
        <v/>
      </c>
      <c r="I497" s="30" t="str">
        <f aca="false">IF($A497="","",$A497+7)</f>
        <v/>
      </c>
      <c r="J497" s="27" t="str">
        <f aca="true">IF($B497="","",IF($C497&lt;&gt;"","Paid",IF(TODAY()&gt;=$I497,"PAY NOW","Upcoming")))</f>
        <v/>
      </c>
    </row>
    <row r="498" customFormat="false" ht="15" hidden="false" customHeight="false" outlineLevel="0" collapsed="false">
      <c r="A498" s="22"/>
      <c r="B498" s="23"/>
      <c r="C498" s="22"/>
      <c r="D498" s="23"/>
      <c r="E498" s="23"/>
      <c r="F498" s="27" t="str">
        <f aca="false">IF($B498="","",IFERROR(INDEX(Cleaners!$B$5:$B$34,MATCH($B498,Cleaners!$A$5:$A$34,0)),"?"))</f>
        <v/>
      </c>
      <c r="G498" s="31" t="str">
        <f aca="false">IF($B498="","",COUNTIFS('Cleans Log'!$C$5:$C$1004,$B498,'Cleans Log'!$R$5:$R$1004,$A498,'Cleans Log'!$O$5:$O$1004,"&gt;0"))</f>
        <v/>
      </c>
      <c r="H498" s="28" t="str">
        <f aca="false">IF($B498="","",SUMIFS('Cleans Log'!$O$5:$O$1004,'Cleans Log'!$C$5:$C$1004,$B498,'Cleans Log'!$R$5:$R$1004,$A498))</f>
        <v/>
      </c>
      <c r="I498" s="30" t="str">
        <f aca="false">IF($A498="","",$A498+7)</f>
        <v/>
      </c>
      <c r="J498" s="27" t="str">
        <f aca="true">IF($B498="","",IF($C498&lt;&gt;"","Paid",IF(TODAY()&gt;=$I498,"PAY NOW","Upcoming")))</f>
        <v/>
      </c>
    </row>
    <row r="499" customFormat="false" ht="15" hidden="false" customHeight="false" outlineLevel="0" collapsed="false">
      <c r="A499" s="22"/>
      <c r="B499" s="23"/>
      <c r="C499" s="22"/>
      <c r="D499" s="23"/>
      <c r="E499" s="23"/>
      <c r="F499" s="27" t="str">
        <f aca="false">IF($B499="","",IFERROR(INDEX(Cleaners!$B$5:$B$34,MATCH($B499,Cleaners!$A$5:$A$34,0)),"?"))</f>
        <v/>
      </c>
      <c r="G499" s="31" t="str">
        <f aca="false">IF($B499="","",COUNTIFS('Cleans Log'!$C$5:$C$1004,$B499,'Cleans Log'!$R$5:$R$1004,$A499,'Cleans Log'!$O$5:$O$1004,"&gt;0"))</f>
        <v/>
      </c>
      <c r="H499" s="28" t="str">
        <f aca="false">IF($B499="","",SUMIFS('Cleans Log'!$O$5:$O$1004,'Cleans Log'!$C$5:$C$1004,$B499,'Cleans Log'!$R$5:$R$1004,$A499))</f>
        <v/>
      </c>
      <c r="I499" s="30" t="str">
        <f aca="false">IF($A499="","",$A499+7)</f>
        <v/>
      </c>
      <c r="J499" s="27" t="str">
        <f aca="true">IF($B499="","",IF($C499&lt;&gt;"","Paid",IF(TODAY()&gt;=$I499,"PAY NOW","Upcoming")))</f>
        <v/>
      </c>
    </row>
    <row r="500" customFormat="false" ht="15" hidden="false" customHeight="false" outlineLevel="0" collapsed="false">
      <c r="A500" s="22"/>
      <c r="B500" s="23"/>
      <c r="C500" s="22"/>
      <c r="D500" s="23"/>
      <c r="E500" s="23"/>
      <c r="F500" s="27" t="str">
        <f aca="false">IF($B500="","",IFERROR(INDEX(Cleaners!$B$5:$B$34,MATCH($B500,Cleaners!$A$5:$A$34,0)),"?"))</f>
        <v/>
      </c>
      <c r="G500" s="31" t="str">
        <f aca="false">IF($B500="","",COUNTIFS('Cleans Log'!$C$5:$C$1004,$B500,'Cleans Log'!$R$5:$R$1004,$A500,'Cleans Log'!$O$5:$O$1004,"&gt;0"))</f>
        <v/>
      </c>
      <c r="H500" s="28" t="str">
        <f aca="false">IF($B500="","",SUMIFS('Cleans Log'!$O$5:$O$1004,'Cleans Log'!$C$5:$C$1004,$B500,'Cleans Log'!$R$5:$R$1004,$A500))</f>
        <v/>
      </c>
      <c r="I500" s="30" t="str">
        <f aca="false">IF($A500="","",$A500+7)</f>
        <v/>
      </c>
      <c r="J500" s="27" t="str">
        <f aca="true">IF($B500="","",IF($C500&lt;&gt;"","Paid",IF(TODAY()&gt;=$I500,"PAY NOW","Upcoming")))</f>
        <v/>
      </c>
    </row>
    <row r="501" customFormat="false" ht="15" hidden="false" customHeight="false" outlineLevel="0" collapsed="false">
      <c r="A501" s="22"/>
      <c r="B501" s="23"/>
      <c r="C501" s="22"/>
      <c r="D501" s="23"/>
      <c r="E501" s="23"/>
      <c r="F501" s="27" t="str">
        <f aca="false">IF($B501="","",IFERROR(INDEX(Cleaners!$B$5:$B$34,MATCH($B501,Cleaners!$A$5:$A$34,0)),"?"))</f>
        <v/>
      </c>
      <c r="G501" s="31" t="str">
        <f aca="false">IF($B501="","",COUNTIFS('Cleans Log'!$C$5:$C$1004,$B501,'Cleans Log'!$R$5:$R$1004,$A501,'Cleans Log'!$O$5:$O$1004,"&gt;0"))</f>
        <v/>
      </c>
      <c r="H501" s="28" t="str">
        <f aca="false">IF($B501="","",SUMIFS('Cleans Log'!$O$5:$O$1004,'Cleans Log'!$C$5:$C$1004,$B501,'Cleans Log'!$R$5:$R$1004,$A501))</f>
        <v/>
      </c>
      <c r="I501" s="30" t="str">
        <f aca="false">IF($A501="","",$A501+7)</f>
        <v/>
      </c>
      <c r="J501" s="27" t="str">
        <f aca="true">IF($B501="","",IF($C501&lt;&gt;"","Paid",IF(TODAY()&gt;=$I501,"PAY NOW","Upcoming")))</f>
        <v/>
      </c>
    </row>
    <row r="502" customFormat="false" ht="15" hidden="false" customHeight="false" outlineLevel="0" collapsed="false">
      <c r="A502" s="22"/>
      <c r="B502" s="23"/>
      <c r="C502" s="22"/>
      <c r="D502" s="23"/>
      <c r="E502" s="23"/>
      <c r="F502" s="27" t="str">
        <f aca="false">IF($B502="","",IFERROR(INDEX(Cleaners!$B$5:$B$34,MATCH($B502,Cleaners!$A$5:$A$34,0)),"?"))</f>
        <v/>
      </c>
      <c r="G502" s="31" t="str">
        <f aca="false">IF($B502="","",COUNTIFS('Cleans Log'!$C$5:$C$1004,$B502,'Cleans Log'!$R$5:$R$1004,$A502,'Cleans Log'!$O$5:$O$1004,"&gt;0"))</f>
        <v/>
      </c>
      <c r="H502" s="28" t="str">
        <f aca="false">IF($B502="","",SUMIFS('Cleans Log'!$O$5:$O$1004,'Cleans Log'!$C$5:$C$1004,$B502,'Cleans Log'!$R$5:$R$1004,$A502))</f>
        <v/>
      </c>
      <c r="I502" s="30" t="str">
        <f aca="false">IF($A502="","",$A502+7)</f>
        <v/>
      </c>
      <c r="J502" s="27" t="str">
        <f aca="true">IF($B502="","",IF($C502&lt;&gt;"","Paid",IF(TODAY()&gt;=$I502,"PAY NOW","Upcoming")))</f>
        <v/>
      </c>
    </row>
    <row r="503" customFormat="false" ht="15" hidden="false" customHeight="false" outlineLevel="0" collapsed="false">
      <c r="A503" s="22"/>
      <c r="B503" s="23"/>
      <c r="C503" s="22"/>
      <c r="D503" s="23"/>
      <c r="E503" s="23"/>
      <c r="F503" s="27" t="str">
        <f aca="false">IF($B503="","",IFERROR(INDEX(Cleaners!$B$5:$B$34,MATCH($B503,Cleaners!$A$5:$A$34,0)),"?"))</f>
        <v/>
      </c>
      <c r="G503" s="31" t="str">
        <f aca="false">IF($B503="","",COUNTIFS('Cleans Log'!$C$5:$C$1004,$B503,'Cleans Log'!$R$5:$R$1004,$A503,'Cleans Log'!$O$5:$O$1004,"&gt;0"))</f>
        <v/>
      </c>
      <c r="H503" s="28" t="str">
        <f aca="false">IF($B503="","",SUMIFS('Cleans Log'!$O$5:$O$1004,'Cleans Log'!$C$5:$C$1004,$B503,'Cleans Log'!$R$5:$R$1004,$A503))</f>
        <v/>
      </c>
      <c r="I503" s="30" t="str">
        <f aca="false">IF($A503="","",$A503+7)</f>
        <v/>
      </c>
      <c r="J503" s="27" t="str">
        <f aca="true">IF($B503="","",IF($C503&lt;&gt;"","Paid",IF(TODAY()&gt;=$I503,"PAY NOW","Upcoming")))</f>
        <v/>
      </c>
    </row>
    <row r="504" customFormat="false" ht="15" hidden="false" customHeight="false" outlineLevel="0" collapsed="false">
      <c r="A504" s="22"/>
      <c r="B504" s="23"/>
      <c r="C504" s="22"/>
      <c r="D504" s="23"/>
      <c r="E504" s="23"/>
      <c r="F504" s="27" t="str">
        <f aca="false">IF($B504="","",IFERROR(INDEX(Cleaners!$B$5:$B$34,MATCH($B504,Cleaners!$A$5:$A$34,0)),"?"))</f>
        <v/>
      </c>
      <c r="G504" s="31" t="str">
        <f aca="false">IF($B504="","",COUNTIFS('Cleans Log'!$C$5:$C$1004,$B504,'Cleans Log'!$R$5:$R$1004,$A504,'Cleans Log'!$O$5:$O$1004,"&gt;0"))</f>
        <v/>
      </c>
      <c r="H504" s="28" t="str">
        <f aca="false">IF($B504="","",SUMIFS('Cleans Log'!$O$5:$O$1004,'Cleans Log'!$C$5:$C$1004,$B504,'Cleans Log'!$R$5:$R$1004,$A504))</f>
        <v/>
      </c>
      <c r="I504" s="30" t="str">
        <f aca="false">IF($A504="","",$A504+7)</f>
        <v/>
      </c>
      <c r="J504" s="27" t="str">
        <f aca="true">IF($B504="","",IF($C504&lt;&gt;"","Paid",IF(TODAY()&gt;=$I504,"PAY NOW","Upcoming")))</f>
        <v/>
      </c>
    </row>
  </sheetData>
  <conditionalFormatting sqref="J5:J504">
    <cfRule type="expression" priority="2" aboveAverage="0" equalAverage="0" bottom="0" percent="0" rank="0" text="" dxfId="2">
      <formula>J5="PAY NOW"</formula>
    </cfRule>
    <cfRule type="expression" priority="3" aboveAverage="0" equalAverage="0" bottom="0" percent="0" rank="0" text="" dxfId="3">
      <formula>J5="Paid"</formula>
    </cfRule>
  </conditionalFormatting>
  <dataValidations count="1">
    <dataValidation allowBlank="true" errorStyle="stop" operator="between" showDropDown="false" showErrorMessage="false" showInputMessage="false" sqref="B5:B504" type="list">
      <formula1>Cleaners!$A$5:$A$34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A8F"/>
    <pageSetUpPr fitToPage="false"/>
  </sheetPr>
  <dimension ref="A1:I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19.7" hidden="false" customHeight="false" outlineLevel="0" collapsed="false">
      <c r="A1" s="1" t="s">
        <v>225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226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31.5" hidden="false" customHeight="true" outlineLevel="0" collapsed="false">
      <c r="A4" s="20" t="s">
        <v>98</v>
      </c>
      <c r="B4" s="20" t="s">
        <v>160</v>
      </c>
      <c r="C4" s="20" t="s">
        <v>157</v>
      </c>
      <c r="D4" s="20" t="s">
        <v>215</v>
      </c>
      <c r="E4" s="20" t="s">
        <v>227</v>
      </c>
      <c r="F4" s="20" t="s">
        <v>228</v>
      </c>
      <c r="G4" s="21" t="s">
        <v>229</v>
      </c>
      <c r="H4" s="21" t="s">
        <v>62</v>
      </c>
      <c r="I4" s="21" t="s">
        <v>61</v>
      </c>
    </row>
    <row r="5" customFormat="false" ht="15" hidden="false" customHeight="false" outlineLevel="0" collapsed="false">
      <c r="A5" s="22" t="n">
        <v>46297</v>
      </c>
      <c r="B5" s="23" t="s">
        <v>230</v>
      </c>
      <c r="C5" s="23" t="s">
        <v>231</v>
      </c>
      <c r="D5" s="25" t="n">
        <v>8</v>
      </c>
      <c r="E5" s="32"/>
      <c r="F5" s="23" t="s">
        <v>119</v>
      </c>
      <c r="G5" s="28" t="n">
        <f aca="false">IF($A5="","",IF($B5="Mileage",N($E5)*Settings!$B$13,N($D5)))</f>
        <v>8</v>
      </c>
      <c r="H5" s="27" t="str">
        <f aca="false">IF($A5="","",IF($A5&gt;=DATE(YEAR($A5),4,6),YEAR($A5)&amp;"/"&amp;RIGHT(YEAR($A5)+1,2),YEAR($A5)-1&amp;"/"&amp;RIGHT(YEAR($A5),2)))</f>
        <v>2026/27</v>
      </c>
      <c r="I5" s="29" t="n">
        <f aca="false">IF($A5="","",DATE(YEAR($A5),MONTH($A5),1))</f>
        <v>46296</v>
      </c>
    </row>
    <row r="6" customFormat="false" ht="15" hidden="false" customHeight="false" outlineLevel="0" collapsed="false">
      <c r="A6" s="22" t="n">
        <v>46298</v>
      </c>
      <c r="B6" s="23" t="s">
        <v>232</v>
      </c>
      <c r="C6" s="23" t="s">
        <v>233</v>
      </c>
      <c r="D6" s="25"/>
      <c r="E6" s="32" t="n">
        <v>12</v>
      </c>
      <c r="F6" s="23" t="s">
        <v>118</v>
      </c>
      <c r="G6" s="28" t="n">
        <f aca="false">IF($A6="","",IF($B6="Mileage",N($E6)*Settings!$B$13,N($D6)))</f>
        <v>5.4</v>
      </c>
      <c r="H6" s="27" t="str">
        <f aca="false">IF($A6="","",IF($A6&gt;=DATE(YEAR($A6),4,6),YEAR($A6)&amp;"/"&amp;RIGHT(YEAR($A6)+1,2),YEAR($A6)-1&amp;"/"&amp;RIGHT(YEAR($A6),2)))</f>
        <v>2026/27</v>
      </c>
      <c r="I6" s="29" t="n">
        <f aca="false">IF($A6="","",DATE(YEAR($A6),MONTH($A6),1))</f>
        <v>46296</v>
      </c>
    </row>
    <row r="7" customFormat="false" ht="15" hidden="false" customHeight="false" outlineLevel="0" collapsed="false">
      <c r="A7" s="22"/>
      <c r="B7" s="23"/>
      <c r="C7" s="23"/>
      <c r="D7" s="25"/>
      <c r="E7" s="32"/>
      <c r="F7" s="23"/>
      <c r="G7" s="28" t="str">
        <f aca="false">IF($A7="","",IF($B7="Mileage",N($E7)*Settings!$B$13,N($D7)))</f>
        <v/>
      </c>
      <c r="H7" s="27" t="str">
        <f aca="false">IF($A7="","",IF($A7&gt;=DATE(YEAR($A7),4,6),YEAR($A7)&amp;"/"&amp;RIGHT(YEAR($A7)+1,2),YEAR($A7)-1&amp;"/"&amp;RIGHT(YEAR($A7),2)))</f>
        <v/>
      </c>
      <c r="I7" s="29" t="str">
        <f aca="false">IF($A7="","",DATE(YEAR($A7),MONTH($A7),1))</f>
        <v/>
      </c>
    </row>
    <row r="8" customFormat="false" ht="15" hidden="false" customHeight="false" outlineLevel="0" collapsed="false">
      <c r="A8" s="22"/>
      <c r="B8" s="23"/>
      <c r="C8" s="23"/>
      <c r="D8" s="25"/>
      <c r="E8" s="32"/>
      <c r="F8" s="23"/>
      <c r="G8" s="28" t="str">
        <f aca="false">IF($A8="","",IF($B8="Mileage",N($E8)*Settings!$B$13,N($D8)))</f>
        <v/>
      </c>
      <c r="H8" s="27" t="str">
        <f aca="false">IF($A8="","",IF($A8&gt;=DATE(YEAR($A8),4,6),YEAR($A8)&amp;"/"&amp;RIGHT(YEAR($A8)+1,2),YEAR($A8)-1&amp;"/"&amp;RIGHT(YEAR($A8),2)))</f>
        <v/>
      </c>
      <c r="I8" s="29" t="str">
        <f aca="false">IF($A8="","",DATE(YEAR($A8),MONTH($A8),1))</f>
        <v/>
      </c>
    </row>
    <row r="9" customFormat="false" ht="15" hidden="false" customHeight="false" outlineLevel="0" collapsed="false">
      <c r="A9" s="22"/>
      <c r="B9" s="23"/>
      <c r="C9" s="23"/>
      <c r="D9" s="25"/>
      <c r="E9" s="32"/>
      <c r="F9" s="23"/>
      <c r="G9" s="28" t="str">
        <f aca="false">IF($A9="","",IF($B9="Mileage",N($E9)*Settings!$B$13,N($D9)))</f>
        <v/>
      </c>
      <c r="H9" s="27" t="str">
        <f aca="false">IF($A9="","",IF($A9&gt;=DATE(YEAR($A9),4,6),YEAR($A9)&amp;"/"&amp;RIGHT(YEAR($A9)+1,2),YEAR($A9)-1&amp;"/"&amp;RIGHT(YEAR($A9),2)))</f>
        <v/>
      </c>
      <c r="I9" s="29" t="str">
        <f aca="false">IF($A9="","",DATE(YEAR($A9),MONTH($A9),1))</f>
        <v/>
      </c>
    </row>
    <row r="10" customFormat="false" ht="15" hidden="false" customHeight="false" outlineLevel="0" collapsed="false">
      <c r="A10" s="22"/>
      <c r="B10" s="23"/>
      <c r="C10" s="23"/>
      <c r="D10" s="25"/>
      <c r="E10" s="32"/>
      <c r="F10" s="23"/>
      <c r="G10" s="28" t="str">
        <f aca="false">IF($A10="","",IF($B10="Mileage",N($E10)*Settings!$B$13,N($D10)))</f>
        <v/>
      </c>
      <c r="H10" s="27" t="str">
        <f aca="false">IF($A10="","",IF($A10&gt;=DATE(YEAR($A10),4,6),YEAR($A10)&amp;"/"&amp;RIGHT(YEAR($A10)+1,2),YEAR($A10)-1&amp;"/"&amp;RIGHT(YEAR($A10),2)))</f>
        <v/>
      </c>
      <c r="I10" s="29" t="str">
        <f aca="false">IF($A10="","",DATE(YEAR($A10),MONTH($A10),1))</f>
        <v/>
      </c>
    </row>
    <row r="11" customFormat="false" ht="15" hidden="false" customHeight="false" outlineLevel="0" collapsed="false">
      <c r="A11" s="22"/>
      <c r="B11" s="23"/>
      <c r="C11" s="23"/>
      <c r="D11" s="25"/>
      <c r="E11" s="32"/>
      <c r="F11" s="23"/>
      <c r="G11" s="28" t="str">
        <f aca="false">IF($A11="","",IF($B11="Mileage",N($E11)*Settings!$B$13,N($D11)))</f>
        <v/>
      </c>
      <c r="H11" s="27" t="str">
        <f aca="false">IF($A11="","",IF($A11&gt;=DATE(YEAR($A11),4,6),YEAR($A11)&amp;"/"&amp;RIGHT(YEAR($A11)+1,2),YEAR($A11)-1&amp;"/"&amp;RIGHT(YEAR($A11),2)))</f>
        <v/>
      </c>
      <c r="I11" s="29" t="str">
        <f aca="false">IF($A11="","",DATE(YEAR($A11),MONTH($A11),1))</f>
        <v/>
      </c>
    </row>
    <row r="12" customFormat="false" ht="15" hidden="false" customHeight="false" outlineLevel="0" collapsed="false">
      <c r="A12" s="22"/>
      <c r="B12" s="23"/>
      <c r="C12" s="23"/>
      <c r="D12" s="25"/>
      <c r="E12" s="32"/>
      <c r="F12" s="23"/>
      <c r="G12" s="28" t="str">
        <f aca="false">IF($A12="","",IF($B12="Mileage",N($E12)*Settings!$B$13,N($D12)))</f>
        <v/>
      </c>
      <c r="H12" s="27" t="str">
        <f aca="false">IF($A12="","",IF($A12&gt;=DATE(YEAR($A12),4,6),YEAR($A12)&amp;"/"&amp;RIGHT(YEAR($A12)+1,2),YEAR($A12)-1&amp;"/"&amp;RIGHT(YEAR($A12),2)))</f>
        <v/>
      </c>
      <c r="I12" s="29" t="str">
        <f aca="false">IF($A12="","",DATE(YEAR($A12),MONTH($A12),1))</f>
        <v/>
      </c>
    </row>
    <row r="13" customFormat="false" ht="15" hidden="false" customHeight="false" outlineLevel="0" collapsed="false">
      <c r="A13" s="22"/>
      <c r="B13" s="23"/>
      <c r="C13" s="23"/>
      <c r="D13" s="25"/>
      <c r="E13" s="32"/>
      <c r="F13" s="23"/>
      <c r="G13" s="28" t="str">
        <f aca="false">IF($A13="","",IF($B13="Mileage",N($E13)*Settings!$B$13,N($D13)))</f>
        <v/>
      </c>
      <c r="H13" s="27" t="str">
        <f aca="false">IF($A13="","",IF($A13&gt;=DATE(YEAR($A13),4,6),YEAR($A13)&amp;"/"&amp;RIGHT(YEAR($A13)+1,2),YEAR($A13)-1&amp;"/"&amp;RIGHT(YEAR($A13),2)))</f>
        <v/>
      </c>
      <c r="I13" s="29" t="str">
        <f aca="false">IF($A13="","",DATE(YEAR($A13),MONTH($A13),1))</f>
        <v/>
      </c>
    </row>
    <row r="14" customFormat="false" ht="15" hidden="false" customHeight="false" outlineLevel="0" collapsed="false">
      <c r="A14" s="22"/>
      <c r="B14" s="23"/>
      <c r="C14" s="23"/>
      <c r="D14" s="25"/>
      <c r="E14" s="32"/>
      <c r="F14" s="23"/>
      <c r="G14" s="28" t="str">
        <f aca="false">IF($A14="","",IF($B14="Mileage",N($E14)*Settings!$B$13,N($D14)))</f>
        <v/>
      </c>
      <c r="H14" s="27" t="str">
        <f aca="false">IF($A14="","",IF($A14&gt;=DATE(YEAR($A14),4,6),YEAR($A14)&amp;"/"&amp;RIGHT(YEAR($A14)+1,2),YEAR($A14)-1&amp;"/"&amp;RIGHT(YEAR($A14),2)))</f>
        <v/>
      </c>
      <c r="I14" s="29" t="str">
        <f aca="false">IF($A14="","",DATE(YEAR($A14),MONTH($A14),1))</f>
        <v/>
      </c>
    </row>
    <row r="15" customFormat="false" ht="15" hidden="false" customHeight="false" outlineLevel="0" collapsed="false">
      <c r="A15" s="22"/>
      <c r="B15" s="23"/>
      <c r="C15" s="23"/>
      <c r="D15" s="25"/>
      <c r="E15" s="32"/>
      <c r="F15" s="23"/>
      <c r="G15" s="28" t="str">
        <f aca="false">IF($A15="","",IF($B15="Mileage",N($E15)*Settings!$B$13,N($D15)))</f>
        <v/>
      </c>
      <c r="H15" s="27" t="str">
        <f aca="false">IF($A15="","",IF($A15&gt;=DATE(YEAR($A15),4,6),YEAR($A15)&amp;"/"&amp;RIGHT(YEAR($A15)+1,2),YEAR($A15)-1&amp;"/"&amp;RIGHT(YEAR($A15),2)))</f>
        <v/>
      </c>
      <c r="I15" s="29" t="str">
        <f aca="false">IF($A15="","",DATE(YEAR($A15),MONTH($A15),1))</f>
        <v/>
      </c>
    </row>
    <row r="16" customFormat="false" ht="15" hidden="false" customHeight="false" outlineLevel="0" collapsed="false">
      <c r="A16" s="22"/>
      <c r="B16" s="23"/>
      <c r="C16" s="23"/>
      <c r="D16" s="25"/>
      <c r="E16" s="32"/>
      <c r="F16" s="23"/>
      <c r="G16" s="28" t="str">
        <f aca="false">IF($A16="","",IF($B16="Mileage",N($E16)*Settings!$B$13,N($D16)))</f>
        <v/>
      </c>
      <c r="H16" s="27" t="str">
        <f aca="false">IF($A16="","",IF($A16&gt;=DATE(YEAR($A16),4,6),YEAR($A16)&amp;"/"&amp;RIGHT(YEAR($A16)+1,2),YEAR($A16)-1&amp;"/"&amp;RIGHT(YEAR($A16),2)))</f>
        <v/>
      </c>
      <c r="I16" s="29" t="str">
        <f aca="false">IF($A16="","",DATE(YEAR($A16),MONTH($A16),1))</f>
        <v/>
      </c>
    </row>
    <row r="17" customFormat="false" ht="15" hidden="false" customHeight="false" outlineLevel="0" collapsed="false">
      <c r="A17" s="22"/>
      <c r="B17" s="23"/>
      <c r="C17" s="23"/>
      <c r="D17" s="25"/>
      <c r="E17" s="32"/>
      <c r="F17" s="23"/>
      <c r="G17" s="28" t="str">
        <f aca="false">IF($A17="","",IF($B17="Mileage",N($E17)*Settings!$B$13,N($D17)))</f>
        <v/>
      </c>
      <c r="H17" s="27" t="str">
        <f aca="false">IF($A17="","",IF($A17&gt;=DATE(YEAR($A17),4,6),YEAR($A17)&amp;"/"&amp;RIGHT(YEAR($A17)+1,2),YEAR($A17)-1&amp;"/"&amp;RIGHT(YEAR($A17),2)))</f>
        <v/>
      </c>
      <c r="I17" s="29" t="str">
        <f aca="false">IF($A17="","",DATE(YEAR($A17),MONTH($A17),1))</f>
        <v/>
      </c>
    </row>
    <row r="18" customFormat="false" ht="15" hidden="false" customHeight="false" outlineLevel="0" collapsed="false">
      <c r="A18" s="22"/>
      <c r="B18" s="23"/>
      <c r="C18" s="23"/>
      <c r="D18" s="25"/>
      <c r="E18" s="32"/>
      <c r="F18" s="23"/>
      <c r="G18" s="28" t="str">
        <f aca="false">IF($A18="","",IF($B18="Mileage",N($E18)*Settings!$B$13,N($D18)))</f>
        <v/>
      </c>
      <c r="H18" s="27" t="str">
        <f aca="false">IF($A18="","",IF($A18&gt;=DATE(YEAR($A18),4,6),YEAR($A18)&amp;"/"&amp;RIGHT(YEAR($A18)+1,2),YEAR($A18)-1&amp;"/"&amp;RIGHT(YEAR($A18),2)))</f>
        <v/>
      </c>
      <c r="I18" s="29" t="str">
        <f aca="false">IF($A18="","",DATE(YEAR($A18),MONTH($A18),1))</f>
        <v/>
      </c>
    </row>
    <row r="19" customFormat="false" ht="15" hidden="false" customHeight="false" outlineLevel="0" collapsed="false">
      <c r="A19" s="22"/>
      <c r="B19" s="23"/>
      <c r="C19" s="23"/>
      <c r="D19" s="25"/>
      <c r="E19" s="32"/>
      <c r="F19" s="23"/>
      <c r="G19" s="28" t="str">
        <f aca="false">IF($A19="","",IF($B19="Mileage",N($E19)*Settings!$B$13,N($D19)))</f>
        <v/>
      </c>
      <c r="H19" s="27" t="str">
        <f aca="false">IF($A19="","",IF($A19&gt;=DATE(YEAR($A19),4,6),YEAR($A19)&amp;"/"&amp;RIGHT(YEAR($A19)+1,2),YEAR($A19)-1&amp;"/"&amp;RIGHT(YEAR($A19),2)))</f>
        <v/>
      </c>
      <c r="I19" s="29" t="str">
        <f aca="false">IF($A19="","",DATE(YEAR($A19),MONTH($A19),1))</f>
        <v/>
      </c>
    </row>
    <row r="20" customFormat="false" ht="15" hidden="false" customHeight="false" outlineLevel="0" collapsed="false">
      <c r="A20" s="22"/>
      <c r="B20" s="23"/>
      <c r="C20" s="23"/>
      <c r="D20" s="25"/>
      <c r="E20" s="32"/>
      <c r="F20" s="23"/>
      <c r="G20" s="28" t="str">
        <f aca="false">IF($A20="","",IF($B20="Mileage",N($E20)*Settings!$B$13,N($D20)))</f>
        <v/>
      </c>
      <c r="H20" s="27" t="str">
        <f aca="false">IF($A20="","",IF($A20&gt;=DATE(YEAR($A20),4,6),YEAR($A20)&amp;"/"&amp;RIGHT(YEAR($A20)+1,2),YEAR($A20)-1&amp;"/"&amp;RIGHT(YEAR($A20),2)))</f>
        <v/>
      </c>
      <c r="I20" s="29" t="str">
        <f aca="false">IF($A20="","",DATE(YEAR($A20),MONTH($A20),1))</f>
        <v/>
      </c>
    </row>
    <row r="21" customFormat="false" ht="15" hidden="false" customHeight="false" outlineLevel="0" collapsed="false">
      <c r="A21" s="22"/>
      <c r="B21" s="23"/>
      <c r="C21" s="23"/>
      <c r="D21" s="25"/>
      <c r="E21" s="32"/>
      <c r="F21" s="23"/>
      <c r="G21" s="28" t="str">
        <f aca="false">IF($A21="","",IF($B21="Mileage",N($E21)*Settings!$B$13,N($D21)))</f>
        <v/>
      </c>
      <c r="H21" s="27" t="str">
        <f aca="false">IF($A21="","",IF($A21&gt;=DATE(YEAR($A21),4,6),YEAR($A21)&amp;"/"&amp;RIGHT(YEAR($A21)+1,2),YEAR($A21)-1&amp;"/"&amp;RIGHT(YEAR($A21),2)))</f>
        <v/>
      </c>
      <c r="I21" s="29" t="str">
        <f aca="false">IF($A21="","",DATE(YEAR($A21),MONTH($A21),1))</f>
        <v/>
      </c>
    </row>
    <row r="22" customFormat="false" ht="15" hidden="false" customHeight="false" outlineLevel="0" collapsed="false">
      <c r="A22" s="22"/>
      <c r="B22" s="23"/>
      <c r="C22" s="23"/>
      <c r="D22" s="25"/>
      <c r="E22" s="32"/>
      <c r="F22" s="23"/>
      <c r="G22" s="28" t="str">
        <f aca="false">IF($A22="","",IF($B22="Mileage",N($E22)*Settings!$B$13,N($D22)))</f>
        <v/>
      </c>
      <c r="H22" s="27" t="str">
        <f aca="false">IF($A22="","",IF($A22&gt;=DATE(YEAR($A22),4,6),YEAR($A22)&amp;"/"&amp;RIGHT(YEAR($A22)+1,2),YEAR($A22)-1&amp;"/"&amp;RIGHT(YEAR($A22),2)))</f>
        <v/>
      </c>
      <c r="I22" s="29" t="str">
        <f aca="false">IF($A22="","",DATE(YEAR($A22),MONTH($A22),1))</f>
        <v/>
      </c>
    </row>
    <row r="23" customFormat="false" ht="15" hidden="false" customHeight="false" outlineLevel="0" collapsed="false">
      <c r="A23" s="22"/>
      <c r="B23" s="23"/>
      <c r="C23" s="23"/>
      <c r="D23" s="25"/>
      <c r="E23" s="32"/>
      <c r="F23" s="23"/>
      <c r="G23" s="28" t="str">
        <f aca="false">IF($A23="","",IF($B23="Mileage",N($E23)*Settings!$B$13,N($D23)))</f>
        <v/>
      </c>
      <c r="H23" s="27" t="str">
        <f aca="false">IF($A23="","",IF($A23&gt;=DATE(YEAR($A23),4,6),YEAR($A23)&amp;"/"&amp;RIGHT(YEAR($A23)+1,2),YEAR($A23)-1&amp;"/"&amp;RIGHT(YEAR($A23),2)))</f>
        <v/>
      </c>
      <c r="I23" s="29" t="str">
        <f aca="false">IF($A23="","",DATE(YEAR($A23),MONTH($A23),1))</f>
        <v/>
      </c>
    </row>
    <row r="24" customFormat="false" ht="15" hidden="false" customHeight="false" outlineLevel="0" collapsed="false">
      <c r="A24" s="22"/>
      <c r="B24" s="23"/>
      <c r="C24" s="23"/>
      <c r="D24" s="25"/>
      <c r="E24" s="32"/>
      <c r="F24" s="23"/>
      <c r="G24" s="28" t="str">
        <f aca="false">IF($A24="","",IF($B24="Mileage",N($E24)*Settings!$B$13,N($D24)))</f>
        <v/>
      </c>
      <c r="H24" s="27" t="str">
        <f aca="false">IF($A24="","",IF($A24&gt;=DATE(YEAR($A24),4,6),YEAR($A24)&amp;"/"&amp;RIGHT(YEAR($A24)+1,2),YEAR($A24)-1&amp;"/"&amp;RIGHT(YEAR($A24),2)))</f>
        <v/>
      </c>
      <c r="I24" s="29" t="str">
        <f aca="false">IF($A24="","",DATE(YEAR($A24),MONTH($A24),1))</f>
        <v/>
      </c>
    </row>
    <row r="25" customFormat="false" ht="15" hidden="false" customHeight="false" outlineLevel="0" collapsed="false">
      <c r="A25" s="22"/>
      <c r="B25" s="23"/>
      <c r="C25" s="23"/>
      <c r="D25" s="25"/>
      <c r="E25" s="32"/>
      <c r="F25" s="23"/>
      <c r="G25" s="28" t="str">
        <f aca="false">IF($A25="","",IF($B25="Mileage",N($E25)*Settings!$B$13,N($D25)))</f>
        <v/>
      </c>
      <c r="H25" s="27" t="str">
        <f aca="false">IF($A25="","",IF($A25&gt;=DATE(YEAR($A25),4,6),YEAR($A25)&amp;"/"&amp;RIGHT(YEAR($A25)+1,2),YEAR($A25)-1&amp;"/"&amp;RIGHT(YEAR($A25),2)))</f>
        <v/>
      </c>
      <c r="I25" s="29" t="str">
        <f aca="false">IF($A25="","",DATE(YEAR($A25),MONTH($A25),1))</f>
        <v/>
      </c>
    </row>
    <row r="26" customFormat="false" ht="15" hidden="false" customHeight="false" outlineLevel="0" collapsed="false">
      <c r="A26" s="22"/>
      <c r="B26" s="23"/>
      <c r="C26" s="23"/>
      <c r="D26" s="25"/>
      <c r="E26" s="32"/>
      <c r="F26" s="23"/>
      <c r="G26" s="28" t="str">
        <f aca="false">IF($A26="","",IF($B26="Mileage",N($E26)*Settings!$B$13,N($D26)))</f>
        <v/>
      </c>
      <c r="H26" s="27" t="str">
        <f aca="false">IF($A26="","",IF($A26&gt;=DATE(YEAR($A26),4,6),YEAR($A26)&amp;"/"&amp;RIGHT(YEAR($A26)+1,2),YEAR($A26)-1&amp;"/"&amp;RIGHT(YEAR($A26),2)))</f>
        <v/>
      </c>
      <c r="I26" s="29" t="str">
        <f aca="false">IF($A26="","",DATE(YEAR($A26),MONTH($A26),1))</f>
        <v/>
      </c>
    </row>
    <row r="27" customFormat="false" ht="15" hidden="false" customHeight="false" outlineLevel="0" collapsed="false">
      <c r="A27" s="22"/>
      <c r="B27" s="23"/>
      <c r="C27" s="23"/>
      <c r="D27" s="25"/>
      <c r="E27" s="32"/>
      <c r="F27" s="23"/>
      <c r="G27" s="28" t="str">
        <f aca="false">IF($A27="","",IF($B27="Mileage",N($E27)*Settings!$B$13,N($D27)))</f>
        <v/>
      </c>
      <c r="H27" s="27" t="str">
        <f aca="false">IF($A27="","",IF($A27&gt;=DATE(YEAR($A27),4,6),YEAR($A27)&amp;"/"&amp;RIGHT(YEAR($A27)+1,2),YEAR($A27)-1&amp;"/"&amp;RIGHT(YEAR($A27),2)))</f>
        <v/>
      </c>
      <c r="I27" s="29" t="str">
        <f aca="false">IF($A27="","",DATE(YEAR($A27),MONTH($A27),1))</f>
        <v/>
      </c>
    </row>
    <row r="28" customFormat="false" ht="15" hidden="false" customHeight="false" outlineLevel="0" collapsed="false">
      <c r="A28" s="22"/>
      <c r="B28" s="23"/>
      <c r="C28" s="23"/>
      <c r="D28" s="25"/>
      <c r="E28" s="32"/>
      <c r="F28" s="23"/>
      <c r="G28" s="28" t="str">
        <f aca="false">IF($A28="","",IF($B28="Mileage",N($E28)*Settings!$B$13,N($D28)))</f>
        <v/>
      </c>
      <c r="H28" s="27" t="str">
        <f aca="false">IF($A28="","",IF($A28&gt;=DATE(YEAR($A28),4,6),YEAR($A28)&amp;"/"&amp;RIGHT(YEAR($A28)+1,2),YEAR($A28)-1&amp;"/"&amp;RIGHT(YEAR($A28),2)))</f>
        <v/>
      </c>
      <c r="I28" s="29" t="str">
        <f aca="false">IF($A28="","",DATE(YEAR($A28),MONTH($A28),1))</f>
        <v/>
      </c>
    </row>
    <row r="29" customFormat="false" ht="15" hidden="false" customHeight="false" outlineLevel="0" collapsed="false">
      <c r="A29" s="22"/>
      <c r="B29" s="23"/>
      <c r="C29" s="23"/>
      <c r="D29" s="25"/>
      <c r="E29" s="32"/>
      <c r="F29" s="23"/>
      <c r="G29" s="28" t="str">
        <f aca="false">IF($A29="","",IF($B29="Mileage",N($E29)*Settings!$B$13,N($D29)))</f>
        <v/>
      </c>
      <c r="H29" s="27" t="str">
        <f aca="false">IF($A29="","",IF($A29&gt;=DATE(YEAR($A29),4,6),YEAR($A29)&amp;"/"&amp;RIGHT(YEAR($A29)+1,2),YEAR($A29)-1&amp;"/"&amp;RIGHT(YEAR($A29),2)))</f>
        <v/>
      </c>
      <c r="I29" s="29" t="str">
        <f aca="false">IF($A29="","",DATE(YEAR($A29),MONTH($A29),1))</f>
        <v/>
      </c>
    </row>
    <row r="30" customFormat="false" ht="15" hidden="false" customHeight="false" outlineLevel="0" collapsed="false">
      <c r="A30" s="22"/>
      <c r="B30" s="23"/>
      <c r="C30" s="23"/>
      <c r="D30" s="25"/>
      <c r="E30" s="32"/>
      <c r="F30" s="23"/>
      <c r="G30" s="28" t="str">
        <f aca="false">IF($A30="","",IF($B30="Mileage",N($E30)*Settings!$B$13,N($D30)))</f>
        <v/>
      </c>
      <c r="H30" s="27" t="str">
        <f aca="false">IF($A30="","",IF($A30&gt;=DATE(YEAR($A30),4,6),YEAR($A30)&amp;"/"&amp;RIGHT(YEAR($A30)+1,2),YEAR($A30)-1&amp;"/"&amp;RIGHT(YEAR($A30),2)))</f>
        <v/>
      </c>
      <c r="I30" s="29" t="str">
        <f aca="false">IF($A30="","",DATE(YEAR($A30),MONTH($A30),1))</f>
        <v/>
      </c>
    </row>
    <row r="31" customFormat="false" ht="15" hidden="false" customHeight="false" outlineLevel="0" collapsed="false">
      <c r="A31" s="22"/>
      <c r="B31" s="23"/>
      <c r="C31" s="23"/>
      <c r="D31" s="25"/>
      <c r="E31" s="32"/>
      <c r="F31" s="23"/>
      <c r="G31" s="28" t="str">
        <f aca="false">IF($A31="","",IF($B31="Mileage",N($E31)*Settings!$B$13,N($D31)))</f>
        <v/>
      </c>
      <c r="H31" s="27" t="str">
        <f aca="false">IF($A31="","",IF($A31&gt;=DATE(YEAR($A31),4,6),YEAR($A31)&amp;"/"&amp;RIGHT(YEAR($A31)+1,2),YEAR($A31)-1&amp;"/"&amp;RIGHT(YEAR($A31),2)))</f>
        <v/>
      </c>
      <c r="I31" s="29" t="str">
        <f aca="false">IF($A31="","",DATE(YEAR($A31),MONTH($A31),1))</f>
        <v/>
      </c>
    </row>
    <row r="32" customFormat="false" ht="15" hidden="false" customHeight="false" outlineLevel="0" collapsed="false">
      <c r="A32" s="22"/>
      <c r="B32" s="23"/>
      <c r="C32" s="23"/>
      <c r="D32" s="25"/>
      <c r="E32" s="32"/>
      <c r="F32" s="23"/>
      <c r="G32" s="28" t="str">
        <f aca="false">IF($A32="","",IF($B32="Mileage",N($E32)*Settings!$B$13,N($D32)))</f>
        <v/>
      </c>
      <c r="H32" s="27" t="str">
        <f aca="false">IF($A32="","",IF($A32&gt;=DATE(YEAR($A32),4,6),YEAR($A32)&amp;"/"&amp;RIGHT(YEAR($A32)+1,2),YEAR($A32)-1&amp;"/"&amp;RIGHT(YEAR($A32),2)))</f>
        <v/>
      </c>
      <c r="I32" s="29" t="str">
        <f aca="false">IF($A32="","",DATE(YEAR($A32),MONTH($A32),1))</f>
        <v/>
      </c>
    </row>
    <row r="33" customFormat="false" ht="15" hidden="false" customHeight="false" outlineLevel="0" collapsed="false">
      <c r="A33" s="22"/>
      <c r="B33" s="23"/>
      <c r="C33" s="23"/>
      <c r="D33" s="25"/>
      <c r="E33" s="32"/>
      <c r="F33" s="23"/>
      <c r="G33" s="28" t="str">
        <f aca="false">IF($A33="","",IF($B33="Mileage",N($E33)*Settings!$B$13,N($D33)))</f>
        <v/>
      </c>
      <c r="H33" s="27" t="str">
        <f aca="false">IF($A33="","",IF($A33&gt;=DATE(YEAR($A33),4,6),YEAR($A33)&amp;"/"&amp;RIGHT(YEAR($A33)+1,2),YEAR($A33)-1&amp;"/"&amp;RIGHT(YEAR($A33),2)))</f>
        <v/>
      </c>
      <c r="I33" s="29" t="str">
        <f aca="false">IF($A33="","",DATE(YEAR($A33),MONTH($A33),1))</f>
        <v/>
      </c>
    </row>
    <row r="34" customFormat="false" ht="15" hidden="false" customHeight="false" outlineLevel="0" collapsed="false">
      <c r="A34" s="22"/>
      <c r="B34" s="23"/>
      <c r="C34" s="23"/>
      <c r="D34" s="25"/>
      <c r="E34" s="32"/>
      <c r="F34" s="23"/>
      <c r="G34" s="28" t="str">
        <f aca="false">IF($A34="","",IF($B34="Mileage",N($E34)*Settings!$B$13,N($D34)))</f>
        <v/>
      </c>
      <c r="H34" s="27" t="str">
        <f aca="false">IF($A34="","",IF($A34&gt;=DATE(YEAR($A34),4,6),YEAR($A34)&amp;"/"&amp;RIGHT(YEAR($A34)+1,2),YEAR($A34)-1&amp;"/"&amp;RIGHT(YEAR($A34),2)))</f>
        <v/>
      </c>
      <c r="I34" s="29" t="str">
        <f aca="false">IF($A34="","",DATE(YEAR($A34),MONTH($A34),1))</f>
        <v/>
      </c>
    </row>
    <row r="35" customFormat="false" ht="15" hidden="false" customHeight="false" outlineLevel="0" collapsed="false">
      <c r="A35" s="22"/>
      <c r="B35" s="23"/>
      <c r="C35" s="23"/>
      <c r="D35" s="25"/>
      <c r="E35" s="32"/>
      <c r="F35" s="23"/>
      <c r="G35" s="28" t="str">
        <f aca="false">IF($A35="","",IF($B35="Mileage",N($E35)*Settings!$B$13,N($D35)))</f>
        <v/>
      </c>
      <c r="H35" s="27" t="str">
        <f aca="false">IF($A35="","",IF($A35&gt;=DATE(YEAR($A35),4,6),YEAR($A35)&amp;"/"&amp;RIGHT(YEAR($A35)+1,2),YEAR($A35)-1&amp;"/"&amp;RIGHT(YEAR($A35),2)))</f>
        <v/>
      </c>
      <c r="I35" s="29" t="str">
        <f aca="false">IF($A35="","",DATE(YEAR($A35),MONTH($A35),1))</f>
        <v/>
      </c>
    </row>
    <row r="36" customFormat="false" ht="15" hidden="false" customHeight="false" outlineLevel="0" collapsed="false">
      <c r="A36" s="22"/>
      <c r="B36" s="23"/>
      <c r="C36" s="23"/>
      <c r="D36" s="25"/>
      <c r="E36" s="32"/>
      <c r="F36" s="23"/>
      <c r="G36" s="28" t="str">
        <f aca="false">IF($A36="","",IF($B36="Mileage",N($E36)*Settings!$B$13,N($D36)))</f>
        <v/>
      </c>
      <c r="H36" s="27" t="str">
        <f aca="false">IF($A36="","",IF($A36&gt;=DATE(YEAR($A36),4,6),YEAR($A36)&amp;"/"&amp;RIGHT(YEAR($A36)+1,2),YEAR($A36)-1&amp;"/"&amp;RIGHT(YEAR($A36),2)))</f>
        <v/>
      </c>
      <c r="I36" s="29" t="str">
        <f aca="false">IF($A36="","",DATE(YEAR($A36),MONTH($A36),1))</f>
        <v/>
      </c>
    </row>
    <row r="37" customFormat="false" ht="15" hidden="false" customHeight="false" outlineLevel="0" collapsed="false">
      <c r="A37" s="22"/>
      <c r="B37" s="23"/>
      <c r="C37" s="23"/>
      <c r="D37" s="25"/>
      <c r="E37" s="32"/>
      <c r="F37" s="23"/>
      <c r="G37" s="28" t="str">
        <f aca="false">IF($A37="","",IF($B37="Mileage",N($E37)*Settings!$B$13,N($D37)))</f>
        <v/>
      </c>
      <c r="H37" s="27" t="str">
        <f aca="false">IF($A37="","",IF($A37&gt;=DATE(YEAR($A37),4,6),YEAR($A37)&amp;"/"&amp;RIGHT(YEAR($A37)+1,2),YEAR($A37)-1&amp;"/"&amp;RIGHT(YEAR($A37),2)))</f>
        <v/>
      </c>
      <c r="I37" s="29" t="str">
        <f aca="false">IF($A37="","",DATE(YEAR($A37),MONTH($A37),1))</f>
        <v/>
      </c>
    </row>
    <row r="38" customFormat="false" ht="15" hidden="false" customHeight="false" outlineLevel="0" collapsed="false">
      <c r="A38" s="22"/>
      <c r="B38" s="23"/>
      <c r="C38" s="23"/>
      <c r="D38" s="25"/>
      <c r="E38" s="32"/>
      <c r="F38" s="23"/>
      <c r="G38" s="28" t="str">
        <f aca="false">IF($A38="","",IF($B38="Mileage",N($E38)*Settings!$B$13,N($D38)))</f>
        <v/>
      </c>
      <c r="H38" s="27" t="str">
        <f aca="false">IF($A38="","",IF($A38&gt;=DATE(YEAR($A38),4,6),YEAR($A38)&amp;"/"&amp;RIGHT(YEAR($A38)+1,2),YEAR($A38)-1&amp;"/"&amp;RIGHT(YEAR($A38),2)))</f>
        <v/>
      </c>
      <c r="I38" s="29" t="str">
        <f aca="false">IF($A38="","",DATE(YEAR($A38),MONTH($A38),1))</f>
        <v/>
      </c>
    </row>
    <row r="39" customFormat="false" ht="15" hidden="false" customHeight="false" outlineLevel="0" collapsed="false">
      <c r="A39" s="22"/>
      <c r="B39" s="23"/>
      <c r="C39" s="23"/>
      <c r="D39" s="25"/>
      <c r="E39" s="32"/>
      <c r="F39" s="23"/>
      <c r="G39" s="28" t="str">
        <f aca="false">IF($A39="","",IF($B39="Mileage",N($E39)*Settings!$B$13,N($D39)))</f>
        <v/>
      </c>
      <c r="H39" s="27" t="str">
        <f aca="false">IF($A39="","",IF($A39&gt;=DATE(YEAR($A39),4,6),YEAR($A39)&amp;"/"&amp;RIGHT(YEAR($A39)+1,2),YEAR($A39)-1&amp;"/"&amp;RIGHT(YEAR($A39),2)))</f>
        <v/>
      </c>
      <c r="I39" s="29" t="str">
        <f aca="false">IF($A39="","",DATE(YEAR($A39),MONTH($A39),1))</f>
        <v/>
      </c>
    </row>
    <row r="40" customFormat="false" ht="15" hidden="false" customHeight="false" outlineLevel="0" collapsed="false">
      <c r="A40" s="22"/>
      <c r="B40" s="23"/>
      <c r="C40" s="23"/>
      <c r="D40" s="25"/>
      <c r="E40" s="32"/>
      <c r="F40" s="23"/>
      <c r="G40" s="28" t="str">
        <f aca="false">IF($A40="","",IF($B40="Mileage",N($E40)*Settings!$B$13,N($D40)))</f>
        <v/>
      </c>
      <c r="H40" s="27" t="str">
        <f aca="false">IF($A40="","",IF($A40&gt;=DATE(YEAR($A40),4,6),YEAR($A40)&amp;"/"&amp;RIGHT(YEAR($A40)+1,2),YEAR($A40)-1&amp;"/"&amp;RIGHT(YEAR($A40),2)))</f>
        <v/>
      </c>
      <c r="I40" s="29" t="str">
        <f aca="false">IF($A40="","",DATE(YEAR($A40),MONTH($A40),1))</f>
        <v/>
      </c>
    </row>
    <row r="41" customFormat="false" ht="15" hidden="false" customHeight="false" outlineLevel="0" collapsed="false">
      <c r="A41" s="22"/>
      <c r="B41" s="23"/>
      <c r="C41" s="23"/>
      <c r="D41" s="25"/>
      <c r="E41" s="32"/>
      <c r="F41" s="23"/>
      <c r="G41" s="28" t="str">
        <f aca="false">IF($A41="","",IF($B41="Mileage",N($E41)*Settings!$B$13,N($D41)))</f>
        <v/>
      </c>
      <c r="H41" s="27" t="str">
        <f aca="false">IF($A41="","",IF($A41&gt;=DATE(YEAR($A41),4,6),YEAR($A41)&amp;"/"&amp;RIGHT(YEAR($A41)+1,2),YEAR($A41)-1&amp;"/"&amp;RIGHT(YEAR($A41),2)))</f>
        <v/>
      </c>
      <c r="I41" s="29" t="str">
        <f aca="false">IF($A41="","",DATE(YEAR($A41),MONTH($A41),1))</f>
        <v/>
      </c>
    </row>
    <row r="42" customFormat="false" ht="15" hidden="false" customHeight="false" outlineLevel="0" collapsed="false">
      <c r="A42" s="22"/>
      <c r="B42" s="23"/>
      <c r="C42" s="23"/>
      <c r="D42" s="25"/>
      <c r="E42" s="32"/>
      <c r="F42" s="23"/>
      <c r="G42" s="28" t="str">
        <f aca="false">IF($A42="","",IF($B42="Mileage",N($E42)*Settings!$B$13,N($D42)))</f>
        <v/>
      </c>
      <c r="H42" s="27" t="str">
        <f aca="false">IF($A42="","",IF($A42&gt;=DATE(YEAR($A42),4,6),YEAR($A42)&amp;"/"&amp;RIGHT(YEAR($A42)+1,2),YEAR($A42)-1&amp;"/"&amp;RIGHT(YEAR($A42),2)))</f>
        <v/>
      </c>
      <c r="I42" s="29" t="str">
        <f aca="false">IF($A42="","",DATE(YEAR($A42),MONTH($A42),1))</f>
        <v/>
      </c>
    </row>
    <row r="43" customFormat="false" ht="15" hidden="false" customHeight="false" outlineLevel="0" collapsed="false">
      <c r="A43" s="22"/>
      <c r="B43" s="23"/>
      <c r="C43" s="23"/>
      <c r="D43" s="25"/>
      <c r="E43" s="32"/>
      <c r="F43" s="23"/>
      <c r="G43" s="28" t="str">
        <f aca="false">IF($A43="","",IF($B43="Mileage",N($E43)*Settings!$B$13,N($D43)))</f>
        <v/>
      </c>
      <c r="H43" s="27" t="str">
        <f aca="false">IF($A43="","",IF($A43&gt;=DATE(YEAR($A43),4,6),YEAR($A43)&amp;"/"&amp;RIGHT(YEAR($A43)+1,2),YEAR($A43)-1&amp;"/"&amp;RIGHT(YEAR($A43),2)))</f>
        <v/>
      </c>
      <c r="I43" s="29" t="str">
        <f aca="false">IF($A43="","",DATE(YEAR($A43),MONTH($A43),1))</f>
        <v/>
      </c>
    </row>
    <row r="44" customFormat="false" ht="15" hidden="false" customHeight="false" outlineLevel="0" collapsed="false">
      <c r="A44" s="22"/>
      <c r="B44" s="23"/>
      <c r="C44" s="23"/>
      <c r="D44" s="25"/>
      <c r="E44" s="32"/>
      <c r="F44" s="23"/>
      <c r="G44" s="28" t="str">
        <f aca="false">IF($A44="","",IF($B44="Mileage",N($E44)*Settings!$B$13,N($D44)))</f>
        <v/>
      </c>
      <c r="H44" s="27" t="str">
        <f aca="false">IF($A44="","",IF($A44&gt;=DATE(YEAR($A44),4,6),YEAR($A44)&amp;"/"&amp;RIGHT(YEAR($A44)+1,2),YEAR($A44)-1&amp;"/"&amp;RIGHT(YEAR($A44),2)))</f>
        <v/>
      </c>
      <c r="I44" s="29" t="str">
        <f aca="false">IF($A44="","",DATE(YEAR($A44),MONTH($A44),1))</f>
        <v/>
      </c>
    </row>
    <row r="45" customFormat="false" ht="15" hidden="false" customHeight="false" outlineLevel="0" collapsed="false">
      <c r="A45" s="22"/>
      <c r="B45" s="23"/>
      <c r="C45" s="23"/>
      <c r="D45" s="25"/>
      <c r="E45" s="32"/>
      <c r="F45" s="23"/>
      <c r="G45" s="28" t="str">
        <f aca="false">IF($A45="","",IF($B45="Mileage",N($E45)*Settings!$B$13,N($D45)))</f>
        <v/>
      </c>
      <c r="H45" s="27" t="str">
        <f aca="false">IF($A45="","",IF($A45&gt;=DATE(YEAR($A45),4,6),YEAR($A45)&amp;"/"&amp;RIGHT(YEAR($A45)+1,2),YEAR($A45)-1&amp;"/"&amp;RIGHT(YEAR($A45),2)))</f>
        <v/>
      </c>
      <c r="I45" s="29" t="str">
        <f aca="false">IF($A45="","",DATE(YEAR($A45),MONTH($A45),1))</f>
        <v/>
      </c>
    </row>
    <row r="46" customFormat="false" ht="15" hidden="false" customHeight="false" outlineLevel="0" collapsed="false">
      <c r="A46" s="22"/>
      <c r="B46" s="23"/>
      <c r="C46" s="23"/>
      <c r="D46" s="25"/>
      <c r="E46" s="32"/>
      <c r="F46" s="23"/>
      <c r="G46" s="28" t="str">
        <f aca="false">IF($A46="","",IF($B46="Mileage",N($E46)*Settings!$B$13,N($D46)))</f>
        <v/>
      </c>
      <c r="H46" s="27" t="str">
        <f aca="false">IF($A46="","",IF($A46&gt;=DATE(YEAR($A46),4,6),YEAR($A46)&amp;"/"&amp;RIGHT(YEAR($A46)+1,2),YEAR($A46)-1&amp;"/"&amp;RIGHT(YEAR($A46),2)))</f>
        <v/>
      </c>
      <c r="I46" s="29" t="str">
        <f aca="false">IF($A46="","",DATE(YEAR($A46),MONTH($A46),1))</f>
        <v/>
      </c>
    </row>
    <row r="47" customFormat="false" ht="15" hidden="false" customHeight="false" outlineLevel="0" collapsed="false">
      <c r="A47" s="22"/>
      <c r="B47" s="23"/>
      <c r="C47" s="23"/>
      <c r="D47" s="25"/>
      <c r="E47" s="32"/>
      <c r="F47" s="23"/>
      <c r="G47" s="28" t="str">
        <f aca="false">IF($A47="","",IF($B47="Mileage",N($E47)*Settings!$B$13,N($D47)))</f>
        <v/>
      </c>
      <c r="H47" s="27" t="str">
        <f aca="false">IF($A47="","",IF($A47&gt;=DATE(YEAR($A47),4,6),YEAR($A47)&amp;"/"&amp;RIGHT(YEAR($A47)+1,2),YEAR($A47)-1&amp;"/"&amp;RIGHT(YEAR($A47),2)))</f>
        <v/>
      </c>
      <c r="I47" s="29" t="str">
        <f aca="false">IF($A47="","",DATE(YEAR($A47),MONTH($A47),1))</f>
        <v/>
      </c>
    </row>
    <row r="48" customFormat="false" ht="15" hidden="false" customHeight="false" outlineLevel="0" collapsed="false">
      <c r="A48" s="22"/>
      <c r="B48" s="23"/>
      <c r="C48" s="23"/>
      <c r="D48" s="25"/>
      <c r="E48" s="32"/>
      <c r="F48" s="23"/>
      <c r="G48" s="28" t="str">
        <f aca="false">IF($A48="","",IF($B48="Mileage",N($E48)*Settings!$B$13,N($D48)))</f>
        <v/>
      </c>
      <c r="H48" s="27" t="str">
        <f aca="false">IF($A48="","",IF($A48&gt;=DATE(YEAR($A48),4,6),YEAR($A48)&amp;"/"&amp;RIGHT(YEAR($A48)+1,2),YEAR($A48)-1&amp;"/"&amp;RIGHT(YEAR($A48),2)))</f>
        <v/>
      </c>
      <c r="I48" s="29" t="str">
        <f aca="false">IF($A48="","",DATE(YEAR($A48),MONTH($A48),1))</f>
        <v/>
      </c>
    </row>
    <row r="49" customFormat="false" ht="15" hidden="false" customHeight="false" outlineLevel="0" collapsed="false">
      <c r="A49" s="22"/>
      <c r="B49" s="23"/>
      <c r="C49" s="23"/>
      <c r="D49" s="25"/>
      <c r="E49" s="32"/>
      <c r="F49" s="23"/>
      <c r="G49" s="28" t="str">
        <f aca="false">IF($A49="","",IF($B49="Mileage",N($E49)*Settings!$B$13,N($D49)))</f>
        <v/>
      </c>
      <c r="H49" s="27" t="str">
        <f aca="false">IF($A49="","",IF($A49&gt;=DATE(YEAR($A49),4,6),YEAR($A49)&amp;"/"&amp;RIGHT(YEAR($A49)+1,2),YEAR($A49)-1&amp;"/"&amp;RIGHT(YEAR($A49),2)))</f>
        <v/>
      </c>
      <c r="I49" s="29" t="str">
        <f aca="false">IF($A49="","",DATE(YEAR($A49),MONTH($A49),1))</f>
        <v/>
      </c>
    </row>
    <row r="50" customFormat="false" ht="15" hidden="false" customHeight="false" outlineLevel="0" collapsed="false">
      <c r="A50" s="22"/>
      <c r="B50" s="23"/>
      <c r="C50" s="23"/>
      <c r="D50" s="25"/>
      <c r="E50" s="32"/>
      <c r="F50" s="23"/>
      <c r="G50" s="28" t="str">
        <f aca="false">IF($A50="","",IF($B50="Mileage",N($E50)*Settings!$B$13,N($D50)))</f>
        <v/>
      </c>
      <c r="H50" s="27" t="str">
        <f aca="false">IF($A50="","",IF($A50&gt;=DATE(YEAR($A50),4,6),YEAR($A50)&amp;"/"&amp;RIGHT(YEAR($A50)+1,2),YEAR($A50)-1&amp;"/"&amp;RIGHT(YEAR($A50),2)))</f>
        <v/>
      </c>
      <c r="I50" s="29" t="str">
        <f aca="false">IF($A50="","",DATE(YEAR($A50),MONTH($A50),1))</f>
        <v/>
      </c>
    </row>
    <row r="51" customFormat="false" ht="15" hidden="false" customHeight="false" outlineLevel="0" collapsed="false">
      <c r="A51" s="22"/>
      <c r="B51" s="23"/>
      <c r="C51" s="23"/>
      <c r="D51" s="25"/>
      <c r="E51" s="32"/>
      <c r="F51" s="23"/>
      <c r="G51" s="28" t="str">
        <f aca="false">IF($A51="","",IF($B51="Mileage",N($E51)*Settings!$B$13,N($D51)))</f>
        <v/>
      </c>
      <c r="H51" s="27" t="str">
        <f aca="false">IF($A51="","",IF($A51&gt;=DATE(YEAR($A51),4,6),YEAR($A51)&amp;"/"&amp;RIGHT(YEAR($A51)+1,2),YEAR($A51)-1&amp;"/"&amp;RIGHT(YEAR($A51),2)))</f>
        <v/>
      </c>
      <c r="I51" s="29" t="str">
        <f aca="false">IF($A51="","",DATE(YEAR($A51),MONTH($A51),1))</f>
        <v/>
      </c>
    </row>
    <row r="52" customFormat="false" ht="15" hidden="false" customHeight="false" outlineLevel="0" collapsed="false">
      <c r="A52" s="22"/>
      <c r="B52" s="23"/>
      <c r="C52" s="23"/>
      <c r="D52" s="25"/>
      <c r="E52" s="32"/>
      <c r="F52" s="23"/>
      <c r="G52" s="28" t="str">
        <f aca="false">IF($A52="","",IF($B52="Mileage",N($E52)*Settings!$B$13,N($D52)))</f>
        <v/>
      </c>
      <c r="H52" s="27" t="str">
        <f aca="false">IF($A52="","",IF($A52&gt;=DATE(YEAR($A52),4,6),YEAR($A52)&amp;"/"&amp;RIGHT(YEAR($A52)+1,2),YEAR($A52)-1&amp;"/"&amp;RIGHT(YEAR($A52),2)))</f>
        <v/>
      </c>
      <c r="I52" s="29" t="str">
        <f aca="false">IF($A52="","",DATE(YEAR($A52),MONTH($A52),1))</f>
        <v/>
      </c>
    </row>
    <row r="53" customFormat="false" ht="15" hidden="false" customHeight="false" outlineLevel="0" collapsed="false">
      <c r="A53" s="22"/>
      <c r="B53" s="23"/>
      <c r="C53" s="23"/>
      <c r="D53" s="25"/>
      <c r="E53" s="32"/>
      <c r="F53" s="23"/>
      <c r="G53" s="28" t="str">
        <f aca="false">IF($A53="","",IF($B53="Mileage",N($E53)*Settings!$B$13,N($D53)))</f>
        <v/>
      </c>
      <c r="H53" s="27" t="str">
        <f aca="false">IF($A53="","",IF($A53&gt;=DATE(YEAR($A53),4,6),YEAR($A53)&amp;"/"&amp;RIGHT(YEAR($A53)+1,2),YEAR($A53)-1&amp;"/"&amp;RIGHT(YEAR($A53),2)))</f>
        <v/>
      </c>
      <c r="I53" s="29" t="str">
        <f aca="false">IF($A53="","",DATE(YEAR($A53),MONTH($A53),1))</f>
        <v/>
      </c>
    </row>
    <row r="54" customFormat="false" ht="15" hidden="false" customHeight="false" outlineLevel="0" collapsed="false">
      <c r="A54" s="22"/>
      <c r="B54" s="23"/>
      <c r="C54" s="23"/>
      <c r="D54" s="25"/>
      <c r="E54" s="32"/>
      <c r="F54" s="23"/>
      <c r="G54" s="28" t="str">
        <f aca="false">IF($A54="","",IF($B54="Mileage",N($E54)*Settings!$B$13,N($D54)))</f>
        <v/>
      </c>
      <c r="H54" s="27" t="str">
        <f aca="false">IF($A54="","",IF($A54&gt;=DATE(YEAR($A54),4,6),YEAR($A54)&amp;"/"&amp;RIGHT(YEAR($A54)+1,2),YEAR($A54)-1&amp;"/"&amp;RIGHT(YEAR($A54),2)))</f>
        <v/>
      </c>
      <c r="I54" s="29" t="str">
        <f aca="false">IF($A54="","",DATE(YEAR($A54),MONTH($A54),1))</f>
        <v/>
      </c>
    </row>
    <row r="55" customFormat="false" ht="15" hidden="false" customHeight="false" outlineLevel="0" collapsed="false">
      <c r="A55" s="22"/>
      <c r="B55" s="23"/>
      <c r="C55" s="23"/>
      <c r="D55" s="25"/>
      <c r="E55" s="32"/>
      <c r="F55" s="23"/>
      <c r="G55" s="28" t="str">
        <f aca="false">IF($A55="","",IF($B55="Mileage",N($E55)*Settings!$B$13,N($D55)))</f>
        <v/>
      </c>
      <c r="H55" s="27" t="str">
        <f aca="false">IF($A55="","",IF($A55&gt;=DATE(YEAR($A55),4,6),YEAR($A55)&amp;"/"&amp;RIGHT(YEAR($A55)+1,2),YEAR($A55)-1&amp;"/"&amp;RIGHT(YEAR($A55),2)))</f>
        <v/>
      </c>
      <c r="I55" s="29" t="str">
        <f aca="false">IF($A55="","",DATE(YEAR($A55),MONTH($A55),1))</f>
        <v/>
      </c>
    </row>
    <row r="56" customFormat="false" ht="15" hidden="false" customHeight="false" outlineLevel="0" collapsed="false">
      <c r="A56" s="22"/>
      <c r="B56" s="23"/>
      <c r="C56" s="23"/>
      <c r="D56" s="25"/>
      <c r="E56" s="32"/>
      <c r="F56" s="23"/>
      <c r="G56" s="28" t="str">
        <f aca="false">IF($A56="","",IF($B56="Mileage",N($E56)*Settings!$B$13,N($D56)))</f>
        <v/>
      </c>
      <c r="H56" s="27" t="str">
        <f aca="false">IF($A56="","",IF($A56&gt;=DATE(YEAR($A56),4,6),YEAR($A56)&amp;"/"&amp;RIGHT(YEAR($A56)+1,2),YEAR($A56)-1&amp;"/"&amp;RIGHT(YEAR($A56),2)))</f>
        <v/>
      </c>
      <c r="I56" s="29" t="str">
        <f aca="false">IF($A56="","",DATE(YEAR($A56),MONTH($A56),1))</f>
        <v/>
      </c>
    </row>
    <row r="57" customFormat="false" ht="15" hidden="false" customHeight="false" outlineLevel="0" collapsed="false">
      <c r="A57" s="22"/>
      <c r="B57" s="23"/>
      <c r="C57" s="23"/>
      <c r="D57" s="25"/>
      <c r="E57" s="32"/>
      <c r="F57" s="23"/>
      <c r="G57" s="28" t="str">
        <f aca="false">IF($A57="","",IF($B57="Mileage",N($E57)*Settings!$B$13,N($D57)))</f>
        <v/>
      </c>
      <c r="H57" s="27" t="str">
        <f aca="false">IF($A57="","",IF($A57&gt;=DATE(YEAR($A57),4,6),YEAR($A57)&amp;"/"&amp;RIGHT(YEAR($A57)+1,2),YEAR($A57)-1&amp;"/"&amp;RIGHT(YEAR($A57),2)))</f>
        <v/>
      </c>
      <c r="I57" s="29" t="str">
        <f aca="false">IF($A57="","",DATE(YEAR($A57),MONTH($A57),1))</f>
        <v/>
      </c>
    </row>
    <row r="58" customFormat="false" ht="15" hidden="false" customHeight="false" outlineLevel="0" collapsed="false">
      <c r="A58" s="22"/>
      <c r="B58" s="23"/>
      <c r="C58" s="23"/>
      <c r="D58" s="25"/>
      <c r="E58" s="32"/>
      <c r="F58" s="23"/>
      <c r="G58" s="28" t="str">
        <f aca="false">IF($A58="","",IF($B58="Mileage",N($E58)*Settings!$B$13,N($D58)))</f>
        <v/>
      </c>
      <c r="H58" s="27" t="str">
        <f aca="false">IF($A58="","",IF($A58&gt;=DATE(YEAR($A58),4,6),YEAR($A58)&amp;"/"&amp;RIGHT(YEAR($A58)+1,2),YEAR($A58)-1&amp;"/"&amp;RIGHT(YEAR($A58),2)))</f>
        <v/>
      </c>
      <c r="I58" s="29" t="str">
        <f aca="false">IF($A58="","",DATE(YEAR($A58),MONTH($A58),1))</f>
        <v/>
      </c>
    </row>
    <row r="59" customFormat="false" ht="15" hidden="false" customHeight="false" outlineLevel="0" collapsed="false">
      <c r="A59" s="22"/>
      <c r="B59" s="23"/>
      <c r="C59" s="23"/>
      <c r="D59" s="25"/>
      <c r="E59" s="32"/>
      <c r="F59" s="23"/>
      <c r="G59" s="28" t="str">
        <f aca="false">IF($A59="","",IF($B59="Mileage",N($E59)*Settings!$B$13,N($D59)))</f>
        <v/>
      </c>
      <c r="H59" s="27" t="str">
        <f aca="false">IF($A59="","",IF($A59&gt;=DATE(YEAR($A59),4,6),YEAR($A59)&amp;"/"&amp;RIGHT(YEAR($A59)+1,2),YEAR($A59)-1&amp;"/"&amp;RIGHT(YEAR($A59),2)))</f>
        <v/>
      </c>
      <c r="I59" s="29" t="str">
        <f aca="false">IF($A59="","",DATE(YEAR($A59),MONTH($A59),1))</f>
        <v/>
      </c>
    </row>
    <row r="60" customFormat="false" ht="15" hidden="false" customHeight="false" outlineLevel="0" collapsed="false">
      <c r="A60" s="22"/>
      <c r="B60" s="23"/>
      <c r="C60" s="23"/>
      <c r="D60" s="25"/>
      <c r="E60" s="32"/>
      <c r="F60" s="23"/>
      <c r="G60" s="28" t="str">
        <f aca="false">IF($A60="","",IF($B60="Mileage",N($E60)*Settings!$B$13,N($D60)))</f>
        <v/>
      </c>
      <c r="H60" s="27" t="str">
        <f aca="false">IF($A60="","",IF($A60&gt;=DATE(YEAR($A60),4,6),YEAR($A60)&amp;"/"&amp;RIGHT(YEAR($A60)+1,2),YEAR($A60)-1&amp;"/"&amp;RIGHT(YEAR($A60),2)))</f>
        <v/>
      </c>
      <c r="I60" s="29" t="str">
        <f aca="false">IF($A60="","",DATE(YEAR($A60),MONTH($A60),1))</f>
        <v/>
      </c>
    </row>
    <row r="61" customFormat="false" ht="15" hidden="false" customHeight="false" outlineLevel="0" collapsed="false">
      <c r="A61" s="22"/>
      <c r="B61" s="23"/>
      <c r="C61" s="23"/>
      <c r="D61" s="25"/>
      <c r="E61" s="32"/>
      <c r="F61" s="23"/>
      <c r="G61" s="28" t="str">
        <f aca="false">IF($A61="","",IF($B61="Mileage",N($E61)*Settings!$B$13,N($D61)))</f>
        <v/>
      </c>
      <c r="H61" s="27" t="str">
        <f aca="false">IF($A61="","",IF($A61&gt;=DATE(YEAR($A61),4,6),YEAR($A61)&amp;"/"&amp;RIGHT(YEAR($A61)+1,2),YEAR($A61)-1&amp;"/"&amp;RIGHT(YEAR($A61),2)))</f>
        <v/>
      </c>
      <c r="I61" s="29" t="str">
        <f aca="false">IF($A61="","",DATE(YEAR($A61),MONTH($A61),1))</f>
        <v/>
      </c>
    </row>
    <row r="62" customFormat="false" ht="15" hidden="false" customHeight="false" outlineLevel="0" collapsed="false">
      <c r="A62" s="22"/>
      <c r="B62" s="23"/>
      <c r="C62" s="23"/>
      <c r="D62" s="25"/>
      <c r="E62" s="32"/>
      <c r="F62" s="23"/>
      <c r="G62" s="28" t="str">
        <f aca="false">IF($A62="","",IF($B62="Mileage",N($E62)*Settings!$B$13,N($D62)))</f>
        <v/>
      </c>
      <c r="H62" s="27" t="str">
        <f aca="false">IF($A62="","",IF($A62&gt;=DATE(YEAR($A62),4,6),YEAR($A62)&amp;"/"&amp;RIGHT(YEAR($A62)+1,2),YEAR($A62)-1&amp;"/"&amp;RIGHT(YEAR($A62),2)))</f>
        <v/>
      </c>
      <c r="I62" s="29" t="str">
        <f aca="false">IF($A62="","",DATE(YEAR($A62),MONTH($A62),1))</f>
        <v/>
      </c>
    </row>
    <row r="63" customFormat="false" ht="15" hidden="false" customHeight="false" outlineLevel="0" collapsed="false">
      <c r="A63" s="22"/>
      <c r="B63" s="23"/>
      <c r="C63" s="23"/>
      <c r="D63" s="25"/>
      <c r="E63" s="32"/>
      <c r="F63" s="23"/>
      <c r="G63" s="28" t="str">
        <f aca="false">IF($A63="","",IF($B63="Mileage",N($E63)*Settings!$B$13,N($D63)))</f>
        <v/>
      </c>
      <c r="H63" s="27" t="str">
        <f aca="false">IF($A63="","",IF($A63&gt;=DATE(YEAR($A63),4,6),YEAR($A63)&amp;"/"&amp;RIGHT(YEAR($A63)+1,2),YEAR($A63)-1&amp;"/"&amp;RIGHT(YEAR($A63),2)))</f>
        <v/>
      </c>
      <c r="I63" s="29" t="str">
        <f aca="false">IF($A63="","",DATE(YEAR($A63),MONTH($A63),1))</f>
        <v/>
      </c>
    </row>
    <row r="64" customFormat="false" ht="15" hidden="false" customHeight="false" outlineLevel="0" collapsed="false">
      <c r="A64" s="22"/>
      <c r="B64" s="23"/>
      <c r="C64" s="23"/>
      <c r="D64" s="25"/>
      <c r="E64" s="32"/>
      <c r="F64" s="23"/>
      <c r="G64" s="28" t="str">
        <f aca="false">IF($A64="","",IF($B64="Mileage",N($E64)*Settings!$B$13,N($D64)))</f>
        <v/>
      </c>
      <c r="H64" s="27" t="str">
        <f aca="false">IF($A64="","",IF($A64&gt;=DATE(YEAR($A64),4,6),YEAR($A64)&amp;"/"&amp;RIGHT(YEAR($A64)+1,2),YEAR($A64)-1&amp;"/"&amp;RIGHT(YEAR($A64),2)))</f>
        <v/>
      </c>
      <c r="I64" s="29" t="str">
        <f aca="false">IF($A64="","",DATE(YEAR($A64),MONTH($A64),1))</f>
        <v/>
      </c>
    </row>
    <row r="65" customFormat="false" ht="15" hidden="false" customHeight="false" outlineLevel="0" collapsed="false">
      <c r="A65" s="22"/>
      <c r="B65" s="23"/>
      <c r="C65" s="23"/>
      <c r="D65" s="25"/>
      <c r="E65" s="32"/>
      <c r="F65" s="23"/>
      <c r="G65" s="28" t="str">
        <f aca="false">IF($A65="","",IF($B65="Mileage",N($E65)*Settings!$B$13,N($D65)))</f>
        <v/>
      </c>
      <c r="H65" s="27" t="str">
        <f aca="false">IF($A65="","",IF($A65&gt;=DATE(YEAR($A65),4,6),YEAR($A65)&amp;"/"&amp;RIGHT(YEAR($A65)+1,2),YEAR($A65)-1&amp;"/"&amp;RIGHT(YEAR($A65),2)))</f>
        <v/>
      </c>
      <c r="I65" s="29" t="str">
        <f aca="false">IF($A65="","",DATE(YEAR($A65),MONTH($A65),1))</f>
        <v/>
      </c>
    </row>
    <row r="66" customFormat="false" ht="15" hidden="false" customHeight="false" outlineLevel="0" collapsed="false">
      <c r="A66" s="22"/>
      <c r="B66" s="23"/>
      <c r="C66" s="23"/>
      <c r="D66" s="25"/>
      <c r="E66" s="32"/>
      <c r="F66" s="23"/>
      <c r="G66" s="28" t="str">
        <f aca="false">IF($A66="","",IF($B66="Mileage",N($E66)*Settings!$B$13,N($D66)))</f>
        <v/>
      </c>
      <c r="H66" s="27" t="str">
        <f aca="false">IF($A66="","",IF($A66&gt;=DATE(YEAR($A66),4,6),YEAR($A66)&amp;"/"&amp;RIGHT(YEAR($A66)+1,2),YEAR($A66)-1&amp;"/"&amp;RIGHT(YEAR($A66),2)))</f>
        <v/>
      </c>
      <c r="I66" s="29" t="str">
        <f aca="false">IF($A66="","",DATE(YEAR($A66),MONTH($A66),1))</f>
        <v/>
      </c>
    </row>
    <row r="67" customFormat="false" ht="15" hidden="false" customHeight="false" outlineLevel="0" collapsed="false">
      <c r="A67" s="22"/>
      <c r="B67" s="23"/>
      <c r="C67" s="23"/>
      <c r="D67" s="25"/>
      <c r="E67" s="32"/>
      <c r="F67" s="23"/>
      <c r="G67" s="28" t="str">
        <f aca="false">IF($A67="","",IF($B67="Mileage",N($E67)*Settings!$B$13,N($D67)))</f>
        <v/>
      </c>
      <c r="H67" s="27" t="str">
        <f aca="false">IF($A67="","",IF($A67&gt;=DATE(YEAR($A67),4,6),YEAR($A67)&amp;"/"&amp;RIGHT(YEAR($A67)+1,2),YEAR($A67)-1&amp;"/"&amp;RIGHT(YEAR($A67),2)))</f>
        <v/>
      </c>
      <c r="I67" s="29" t="str">
        <f aca="false">IF($A67="","",DATE(YEAR($A67),MONTH($A67),1))</f>
        <v/>
      </c>
    </row>
    <row r="68" customFormat="false" ht="15" hidden="false" customHeight="false" outlineLevel="0" collapsed="false">
      <c r="A68" s="22"/>
      <c r="B68" s="23"/>
      <c r="C68" s="23"/>
      <c r="D68" s="25"/>
      <c r="E68" s="32"/>
      <c r="F68" s="23"/>
      <c r="G68" s="28" t="str">
        <f aca="false">IF($A68="","",IF($B68="Mileage",N($E68)*Settings!$B$13,N($D68)))</f>
        <v/>
      </c>
      <c r="H68" s="27" t="str">
        <f aca="false">IF($A68="","",IF($A68&gt;=DATE(YEAR($A68),4,6),YEAR($A68)&amp;"/"&amp;RIGHT(YEAR($A68)+1,2),YEAR($A68)-1&amp;"/"&amp;RIGHT(YEAR($A68),2)))</f>
        <v/>
      </c>
      <c r="I68" s="29" t="str">
        <f aca="false">IF($A68="","",DATE(YEAR($A68),MONTH($A68),1))</f>
        <v/>
      </c>
    </row>
    <row r="69" customFormat="false" ht="15" hidden="false" customHeight="false" outlineLevel="0" collapsed="false">
      <c r="A69" s="22"/>
      <c r="B69" s="23"/>
      <c r="C69" s="23"/>
      <c r="D69" s="25"/>
      <c r="E69" s="32"/>
      <c r="F69" s="23"/>
      <c r="G69" s="28" t="str">
        <f aca="false">IF($A69="","",IF($B69="Mileage",N($E69)*Settings!$B$13,N($D69)))</f>
        <v/>
      </c>
      <c r="H69" s="27" t="str">
        <f aca="false">IF($A69="","",IF($A69&gt;=DATE(YEAR($A69),4,6),YEAR($A69)&amp;"/"&amp;RIGHT(YEAR($A69)+1,2),YEAR($A69)-1&amp;"/"&amp;RIGHT(YEAR($A69),2)))</f>
        <v/>
      </c>
      <c r="I69" s="29" t="str">
        <f aca="false">IF($A69="","",DATE(YEAR($A69),MONTH($A69),1))</f>
        <v/>
      </c>
    </row>
    <row r="70" customFormat="false" ht="15" hidden="false" customHeight="false" outlineLevel="0" collapsed="false">
      <c r="A70" s="22"/>
      <c r="B70" s="23"/>
      <c r="C70" s="23"/>
      <c r="D70" s="25"/>
      <c r="E70" s="32"/>
      <c r="F70" s="23"/>
      <c r="G70" s="28" t="str">
        <f aca="false">IF($A70="","",IF($B70="Mileage",N($E70)*Settings!$B$13,N($D70)))</f>
        <v/>
      </c>
      <c r="H70" s="27" t="str">
        <f aca="false">IF($A70="","",IF($A70&gt;=DATE(YEAR($A70),4,6),YEAR($A70)&amp;"/"&amp;RIGHT(YEAR($A70)+1,2),YEAR($A70)-1&amp;"/"&amp;RIGHT(YEAR($A70),2)))</f>
        <v/>
      </c>
      <c r="I70" s="29" t="str">
        <f aca="false">IF($A70="","",DATE(YEAR($A70),MONTH($A70),1))</f>
        <v/>
      </c>
    </row>
    <row r="71" customFormat="false" ht="15" hidden="false" customHeight="false" outlineLevel="0" collapsed="false">
      <c r="A71" s="22"/>
      <c r="B71" s="23"/>
      <c r="C71" s="23"/>
      <c r="D71" s="25"/>
      <c r="E71" s="32"/>
      <c r="F71" s="23"/>
      <c r="G71" s="28" t="str">
        <f aca="false">IF($A71="","",IF($B71="Mileage",N($E71)*Settings!$B$13,N($D71)))</f>
        <v/>
      </c>
      <c r="H71" s="27" t="str">
        <f aca="false">IF($A71="","",IF($A71&gt;=DATE(YEAR($A71),4,6),YEAR($A71)&amp;"/"&amp;RIGHT(YEAR($A71)+1,2),YEAR($A71)-1&amp;"/"&amp;RIGHT(YEAR($A71),2)))</f>
        <v/>
      </c>
      <c r="I71" s="29" t="str">
        <f aca="false">IF($A71="","",DATE(YEAR($A71),MONTH($A71),1))</f>
        <v/>
      </c>
    </row>
    <row r="72" customFormat="false" ht="15" hidden="false" customHeight="false" outlineLevel="0" collapsed="false">
      <c r="A72" s="22"/>
      <c r="B72" s="23"/>
      <c r="C72" s="23"/>
      <c r="D72" s="25"/>
      <c r="E72" s="32"/>
      <c r="F72" s="23"/>
      <c r="G72" s="28" t="str">
        <f aca="false">IF($A72="","",IF($B72="Mileage",N($E72)*Settings!$B$13,N($D72)))</f>
        <v/>
      </c>
      <c r="H72" s="27" t="str">
        <f aca="false">IF($A72="","",IF($A72&gt;=DATE(YEAR($A72),4,6),YEAR($A72)&amp;"/"&amp;RIGHT(YEAR($A72)+1,2),YEAR($A72)-1&amp;"/"&amp;RIGHT(YEAR($A72),2)))</f>
        <v/>
      </c>
      <c r="I72" s="29" t="str">
        <f aca="false">IF($A72="","",DATE(YEAR($A72),MONTH($A72),1))</f>
        <v/>
      </c>
    </row>
    <row r="73" customFormat="false" ht="15" hidden="false" customHeight="false" outlineLevel="0" collapsed="false">
      <c r="A73" s="22"/>
      <c r="B73" s="23"/>
      <c r="C73" s="23"/>
      <c r="D73" s="25"/>
      <c r="E73" s="32"/>
      <c r="F73" s="23"/>
      <c r="G73" s="28" t="str">
        <f aca="false">IF($A73="","",IF($B73="Mileage",N($E73)*Settings!$B$13,N($D73)))</f>
        <v/>
      </c>
      <c r="H73" s="27" t="str">
        <f aca="false">IF($A73="","",IF($A73&gt;=DATE(YEAR($A73),4,6),YEAR($A73)&amp;"/"&amp;RIGHT(YEAR($A73)+1,2),YEAR($A73)-1&amp;"/"&amp;RIGHT(YEAR($A73),2)))</f>
        <v/>
      </c>
      <c r="I73" s="29" t="str">
        <f aca="false">IF($A73="","",DATE(YEAR($A73),MONTH($A73),1))</f>
        <v/>
      </c>
    </row>
    <row r="74" customFormat="false" ht="15" hidden="false" customHeight="false" outlineLevel="0" collapsed="false">
      <c r="A74" s="22"/>
      <c r="B74" s="23"/>
      <c r="C74" s="23"/>
      <c r="D74" s="25"/>
      <c r="E74" s="32"/>
      <c r="F74" s="23"/>
      <c r="G74" s="28" t="str">
        <f aca="false">IF($A74="","",IF($B74="Mileage",N($E74)*Settings!$B$13,N($D74)))</f>
        <v/>
      </c>
      <c r="H74" s="27" t="str">
        <f aca="false">IF($A74="","",IF($A74&gt;=DATE(YEAR($A74),4,6),YEAR($A74)&amp;"/"&amp;RIGHT(YEAR($A74)+1,2),YEAR($A74)-1&amp;"/"&amp;RIGHT(YEAR($A74),2)))</f>
        <v/>
      </c>
      <c r="I74" s="29" t="str">
        <f aca="false">IF($A74="","",DATE(YEAR($A74),MONTH($A74),1))</f>
        <v/>
      </c>
    </row>
    <row r="75" customFormat="false" ht="15" hidden="false" customHeight="false" outlineLevel="0" collapsed="false">
      <c r="A75" s="22"/>
      <c r="B75" s="23"/>
      <c r="C75" s="23"/>
      <c r="D75" s="25"/>
      <c r="E75" s="32"/>
      <c r="F75" s="23"/>
      <c r="G75" s="28" t="str">
        <f aca="false">IF($A75="","",IF($B75="Mileage",N($E75)*Settings!$B$13,N($D75)))</f>
        <v/>
      </c>
      <c r="H75" s="27" t="str">
        <f aca="false">IF($A75="","",IF($A75&gt;=DATE(YEAR($A75),4,6),YEAR($A75)&amp;"/"&amp;RIGHT(YEAR($A75)+1,2),YEAR($A75)-1&amp;"/"&amp;RIGHT(YEAR($A75),2)))</f>
        <v/>
      </c>
      <c r="I75" s="29" t="str">
        <f aca="false">IF($A75="","",DATE(YEAR($A75),MONTH($A75),1))</f>
        <v/>
      </c>
    </row>
    <row r="76" customFormat="false" ht="15" hidden="false" customHeight="false" outlineLevel="0" collapsed="false">
      <c r="A76" s="22"/>
      <c r="B76" s="23"/>
      <c r="C76" s="23"/>
      <c r="D76" s="25"/>
      <c r="E76" s="32"/>
      <c r="F76" s="23"/>
      <c r="G76" s="28" t="str">
        <f aca="false">IF($A76="","",IF($B76="Mileage",N($E76)*Settings!$B$13,N($D76)))</f>
        <v/>
      </c>
      <c r="H76" s="27" t="str">
        <f aca="false">IF($A76="","",IF($A76&gt;=DATE(YEAR($A76),4,6),YEAR($A76)&amp;"/"&amp;RIGHT(YEAR($A76)+1,2),YEAR($A76)-1&amp;"/"&amp;RIGHT(YEAR($A76),2)))</f>
        <v/>
      </c>
      <c r="I76" s="29" t="str">
        <f aca="false">IF($A76="","",DATE(YEAR($A76),MONTH($A76),1))</f>
        <v/>
      </c>
    </row>
    <row r="77" customFormat="false" ht="15" hidden="false" customHeight="false" outlineLevel="0" collapsed="false">
      <c r="A77" s="22"/>
      <c r="B77" s="23"/>
      <c r="C77" s="23"/>
      <c r="D77" s="25"/>
      <c r="E77" s="32"/>
      <c r="F77" s="23"/>
      <c r="G77" s="28" t="str">
        <f aca="false">IF($A77="","",IF($B77="Mileage",N($E77)*Settings!$B$13,N($D77)))</f>
        <v/>
      </c>
      <c r="H77" s="27" t="str">
        <f aca="false">IF($A77="","",IF($A77&gt;=DATE(YEAR($A77),4,6),YEAR($A77)&amp;"/"&amp;RIGHT(YEAR($A77)+1,2),YEAR($A77)-1&amp;"/"&amp;RIGHT(YEAR($A77),2)))</f>
        <v/>
      </c>
      <c r="I77" s="29" t="str">
        <f aca="false">IF($A77="","",DATE(YEAR($A77),MONTH($A77),1))</f>
        <v/>
      </c>
    </row>
    <row r="78" customFormat="false" ht="15" hidden="false" customHeight="false" outlineLevel="0" collapsed="false">
      <c r="A78" s="22"/>
      <c r="B78" s="23"/>
      <c r="C78" s="23"/>
      <c r="D78" s="25"/>
      <c r="E78" s="32"/>
      <c r="F78" s="23"/>
      <c r="G78" s="28" t="str">
        <f aca="false">IF($A78="","",IF($B78="Mileage",N($E78)*Settings!$B$13,N($D78)))</f>
        <v/>
      </c>
      <c r="H78" s="27" t="str">
        <f aca="false">IF($A78="","",IF($A78&gt;=DATE(YEAR($A78),4,6),YEAR($A78)&amp;"/"&amp;RIGHT(YEAR($A78)+1,2),YEAR($A78)-1&amp;"/"&amp;RIGHT(YEAR($A78),2)))</f>
        <v/>
      </c>
      <c r="I78" s="29" t="str">
        <f aca="false">IF($A78="","",DATE(YEAR($A78),MONTH($A78),1))</f>
        <v/>
      </c>
    </row>
    <row r="79" customFormat="false" ht="15" hidden="false" customHeight="false" outlineLevel="0" collapsed="false">
      <c r="A79" s="22"/>
      <c r="B79" s="23"/>
      <c r="C79" s="23"/>
      <c r="D79" s="25"/>
      <c r="E79" s="32"/>
      <c r="F79" s="23"/>
      <c r="G79" s="28" t="str">
        <f aca="false">IF($A79="","",IF($B79="Mileage",N($E79)*Settings!$B$13,N($D79)))</f>
        <v/>
      </c>
      <c r="H79" s="27" t="str">
        <f aca="false">IF($A79="","",IF($A79&gt;=DATE(YEAR($A79),4,6),YEAR($A79)&amp;"/"&amp;RIGHT(YEAR($A79)+1,2),YEAR($A79)-1&amp;"/"&amp;RIGHT(YEAR($A79),2)))</f>
        <v/>
      </c>
      <c r="I79" s="29" t="str">
        <f aca="false">IF($A79="","",DATE(YEAR($A79),MONTH($A79),1))</f>
        <v/>
      </c>
    </row>
    <row r="80" customFormat="false" ht="15" hidden="false" customHeight="false" outlineLevel="0" collapsed="false">
      <c r="A80" s="22"/>
      <c r="B80" s="23"/>
      <c r="C80" s="23"/>
      <c r="D80" s="25"/>
      <c r="E80" s="32"/>
      <c r="F80" s="23"/>
      <c r="G80" s="28" t="str">
        <f aca="false">IF($A80="","",IF($B80="Mileage",N($E80)*Settings!$B$13,N($D80)))</f>
        <v/>
      </c>
      <c r="H80" s="27" t="str">
        <f aca="false">IF($A80="","",IF($A80&gt;=DATE(YEAR($A80),4,6),YEAR($A80)&amp;"/"&amp;RIGHT(YEAR($A80)+1,2),YEAR($A80)-1&amp;"/"&amp;RIGHT(YEAR($A80),2)))</f>
        <v/>
      </c>
      <c r="I80" s="29" t="str">
        <f aca="false">IF($A80="","",DATE(YEAR($A80),MONTH($A80),1))</f>
        <v/>
      </c>
    </row>
    <row r="81" customFormat="false" ht="15" hidden="false" customHeight="false" outlineLevel="0" collapsed="false">
      <c r="A81" s="22"/>
      <c r="B81" s="23"/>
      <c r="C81" s="23"/>
      <c r="D81" s="25"/>
      <c r="E81" s="32"/>
      <c r="F81" s="23"/>
      <c r="G81" s="28" t="str">
        <f aca="false">IF($A81="","",IF($B81="Mileage",N($E81)*Settings!$B$13,N($D81)))</f>
        <v/>
      </c>
      <c r="H81" s="27" t="str">
        <f aca="false">IF($A81="","",IF($A81&gt;=DATE(YEAR($A81),4,6),YEAR($A81)&amp;"/"&amp;RIGHT(YEAR($A81)+1,2),YEAR($A81)-1&amp;"/"&amp;RIGHT(YEAR($A81),2)))</f>
        <v/>
      </c>
      <c r="I81" s="29" t="str">
        <f aca="false">IF($A81="","",DATE(YEAR($A81),MONTH($A81),1))</f>
        <v/>
      </c>
    </row>
    <row r="82" customFormat="false" ht="15" hidden="false" customHeight="false" outlineLevel="0" collapsed="false">
      <c r="A82" s="22"/>
      <c r="B82" s="23"/>
      <c r="C82" s="23"/>
      <c r="D82" s="25"/>
      <c r="E82" s="32"/>
      <c r="F82" s="23"/>
      <c r="G82" s="28" t="str">
        <f aca="false">IF($A82="","",IF($B82="Mileage",N($E82)*Settings!$B$13,N($D82)))</f>
        <v/>
      </c>
      <c r="H82" s="27" t="str">
        <f aca="false">IF($A82="","",IF($A82&gt;=DATE(YEAR($A82),4,6),YEAR($A82)&amp;"/"&amp;RIGHT(YEAR($A82)+1,2),YEAR($A82)-1&amp;"/"&amp;RIGHT(YEAR($A82),2)))</f>
        <v/>
      </c>
      <c r="I82" s="29" t="str">
        <f aca="false">IF($A82="","",DATE(YEAR($A82),MONTH($A82),1))</f>
        <v/>
      </c>
    </row>
    <row r="83" customFormat="false" ht="15" hidden="false" customHeight="false" outlineLevel="0" collapsed="false">
      <c r="A83" s="22"/>
      <c r="B83" s="23"/>
      <c r="C83" s="23"/>
      <c r="D83" s="25"/>
      <c r="E83" s="32"/>
      <c r="F83" s="23"/>
      <c r="G83" s="28" t="str">
        <f aca="false">IF($A83="","",IF($B83="Mileage",N($E83)*Settings!$B$13,N($D83)))</f>
        <v/>
      </c>
      <c r="H83" s="27" t="str">
        <f aca="false">IF($A83="","",IF($A83&gt;=DATE(YEAR($A83),4,6),YEAR($A83)&amp;"/"&amp;RIGHT(YEAR($A83)+1,2),YEAR($A83)-1&amp;"/"&amp;RIGHT(YEAR($A83),2)))</f>
        <v/>
      </c>
      <c r="I83" s="29" t="str">
        <f aca="false">IF($A83="","",DATE(YEAR($A83),MONTH($A83),1))</f>
        <v/>
      </c>
    </row>
    <row r="84" customFormat="false" ht="15" hidden="false" customHeight="false" outlineLevel="0" collapsed="false">
      <c r="A84" s="22"/>
      <c r="B84" s="23"/>
      <c r="C84" s="23"/>
      <c r="D84" s="25"/>
      <c r="E84" s="32"/>
      <c r="F84" s="23"/>
      <c r="G84" s="28" t="str">
        <f aca="false">IF($A84="","",IF($B84="Mileage",N($E84)*Settings!$B$13,N($D84)))</f>
        <v/>
      </c>
      <c r="H84" s="27" t="str">
        <f aca="false">IF($A84="","",IF($A84&gt;=DATE(YEAR($A84),4,6),YEAR($A84)&amp;"/"&amp;RIGHT(YEAR($A84)+1,2),YEAR($A84)-1&amp;"/"&amp;RIGHT(YEAR($A84),2)))</f>
        <v/>
      </c>
      <c r="I84" s="29" t="str">
        <f aca="false">IF($A84="","",DATE(YEAR($A84),MONTH($A84),1))</f>
        <v/>
      </c>
    </row>
    <row r="85" customFormat="false" ht="15" hidden="false" customHeight="false" outlineLevel="0" collapsed="false">
      <c r="A85" s="22"/>
      <c r="B85" s="23"/>
      <c r="C85" s="23"/>
      <c r="D85" s="25"/>
      <c r="E85" s="32"/>
      <c r="F85" s="23"/>
      <c r="G85" s="28" t="str">
        <f aca="false">IF($A85="","",IF($B85="Mileage",N($E85)*Settings!$B$13,N($D85)))</f>
        <v/>
      </c>
      <c r="H85" s="27" t="str">
        <f aca="false">IF($A85="","",IF($A85&gt;=DATE(YEAR($A85),4,6),YEAR($A85)&amp;"/"&amp;RIGHT(YEAR($A85)+1,2),YEAR($A85)-1&amp;"/"&amp;RIGHT(YEAR($A85),2)))</f>
        <v/>
      </c>
      <c r="I85" s="29" t="str">
        <f aca="false">IF($A85="","",DATE(YEAR($A85),MONTH($A85),1))</f>
        <v/>
      </c>
    </row>
    <row r="86" customFormat="false" ht="15" hidden="false" customHeight="false" outlineLevel="0" collapsed="false">
      <c r="A86" s="22"/>
      <c r="B86" s="23"/>
      <c r="C86" s="23"/>
      <c r="D86" s="25"/>
      <c r="E86" s="32"/>
      <c r="F86" s="23"/>
      <c r="G86" s="28" t="str">
        <f aca="false">IF($A86="","",IF($B86="Mileage",N($E86)*Settings!$B$13,N($D86)))</f>
        <v/>
      </c>
      <c r="H86" s="27" t="str">
        <f aca="false">IF($A86="","",IF($A86&gt;=DATE(YEAR($A86),4,6),YEAR($A86)&amp;"/"&amp;RIGHT(YEAR($A86)+1,2),YEAR($A86)-1&amp;"/"&amp;RIGHT(YEAR($A86),2)))</f>
        <v/>
      </c>
      <c r="I86" s="29" t="str">
        <f aca="false">IF($A86="","",DATE(YEAR($A86),MONTH($A86),1))</f>
        <v/>
      </c>
    </row>
    <row r="87" customFormat="false" ht="15" hidden="false" customHeight="false" outlineLevel="0" collapsed="false">
      <c r="A87" s="22"/>
      <c r="B87" s="23"/>
      <c r="C87" s="23"/>
      <c r="D87" s="25"/>
      <c r="E87" s="32"/>
      <c r="F87" s="23"/>
      <c r="G87" s="28" t="str">
        <f aca="false">IF($A87="","",IF($B87="Mileage",N($E87)*Settings!$B$13,N($D87)))</f>
        <v/>
      </c>
      <c r="H87" s="27" t="str">
        <f aca="false">IF($A87="","",IF($A87&gt;=DATE(YEAR($A87),4,6),YEAR($A87)&amp;"/"&amp;RIGHT(YEAR($A87)+1,2),YEAR($A87)-1&amp;"/"&amp;RIGHT(YEAR($A87),2)))</f>
        <v/>
      </c>
      <c r="I87" s="29" t="str">
        <f aca="false">IF($A87="","",DATE(YEAR($A87),MONTH($A87),1))</f>
        <v/>
      </c>
    </row>
    <row r="88" customFormat="false" ht="15" hidden="false" customHeight="false" outlineLevel="0" collapsed="false">
      <c r="A88" s="22"/>
      <c r="B88" s="23"/>
      <c r="C88" s="23"/>
      <c r="D88" s="25"/>
      <c r="E88" s="32"/>
      <c r="F88" s="23"/>
      <c r="G88" s="28" t="str">
        <f aca="false">IF($A88="","",IF($B88="Mileage",N($E88)*Settings!$B$13,N($D88)))</f>
        <v/>
      </c>
      <c r="H88" s="27" t="str">
        <f aca="false">IF($A88="","",IF($A88&gt;=DATE(YEAR($A88),4,6),YEAR($A88)&amp;"/"&amp;RIGHT(YEAR($A88)+1,2),YEAR($A88)-1&amp;"/"&amp;RIGHT(YEAR($A88),2)))</f>
        <v/>
      </c>
      <c r="I88" s="29" t="str">
        <f aca="false">IF($A88="","",DATE(YEAR($A88),MONTH($A88),1))</f>
        <v/>
      </c>
    </row>
    <row r="89" customFormat="false" ht="15" hidden="false" customHeight="false" outlineLevel="0" collapsed="false">
      <c r="A89" s="22"/>
      <c r="B89" s="23"/>
      <c r="C89" s="23"/>
      <c r="D89" s="25"/>
      <c r="E89" s="32"/>
      <c r="F89" s="23"/>
      <c r="G89" s="28" t="str">
        <f aca="false">IF($A89="","",IF($B89="Mileage",N($E89)*Settings!$B$13,N($D89)))</f>
        <v/>
      </c>
      <c r="H89" s="27" t="str">
        <f aca="false">IF($A89="","",IF($A89&gt;=DATE(YEAR($A89),4,6),YEAR($A89)&amp;"/"&amp;RIGHT(YEAR($A89)+1,2),YEAR($A89)-1&amp;"/"&amp;RIGHT(YEAR($A89),2)))</f>
        <v/>
      </c>
      <c r="I89" s="29" t="str">
        <f aca="false">IF($A89="","",DATE(YEAR($A89),MONTH($A89),1))</f>
        <v/>
      </c>
    </row>
    <row r="90" customFormat="false" ht="15" hidden="false" customHeight="false" outlineLevel="0" collapsed="false">
      <c r="A90" s="22"/>
      <c r="B90" s="23"/>
      <c r="C90" s="23"/>
      <c r="D90" s="25"/>
      <c r="E90" s="32"/>
      <c r="F90" s="23"/>
      <c r="G90" s="28" t="str">
        <f aca="false">IF($A90="","",IF($B90="Mileage",N($E90)*Settings!$B$13,N($D90)))</f>
        <v/>
      </c>
      <c r="H90" s="27" t="str">
        <f aca="false">IF($A90="","",IF($A90&gt;=DATE(YEAR($A90),4,6),YEAR($A90)&amp;"/"&amp;RIGHT(YEAR($A90)+1,2),YEAR($A90)-1&amp;"/"&amp;RIGHT(YEAR($A90),2)))</f>
        <v/>
      </c>
      <c r="I90" s="29" t="str">
        <f aca="false">IF($A90="","",DATE(YEAR($A90),MONTH($A90),1))</f>
        <v/>
      </c>
    </row>
    <row r="91" customFormat="false" ht="15" hidden="false" customHeight="false" outlineLevel="0" collapsed="false">
      <c r="A91" s="22"/>
      <c r="B91" s="23"/>
      <c r="C91" s="23"/>
      <c r="D91" s="25"/>
      <c r="E91" s="32"/>
      <c r="F91" s="23"/>
      <c r="G91" s="28" t="str">
        <f aca="false">IF($A91="","",IF($B91="Mileage",N($E91)*Settings!$B$13,N($D91)))</f>
        <v/>
      </c>
      <c r="H91" s="27" t="str">
        <f aca="false">IF($A91="","",IF($A91&gt;=DATE(YEAR($A91),4,6),YEAR($A91)&amp;"/"&amp;RIGHT(YEAR($A91)+1,2),YEAR($A91)-1&amp;"/"&amp;RIGHT(YEAR($A91),2)))</f>
        <v/>
      </c>
      <c r="I91" s="29" t="str">
        <f aca="false">IF($A91="","",DATE(YEAR($A91),MONTH($A91),1))</f>
        <v/>
      </c>
    </row>
    <row r="92" customFormat="false" ht="15" hidden="false" customHeight="false" outlineLevel="0" collapsed="false">
      <c r="A92" s="22"/>
      <c r="B92" s="23"/>
      <c r="C92" s="23"/>
      <c r="D92" s="25"/>
      <c r="E92" s="32"/>
      <c r="F92" s="23"/>
      <c r="G92" s="28" t="str">
        <f aca="false">IF($A92="","",IF($B92="Mileage",N($E92)*Settings!$B$13,N($D92)))</f>
        <v/>
      </c>
      <c r="H92" s="27" t="str">
        <f aca="false">IF($A92="","",IF($A92&gt;=DATE(YEAR($A92),4,6),YEAR($A92)&amp;"/"&amp;RIGHT(YEAR($A92)+1,2),YEAR($A92)-1&amp;"/"&amp;RIGHT(YEAR($A92),2)))</f>
        <v/>
      </c>
      <c r="I92" s="29" t="str">
        <f aca="false">IF($A92="","",DATE(YEAR($A92),MONTH($A92),1))</f>
        <v/>
      </c>
    </row>
    <row r="93" customFormat="false" ht="15" hidden="false" customHeight="false" outlineLevel="0" collapsed="false">
      <c r="A93" s="22"/>
      <c r="B93" s="23"/>
      <c r="C93" s="23"/>
      <c r="D93" s="25"/>
      <c r="E93" s="32"/>
      <c r="F93" s="23"/>
      <c r="G93" s="28" t="str">
        <f aca="false">IF($A93="","",IF($B93="Mileage",N($E93)*Settings!$B$13,N($D93)))</f>
        <v/>
      </c>
      <c r="H93" s="27" t="str">
        <f aca="false">IF($A93="","",IF($A93&gt;=DATE(YEAR($A93),4,6),YEAR($A93)&amp;"/"&amp;RIGHT(YEAR($A93)+1,2),YEAR($A93)-1&amp;"/"&amp;RIGHT(YEAR($A93),2)))</f>
        <v/>
      </c>
      <c r="I93" s="29" t="str">
        <f aca="false">IF($A93="","",DATE(YEAR($A93),MONTH($A93),1))</f>
        <v/>
      </c>
    </row>
    <row r="94" customFormat="false" ht="15" hidden="false" customHeight="false" outlineLevel="0" collapsed="false">
      <c r="A94" s="22"/>
      <c r="B94" s="23"/>
      <c r="C94" s="23"/>
      <c r="D94" s="25"/>
      <c r="E94" s="32"/>
      <c r="F94" s="23"/>
      <c r="G94" s="28" t="str">
        <f aca="false">IF($A94="","",IF($B94="Mileage",N($E94)*Settings!$B$13,N($D94)))</f>
        <v/>
      </c>
      <c r="H94" s="27" t="str">
        <f aca="false">IF($A94="","",IF($A94&gt;=DATE(YEAR($A94),4,6),YEAR($A94)&amp;"/"&amp;RIGHT(YEAR($A94)+1,2),YEAR($A94)-1&amp;"/"&amp;RIGHT(YEAR($A94),2)))</f>
        <v/>
      </c>
      <c r="I94" s="29" t="str">
        <f aca="false">IF($A94="","",DATE(YEAR($A94),MONTH($A94),1))</f>
        <v/>
      </c>
    </row>
    <row r="95" customFormat="false" ht="15" hidden="false" customHeight="false" outlineLevel="0" collapsed="false">
      <c r="A95" s="22"/>
      <c r="B95" s="23"/>
      <c r="C95" s="23"/>
      <c r="D95" s="25"/>
      <c r="E95" s="32"/>
      <c r="F95" s="23"/>
      <c r="G95" s="28" t="str">
        <f aca="false">IF($A95="","",IF($B95="Mileage",N($E95)*Settings!$B$13,N($D95)))</f>
        <v/>
      </c>
      <c r="H95" s="27" t="str">
        <f aca="false">IF($A95="","",IF($A95&gt;=DATE(YEAR($A95),4,6),YEAR($A95)&amp;"/"&amp;RIGHT(YEAR($A95)+1,2),YEAR($A95)-1&amp;"/"&amp;RIGHT(YEAR($A95),2)))</f>
        <v/>
      </c>
      <c r="I95" s="29" t="str">
        <f aca="false">IF($A95="","",DATE(YEAR($A95),MONTH($A95),1))</f>
        <v/>
      </c>
    </row>
    <row r="96" customFormat="false" ht="15" hidden="false" customHeight="false" outlineLevel="0" collapsed="false">
      <c r="A96" s="22"/>
      <c r="B96" s="23"/>
      <c r="C96" s="23"/>
      <c r="D96" s="25"/>
      <c r="E96" s="32"/>
      <c r="F96" s="23"/>
      <c r="G96" s="28" t="str">
        <f aca="false">IF($A96="","",IF($B96="Mileage",N($E96)*Settings!$B$13,N($D96)))</f>
        <v/>
      </c>
      <c r="H96" s="27" t="str">
        <f aca="false">IF($A96="","",IF($A96&gt;=DATE(YEAR($A96),4,6),YEAR($A96)&amp;"/"&amp;RIGHT(YEAR($A96)+1,2),YEAR($A96)-1&amp;"/"&amp;RIGHT(YEAR($A96),2)))</f>
        <v/>
      </c>
      <c r="I96" s="29" t="str">
        <f aca="false">IF($A96="","",DATE(YEAR($A96),MONTH($A96),1))</f>
        <v/>
      </c>
    </row>
    <row r="97" customFormat="false" ht="15" hidden="false" customHeight="false" outlineLevel="0" collapsed="false">
      <c r="A97" s="22"/>
      <c r="B97" s="23"/>
      <c r="C97" s="23"/>
      <c r="D97" s="25"/>
      <c r="E97" s="32"/>
      <c r="F97" s="23"/>
      <c r="G97" s="28" t="str">
        <f aca="false">IF($A97="","",IF($B97="Mileage",N($E97)*Settings!$B$13,N($D97)))</f>
        <v/>
      </c>
      <c r="H97" s="27" t="str">
        <f aca="false">IF($A97="","",IF($A97&gt;=DATE(YEAR($A97),4,6),YEAR($A97)&amp;"/"&amp;RIGHT(YEAR($A97)+1,2),YEAR($A97)-1&amp;"/"&amp;RIGHT(YEAR($A97),2)))</f>
        <v/>
      </c>
      <c r="I97" s="29" t="str">
        <f aca="false">IF($A97="","",DATE(YEAR($A97),MONTH($A97),1))</f>
        <v/>
      </c>
    </row>
    <row r="98" customFormat="false" ht="15" hidden="false" customHeight="false" outlineLevel="0" collapsed="false">
      <c r="A98" s="22"/>
      <c r="B98" s="23"/>
      <c r="C98" s="23"/>
      <c r="D98" s="25"/>
      <c r="E98" s="32"/>
      <c r="F98" s="23"/>
      <c r="G98" s="28" t="str">
        <f aca="false">IF($A98="","",IF($B98="Mileage",N($E98)*Settings!$B$13,N($D98)))</f>
        <v/>
      </c>
      <c r="H98" s="27" t="str">
        <f aca="false">IF($A98="","",IF($A98&gt;=DATE(YEAR($A98),4,6),YEAR($A98)&amp;"/"&amp;RIGHT(YEAR($A98)+1,2),YEAR($A98)-1&amp;"/"&amp;RIGHT(YEAR($A98),2)))</f>
        <v/>
      </c>
      <c r="I98" s="29" t="str">
        <f aca="false">IF($A98="","",DATE(YEAR($A98),MONTH($A98),1))</f>
        <v/>
      </c>
    </row>
    <row r="99" customFormat="false" ht="15" hidden="false" customHeight="false" outlineLevel="0" collapsed="false">
      <c r="A99" s="22"/>
      <c r="B99" s="23"/>
      <c r="C99" s="23"/>
      <c r="D99" s="25"/>
      <c r="E99" s="32"/>
      <c r="F99" s="23"/>
      <c r="G99" s="28" t="str">
        <f aca="false">IF($A99="","",IF($B99="Mileage",N($E99)*Settings!$B$13,N($D99)))</f>
        <v/>
      </c>
      <c r="H99" s="27" t="str">
        <f aca="false">IF($A99="","",IF($A99&gt;=DATE(YEAR($A99),4,6),YEAR($A99)&amp;"/"&amp;RIGHT(YEAR($A99)+1,2),YEAR($A99)-1&amp;"/"&amp;RIGHT(YEAR($A99),2)))</f>
        <v/>
      </c>
      <c r="I99" s="29" t="str">
        <f aca="false">IF($A99="","",DATE(YEAR($A99),MONTH($A99),1))</f>
        <v/>
      </c>
    </row>
    <row r="100" customFormat="false" ht="15" hidden="false" customHeight="false" outlineLevel="0" collapsed="false">
      <c r="A100" s="22"/>
      <c r="B100" s="23"/>
      <c r="C100" s="23"/>
      <c r="D100" s="25"/>
      <c r="E100" s="32"/>
      <c r="F100" s="23"/>
      <c r="G100" s="28" t="str">
        <f aca="false">IF($A100="","",IF($B100="Mileage",N($E100)*Settings!$B$13,N($D100)))</f>
        <v/>
      </c>
      <c r="H100" s="27" t="str">
        <f aca="false">IF($A100="","",IF($A100&gt;=DATE(YEAR($A100),4,6),YEAR($A100)&amp;"/"&amp;RIGHT(YEAR($A100)+1,2),YEAR($A100)-1&amp;"/"&amp;RIGHT(YEAR($A100),2)))</f>
        <v/>
      </c>
      <c r="I100" s="29" t="str">
        <f aca="false">IF($A100="","",DATE(YEAR($A100),MONTH($A100),1))</f>
        <v/>
      </c>
    </row>
    <row r="101" customFormat="false" ht="15" hidden="false" customHeight="false" outlineLevel="0" collapsed="false">
      <c r="A101" s="22"/>
      <c r="B101" s="23"/>
      <c r="C101" s="23"/>
      <c r="D101" s="25"/>
      <c r="E101" s="32"/>
      <c r="F101" s="23"/>
      <c r="G101" s="28" t="str">
        <f aca="false">IF($A101="","",IF($B101="Mileage",N($E101)*Settings!$B$13,N($D101)))</f>
        <v/>
      </c>
      <c r="H101" s="27" t="str">
        <f aca="false">IF($A101="","",IF($A101&gt;=DATE(YEAR($A101),4,6),YEAR($A101)&amp;"/"&amp;RIGHT(YEAR($A101)+1,2),YEAR($A101)-1&amp;"/"&amp;RIGHT(YEAR($A101),2)))</f>
        <v/>
      </c>
      <c r="I101" s="29" t="str">
        <f aca="false">IF($A101="","",DATE(YEAR($A101),MONTH($A101),1))</f>
        <v/>
      </c>
    </row>
    <row r="102" customFormat="false" ht="15" hidden="false" customHeight="false" outlineLevel="0" collapsed="false">
      <c r="A102" s="22"/>
      <c r="B102" s="23"/>
      <c r="C102" s="23"/>
      <c r="D102" s="25"/>
      <c r="E102" s="32"/>
      <c r="F102" s="23"/>
      <c r="G102" s="28" t="str">
        <f aca="false">IF($A102="","",IF($B102="Mileage",N($E102)*Settings!$B$13,N($D102)))</f>
        <v/>
      </c>
      <c r="H102" s="27" t="str">
        <f aca="false">IF($A102="","",IF($A102&gt;=DATE(YEAR($A102),4,6),YEAR($A102)&amp;"/"&amp;RIGHT(YEAR($A102)+1,2),YEAR($A102)-1&amp;"/"&amp;RIGHT(YEAR($A102),2)))</f>
        <v/>
      </c>
      <c r="I102" s="29" t="str">
        <f aca="false">IF($A102="","",DATE(YEAR($A102),MONTH($A102),1))</f>
        <v/>
      </c>
    </row>
    <row r="103" customFormat="false" ht="15" hidden="false" customHeight="false" outlineLevel="0" collapsed="false">
      <c r="A103" s="22"/>
      <c r="B103" s="23"/>
      <c r="C103" s="23"/>
      <c r="D103" s="25"/>
      <c r="E103" s="32"/>
      <c r="F103" s="23"/>
      <c r="G103" s="28" t="str">
        <f aca="false">IF($A103="","",IF($B103="Mileage",N($E103)*Settings!$B$13,N($D103)))</f>
        <v/>
      </c>
      <c r="H103" s="27" t="str">
        <f aca="false">IF($A103="","",IF($A103&gt;=DATE(YEAR($A103),4,6),YEAR($A103)&amp;"/"&amp;RIGHT(YEAR($A103)+1,2),YEAR($A103)-1&amp;"/"&amp;RIGHT(YEAR($A103),2)))</f>
        <v/>
      </c>
      <c r="I103" s="29" t="str">
        <f aca="false">IF($A103="","",DATE(YEAR($A103),MONTH($A103),1))</f>
        <v/>
      </c>
    </row>
    <row r="104" customFormat="false" ht="15" hidden="false" customHeight="false" outlineLevel="0" collapsed="false">
      <c r="A104" s="22"/>
      <c r="B104" s="23"/>
      <c r="C104" s="23"/>
      <c r="D104" s="25"/>
      <c r="E104" s="32"/>
      <c r="F104" s="23"/>
      <c r="G104" s="28" t="str">
        <f aca="false">IF($A104="","",IF($B104="Mileage",N($E104)*Settings!$B$13,N($D104)))</f>
        <v/>
      </c>
      <c r="H104" s="27" t="str">
        <f aca="false">IF($A104="","",IF($A104&gt;=DATE(YEAR($A104),4,6),YEAR($A104)&amp;"/"&amp;RIGHT(YEAR($A104)+1,2),YEAR($A104)-1&amp;"/"&amp;RIGHT(YEAR($A104),2)))</f>
        <v/>
      </c>
      <c r="I104" s="29" t="str">
        <f aca="false">IF($A104="","",DATE(YEAR($A104),MONTH($A104),1))</f>
        <v/>
      </c>
    </row>
    <row r="105" customFormat="false" ht="15" hidden="false" customHeight="false" outlineLevel="0" collapsed="false">
      <c r="A105" s="22"/>
      <c r="B105" s="23"/>
      <c r="C105" s="23"/>
      <c r="D105" s="25"/>
      <c r="E105" s="32"/>
      <c r="F105" s="23"/>
      <c r="G105" s="28" t="str">
        <f aca="false">IF($A105="","",IF($B105="Mileage",N($E105)*Settings!$B$13,N($D105)))</f>
        <v/>
      </c>
      <c r="H105" s="27" t="str">
        <f aca="false">IF($A105="","",IF($A105&gt;=DATE(YEAR($A105),4,6),YEAR($A105)&amp;"/"&amp;RIGHT(YEAR($A105)+1,2),YEAR($A105)-1&amp;"/"&amp;RIGHT(YEAR($A105),2)))</f>
        <v/>
      </c>
      <c r="I105" s="29" t="str">
        <f aca="false">IF($A105="","",DATE(YEAR($A105),MONTH($A105),1))</f>
        <v/>
      </c>
    </row>
    <row r="106" customFormat="false" ht="15" hidden="false" customHeight="false" outlineLevel="0" collapsed="false">
      <c r="A106" s="22"/>
      <c r="B106" s="23"/>
      <c r="C106" s="23"/>
      <c r="D106" s="25"/>
      <c r="E106" s="32"/>
      <c r="F106" s="23"/>
      <c r="G106" s="28" t="str">
        <f aca="false">IF($A106="","",IF($B106="Mileage",N($E106)*Settings!$B$13,N($D106)))</f>
        <v/>
      </c>
      <c r="H106" s="27" t="str">
        <f aca="false">IF($A106="","",IF($A106&gt;=DATE(YEAR($A106),4,6),YEAR($A106)&amp;"/"&amp;RIGHT(YEAR($A106)+1,2),YEAR($A106)-1&amp;"/"&amp;RIGHT(YEAR($A106),2)))</f>
        <v/>
      </c>
      <c r="I106" s="29" t="str">
        <f aca="false">IF($A106="","",DATE(YEAR($A106),MONTH($A106),1))</f>
        <v/>
      </c>
    </row>
    <row r="107" customFormat="false" ht="15" hidden="false" customHeight="false" outlineLevel="0" collapsed="false">
      <c r="A107" s="22"/>
      <c r="B107" s="23"/>
      <c r="C107" s="23"/>
      <c r="D107" s="25"/>
      <c r="E107" s="32"/>
      <c r="F107" s="23"/>
      <c r="G107" s="28" t="str">
        <f aca="false">IF($A107="","",IF($B107="Mileage",N($E107)*Settings!$B$13,N($D107)))</f>
        <v/>
      </c>
      <c r="H107" s="27" t="str">
        <f aca="false">IF($A107="","",IF($A107&gt;=DATE(YEAR($A107),4,6),YEAR($A107)&amp;"/"&amp;RIGHT(YEAR($A107)+1,2),YEAR($A107)-1&amp;"/"&amp;RIGHT(YEAR($A107),2)))</f>
        <v/>
      </c>
      <c r="I107" s="29" t="str">
        <f aca="false">IF($A107="","",DATE(YEAR($A107),MONTH($A107),1))</f>
        <v/>
      </c>
    </row>
    <row r="108" customFormat="false" ht="15" hidden="false" customHeight="false" outlineLevel="0" collapsed="false">
      <c r="A108" s="22"/>
      <c r="B108" s="23"/>
      <c r="C108" s="23"/>
      <c r="D108" s="25"/>
      <c r="E108" s="32"/>
      <c r="F108" s="23"/>
      <c r="G108" s="28" t="str">
        <f aca="false">IF($A108="","",IF($B108="Mileage",N($E108)*Settings!$B$13,N($D108)))</f>
        <v/>
      </c>
      <c r="H108" s="27" t="str">
        <f aca="false">IF($A108="","",IF($A108&gt;=DATE(YEAR($A108),4,6),YEAR($A108)&amp;"/"&amp;RIGHT(YEAR($A108)+1,2),YEAR($A108)-1&amp;"/"&amp;RIGHT(YEAR($A108),2)))</f>
        <v/>
      </c>
      <c r="I108" s="29" t="str">
        <f aca="false">IF($A108="","",DATE(YEAR($A108),MONTH($A108),1))</f>
        <v/>
      </c>
    </row>
    <row r="109" customFormat="false" ht="15" hidden="false" customHeight="false" outlineLevel="0" collapsed="false">
      <c r="A109" s="22"/>
      <c r="B109" s="23"/>
      <c r="C109" s="23"/>
      <c r="D109" s="25"/>
      <c r="E109" s="32"/>
      <c r="F109" s="23"/>
      <c r="G109" s="28" t="str">
        <f aca="false">IF($A109="","",IF($B109="Mileage",N($E109)*Settings!$B$13,N($D109)))</f>
        <v/>
      </c>
      <c r="H109" s="27" t="str">
        <f aca="false">IF($A109="","",IF($A109&gt;=DATE(YEAR($A109),4,6),YEAR($A109)&amp;"/"&amp;RIGHT(YEAR($A109)+1,2),YEAR($A109)-1&amp;"/"&amp;RIGHT(YEAR($A109),2)))</f>
        <v/>
      </c>
      <c r="I109" s="29" t="str">
        <f aca="false">IF($A109="","",DATE(YEAR($A109),MONTH($A109),1))</f>
        <v/>
      </c>
    </row>
    <row r="110" customFormat="false" ht="15" hidden="false" customHeight="false" outlineLevel="0" collapsed="false">
      <c r="A110" s="22"/>
      <c r="B110" s="23"/>
      <c r="C110" s="23"/>
      <c r="D110" s="25"/>
      <c r="E110" s="32"/>
      <c r="F110" s="23"/>
      <c r="G110" s="28" t="str">
        <f aca="false">IF($A110="","",IF($B110="Mileage",N($E110)*Settings!$B$13,N($D110)))</f>
        <v/>
      </c>
      <c r="H110" s="27" t="str">
        <f aca="false">IF($A110="","",IF($A110&gt;=DATE(YEAR($A110),4,6),YEAR($A110)&amp;"/"&amp;RIGHT(YEAR($A110)+1,2),YEAR($A110)-1&amp;"/"&amp;RIGHT(YEAR($A110),2)))</f>
        <v/>
      </c>
      <c r="I110" s="29" t="str">
        <f aca="false">IF($A110="","",DATE(YEAR($A110),MONTH($A110),1))</f>
        <v/>
      </c>
    </row>
    <row r="111" customFormat="false" ht="15" hidden="false" customHeight="false" outlineLevel="0" collapsed="false">
      <c r="A111" s="22"/>
      <c r="B111" s="23"/>
      <c r="C111" s="23"/>
      <c r="D111" s="25"/>
      <c r="E111" s="32"/>
      <c r="F111" s="23"/>
      <c r="G111" s="28" t="str">
        <f aca="false">IF($A111="","",IF($B111="Mileage",N($E111)*Settings!$B$13,N($D111)))</f>
        <v/>
      </c>
      <c r="H111" s="27" t="str">
        <f aca="false">IF($A111="","",IF($A111&gt;=DATE(YEAR($A111),4,6),YEAR($A111)&amp;"/"&amp;RIGHT(YEAR($A111)+1,2),YEAR($A111)-1&amp;"/"&amp;RIGHT(YEAR($A111),2)))</f>
        <v/>
      </c>
      <c r="I111" s="29" t="str">
        <f aca="false">IF($A111="","",DATE(YEAR($A111),MONTH($A111),1))</f>
        <v/>
      </c>
    </row>
    <row r="112" customFormat="false" ht="15" hidden="false" customHeight="false" outlineLevel="0" collapsed="false">
      <c r="A112" s="22"/>
      <c r="B112" s="23"/>
      <c r="C112" s="23"/>
      <c r="D112" s="25"/>
      <c r="E112" s="32"/>
      <c r="F112" s="23"/>
      <c r="G112" s="28" t="str">
        <f aca="false">IF($A112="","",IF($B112="Mileage",N($E112)*Settings!$B$13,N($D112)))</f>
        <v/>
      </c>
      <c r="H112" s="27" t="str">
        <f aca="false">IF($A112="","",IF($A112&gt;=DATE(YEAR($A112),4,6),YEAR($A112)&amp;"/"&amp;RIGHT(YEAR($A112)+1,2),YEAR($A112)-1&amp;"/"&amp;RIGHT(YEAR($A112),2)))</f>
        <v/>
      </c>
      <c r="I112" s="29" t="str">
        <f aca="false">IF($A112="","",DATE(YEAR($A112),MONTH($A112),1))</f>
        <v/>
      </c>
    </row>
    <row r="113" customFormat="false" ht="15" hidden="false" customHeight="false" outlineLevel="0" collapsed="false">
      <c r="A113" s="22"/>
      <c r="B113" s="23"/>
      <c r="C113" s="23"/>
      <c r="D113" s="25"/>
      <c r="E113" s="32"/>
      <c r="F113" s="23"/>
      <c r="G113" s="28" t="str">
        <f aca="false">IF($A113="","",IF($B113="Mileage",N($E113)*Settings!$B$13,N($D113)))</f>
        <v/>
      </c>
      <c r="H113" s="27" t="str">
        <f aca="false">IF($A113="","",IF($A113&gt;=DATE(YEAR($A113),4,6),YEAR($A113)&amp;"/"&amp;RIGHT(YEAR($A113)+1,2),YEAR($A113)-1&amp;"/"&amp;RIGHT(YEAR($A113),2)))</f>
        <v/>
      </c>
      <c r="I113" s="29" t="str">
        <f aca="false">IF($A113="","",DATE(YEAR($A113),MONTH($A113),1))</f>
        <v/>
      </c>
    </row>
    <row r="114" customFormat="false" ht="15" hidden="false" customHeight="false" outlineLevel="0" collapsed="false">
      <c r="A114" s="22"/>
      <c r="B114" s="23"/>
      <c r="C114" s="23"/>
      <c r="D114" s="25"/>
      <c r="E114" s="32"/>
      <c r="F114" s="23"/>
      <c r="G114" s="28" t="str">
        <f aca="false">IF($A114="","",IF($B114="Mileage",N($E114)*Settings!$B$13,N($D114)))</f>
        <v/>
      </c>
      <c r="H114" s="27" t="str">
        <f aca="false">IF($A114="","",IF($A114&gt;=DATE(YEAR($A114),4,6),YEAR($A114)&amp;"/"&amp;RIGHT(YEAR($A114)+1,2),YEAR($A114)-1&amp;"/"&amp;RIGHT(YEAR($A114),2)))</f>
        <v/>
      </c>
      <c r="I114" s="29" t="str">
        <f aca="false">IF($A114="","",DATE(YEAR($A114),MONTH($A114),1))</f>
        <v/>
      </c>
    </row>
    <row r="115" customFormat="false" ht="15" hidden="false" customHeight="false" outlineLevel="0" collapsed="false">
      <c r="A115" s="22"/>
      <c r="B115" s="23"/>
      <c r="C115" s="23"/>
      <c r="D115" s="25"/>
      <c r="E115" s="32"/>
      <c r="F115" s="23"/>
      <c r="G115" s="28" t="str">
        <f aca="false">IF($A115="","",IF($B115="Mileage",N($E115)*Settings!$B$13,N($D115)))</f>
        <v/>
      </c>
      <c r="H115" s="27" t="str">
        <f aca="false">IF($A115="","",IF($A115&gt;=DATE(YEAR($A115),4,6),YEAR($A115)&amp;"/"&amp;RIGHT(YEAR($A115)+1,2),YEAR($A115)-1&amp;"/"&amp;RIGHT(YEAR($A115),2)))</f>
        <v/>
      </c>
      <c r="I115" s="29" t="str">
        <f aca="false">IF($A115="","",DATE(YEAR($A115),MONTH($A115),1))</f>
        <v/>
      </c>
    </row>
    <row r="116" customFormat="false" ht="15" hidden="false" customHeight="false" outlineLevel="0" collapsed="false">
      <c r="A116" s="22"/>
      <c r="B116" s="23"/>
      <c r="C116" s="23"/>
      <c r="D116" s="25"/>
      <c r="E116" s="32"/>
      <c r="F116" s="23"/>
      <c r="G116" s="28" t="str">
        <f aca="false">IF($A116="","",IF($B116="Mileage",N($E116)*Settings!$B$13,N($D116)))</f>
        <v/>
      </c>
      <c r="H116" s="27" t="str">
        <f aca="false">IF($A116="","",IF($A116&gt;=DATE(YEAR($A116),4,6),YEAR($A116)&amp;"/"&amp;RIGHT(YEAR($A116)+1,2),YEAR($A116)-1&amp;"/"&amp;RIGHT(YEAR($A116),2)))</f>
        <v/>
      </c>
      <c r="I116" s="29" t="str">
        <f aca="false">IF($A116="","",DATE(YEAR($A116),MONTH($A116),1))</f>
        <v/>
      </c>
    </row>
    <row r="117" customFormat="false" ht="15" hidden="false" customHeight="false" outlineLevel="0" collapsed="false">
      <c r="A117" s="22"/>
      <c r="B117" s="23"/>
      <c r="C117" s="23"/>
      <c r="D117" s="25"/>
      <c r="E117" s="32"/>
      <c r="F117" s="23"/>
      <c r="G117" s="28" t="str">
        <f aca="false">IF($A117="","",IF($B117="Mileage",N($E117)*Settings!$B$13,N($D117)))</f>
        <v/>
      </c>
      <c r="H117" s="27" t="str">
        <f aca="false">IF($A117="","",IF($A117&gt;=DATE(YEAR($A117),4,6),YEAR($A117)&amp;"/"&amp;RIGHT(YEAR($A117)+1,2),YEAR($A117)-1&amp;"/"&amp;RIGHT(YEAR($A117),2)))</f>
        <v/>
      </c>
      <c r="I117" s="29" t="str">
        <f aca="false">IF($A117="","",DATE(YEAR($A117),MONTH($A117),1))</f>
        <v/>
      </c>
    </row>
    <row r="118" customFormat="false" ht="15" hidden="false" customHeight="false" outlineLevel="0" collapsed="false">
      <c r="A118" s="22"/>
      <c r="B118" s="23"/>
      <c r="C118" s="23"/>
      <c r="D118" s="25"/>
      <c r="E118" s="32"/>
      <c r="F118" s="23"/>
      <c r="G118" s="28" t="str">
        <f aca="false">IF($A118="","",IF($B118="Mileage",N($E118)*Settings!$B$13,N($D118)))</f>
        <v/>
      </c>
      <c r="H118" s="27" t="str">
        <f aca="false">IF($A118="","",IF($A118&gt;=DATE(YEAR($A118),4,6),YEAR($A118)&amp;"/"&amp;RIGHT(YEAR($A118)+1,2),YEAR($A118)-1&amp;"/"&amp;RIGHT(YEAR($A118),2)))</f>
        <v/>
      </c>
      <c r="I118" s="29" t="str">
        <f aca="false">IF($A118="","",DATE(YEAR($A118),MONTH($A118),1))</f>
        <v/>
      </c>
    </row>
    <row r="119" customFormat="false" ht="15" hidden="false" customHeight="false" outlineLevel="0" collapsed="false">
      <c r="A119" s="22"/>
      <c r="B119" s="23"/>
      <c r="C119" s="23"/>
      <c r="D119" s="25"/>
      <c r="E119" s="32"/>
      <c r="F119" s="23"/>
      <c r="G119" s="28" t="str">
        <f aca="false">IF($A119="","",IF($B119="Mileage",N($E119)*Settings!$B$13,N($D119)))</f>
        <v/>
      </c>
      <c r="H119" s="27" t="str">
        <f aca="false">IF($A119="","",IF($A119&gt;=DATE(YEAR($A119),4,6),YEAR($A119)&amp;"/"&amp;RIGHT(YEAR($A119)+1,2),YEAR($A119)-1&amp;"/"&amp;RIGHT(YEAR($A119),2)))</f>
        <v/>
      </c>
      <c r="I119" s="29" t="str">
        <f aca="false">IF($A119="","",DATE(YEAR($A119),MONTH($A119),1))</f>
        <v/>
      </c>
    </row>
    <row r="120" customFormat="false" ht="15" hidden="false" customHeight="false" outlineLevel="0" collapsed="false">
      <c r="A120" s="22"/>
      <c r="B120" s="23"/>
      <c r="C120" s="23"/>
      <c r="D120" s="25"/>
      <c r="E120" s="32"/>
      <c r="F120" s="23"/>
      <c r="G120" s="28" t="str">
        <f aca="false">IF($A120="","",IF($B120="Mileage",N($E120)*Settings!$B$13,N($D120)))</f>
        <v/>
      </c>
      <c r="H120" s="27" t="str">
        <f aca="false">IF($A120="","",IF($A120&gt;=DATE(YEAR($A120),4,6),YEAR($A120)&amp;"/"&amp;RIGHT(YEAR($A120)+1,2),YEAR($A120)-1&amp;"/"&amp;RIGHT(YEAR($A120),2)))</f>
        <v/>
      </c>
      <c r="I120" s="29" t="str">
        <f aca="false">IF($A120="","",DATE(YEAR($A120),MONTH($A120),1))</f>
        <v/>
      </c>
    </row>
    <row r="121" customFormat="false" ht="15" hidden="false" customHeight="false" outlineLevel="0" collapsed="false">
      <c r="A121" s="22"/>
      <c r="B121" s="23"/>
      <c r="C121" s="23"/>
      <c r="D121" s="25"/>
      <c r="E121" s="32"/>
      <c r="F121" s="23"/>
      <c r="G121" s="28" t="str">
        <f aca="false">IF($A121="","",IF($B121="Mileage",N($E121)*Settings!$B$13,N($D121)))</f>
        <v/>
      </c>
      <c r="H121" s="27" t="str">
        <f aca="false">IF($A121="","",IF($A121&gt;=DATE(YEAR($A121),4,6),YEAR($A121)&amp;"/"&amp;RIGHT(YEAR($A121)+1,2),YEAR($A121)-1&amp;"/"&amp;RIGHT(YEAR($A121),2)))</f>
        <v/>
      </c>
      <c r="I121" s="29" t="str">
        <f aca="false">IF($A121="","",DATE(YEAR($A121),MONTH($A121),1))</f>
        <v/>
      </c>
    </row>
    <row r="122" customFormat="false" ht="15" hidden="false" customHeight="false" outlineLevel="0" collapsed="false">
      <c r="A122" s="22"/>
      <c r="B122" s="23"/>
      <c r="C122" s="23"/>
      <c r="D122" s="25"/>
      <c r="E122" s="32"/>
      <c r="F122" s="23"/>
      <c r="G122" s="28" t="str">
        <f aca="false">IF($A122="","",IF($B122="Mileage",N($E122)*Settings!$B$13,N($D122)))</f>
        <v/>
      </c>
      <c r="H122" s="27" t="str">
        <f aca="false">IF($A122="","",IF($A122&gt;=DATE(YEAR($A122),4,6),YEAR($A122)&amp;"/"&amp;RIGHT(YEAR($A122)+1,2),YEAR($A122)-1&amp;"/"&amp;RIGHT(YEAR($A122),2)))</f>
        <v/>
      </c>
      <c r="I122" s="29" t="str">
        <f aca="false">IF($A122="","",DATE(YEAR($A122),MONTH($A122),1))</f>
        <v/>
      </c>
    </row>
    <row r="123" customFormat="false" ht="15" hidden="false" customHeight="false" outlineLevel="0" collapsed="false">
      <c r="A123" s="22"/>
      <c r="B123" s="23"/>
      <c r="C123" s="23"/>
      <c r="D123" s="25"/>
      <c r="E123" s="32"/>
      <c r="F123" s="23"/>
      <c r="G123" s="28" t="str">
        <f aca="false">IF($A123="","",IF($B123="Mileage",N($E123)*Settings!$B$13,N($D123)))</f>
        <v/>
      </c>
      <c r="H123" s="27" t="str">
        <f aca="false">IF($A123="","",IF($A123&gt;=DATE(YEAR($A123),4,6),YEAR($A123)&amp;"/"&amp;RIGHT(YEAR($A123)+1,2),YEAR($A123)-1&amp;"/"&amp;RIGHT(YEAR($A123),2)))</f>
        <v/>
      </c>
      <c r="I123" s="29" t="str">
        <f aca="false">IF($A123="","",DATE(YEAR($A123),MONTH($A123),1))</f>
        <v/>
      </c>
    </row>
    <row r="124" customFormat="false" ht="15" hidden="false" customHeight="false" outlineLevel="0" collapsed="false">
      <c r="A124" s="22"/>
      <c r="B124" s="23"/>
      <c r="C124" s="23"/>
      <c r="D124" s="25"/>
      <c r="E124" s="32"/>
      <c r="F124" s="23"/>
      <c r="G124" s="28" t="str">
        <f aca="false">IF($A124="","",IF($B124="Mileage",N($E124)*Settings!$B$13,N($D124)))</f>
        <v/>
      </c>
      <c r="H124" s="27" t="str">
        <f aca="false">IF($A124="","",IF($A124&gt;=DATE(YEAR($A124),4,6),YEAR($A124)&amp;"/"&amp;RIGHT(YEAR($A124)+1,2),YEAR($A124)-1&amp;"/"&amp;RIGHT(YEAR($A124),2)))</f>
        <v/>
      </c>
      <c r="I124" s="29" t="str">
        <f aca="false">IF($A124="","",DATE(YEAR($A124),MONTH($A124),1))</f>
        <v/>
      </c>
    </row>
    <row r="125" customFormat="false" ht="15" hidden="false" customHeight="false" outlineLevel="0" collapsed="false">
      <c r="A125" s="22"/>
      <c r="B125" s="23"/>
      <c r="C125" s="23"/>
      <c r="D125" s="25"/>
      <c r="E125" s="32"/>
      <c r="F125" s="23"/>
      <c r="G125" s="28" t="str">
        <f aca="false">IF($A125="","",IF($B125="Mileage",N($E125)*Settings!$B$13,N($D125)))</f>
        <v/>
      </c>
      <c r="H125" s="27" t="str">
        <f aca="false">IF($A125="","",IF($A125&gt;=DATE(YEAR($A125),4,6),YEAR($A125)&amp;"/"&amp;RIGHT(YEAR($A125)+1,2),YEAR($A125)-1&amp;"/"&amp;RIGHT(YEAR($A125),2)))</f>
        <v/>
      </c>
      <c r="I125" s="29" t="str">
        <f aca="false">IF($A125="","",DATE(YEAR($A125),MONTH($A125),1))</f>
        <v/>
      </c>
    </row>
    <row r="126" customFormat="false" ht="15" hidden="false" customHeight="false" outlineLevel="0" collapsed="false">
      <c r="A126" s="22"/>
      <c r="B126" s="23"/>
      <c r="C126" s="23"/>
      <c r="D126" s="25"/>
      <c r="E126" s="32"/>
      <c r="F126" s="23"/>
      <c r="G126" s="28" t="str">
        <f aca="false">IF($A126="","",IF($B126="Mileage",N($E126)*Settings!$B$13,N($D126)))</f>
        <v/>
      </c>
      <c r="H126" s="27" t="str">
        <f aca="false">IF($A126="","",IF($A126&gt;=DATE(YEAR($A126),4,6),YEAR($A126)&amp;"/"&amp;RIGHT(YEAR($A126)+1,2),YEAR($A126)-1&amp;"/"&amp;RIGHT(YEAR($A126),2)))</f>
        <v/>
      </c>
      <c r="I126" s="29" t="str">
        <f aca="false">IF($A126="","",DATE(YEAR($A126),MONTH($A126),1))</f>
        <v/>
      </c>
    </row>
    <row r="127" customFormat="false" ht="15" hidden="false" customHeight="false" outlineLevel="0" collapsed="false">
      <c r="A127" s="22"/>
      <c r="B127" s="23"/>
      <c r="C127" s="23"/>
      <c r="D127" s="25"/>
      <c r="E127" s="32"/>
      <c r="F127" s="23"/>
      <c r="G127" s="28" t="str">
        <f aca="false">IF($A127="","",IF($B127="Mileage",N($E127)*Settings!$B$13,N($D127)))</f>
        <v/>
      </c>
      <c r="H127" s="27" t="str">
        <f aca="false">IF($A127="","",IF($A127&gt;=DATE(YEAR($A127),4,6),YEAR($A127)&amp;"/"&amp;RIGHT(YEAR($A127)+1,2),YEAR($A127)-1&amp;"/"&amp;RIGHT(YEAR($A127),2)))</f>
        <v/>
      </c>
      <c r="I127" s="29" t="str">
        <f aca="false">IF($A127="","",DATE(YEAR($A127),MONTH($A127),1))</f>
        <v/>
      </c>
    </row>
    <row r="128" customFormat="false" ht="15" hidden="false" customHeight="false" outlineLevel="0" collapsed="false">
      <c r="A128" s="22"/>
      <c r="B128" s="23"/>
      <c r="C128" s="23"/>
      <c r="D128" s="25"/>
      <c r="E128" s="32"/>
      <c r="F128" s="23"/>
      <c r="G128" s="28" t="str">
        <f aca="false">IF($A128="","",IF($B128="Mileage",N($E128)*Settings!$B$13,N($D128)))</f>
        <v/>
      </c>
      <c r="H128" s="27" t="str">
        <f aca="false">IF($A128="","",IF($A128&gt;=DATE(YEAR($A128),4,6),YEAR($A128)&amp;"/"&amp;RIGHT(YEAR($A128)+1,2),YEAR($A128)-1&amp;"/"&amp;RIGHT(YEAR($A128),2)))</f>
        <v/>
      </c>
      <c r="I128" s="29" t="str">
        <f aca="false">IF($A128="","",DATE(YEAR($A128),MONTH($A128),1))</f>
        <v/>
      </c>
    </row>
    <row r="129" customFormat="false" ht="15" hidden="false" customHeight="false" outlineLevel="0" collapsed="false">
      <c r="A129" s="22"/>
      <c r="B129" s="23"/>
      <c r="C129" s="23"/>
      <c r="D129" s="25"/>
      <c r="E129" s="32"/>
      <c r="F129" s="23"/>
      <c r="G129" s="28" t="str">
        <f aca="false">IF($A129="","",IF($B129="Mileage",N($E129)*Settings!$B$13,N($D129)))</f>
        <v/>
      </c>
      <c r="H129" s="27" t="str">
        <f aca="false">IF($A129="","",IF($A129&gt;=DATE(YEAR($A129),4,6),YEAR($A129)&amp;"/"&amp;RIGHT(YEAR($A129)+1,2),YEAR($A129)-1&amp;"/"&amp;RIGHT(YEAR($A129),2)))</f>
        <v/>
      </c>
      <c r="I129" s="29" t="str">
        <f aca="false">IF($A129="","",DATE(YEAR($A129),MONTH($A129),1))</f>
        <v/>
      </c>
    </row>
    <row r="130" customFormat="false" ht="15" hidden="false" customHeight="false" outlineLevel="0" collapsed="false">
      <c r="A130" s="22"/>
      <c r="B130" s="23"/>
      <c r="C130" s="23"/>
      <c r="D130" s="25"/>
      <c r="E130" s="32"/>
      <c r="F130" s="23"/>
      <c r="G130" s="28" t="str">
        <f aca="false">IF($A130="","",IF($B130="Mileage",N($E130)*Settings!$B$13,N($D130)))</f>
        <v/>
      </c>
      <c r="H130" s="27" t="str">
        <f aca="false">IF($A130="","",IF($A130&gt;=DATE(YEAR($A130),4,6),YEAR($A130)&amp;"/"&amp;RIGHT(YEAR($A130)+1,2),YEAR($A130)-1&amp;"/"&amp;RIGHT(YEAR($A130),2)))</f>
        <v/>
      </c>
      <c r="I130" s="29" t="str">
        <f aca="false">IF($A130="","",DATE(YEAR($A130),MONTH($A130),1))</f>
        <v/>
      </c>
    </row>
    <row r="131" customFormat="false" ht="15" hidden="false" customHeight="false" outlineLevel="0" collapsed="false">
      <c r="A131" s="22"/>
      <c r="B131" s="23"/>
      <c r="C131" s="23"/>
      <c r="D131" s="25"/>
      <c r="E131" s="32"/>
      <c r="F131" s="23"/>
      <c r="G131" s="28" t="str">
        <f aca="false">IF($A131="","",IF($B131="Mileage",N($E131)*Settings!$B$13,N($D131)))</f>
        <v/>
      </c>
      <c r="H131" s="27" t="str">
        <f aca="false">IF($A131="","",IF($A131&gt;=DATE(YEAR($A131),4,6),YEAR($A131)&amp;"/"&amp;RIGHT(YEAR($A131)+1,2),YEAR($A131)-1&amp;"/"&amp;RIGHT(YEAR($A131),2)))</f>
        <v/>
      </c>
      <c r="I131" s="29" t="str">
        <f aca="false">IF($A131="","",DATE(YEAR($A131),MONTH($A131),1))</f>
        <v/>
      </c>
    </row>
    <row r="132" customFormat="false" ht="15" hidden="false" customHeight="false" outlineLevel="0" collapsed="false">
      <c r="A132" s="22"/>
      <c r="B132" s="23"/>
      <c r="C132" s="23"/>
      <c r="D132" s="25"/>
      <c r="E132" s="32"/>
      <c r="F132" s="23"/>
      <c r="G132" s="28" t="str">
        <f aca="false">IF($A132="","",IF($B132="Mileage",N($E132)*Settings!$B$13,N($D132)))</f>
        <v/>
      </c>
      <c r="H132" s="27" t="str">
        <f aca="false">IF($A132="","",IF($A132&gt;=DATE(YEAR($A132),4,6),YEAR($A132)&amp;"/"&amp;RIGHT(YEAR($A132)+1,2),YEAR($A132)-1&amp;"/"&amp;RIGHT(YEAR($A132),2)))</f>
        <v/>
      </c>
      <c r="I132" s="29" t="str">
        <f aca="false">IF($A132="","",DATE(YEAR($A132),MONTH($A132),1))</f>
        <v/>
      </c>
    </row>
    <row r="133" customFormat="false" ht="15" hidden="false" customHeight="false" outlineLevel="0" collapsed="false">
      <c r="A133" s="22"/>
      <c r="B133" s="23"/>
      <c r="C133" s="23"/>
      <c r="D133" s="25"/>
      <c r="E133" s="32"/>
      <c r="F133" s="23"/>
      <c r="G133" s="28" t="str">
        <f aca="false">IF($A133="","",IF($B133="Mileage",N($E133)*Settings!$B$13,N($D133)))</f>
        <v/>
      </c>
      <c r="H133" s="27" t="str">
        <f aca="false">IF($A133="","",IF($A133&gt;=DATE(YEAR($A133),4,6),YEAR($A133)&amp;"/"&amp;RIGHT(YEAR($A133)+1,2),YEAR($A133)-1&amp;"/"&amp;RIGHT(YEAR($A133),2)))</f>
        <v/>
      </c>
      <c r="I133" s="29" t="str">
        <f aca="false">IF($A133="","",DATE(YEAR($A133),MONTH($A133),1))</f>
        <v/>
      </c>
    </row>
    <row r="134" customFormat="false" ht="15" hidden="false" customHeight="false" outlineLevel="0" collapsed="false">
      <c r="A134" s="22"/>
      <c r="B134" s="23"/>
      <c r="C134" s="23"/>
      <c r="D134" s="25"/>
      <c r="E134" s="32"/>
      <c r="F134" s="23"/>
      <c r="G134" s="28" t="str">
        <f aca="false">IF($A134="","",IF($B134="Mileage",N($E134)*Settings!$B$13,N($D134)))</f>
        <v/>
      </c>
      <c r="H134" s="27" t="str">
        <f aca="false">IF($A134="","",IF($A134&gt;=DATE(YEAR($A134),4,6),YEAR($A134)&amp;"/"&amp;RIGHT(YEAR($A134)+1,2),YEAR($A134)-1&amp;"/"&amp;RIGHT(YEAR($A134),2)))</f>
        <v/>
      </c>
      <c r="I134" s="29" t="str">
        <f aca="false">IF($A134="","",DATE(YEAR($A134),MONTH($A134),1))</f>
        <v/>
      </c>
    </row>
    <row r="135" customFormat="false" ht="15" hidden="false" customHeight="false" outlineLevel="0" collapsed="false">
      <c r="A135" s="22"/>
      <c r="B135" s="23"/>
      <c r="C135" s="23"/>
      <c r="D135" s="25"/>
      <c r="E135" s="32"/>
      <c r="F135" s="23"/>
      <c r="G135" s="28" t="str">
        <f aca="false">IF($A135="","",IF($B135="Mileage",N($E135)*Settings!$B$13,N($D135)))</f>
        <v/>
      </c>
      <c r="H135" s="27" t="str">
        <f aca="false">IF($A135="","",IF($A135&gt;=DATE(YEAR($A135),4,6),YEAR($A135)&amp;"/"&amp;RIGHT(YEAR($A135)+1,2),YEAR($A135)-1&amp;"/"&amp;RIGHT(YEAR($A135),2)))</f>
        <v/>
      </c>
      <c r="I135" s="29" t="str">
        <f aca="false">IF($A135="","",DATE(YEAR($A135),MONTH($A135),1))</f>
        <v/>
      </c>
    </row>
    <row r="136" customFormat="false" ht="15" hidden="false" customHeight="false" outlineLevel="0" collapsed="false">
      <c r="A136" s="22"/>
      <c r="B136" s="23"/>
      <c r="C136" s="23"/>
      <c r="D136" s="25"/>
      <c r="E136" s="32"/>
      <c r="F136" s="23"/>
      <c r="G136" s="28" t="str">
        <f aca="false">IF($A136="","",IF($B136="Mileage",N($E136)*Settings!$B$13,N($D136)))</f>
        <v/>
      </c>
      <c r="H136" s="27" t="str">
        <f aca="false">IF($A136="","",IF($A136&gt;=DATE(YEAR($A136),4,6),YEAR($A136)&amp;"/"&amp;RIGHT(YEAR($A136)+1,2),YEAR($A136)-1&amp;"/"&amp;RIGHT(YEAR($A136),2)))</f>
        <v/>
      </c>
      <c r="I136" s="29" t="str">
        <f aca="false">IF($A136="","",DATE(YEAR($A136),MONTH($A136),1))</f>
        <v/>
      </c>
    </row>
    <row r="137" customFormat="false" ht="15" hidden="false" customHeight="false" outlineLevel="0" collapsed="false">
      <c r="A137" s="22"/>
      <c r="B137" s="23"/>
      <c r="C137" s="23"/>
      <c r="D137" s="25"/>
      <c r="E137" s="32"/>
      <c r="F137" s="23"/>
      <c r="G137" s="28" t="str">
        <f aca="false">IF($A137="","",IF($B137="Mileage",N($E137)*Settings!$B$13,N($D137)))</f>
        <v/>
      </c>
      <c r="H137" s="27" t="str">
        <f aca="false">IF($A137="","",IF($A137&gt;=DATE(YEAR($A137),4,6),YEAR($A137)&amp;"/"&amp;RIGHT(YEAR($A137)+1,2),YEAR($A137)-1&amp;"/"&amp;RIGHT(YEAR($A137),2)))</f>
        <v/>
      </c>
      <c r="I137" s="29" t="str">
        <f aca="false">IF($A137="","",DATE(YEAR($A137),MONTH($A137),1))</f>
        <v/>
      </c>
    </row>
    <row r="138" customFormat="false" ht="15" hidden="false" customHeight="false" outlineLevel="0" collapsed="false">
      <c r="A138" s="22"/>
      <c r="B138" s="23"/>
      <c r="C138" s="23"/>
      <c r="D138" s="25"/>
      <c r="E138" s="32"/>
      <c r="F138" s="23"/>
      <c r="G138" s="28" t="str">
        <f aca="false">IF($A138="","",IF($B138="Mileage",N($E138)*Settings!$B$13,N($D138)))</f>
        <v/>
      </c>
      <c r="H138" s="27" t="str">
        <f aca="false">IF($A138="","",IF($A138&gt;=DATE(YEAR($A138),4,6),YEAR($A138)&amp;"/"&amp;RIGHT(YEAR($A138)+1,2),YEAR($A138)-1&amp;"/"&amp;RIGHT(YEAR($A138),2)))</f>
        <v/>
      </c>
      <c r="I138" s="29" t="str">
        <f aca="false">IF($A138="","",DATE(YEAR($A138),MONTH($A138),1))</f>
        <v/>
      </c>
    </row>
    <row r="139" customFormat="false" ht="15" hidden="false" customHeight="false" outlineLevel="0" collapsed="false">
      <c r="A139" s="22"/>
      <c r="B139" s="23"/>
      <c r="C139" s="23"/>
      <c r="D139" s="25"/>
      <c r="E139" s="32"/>
      <c r="F139" s="23"/>
      <c r="G139" s="28" t="str">
        <f aca="false">IF($A139="","",IF($B139="Mileage",N($E139)*Settings!$B$13,N($D139)))</f>
        <v/>
      </c>
      <c r="H139" s="27" t="str">
        <f aca="false">IF($A139="","",IF($A139&gt;=DATE(YEAR($A139),4,6),YEAR($A139)&amp;"/"&amp;RIGHT(YEAR($A139)+1,2),YEAR($A139)-1&amp;"/"&amp;RIGHT(YEAR($A139),2)))</f>
        <v/>
      </c>
      <c r="I139" s="29" t="str">
        <f aca="false">IF($A139="","",DATE(YEAR($A139),MONTH($A139),1))</f>
        <v/>
      </c>
    </row>
    <row r="140" customFormat="false" ht="15" hidden="false" customHeight="false" outlineLevel="0" collapsed="false">
      <c r="A140" s="22"/>
      <c r="B140" s="23"/>
      <c r="C140" s="23"/>
      <c r="D140" s="25"/>
      <c r="E140" s="32"/>
      <c r="F140" s="23"/>
      <c r="G140" s="28" t="str">
        <f aca="false">IF($A140="","",IF($B140="Mileage",N($E140)*Settings!$B$13,N($D140)))</f>
        <v/>
      </c>
      <c r="H140" s="27" t="str">
        <f aca="false">IF($A140="","",IF($A140&gt;=DATE(YEAR($A140),4,6),YEAR($A140)&amp;"/"&amp;RIGHT(YEAR($A140)+1,2),YEAR($A140)-1&amp;"/"&amp;RIGHT(YEAR($A140),2)))</f>
        <v/>
      </c>
      <c r="I140" s="29" t="str">
        <f aca="false">IF($A140="","",DATE(YEAR($A140),MONTH($A140),1))</f>
        <v/>
      </c>
    </row>
    <row r="141" customFormat="false" ht="15" hidden="false" customHeight="false" outlineLevel="0" collapsed="false">
      <c r="A141" s="22"/>
      <c r="B141" s="23"/>
      <c r="C141" s="23"/>
      <c r="D141" s="25"/>
      <c r="E141" s="32"/>
      <c r="F141" s="23"/>
      <c r="G141" s="28" t="str">
        <f aca="false">IF($A141="","",IF($B141="Mileage",N($E141)*Settings!$B$13,N($D141)))</f>
        <v/>
      </c>
      <c r="H141" s="27" t="str">
        <f aca="false">IF($A141="","",IF($A141&gt;=DATE(YEAR($A141),4,6),YEAR($A141)&amp;"/"&amp;RIGHT(YEAR($A141)+1,2),YEAR($A141)-1&amp;"/"&amp;RIGHT(YEAR($A141),2)))</f>
        <v/>
      </c>
      <c r="I141" s="29" t="str">
        <f aca="false">IF($A141="","",DATE(YEAR($A141),MONTH($A141),1))</f>
        <v/>
      </c>
    </row>
    <row r="142" customFormat="false" ht="15" hidden="false" customHeight="false" outlineLevel="0" collapsed="false">
      <c r="A142" s="22"/>
      <c r="B142" s="23"/>
      <c r="C142" s="23"/>
      <c r="D142" s="25"/>
      <c r="E142" s="32"/>
      <c r="F142" s="23"/>
      <c r="G142" s="28" t="str">
        <f aca="false">IF($A142="","",IF($B142="Mileage",N($E142)*Settings!$B$13,N($D142)))</f>
        <v/>
      </c>
      <c r="H142" s="27" t="str">
        <f aca="false">IF($A142="","",IF($A142&gt;=DATE(YEAR($A142),4,6),YEAR($A142)&amp;"/"&amp;RIGHT(YEAR($A142)+1,2),YEAR($A142)-1&amp;"/"&amp;RIGHT(YEAR($A142),2)))</f>
        <v/>
      </c>
      <c r="I142" s="29" t="str">
        <f aca="false">IF($A142="","",DATE(YEAR($A142),MONTH($A142),1))</f>
        <v/>
      </c>
    </row>
    <row r="143" customFormat="false" ht="15" hidden="false" customHeight="false" outlineLevel="0" collapsed="false">
      <c r="A143" s="22"/>
      <c r="B143" s="23"/>
      <c r="C143" s="23"/>
      <c r="D143" s="25"/>
      <c r="E143" s="32"/>
      <c r="F143" s="23"/>
      <c r="G143" s="28" t="str">
        <f aca="false">IF($A143="","",IF($B143="Mileage",N($E143)*Settings!$B$13,N($D143)))</f>
        <v/>
      </c>
      <c r="H143" s="27" t="str">
        <f aca="false">IF($A143="","",IF($A143&gt;=DATE(YEAR($A143),4,6),YEAR($A143)&amp;"/"&amp;RIGHT(YEAR($A143)+1,2),YEAR($A143)-1&amp;"/"&amp;RIGHT(YEAR($A143),2)))</f>
        <v/>
      </c>
      <c r="I143" s="29" t="str">
        <f aca="false">IF($A143="","",DATE(YEAR($A143),MONTH($A143),1))</f>
        <v/>
      </c>
    </row>
    <row r="144" customFormat="false" ht="15" hidden="false" customHeight="false" outlineLevel="0" collapsed="false">
      <c r="A144" s="22"/>
      <c r="B144" s="23"/>
      <c r="C144" s="23"/>
      <c r="D144" s="25"/>
      <c r="E144" s="32"/>
      <c r="F144" s="23"/>
      <c r="G144" s="28" t="str">
        <f aca="false">IF($A144="","",IF($B144="Mileage",N($E144)*Settings!$B$13,N($D144)))</f>
        <v/>
      </c>
      <c r="H144" s="27" t="str">
        <f aca="false">IF($A144="","",IF($A144&gt;=DATE(YEAR($A144),4,6),YEAR($A144)&amp;"/"&amp;RIGHT(YEAR($A144)+1,2),YEAR($A144)-1&amp;"/"&amp;RIGHT(YEAR($A144),2)))</f>
        <v/>
      </c>
      <c r="I144" s="29" t="str">
        <f aca="false">IF($A144="","",DATE(YEAR($A144),MONTH($A144),1))</f>
        <v/>
      </c>
    </row>
    <row r="145" customFormat="false" ht="15" hidden="false" customHeight="false" outlineLevel="0" collapsed="false">
      <c r="A145" s="22"/>
      <c r="B145" s="23"/>
      <c r="C145" s="23"/>
      <c r="D145" s="25"/>
      <c r="E145" s="32"/>
      <c r="F145" s="23"/>
      <c r="G145" s="28" t="str">
        <f aca="false">IF($A145="","",IF($B145="Mileage",N($E145)*Settings!$B$13,N($D145)))</f>
        <v/>
      </c>
      <c r="H145" s="27" t="str">
        <f aca="false">IF($A145="","",IF($A145&gt;=DATE(YEAR($A145),4,6),YEAR($A145)&amp;"/"&amp;RIGHT(YEAR($A145)+1,2),YEAR($A145)-1&amp;"/"&amp;RIGHT(YEAR($A145),2)))</f>
        <v/>
      </c>
      <c r="I145" s="29" t="str">
        <f aca="false">IF($A145="","",DATE(YEAR($A145),MONTH($A145),1))</f>
        <v/>
      </c>
    </row>
    <row r="146" customFormat="false" ht="15" hidden="false" customHeight="false" outlineLevel="0" collapsed="false">
      <c r="A146" s="22"/>
      <c r="B146" s="23"/>
      <c r="C146" s="23"/>
      <c r="D146" s="25"/>
      <c r="E146" s="32"/>
      <c r="F146" s="23"/>
      <c r="G146" s="28" t="str">
        <f aca="false">IF($A146="","",IF($B146="Mileage",N($E146)*Settings!$B$13,N($D146)))</f>
        <v/>
      </c>
      <c r="H146" s="27" t="str">
        <f aca="false">IF($A146="","",IF($A146&gt;=DATE(YEAR($A146),4,6),YEAR($A146)&amp;"/"&amp;RIGHT(YEAR($A146)+1,2),YEAR($A146)-1&amp;"/"&amp;RIGHT(YEAR($A146),2)))</f>
        <v/>
      </c>
      <c r="I146" s="29" t="str">
        <f aca="false">IF($A146="","",DATE(YEAR($A146),MONTH($A146),1))</f>
        <v/>
      </c>
    </row>
    <row r="147" customFormat="false" ht="15" hidden="false" customHeight="false" outlineLevel="0" collapsed="false">
      <c r="A147" s="22"/>
      <c r="B147" s="23"/>
      <c r="C147" s="23"/>
      <c r="D147" s="25"/>
      <c r="E147" s="32"/>
      <c r="F147" s="23"/>
      <c r="G147" s="28" t="str">
        <f aca="false">IF($A147="","",IF($B147="Mileage",N($E147)*Settings!$B$13,N($D147)))</f>
        <v/>
      </c>
      <c r="H147" s="27" t="str">
        <f aca="false">IF($A147="","",IF($A147&gt;=DATE(YEAR($A147),4,6),YEAR($A147)&amp;"/"&amp;RIGHT(YEAR($A147)+1,2),YEAR($A147)-1&amp;"/"&amp;RIGHT(YEAR($A147),2)))</f>
        <v/>
      </c>
      <c r="I147" s="29" t="str">
        <f aca="false">IF($A147="","",DATE(YEAR($A147),MONTH($A147),1))</f>
        <v/>
      </c>
    </row>
    <row r="148" customFormat="false" ht="15" hidden="false" customHeight="false" outlineLevel="0" collapsed="false">
      <c r="A148" s="22"/>
      <c r="B148" s="23"/>
      <c r="C148" s="23"/>
      <c r="D148" s="25"/>
      <c r="E148" s="32"/>
      <c r="F148" s="23"/>
      <c r="G148" s="28" t="str">
        <f aca="false">IF($A148="","",IF($B148="Mileage",N($E148)*Settings!$B$13,N($D148)))</f>
        <v/>
      </c>
      <c r="H148" s="27" t="str">
        <f aca="false">IF($A148="","",IF($A148&gt;=DATE(YEAR($A148),4,6),YEAR($A148)&amp;"/"&amp;RIGHT(YEAR($A148)+1,2),YEAR($A148)-1&amp;"/"&amp;RIGHT(YEAR($A148),2)))</f>
        <v/>
      </c>
      <c r="I148" s="29" t="str">
        <f aca="false">IF($A148="","",DATE(YEAR($A148),MONTH($A148),1))</f>
        <v/>
      </c>
    </row>
    <row r="149" customFormat="false" ht="15" hidden="false" customHeight="false" outlineLevel="0" collapsed="false">
      <c r="A149" s="22"/>
      <c r="B149" s="23"/>
      <c r="C149" s="23"/>
      <c r="D149" s="25"/>
      <c r="E149" s="32"/>
      <c r="F149" s="23"/>
      <c r="G149" s="28" t="str">
        <f aca="false">IF($A149="","",IF($B149="Mileage",N($E149)*Settings!$B$13,N($D149)))</f>
        <v/>
      </c>
      <c r="H149" s="27" t="str">
        <f aca="false">IF($A149="","",IF($A149&gt;=DATE(YEAR($A149),4,6),YEAR($A149)&amp;"/"&amp;RIGHT(YEAR($A149)+1,2),YEAR($A149)-1&amp;"/"&amp;RIGHT(YEAR($A149),2)))</f>
        <v/>
      </c>
      <c r="I149" s="29" t="str">
        <f aca="false">IF($A149="","",DATE(YEAR($A149),MONTH($A149),1))</f>
        <v/>
      </c>
    </row>
    <row r="150" customFormat="false" ht="15" hidden="false" customHeight="false" outlineLevel="0" collapsed="false">
      <c r="A150" s="22"/>
      <c r="B150" s="23"/>
      <c r="C150" s="23"/>
      <c r="D150" s="25"/>
      <c r="E150" s="32"/>
      <c r="F150" s="23"/>
      <c r="G150" s="28" t="str">
        <f aca="false">IF($A150="","",IF($B150="Mileage",N($E150)*Settings!$B$13,N($D150)))</f>
        <v/>
      </c>
      <c r="H150" s="27" t="str">
        <f aca="false">IF($A150="","",IF($A150&gt;=DATE(YEAR($A150),4,6),YEAR($A150)&amp;"/"&amp;RIGHT(YEAR($A150)+1,2),YEAR($A150)-1&amp;"/"&amp;RIGHT(YEAR($A150),2)))</f>
        <v/>
      </c>
      <c r="I150" s="29" t="str">
        <f aca="false">IF($A150="","",DATE(YEAR($A150),MONTH($A150),1))</f>
        <v/>
      </c>
    </row>
    <row r="151" customFormat="false" ht="15" hidden="false" customHeight="false" outlineLevel="0" collapsed="false">
      <c r="A151" s="22"/>
      <c r="B151" s="23"/>
      <c r="C151" s="23"/>
      <c r="D151" s="25"/>
      <c r="E151" s="32"/>
      <c r="F151" s="23"/>
      <c r="G151" s="28" t="str">
        <f aca="false">IF($A151="","",IF($B151="Mileage",N($E151)*Settings!$B$13,N($D151)))</f>
        <v/>
      </c>
      <c r="H151" s="27" t="str">
        <f aca="false">IF($A151="","",IF($A151&gt;=DATE(YEAR($A151),4,6),YEAR($A151)&amp;"/"&amp;RIGHT(YEAR($A151)+1,2),YEAR($A151)-1&amp;"/"&amp;RIGHT(YEAR($A151),2)))</f>
        <v/>
      </c>
      <c r="I151" s="29" t="str">
        <f aca="false">IF($A151="","",DATE(YEAR($A151),MONTH($A151),1))</f>
        <v/>
      </c>
    </row>
    <row r="152" customFormat="false" ht="15" hidden="false" customHeight="false" outlineLevel="0" collapsed="false">
      <c r="A152" s="22"/>
      <c r="B152" s="23"/>
      <c r="C152" s="23"/>
      <c r="D152" s="25"/>
      <c r="E152" s="32"/>
      <c r="F152" s="23"/>
      <c r="G152" s="28" t="str">
        <f aca="false">IF($A152="","",IF($B152="Mileage",N($E152)*Settings!$B$13,N($D152)))</f>
        <v/>
      </c>
      <c r="H152" s="27" t="str">
        <f aca="false">IF($A152="","",IF($A152&gt;=DATE(YEAR($A152),4,6),YEAR($A152)&amp;"/"&amp;RIGHT(YEAR($A152)+1,2),YEAR($A152)-1&amp;"/"&amp;RIGHT(YEAR($A152),2)))</f>
        <v/>
      </c>
      <c r="I152" s="29" t="str">
        <f aca="false">IF($A152="","",DATE(YEAR($A152),MONTH($A152),1))</f>
        <v/>
      </c>
    </row>
    <row r="153" customFormat="false" ht="15" hidden="false" customHeight="false" outlineLevel="0" collapsed="false">
      <c r="A153" s="22"/>
      <c r="B153" s="23"/>
      <c r="C153" s="23"/>
      <c r="D153" s="25"/>
      <c r="E153" s="32"/>
      <c r="F153" s="23"/>
      <c r="G153" s="28" t="str">
        <f aca="false">IF($A153="","",IF($B153="Mileage",N($E153)*Settings!$B$13,N($D153)))</f>
        <v/>
      </c>
      <c r="H153" s="27" t="str">
        <f aca="false">IF($A153="","",IF($A153&gt;=DATE(YEAR($A153),4,6),YEAR($A153)&amp;"/"&amp;RIGHT(YEAR($A153)+1,2),YEAR($A153)-1&amp;"/"&amp;RIGHT(YEAR($A153),2)))</f>
        <v/>
      </c>
      <c r="I153" s="29" t="str">
        <f aca="false">IF($A153="","",DATE(YEAR($A153),MONTH($A153),1))</f>
        <v/>
      </c>
    </row>
    <row r="154" customFormat="false" ht="15" hidden="false" customHeight="false" outlineLevel="0" collapsed="false">
      <c r="A154" s="22"/>
      <c r="B154" s="23"/>
      <c r="C154" s="23"/>
      <c r="D154" s="25"/>
      <c r="E154" s="32"/>
      <c r="F154" s="23"/>
      <c r="G154" s="28" t="str">
        <f aca="false">IF($A154="","",IF($B154="Mileage",N($E154)*Settings!$B$13,N($D154)))</f>
        <v/>
      </c>
      <c r="H154" s="27" t="str">
        <f aca="false">IF($A154="","",IF($A154&gt;=DATE(YEAR($A154),4,6),YEAR($A154)&amp;"/"&amp;RIGHT(YEAR($A154)+1,2),YEAR($A154)-1&amp;"/"&amp;RIGHT(YEAR($A154),2)))</f>
        <v/>
      </c>
      <c r="I154" s="29" t="str">
        <f aca="false">IF($A154="","",DATE(YEAR($A154),MONTH($A154),1))</f>
        <v/>
      </c>
    </row>
    <row r="155" customFormat="false" ht="15" hidden="false" customHeight="false" outlineLevel="0" collapsed="false">
      <c r="A155" s="22"/>
      <c r="B155" s="23"/>
      <c r="C155" s="23"/>
      <c r="D155" s="25"/>
      <c r="E155" s="32"/>
      <c r="F155" s="23"/>
      <c r="G155" s="28" t="str">
        <f aca="false">IF($A155="","",IF($B155="Mileage",N($E155)*Settings!$B$13,N($D155)))</f>
        <v/>
      </c>
      <c r="H155" s="27" t="str">
        <f aca="false">IF($A155="","",IF($A155&gt;=DATE(YEAR($A155),4,6),YEAR($A155)&amp;"/"&amp;RIGHT(YEAR($A155)+1,2),YEAR($A155)-1&amp;"/"&amp;RIGHT(YEAR($A155),2)))</f>
        <v/>
      </c>
      <c r="I155" s="29" t="str">
        <f aca="false">IF($A155="","",DATE(YEAR($A155),MONTH($A155),1))</f>
        <v/>
      </c>
    </row>
    <row r="156" customFormat="false" ht="15" hidden="false" customHeight="false" outlineLevel="0" collapsed="false">
      <c r="A156" s="22"/>
      <c r="B156" s="23"/>
      <c r="C156" s="23"/>
      <c r="D156" s="25"/>
      <c r="E156" s="32"/>
      <c r="F156" s="23"/>
      <c r="G156" s="28" t="str">
        <f aca="false">IF($A156="","",IF($B156="Mileage",N($E156)*Settings!$B$13,N($D156)))</f>
        <v/>
      </c>
      <c r="H156" s="27" t="str">
        <f aca="false">IF($A156="","",IF($A156&gt;=DATE(YEAR($A156),4,6),YEAR($A156)&amp;"/"&amp;RIGHT(YEAR($A156)+1,2),YEAR($A156)-1&amp;"/"&amp;RIGHT(YEAR($A156),2)))</f>
        <v/>
      </c>
      <c r="I156" s="29" t="str">
        <f aca="false">IF($A156="","",DATE(YEAR($A156),MONTH($A156),1))</f>
        <v/>
      </c>
    </row>
    <row r="157" customFormat="false" ht="15" hidden="false" customHeight="false" outlineLevel="0" collapsed="false">
      <c r="A157" s="22"/>
      <c r="B157" s="23"/>
      <c r="C157" s="23"/>
      <c r="D157" s="25"/>
      <c r="E157" s="32"/>
      <c r="F157" s="23"/>
      <c r="G157" s="28" t="str">
        <f aca="false">IF($A157="","",IF($B157="Mileage",N($E157)*Settings!$B$13,N($D157)))</f>
        <v/>
      </c>
      <c r="H157" s="27" t="str">
        <f aca="false">IF($A157="","",IF($A157&gt;=DATE(YEAR($A157),4,6),YEAR($A157)&amp;"/"&amp;RIGHT(YEAR($A157)+1,2),YEAR($A157)-1&amp;"/"&amp;RIGHT(YEAR($A157),2)))</f>
        <v/>
      </c>
      <c r="I157" s="29" t="str">
        <f aca="false">IF($A157="","",DATE(YEAR($A157),MONTH($A157),1))</f>
        <v/>
      </c>
    </row>
    <row r="158" customFormat="false" ht="15" hidden="false" customHeight="false" outlineLevel="0" collapsed="false">
      <c r="A158" s="22"/>
      <c r="B158" s="23"/>
      <c r="C158" s="23"/>
      <c r="D158" s="25"/>
      <c r="E158" s="32"/>
      <c r="F158" s="23"/>
      <c r="G158" s="28" t="str">
        <f aca="false">IF($A158="","",IF($B158="Mileage",N($E158)*Settings!$B$13,N($D158)))</f>
        <v/>
      </c>
      <c r="H158" s="27" t="str">
        <f aca="false">IF($A158="","",IF($A158&gt;=DATE(YEAR($A158),4,6),YEAR($A158)&amp;"/"&amp;RIGHT(YEAR($A158)+1,2),YEAR($A158)-1&amp;"/"&amp;RIGHT(YEAR($A158),2)))</f>
        <v/>
      </c>
      <c r="I158" s="29" t="str">
        <f aca="false">IF($A158="","",DATE(YEAR($A158),MONTH($A158),1))</f>
        <v/>
      </c>
    </row>
    <row r="159" customFormat="false" ht="15" hidden="false" customHeight="false" outlineLevel="0" collapsed="false">
      <c r="A159" s="22"/>
      <c r="B159" s="23"/>
      <c r="C159" s="23"/>
      <c r="D159" s="25"/>
      <c r="E159" s="32"/>
      <c r="F159" s="23"/>
      <c r="G159" s="28" t="str">
        <f aca="false">IF($A159="","",IF($B159="Mileage",N($E159)*Settings!$B$13,N($D159)))</f>
        <v/>
      </c>
      <c r="H159" s="27" t="str">
        <f aca="false">IF($A159="","",IF($A159&gt;=DATE(YEAR($A159),4,6),YEAR($A159)&amp;"/"&amp;RIGHT(YEAR($A159)+1,2),YEAR($A159)-1&amp;"/"&amp;RIGHT(YEAR($A159),2)))</f>
        <v/>
      </c>
      <c r="I159" s="29" t="str">
        <f aca="false">IF($A159="","",DATE(YEAR($A159),MONTH($A159),1))</f>
        <v/>
      </c>
    </row>
    <row r="160" customFormat="false" ht="15" hidden="false" customHeight="false" outlineLevel="0" collapsed="false">
      <c r="A160" s="22"/>
      <c r="B160" s="23"/>
      <c r="C160" s="23"/>
      <c r="D160" s="25"/>
      <c r="E160" s="32"/>
      <c r="F160" s="23"/>
      <c r="G160" s="28" t="str">
        <f aca="false">IF($A160="","",IF($B160="Mileage",N($E160)*Settings!$B$13,N($D160)))</f>
        <v/>
      </c>
      <c r="H160" s="27" t="str">
        <f aca="false">IF($A160="","",IF($A160&gt;=DATE(YEAR($A160),4,6),YEAR($A160)&amp;"/"&amp;RIGHT(YEAR($A160)+1,2),YEAR($A160)-1&amp;"/"&amp;RIGHT(YEAR($A160),2)))</f>
        <v/>
      </c>
      <c r="I160" s="29" t="str">
        <f aca="false">IF($A160="","",DATE(YEAR($A160),MONTH($A160),1))</f>
        <v/>
      </c>
    </row>
    <row r="161" customFormat="false" ht="15" hidden="false" customHeight="false" outlineLevel="0" collapsed="false">
      <c r="A161" s="22"/>
      <c r="B161" s="23"/>
      <c r="C161" s="23"/>
      <c r="D161" s="25"/>
      <c r="E161" s="32"/>
      <c r="F161" s="23"/>
      <c r="G161" s="28" t="str">
        <f aca="false">IF($A161="","",IF($B161="Mileage",N($E161)*Settings!$B$13,N($D161)))</f>
        <v/>
      </c>
      <c r="H161" s="27" t="str">
        <f aca="false">IF($A161="","",IF($A161&gt;=DATE(YEAR($A161),4,6),YEAR($A161)&amp;"/"&amp;RIGHT(YEAR($A161)+1,2),YEAR($A161)-1&amp;"/"&amp;RIGHT(YEAR($A161),2)))</f>
        <v/>
      </c>
      <c r="I161" s="29" t="str">
        <f aca="false">IF($A161="","",DATE(YEAR($A161),MONTH($A161),1))</f>
        <v/>
      </c>
    </row>
    <row r="162" customFormat="false" ht="15" hidden="false" customHeight="false" outlineLevel="0" collapsed="false">
      <c r="A162" s="22"/>
      <c r="B162" s="23"/>
      <c r="C162" s="23"/>
      <c r="D162" s="25"/>
      <c r="E162" s="32"/>
      <c r="F162" s="23"/>
      <c r="G162" s="28" t="str">
        <f aca="false">IF($A162="","",IF($B162="Mileage",N($E162)*Settings!$B$13,N($D162)))</f>
        <v/>
      </c>
      <c r="H162" s="27" t="str">
        <f aca="false">IF($A162="","",IF($A162&gt;=DATE(YEAR($A162),4,6),YEAR($A162)&amp;"/"&amp;RIGHT(YEAR($A162)+1,2),YEAR($A162)-1&amp;"/"&amp;RIGHT(YEAR($A162),2)))</f>
        <v/>
      </c>
      <c r="I162" s="29" t="str">
        <f aca="false">IF($A162="","",DATE(YEAR($A162),MONTH($A162),1))</f>
        <v/>
      </c>
    </row>
    <row r="163" customFormat="false" ht="15" hidden="false" customHeight="false" outlineLevel="0" collapsed="false">
      <c r="A163" s="22"/>
      <c r="B163" s="23"/>
      <c r="C163" s="23"/>
      <c r="D163" s="25"/>
      <c r="E163" s="32"/>
      <c r="F163" s="23"/>
      <c r="G163" s="28" t="str">
        <f aca="false">IF($A163="","",IF($B163="Mileage",N($E163)*Settings!$B$13,N($D163)))</f>
        <v/>
      </c>
      <c r="H163" s="27" t="str">
        <f aca="false">IF($A163="","",IF($A163&gt;=DATE(YEAR($A163),4,6),YEAR($A163)&amp;"/"&amp;RIGHT(YEAR($A163)+1,2),YEAR($A163)-1&amp;"/"&amp;RIGHT(YEAR($A163),2)))</f>
        <v/>
      </c>
      <c r="I163" s="29" t="str">
        <f aca="false">IF($A163="","",DATE(YEAR($A163),MONTH($A163),1))</f>
        <v/>
      </c>
    </row>
    <row r="164" customFormat="false" ht="15" hidden="false" customHeight="false" outlineLevel="0" collapsed="false">
      <c r="A164" s="22"/>
      <c r="B164" s="23"/>
      <c r="C164" s="23"/>
      <c r="D164" s="25"/>
      <c r="E164" s="32"/>
      <c r="F164" s="23"/>
      <c r="G164" s="28" t="str">
        <f aca="false">IF($A164="","",IF($B164="Mileage",N($E164)*Settings!$B$13,N($D164)))</f>
        <v/>
      </c>
      <c r="H164" s="27" t="str">
        <f aca="false">IF($A164="","",IF($A164&gt;=DATE(YEAR($A164),4,6),YEAR($A164)&amp;"/"&amp;RIGHT(YEAR($A164)+1,2),YEAR($A164)-1&amp;"/"&amp;RIGHT(YEAR($A164),2)))</f>
        <v/>
      </c>
      <c r="I164" s="29" t="str">
        <f aca="false">IF($A164="","",DATE(YEAR($A164),MONTH($A164),1))</f>
        <v/>
      </c>
    </row>
    <row r="165" customFormat="false" ht="15" hidden="false" customHeight="false" outlineLevel="0" collapsed="false">
      <c r="A165" s="22"/>
      <c r="B165" s="23"/>
      <c r="C165" s="23"/>
      <c r="D165" s="25"/>
      <c r="E165" s="32"/>
      <c r="F165" s="23"/>
      <c r="G165" s="28" t="str">
        <f aca="false">IF($A165="","",IF($B165="Mileage",N($E165)*Settings!$B$13,N($D165)))</f>
        <v/>
      </c>
      <c r="H165" s="27" t="str">
        <f aca="false">IF($A165="","",IF($A165&gt;=DATE(YEAR($A165),4,6),YEAR($A165)&amp;"/"&amp;RIGHT(YEAR($A165)+1,2),YEAR($A165)-1&amp;"/"&amp;RIGHT(YEAR($A165),2)))</f>
        <v/>
      </c>
      <c r="I165" s="29" t="str">
        <f aca="false">IF($A165="","",DATE(YEAR($A165),MONTH($A165),1))</f>
        <v/>
      </c>
    </row>
    <row r="166" customFormat="false" ht="15" hidden="false" customHeight="false" outlineLevel="0" collapsed="false">
      <c r="A166" s="22"/>
      <c r="B166" s="23"/>
      <c r="C166" s="23"/>
      <c r="D166" s="25"/>
      <c r="E166" s="32"/>
      <c r="F166" s="23"/>
      <c r="G166" s="28" t="str">
        <f aca="false">IF($A166="","",IF($B166="Mileage",N($E166)*Settings!$B$13,N($D166)))</f>
        <v/>
      </c>
      <c r="H166" s="27" t="str">
        <f aca="false">IF($A166="","",IF($A166&gt;=DATE(YEAR($A166),4,6),YEAR($A166)&amp;"/"&amp;RIGHT(YEAR($A166)+1,2),YEAR($A166)-1&amp;"/"&amp;RIGHT(YEAR($A166),2)))</f>
        <v/>
      </c>
      <c r="I166" s="29" t="str">
        <f aca="false">IF($A166="","",DATE(YEAR($A166),MONTH($A166),1))</f>
        <v/>
      </c>
    </row>
    <row r="167" customFormat="false" ht="15" hidden="false" customHeight="false" outlineLevel="0" collapsed="false">
      <c r="A167" s="22"/>
      <c r="B167" s="23"/>
      <c r="C167" s="23"/>
      <c r="D167" s="25"/>
      <c r="E167" s="32"/>
      <c r="F167" s="23"/>
      <c r="G167" s="28" t="str">
        <f aca="false">IF($A167="","",IF($B167="Mileage",N($E167)*Settings!$B$13,N($D167)))</f>
        <v/>
      </c>
      <c r="H167" s="27" t="str">
        <f aca="false">IF($A167="","",IF($A167&gt;=DATE(YEAR($A167),4,6),YEAR($A167)&amp;"/"&amp;RIGHT(YEAR($A167)+1,2),YEAR($A167)-1&amp;"/"&amp;RIGHT(YEAR($A167),2)))</f>
        <v/>
      </c>
      <c r="I167" s="29" t="str">
        <f aca="false">IF($A167="","",DATE(YEAR($A167),MONTH($A167),1))</f>
        <v/>
      </c>
    </row>
    <row r="168" customFormat="false" ht="15" hidden="false" customHeight="false" outlineLevel="0" collapsed="false">
      <c r="A168" s="22"/>
      <c r="B168" s="23"/>
      <c r="C168" s="23"/>
      <c r="D168" s="25"/>
      <c r="E168" s="32"/>
      <c r="F168" s="23"/>
      <c r="G168" s="28" t="str">
        <f aca="false">IF($A168="","",IF($B168="Mileage",N($E168)*Settings!$B$13,N($D168)))</f>
        <v/>
      </c>
      <c r="H168" s="27" t="str">
        <f aca="false">IF($A168="","",IF($A168&gt;=DATE(YEAR($A168),4,6),YEAR($A168)&amp;"/"&amp;RIGHT(YEAR($A168)+1,2),YEAR($A168)-1&amp;"/"&amp;RIGHT(YEAR($A168),2)))</f>
        <v/>
      </c>
      <c r="I168" s="29" t="str">
        <f aca="false">IF($A168="","",DATE(YEAR($A168),MONTH($A168),1))</f>
        <v/>
      </c>
    </row>
    <row r="169" customFormat="false" ht="15" hidden="false" customHeight="false" outlineLevel="0" collapsed="false">
      <c r="A169" s="22"/>
      <c r="B169" s="23"/>
      <c r="C169" s="23"/>
      <c r="D169" s="25"/>
      <c r="E169" s="32"/>
      <c r="F169" s="23"/>
      <c r="G169" s="28" t="str">
        <f aca="false">IF($A169="","",IF($B169="Mileage",N($E169)*Settings!$B$13,N($D169)))</f>
        <v/>
      </c>
      <c r="H169" s="27" t="str">
        <f aca="false">IF($A169="","",IF($A169&gt;=DATE(YEAR($A169),4,6),YEAR($A169)&amp;"/"&amp;RIGHT(YEAR($A169)+1,2),YEAR($A169)-1&amp;"/"&amp;RIGHT(YEAR($A169),2)))</f>
        <v/>
      </c>
      <c r="I169" s="29" t="str">
        <f aca="false">IF($A169="","",DATE(YEAR($A169),MONTH($A169),1))</f>
        <v/>
      </c>
    </row>
    <row r="170" customFormat="false" ht="15" hidden="false" customHeight="false" outlineLevel="0" collapsed="false">
      <c r="A170" s="22"/>
      <c r="B170" s="23"/>
      <c r="C170" s="23"/>
      <c r="D170" s="25"/>
      <c r="E170" s="32"/>
      <c r="F170" s="23"/>
      <c r="G170" s="28" t="str">
        <f aca="false">IF($A170="","",IF($B170="Mileage",N($E170)*Settings!$B$13,N($D170)))</f>
        <v/>
      </c>
      <c r="H170" s="27" t="str">
        <f aca="false">IF($A170="","",IF($A170&gt;=DATE(YEAR($A170),4,6),YEAR($A170)&amp;"/"&amp;RIGHT(YEAR($A170)+1,2),YEAR($A170)-1&amp;"/"&amp;RIGHT(YEAR($A170),2)))</f>
        <v/>
      </c>
      <c r="I170" s="29" t="str">
        <f aca="false">IF($A170="","",DATE(YEAR($A170),MONTH($A170),1))</f>
        <v/>
      </c>
    </row>
    <row r="171" customFormat="false" ht="15" hidden="false" customHeight="false" outlineLevel="0" collapsed="false">
      <c r="A171" s="22"/>
      <c r="B171" s="23"/>
      <c r="C171" s="23"/>
      <c r="D171" s="25"/>
      <c r="E171" s="32"/>
      <c r="F171" s="23"/>
      <c r="G171" s="28" t="str">
        <f aca="false">IF($A171="","",IF($B171="Mileage",N($E171)*Settings!$B$13,N($D171)))</f>
        <v/>
      </c>
      <c r="H171" s="27" t="str">
        <f aca="false">IF($A171="","",IF($A171&gt;=DATE(YEAR($A171),4,6),YEAR($A171)&amp;"/"&amp;RIGHT(YEAR($A171)+1,2),YEAR($A171)-1&amp;"/"&amp;RIGHT(YEAR($A171),2)))</f>
        <v/>
      </c>
      <c r="I171" s="29" t="str">
        <f aca="false">IF($A171="","",DATE(YEAR($A171),MONTH($A171),1))</f>
        <v/>
      </c>
    </row>
    <row r="172" customFormat="false" ht="15" hidden="false" customHeight="false" outlineLevel="0" collapsed="false">
      <c r="A172" s="22"/>
      <c r="B172" s="23"/>
      <c r="C172" s="23"/>
      <c r="D172" s="25"/>
      <c r="E172" s="32"/>
      <c r="F172" s="23"/>
      <c r="G172" s="28" t="str">
        <f aca="false">IF($A172="","",IF($B172="Mileage",N($E172)*Settings!$B$13,N($D172)))</f>
        <v/>
      </c>
      <c r="H172" s="27" t="str">
        <f aca="false">IF($A172="","",IF($A172&gt;=DATE(YEAR($A172),4,6),YEAR($A172)&amp;"/"&amp;RIGHT(YEAR($A172)+1,2),YEAR($A172)-1&amp;"/"&amp;RIGHT(YEAR($A172),2)))</f>
        <v/>
      </c>
      <c r="I172" s="29" t="str">
        <f aca="false">IF($A172="","",DATE(YEAR($A172),MONTH($A172),1))</f>
        <v/>
      </c>
    </row>
    <row r="173" customFormat="false" ht="15" hidden="false" customHeight="false" outlineLevel="0" collapsed="false">
      <c r="A173" s="22"/>
      <c r="B173" s="23"/>
      <c r="C173" s="23"/>
      <c r="D173" s="25"/>
      <c r="E173" s="32"/>
      <c r="F173" s="23"/>
      <c r="G173" s="28" t="str">
        <f aca="false">IF($A173="","",IF($B173="Mileage",N($E173)*Settings!$B$13,N($D173)))</f>
        <v/>
      </c>
      <c r="H173" s="27" t="str">
        <f aca="false">IF($A173="","",IF($A173&gt;=DATE(YEAR($A173),4,6),YEAR($A173)&amp;"/"&amp;RIGHT(YEAR($A173)+1,2),YEAR($A173)-1&amp;"/"&amp;RIGHT(YEAR($A173),2)))</f>
        <v/>
      </c>
      <c r="I173" s="29" t="str">
        <f aca="false">IF($A173="","",DATE(YEAR($A173),MONTH($A173),1))</f>
        <v/>
      </c>
    </row>
    <row r="174" customFormat="false" ht="15" hidden="false" customHeight="false" outlineLevel="0" collapsed="false">
      <c r="A174" s="22"/>
      <c r="B174" s="23"/>
      <c r="C174" s="23"/>
      <c r="D174" s="25"/>
      <c r="E174" s="32"/>
      <c r="F174" s="23"/>
      <c r="G174" s="28" t="str">
        <f aca="false">IF($A174="","",IF($B174="Mileage",N($E174)*Settings!$B$13,N($D174)))</f>
        <v/>
      </c>
      <c r="H174" s="27" t="str">
        <f aca="false">IF($A174="","",IF($A174&gt;=DATE(YEAR($A174),4,6),YEAR($A174)&amp;"/"&amp;RIGHT(YEAR($A174)+1,2),YEAR($A174)-1&amp;"/"&amp;RIGHT(YEAR($A174),2)))</f>
        <v/>
      </c>
      <c r="I174" s="29" t="str">
        <f aca="false">IF($A174="","",DATE(YEAR($A174),MONTH($A174),1))</f>
        <v/>
      </c>
    </row>
    <row r="175" customFormat="false" ht="15" hidden="false" customHeight="false" outlineLevel="0" collapsed="false">
      <c r="A175" s="22"/>
      <c r="B175" s="23"/>
      <c r="C175" s="23"/>
      <c r="D175" s="25"/>
      <c r="E175" s="32"/>
      <c r="F175" s="23"/>
      <c r="G175" s="28" t="str">
        <f aca="false">IF($A175="","",IF($B175="Mileage",N($E175)*Settings!$B$13,N($D175)))</f>
        <v/>
      </c>
      <c r="H175" s="27" t="str">
        <f aca="false">IF($A175="","",IF($A175&gt;=DATE(YEAR($A175),4,6),YEAR($A175)&amp;"/"&amp;RIGHT(YEAR($A175)+1,2),YEAR($A175)-1&amp;"/"&amp;RIGHT(YEAR($A175),2)))</f>
        <v/>
      </c>
      <c r="I175" s="29" t="str">
        <f aca="false">IF($A175="","",DATE(YEAR($A175),MONTH($A175),1))</f>
        <v/>
      </c>
    </row>
    <row r="176" customFormat="false" ht="15" hidden="false" customHeight="false" outlineLevel="0" collapsed="false">
      <c r="A176" s="22"/>
      <c r="B176" s="23"/>
      <c r="C176" s="23"/>
      <c r="D176" s="25"/>
      <c r="E176" s="32"/>
      <c r="F176" s="23"/>
      <c r="G176" s="28" t="str">
        <f aca="false">IF($A176="","",IF($B176="Mileage",N($E176)*Settings!$B$13,N($D176)))</f>
        <v/>
      </c>
      <c r="H176" s="27" t="str">
        <f aca="false">IF($A176="","",IF($A176&gt;=DATE(YEAR($A176),4,6),YEAR($A176)&amp;"/"&amp;RIGHT(YEAR($A176)+1,2),YEAR($A176)-1&amp;"/"&amp;RIGHT(YEAR($A176),2)))</f>
        <v/>
      </c>
      <c r="I176" s="29" t="str">
        <f aca="false">IF($A176="","",DATE(YEAR($A176),MONTH($A176),1))</f>
        <v/>
      </c>
    </row>
    <row r="177" customFormat="false" ht="15" hidden="false" customHeight="false" outlineLevel="0" collapsed="false">
      <c r="A177" s="22"/>
      <c r="B177" s="23"/>
      <c r="C177" s="23"/>
      <c r="D177" s="25"/>
      <c r="E177" s="32"/>
      <c r="F177" s="23"/>
      <c r="G177" s="28" t="str">
        <f aca="false">IF($A177="","",IF($B177="Mileage",N($E177)*Settings!$B$13,N($D177)))</f>
        <v/>
      </c>
      <c r="H177" s="27" t="str">
        <f aca="false">IF($A177="","",IF($A177&gt;=DATE(YEAR($A177),4,6),YEAR($A177)&amp;"/"&amp;RIGHT(YEAR($A177)+1,2),YEAR($A177)-1&amp;"/"&amp;RIGHT(YEAR($A177),2)))</f>
        <v/>
      </c>
      <c r="I177" s="29" t="str">
        <f aca="false">IF($A177="","",DATE(YEAR($A177),MONTH($A177),1))</f>
        <v/>
      </c>
    </row>
    <row r="178" customFormat="false" ht="15" hidden="false" customHeight="false" outlineLevel="0" collapsed="false">
      <c r="A178" s="22"/>
      <c r="B178" s="23"/>
      <c r="C178" s="23"/>
      <c r="D178" s="25"/>
      <c r="E178" s="32"/>
      <c r="F178" s="23"/>
      <c r="G178" s="28" t="str">
        <f aca="false">IF($A178="","",IF($B178="Mileage",N($E178)*Settings!$B$13,N($D178)))</f>
        <v/>
      </c>
      <c r="H178" s="27" t="str">
        <f aca="false">IF($A178="","",IF($A178&gt;=DATE(YEAR($A178),4,6),YEAR($A178)&amp;"/"&amp;RIGHT(YEAR($A178)+1,2),YEAR($A178)-1&amp;"/"&amp;RIGHT(YEAR($A178),2)))</f>
        <v/>
      </c>
      <c r="I178" s="29" t="str">
        <f aca="false">IF($A178="","",DATE(YEAR($A178),MONTH($A178),1))</f>
        <v/>
      </c>
    </row>
    <row r="179" customFormat="false" ht="15" hidden="false" customHeight="false" outlineLevel="0" collapsed="false">
      <c r="A179" s="22"/>
      <c r="B179" s="23"/>
      <c r="C179" s="23"/>
      <c r="D179" s="25"/>
      <c r="E179" s="32"/>
      <c r="F179" s="23"/>
      <c r="G179" s="28" t="str">
        <f aca="false">IF($A179="","",IF($B179="Mileage",N($E179)*Settings!$B$13,N($D179)))</f>
        <v/>
      </c>
      <c r="H179" s="27" t="str">
        <f aca="false">IF($A179="","",IF($A179&gt;=DATE(YEAR($A179),4,6),YEAR($A179)&amp;"/"&amp;RIGHT(YEAR($A179)+1,2),YEAR($A179)-1&amp;"/"&amp;RIGHT(YEAR($A179),2)))</f>
        <v/>
      </c>
      <c r="I179" s="29" t="str">
        <f aca="false">IF($A179="","",DATE(YEAR($A179),MONTH($A179),1))</f>
        <v/>
      </c>
    </row>
    <row r="180" customFormat="false" ht="15" hidden="false" customHeight="false" outlineLevel="0" collapsed="false">
      <c r="A180" s="22"/>
      <c r="B180" s="23"/>
      <c r="C180" s="23"/>
      <c r="D180" s="25"/>
      <c r="E180" s="32"/>
      <c r="F180" s="23"/>
      <c r="G180" s="28" t="str">
        <f aca="false">IF($A180="","",IF($B180="Mileage",N($E180)*Settings!$B$13,N($D180)))</f>
        <v/>
      </c>
      <c r="H180" s="27" t="str">
        <f aca="false">IF($A180="","",IF($A180&gt;=DATE(YEAR($A180),4,6),YEAR($A180)&amp;"/"&amp;RIGHT(YEAR($A180)+1,2),YEAR($A180)-1&amp;"/"&amp;RIGHT(YEAR($A180),2)))</f>
        <v/>
      </c>
      <c r="I180" s="29" t="str">
        <f aca="false">IF($A180="","",DATE(YEAR($A180),MONTH($A180),1))</f>
        <v/>
      </c>
    </row>
    <row r="181" customFormat="false" ht="15" hidden="false" customHeight="false" outlineLevel="0" collapsed="false">
      <c r="A181" s="22"/>
      <c r="B181" s="23"/>
      <c r="C181" s="23"/>
      <c r="D181" s="25"/>
      <c r="E181" s="32"/>
      <c r="F181" s="23"/>
      <c r="G181" s="28" t="str">
        <f aca="false">IF($A181="","",IF($B181="Mileage",N($E181)*Settings!$B$13,N($D181)))</f>
        <v/>
      </c>
      <c r="H181" s="27" t="str">
        <f aca="false">IF($A181="","",IF($A181&gt;=DATE(YEAR($A181),4,6),YEAR($A181)&amp;"/"&amp;RIGHT(YEAR($A181)+1,2),YEAR($A181)-1&amp;"/"&amp;RIGHT(YEAR($A181),2)))</f>
        <v/>
      </c>
      <c r="I181" s="29" t="str">
        <f aca="false">IF($A181="","",DATE(YEAR($A181),MONTH($A181),1))</f>
        <v/>
      </c>
    </row>
    <row r="182" customFormat="false" ht="15" hidden="false" customHeight="false" outlineLevel="0" collapsed="false">
      <c r="A182" s="22"/>
      <c r="B182" s="23"/>
      <c r="C182" s="23"/>
      <c r="D182" s="25"/>
      <c r="E182" s="32"/>
      <c r="F182" s="23"/>
      <c r="G182" s="28" t="str">
        <f aca="false">IF($A182="","",IF($B182="Mileage",N($E182)*Settings!$B$13,N($D182)))</f>
        <v/>
      </c>
      <c r="H182" s="27" t="str">
        <f aca="false">IF($A182="","",IF($A182&gt;=DATE(YEAR($A182),4,6),YEAR($A182)&amp;"/"&amp;RIGHT(YEAR($A182)+1,2),YEAR($A182)-1&amp;"/"&amp;RIGHT(YEAR($A182),2)))</f>
        <v/>
      </c>
      <c r="I182" s="29" t="str">
        <f aca="false">IF($A182="","",DATE(YEAR($A182),MONTH($A182),1))</f>
        <v/>
      </c>
    </row>
    <row r="183" customFormat="false" ht="15" hidden="false" customHeight="false" outlineLevel="0" collapsed="false">
      <c r="A183" s="22"/>
      <c r="B183" s="23"/>
      <c r="C183" s="23"/>
      <c r="D183" s="25"/>
      <c r="E183" s="32"/>
      <c r="F183" s="23"/>
      <c r="G183" s="28" t="str">
        <f aca="false">IF($A183="","",IF($B183="Mileage",N($E183)*Settings!$B$13,N($D183)))</f>
        <v/>
      </c>
      <c r="H183" s="27" t="str">
        <f aca="false">IF($A183="","",IF($A183&gt;=DATE(YEAR($A183),4,6),YEAR($A183)&amp;"/"&amp;RIGHT(YEAR($A183)+1,2),YEAR($A183)-1&amp;"/"&amp;RIGHT(YEAR($A183),2)))</f>
        <v/>
      </c>
      <c r="I183" s="29" t="str">
        <f aca="false">IF($A183="","",DATE(YEAR($A183),MONTH($A183),1))</f>
        <v/>
      </c>
    </row>
    <row r="184" customFormat="false" ht="15" hidden="false" customHeight="false" outlineLevel="0" collapsed="false">
      <c r="A184" s="22"/>
      <c r="B184" s="23"/>
      <c r="C184" s="23"/>
      <c r="D184" s="25"/>
      <c r="E184" s="32"/>
      <c r="F184" s="23"/>
      <c r="G184" s="28" t="str">
        <f aca="false">IF($A184="","",IF($B184="Mileage",N($E184)*Settings!$B$13,N($D184)))</f>
        <v/>
      </c>
      <c r="H184" s="27" t="str">
        <f aca="false">IF($A184="","",IF($A184&gt;=DATE(YEAR($A184),4,6),YEAR($A184)&amp;"/"&amp;RIGHT(YEAR($A184)+1,2),YEAR($A184)-1&amp;"/"&amp;RIGHT(YEAR($A184),2)))</f>
        <v/>
      </c>
      <c r="I184" s="29" t="str">
        <f aca="false">IF($A184="","",DATE(YEAR($A184),MONTH($A184),1))</f>
        <v/>
      </c>
    </row>
    <row r="185" customFormat="false" ht="15" hidden="false" customHeight="false" outlineLevel="0" collapsed="false">
      <c r="A185" s="22"/>
      <c r="B185" s="23"/>
      <c r="C185" s="23"/>
      <c r="D185" s="25"/>
      <c r="E185" s="32"/>
      <c r="F185" s="23"/>
      <c r="G185" s="28" t="str">
        <f aca="false">IF($A185="","",IF($B185="Mileage",N($E185)*Settings!$B$13,N($D185)))</f>
        <v/>
      </c>
      <c r="H185" s="27" t="str">
        <f aca="false">IF($A185="","",IF($A185&gt;=DATE(YEAR($A185),4,6),YEAR($A185)&amp;"/"&amp;RIGHT(YEAR($A185)+1,2),YEAR($A185)-1&amp;"/"&amp;RIGHT(YEAR($A185),2)))</f>
        <v/>
      </c>
      <c r="I185" s="29" t="str">
        <f aca="false">IF($A185="","",DATE(YEAR($A185),MONTH($A185),1))</f>
        <v/>
      </c>
    </row>
    <row r="186" customFormat="false" ht="15" hidden="false" customHeight="false" outlineLevel="0" collapsed="false">
      <c r="A186" s="22"/>
      <c r="B186" s="23"/>
      <c r="C186" s="23"/>
      <c r="D186" s="25"/>
      <c r="E186" s="32"/>
      <c r="F186" s="23"/>
      <c r="G186" s="28" t="str">
        <f aca="false">IF($A186="","",IF($B186="Mileage",N($E186)*Settings!$B$13,N($D186)))</f>
        <v/>
      </c>
      <c r="H186" s="27" t="str">
        <f aca="false">IF($A186="","",IF($A186&gt;=DATE(YEAR($A186),4,6),YEAR($A186)&amp;"/"&amp;RIGHT(YEAR($A186)+1,2),YEAR($A186)-1&amp;"/"&amp;RIGHT(YEAR($A186),2)))</f>
        <v/>
      </c>
      <c r="I186" s="29" t="str">
        <f aca="false">IF($A186="","",DATE(YEAR($A186),MONTH($A186),1))</f>
        <v/>
      </c>
    </row>
    <row r="187" customFormat="false" ht="15" hidden="false" customHeight="false" outlineLevel="0" collapsed="false">
      <c r="A187" s="22"/>
      <c r="B187" s="23"/>
      <c r="C187" s="23"/>
      <c r="D187" s="25"/>
      <c r="E187" s="32"/>
      <c r="F187" s="23"/>
      <c r="G187" s="28" t="str">
        <f aca="false">IF($A187="","",IF($B187="Mileage",N($E187)*Settings!$B$13,N($D187)))</f>
        <v/>
      </c>
      <c r="H187" s="27" t="str">
        <f aca="false">IF($A187="","",IF($A187&gt;=DATE(YEAR($A187),4,6),YEAR($A187)&amp;"/"&amp;RIGHT(YEAR($A187)+1,2),YEAR($A187)-1&amp;"/"&amp;RIGHT(YEAR($A187),2)))</f>
        <v/>
      </c>
      <c r="I187" s="29" t="str">
        <f aca="false">IF($A187="","",DATE(YEAR($A187),MONTH($A187),1))</f>
        <v/>
      </c>
    </row>
    <row r="188" customFormat="false" ht="15" hidden="false" customHeight="false" outlineLevel="0" collapsed="false">
      <c r="A188" s="22"/>
      <c r="B188" s="23"/>
      <c r="C188" s="23"/>
      <c r="D188" s="25"/>
      <c r="E188" s="32"/>
      <c r="F188" s="23"/>
      <c r="G188" s="28" t="str">
        <f aca="false">IF($A188="","",IF($B188="Mileage",N($E188)*Settings!$B$13,N($D188)))</f>
        <v/>
      </c>
      <c r="H188" s="27" t="str">
        <f aca="false">IF($A188="","",IF($A188&gt;=DATE(YEAR($A188),4,6),YEAR($A188)&amp;"/"&amp;RIGHT(YEAR($A188)+1,2),YEAR($A188)-1&amp;"/"&amp;RIGHT(YEAR($A188),2)))</f>
        <v/>
      </c>
      <c r="I188" s="29" t="str">
        <f aca="false">IF($A188="","",DATE(YEAR($A188),MONTH($A188),1))</f>
        <v/>
      </c>
    </row>
    <row r="189" customFormat="false" ht="15" hidden="false" customHeight="false" outlineLevel="0" collapsed="false">
      <c r="A189" s="22"/>
      <c r="B189" s="23"/>
      <c r="C189" s="23"/>
      <c r="D189" s="25"/>
      <c r="E189" s="32"/>
      <c r="F189" s="23"/>
      <c r="G189" s="28" t="str">
        <f aca="false">IF($A189="","",IF($B189="Mileage",N($E189)*Settings!$B$13,N($D189)))</f>
        <v/>
      </c>
      <c r="H189" s="27" t="str">
        <f aca="false">IF($A189="","",IF($A189&gt;=DATE(YEAR($A189),4,6),YEAR($A189)&amp;"/"&amp;RIGHT(YEAR($A189)+1,2),YEAR($A189)-1&amp;"/"&amp;RIGHT(YEAR($A189),2)))</f>
        <v/>
      </c>
      <c r="I189" s="29" t="str">
        <f aca="false">IF($A189="","",DATE(YEAR($A189),MONTH($A189),1))</f>
        <v/>
      </c>
    </row>
    <row r="190" customFormat="false" ht="15" hidden="false" customHeight="false" outlineLevel="0" collapsed="false">
      <c r="A190" s="22"/>
      <c r="B190" s="23"/>
      <c r="C190" s="23"/>
      <c r="D190" s="25"/>
      <c r="E190" s="32"/>
      <c r="F190" s="23"/>
      <c r="G190" s="28" t="str">
        <f aca="false">IF($A190="","",IF($B190="Mileage",N($E190)*Settings!$B$13,N($D190)))</f>
        <v/>
      </c>
      <c r="H190" s="27" t="str">
        <f aca="false">IF($A190="","",IF($A190&gt;=DATE(YEAR($A190),4,6),YEAR($A190)&amp;"/"&amp;RIGHT(YEAR($A190)+1,2),YEAR($A190)-1&amp;"/"&amp;RIGHT(YEAR($A190),2)))</f>
        <v/>
      </c>
      <c r="I190" s="29" t="str">
        <f aca="false">IF($A190="","",DATE(YEAR($A190),MONTH($A190),1))</f>
        <v/>
      </c>
    </row>
    <row r="191" customFormat="false" ht="15" hidden="false" customHeight="false" outlineLevel="0" collapsed="false">
      <c r="A191" s="22"/>
      <c r="B191" s="23"/>
      <c r="C191" s="23"/>
      <c r="D191" s="25"/>
      <c r="E191" s="32"/>
      <c r="F191" s="23"/>
      <c r="G191" s="28" t="str">
        <f aca="false">IF($A191="","",IF($B191="Mileage",N($E191)*Settings!$B$13,N($D191)))</f>
        <v/>
      </c>
      <c r="H191" s="27" t="str">
        <f aca="false">IF($A191="","",IF($A191&gt;=DATE(YEAR($A191),4,6),YEAR($A191)&amp;"/"&amp;RIGHT(YEAR($A191)+1,2),YEAR($A191)-1&amp;"/"&amp;RIGHT(YEAR($A191),2)))</f>
        <v/>
      </c>
      <c r="I191" s="29" t="str">
        <f aca="false">IF($A191="","",DATE(YEAR($A191),MONTH($A191),1))</f>
        <v/>
      </c>
    </row>
    <row r="192" customFormat="false" ht="15" hidden="false" customHeight="false" outlineLevel="0" collapsed="false">
      <c r="A192" s="22"/>
      <c r="B192" s="23"/>
      <c r="C192" s="23"/>
      <c r="D192" s="25"/>
      <c r="E192" s="32"/>
      <c r="F192" s="23"/>
      <c r="G192" s="28" t="str">
        <f aca="false">IF($A192="","",IF($B192="Mileage",N($E192)*Settings!$B$13,N($D192)))</f>
        <v/>
      </c>
      <c r="H192" s="27" t="str">
        <f aca="false">IF($A192="","",IF($A192&gt;=DATE(YEAR($A192),4,6),YEAR($A192)&amp;"/"&amp;RIGHT(YEAR($A192)+1,2),YEAR($A192)-1&amp;"/"&amp;RIGHT(YEAR($A192),2)))</f>
        <v/>
      </c>
      <c r="I192" s="29" t="str">
        <f aca="false">IF($A192="","",DATE(YEAR($A192),MONTH($A192),1))</f>
        <v/>
      </c>
    </row>
    <row r="193" customFormat="false" ht="15" hidden="false" customHeight="false" outlineLevel="0" collapsed="false">
      <c r="A193" s="22"/>
      <c r="B193" s="23"/>
      <c r="C193" s="23"/>
      <c r="D193" s="25"/>
      <c r="E193" s="32"/>
      <c r="F193" s="23"/>
      <c r="G193" s="28" t="str">
        <f aca="false">IF($A193="","",IF($B193="Mileage",N($E193)*Settings!$B$13,N($D193)))</f>
        <v/>
      </c>
      <c r="H193" s="27" t="str">
        <f aca="false">IF($A193="","",IF($A193&gt;=DATE(YEAR($A193),4,6),YEAR($A193)&amp;"/"&amp;RIGHT(YEAR($A193)+1,2),YEAR($A193)-1&amp;"/"&amp;RIGHT(YEAR($A193),2)))</f>
        <v/>
      </c>
      <c r="I193" s="29" t="str">
        <f aca="false">IF($A193="","",DATE(YEAR($A193),MONTH($A193),1))</f>
        <v/>
      </c>
    </row>
    <row r="194" customFormat="false" ht="15" hidden="false" customHeight="false" outlineLevel="0" collapsed="false">
      <c r="A194" s="22"/>
      <c r="B194" s="23"/>
      <c r="C194" s="23"/>
      <c r="D194" s="25"/>
      <c r="E194" s="32"/>
      <c r="F194" s="23"/>
      <c r="G194" s="28" t="str">
        <f aca="false">IF($A194="","",IF($B194="Mileage",N($E194)*Settings!$B$13,N($D194)))</f>
        <v/>
      </c>
      <c r="H194" s="27" t="str">
        <f aca="false">IF($A194="","",IF($A194&gt;=DATE(YEAR($A194),4,6),YEAR($A194)&amp;"/"&amp;RIGHT(YEAR($A194)+1,2),YEAR($A194)-1&amp;"/"&amp;RIGHT(YEAR($A194),2)))</f>
        <v/>
      </c>
      <c r="I194" s="29" t="str">
        <f aca="false">IF($A194="","",DATE(YEAR($A194),MONTH($A194),1))</f>
        <v/>
      </c>
    </row>
    <row r="195" customFormat="false" ht="15" hidden="false" customHeight="false" outlineLevel="0" collapsed="false">
      <c r="A195" s="22"/>
      <c r="B195" s="23"/>
      <c r="C195" s="23"/>
      <c r="D195" s="25"/>
      <c r="E195" s="32"/>
      <c r="F195" s="23"/>
      <c r="G195" s="28" t="str">
        <f aca="false">IF($A195="","",IF($B195="Mileage",N($E195)*Settings!$B$13,N($D195)))</f>
        <v/>
      </c>
      <c r="H195" s="27" t="str">
        <f aca="false">IF($A195="","",IF($A195&gt;=DATE(YEAR($A195),4,6),YEAR($A195)&amp;"/"&amp;RIGHT(YEAR($A195)+1,2),YEAR($A195)-1&amp;"/"&amp;RIGHT(YEAR($A195),2)))</f>
        <v/>
      </c>
      <c r="I195" s="29" t="str">
        <f aca="false">IF($A195="","",DATE(YEAR($A195),MONTH($A195),1))</f>
        <v/>
      </c>
    </row>
    <row r="196" customFormat="false" ht="15" hidden="false" customHeight="false" outlineLevel="0" collapsed="false">
      <c r="A196" s="22"/>
      <c r="B196" s="23"/>
      <c r="C196" s="23"/>
      <c r="D196" s="25"/>
      <c r="E196" s="32"/>
      <c r="F196" s="23"/>
      <c r="G196" s="28" t="str">
        <f aca="false">IF($A196="","",IF($B196="Mileage",N($E196)*Settings!$B$13,N($D196)))</f>
        <v/>
      </c>
      <c r="H196" s="27" t="str">
        <f aca="false">IF($A196="","",IF($A196&gt;=DATE(YEAR($A196),4,6),YEAR($A196)&amp;"/"&amp;RIGHT(YEAR($A196)+1,2),YEAR($A196)-1&amp;"/"&amp;RIGHT(YEAR($A196),2)))</f>
        <v/>
      </c>
      <c r="I196" s="29" t="str">
        <f aca="false">IF($A196="","",DATE(YEAR($A196),MONTH($A196),1))</f>
        <v/>
      </c>
    </row>
    <row r="197" customFormat="false" ht="15" hidden="false" customHeight="false" outlineLevel="0" collapsed="false">
      <c r="A197" s="22"/>
      <c r="B197" s="23"/>
      <c r="C197" s="23"/>
      <c r="D197" s="25"/>
      <c r="E197" s="32"/>
      <c r="F197" s="23"/>
      <c r="G197" s="28" t="str">
        <f aca="false">IF($A197="","",IF($B197="Mileage",N($E197)*Settings!$B$13,N($D197)))</f>
        <v/>
      </c>
      <c r="H197" s="27" t="str">
        <f aca="false">IF($A197="","",IF($A197&gt;=DATE(YEAR($A197),4,6),YEAR($A197)&amp;"/"&amp;RIGHT(YEAR($A197)+1,2),YEAR($A197)-1&amp;"/"&amp;RIGHT(YEAR($A197),2)))</f>
        <v/>
      </c>
      <c r="I197" s="29" t="str">
        <f aca="false">IF($A197="","",DATE(YEAR($A197),MONTH($A197),1))</f>
        <v/>
      </c>
    </row>
    <row r="198" customFormat="false" ht="15" hidden="false" customHeight="false" outlineLevel="0" collapsed="false">
      <c r="A198" s="22"/>
      <c r="B198" s="23"/>
      <c r="C198" s="23"/>
      <c r="D198" s="25"/>
      <c r="E198" s="32"/>
      <c r="F198" s="23"/>
      <c r="G198" s="28" t="str">
        <f aca="false">IF($A198="","",IF($B198="Mileage",N($E198)*Settings!$B$13,N($D198)))</f>
        <v/>
      </c>
      <c r="H198" s="27" t="str">
        <f aca="false">IF($A198="","",IF($A198&gt;=DATE(YEAR($A198),4,6),YEAR($A198)&amp;"/"&amp;RIGHT(YEAR($A198)+1,2),YEAR($A198)-1&amp;"/"&amp;RIGHT(YEAR($A198),2)))</f>
        <v/>
      </c>
      <c r="I198" s="29" t="str">
        <f aca="false">IF($A198="","",DATE(YEAR($A198),MONTH($A198),1))</f>
        <v/>
      </c>
    </row>
    <row r="199" customFormat="false" ht="15" hidden="false" customHeight="false" outlineLevel="0" collapsed="false">
      <c r="A199" s="22"/>
      <c r="B199" s="23"/>
      <c r="C199" s="23"/>
      <c r="D199" s="25"/>
      <c r="E199" s="32"/>
      <c r="F199" s="23"/>
      <c r="G199" s="28" t="str">
        <f aca="false">IF($A199="","",IF($B199="Mileage",N($E199)*Settings!$B$13,N($D199)))</f>
        <v/>
      </c>
      <c r="H199" s="27" t="str">
        <f aca="false">IF($A199="","",IF($A199&gt;=DATE(YEAR($A199),4,6),YEAR($A199)&amp;"/"&amp;RIGHT(YEAR($A199)+1,2),YEAR($A199)-1&amp;"/"&amp;RIGHT(YEAR($A199),2)))</f>
        <v/>
      </c>
      <c r="I199" s="29" t="str">
        <f aca="false">IF($A199="","",DATE(YEAR($A199),MONTH($A199),1))</f>
        <v/>
      </c>
    </row>
    <row r="200" customFormat="false" ht="15" hidden="false" customHeight="false" outlineLevel="0" collapsed="false">
      <c r="A200" s="22"/>
      <c r="B200" s="23"/>
      <c r="C200" s="23"/>
      <c r="D200" s="25"/>
      <c r="E200" s="32"/>
      <c r="F200" s="23"/>
      <c r="G200" s="28" t="str">
        <f aca="false">IF($A200="","",IF($B200="Mileage",N($E200)*Settings!$B$13,N($D200)))</f>
        <v/>
      </c>
      <c r="H200" s="27" t="str">
        <f aca="false">IF($A200="","",IF($A200&gt;=DATE(YEAR($A200),4,6),YEAR($A200)&amp;"/"&amp;RIGHT(YEAR($A200)+1,2),YEAR($A200)-1&amp;"/"&amp;RIGHT(YEAR($A200),2)))</f>
        <v/>
      </c>
      <c r="I200" s="29" t="str">
        <f aca="false">IF($A200="","",DATE(YEAR($A200),MONTH($A200),1))</f>
        <v/>
      </c>
    </row>
    <row r="201" customFormat="false" ht="15" hidden="false" customHeight="false" outlineLevel="0" collapsed="false">
      <c r="A201" s="22"/>
      <c r="B201" s="23"/>
      <c r="C201" s="23"/>
      <c r="D201" s="25"/>
      <c r="E201" s="32"/>
      <c r="F201" s="23"/>
      <c r="G201" s="28" t="str">
        <f aca="false">IF($A201="","",IF($B201="Mileage",N($E201)*Settings!$B$13,N($D201)))</f>
        <v/>
      </c>
      <c r="H201" s="27" t="str">
        <f aca="false">IF($A201="","",IF($A201&gt;=DATE(YEAR($A201),4,6),YEAR($A201)&amp;"/"&amp;RIGHT(YEAR($A201)+1,2),YEAR($A201)-1&amp;"/"&amp;RIGHT(YEAR($A201),2)))</f>
        <v/>
      </c>
      <c r="I201" s="29" t="str">
        <f aca="false">IF($A201="","",DATE(YEAR($A201),MONTH($A201),1))</f>
        <v/>
      </c>
    </row>
    <row r="202" customFormat="false" ht="15" hidden="false" customHeight="false" outlineLevel="0" collapsed="false">
      <c r="A202" s="22"/>
      <c r="B202" s="23"/>
      <c r="C202" s="23"/>
      <c r="D202" s="25"/>
      <c r="E202" s="32"/>
      <c r="F202" s="23"/>
      <c r="G202" s="28" t="str">
        <f aca="false">IF($A202="","",IF($B202="Mileage",N($E202)*Settings!$B$13,N($D202)))</f>
        <v/>
      </c>
      <c r="H202" s="27" t="str">
        <f aca="false">IF($A202="","",IF($A202&gt;=DATE(YEAR($A202),4,6),YEAR($A202)&amp;"/"&amp;RIGHT(YEAR($A202)+1,2),YEAR($A202)-1&amp;"/"&amp;RIGHT(YEAR($A202),2)))</f>
        <v/>
      </c>
      <c r="I202" s="29" t="str">
        <f aca="false">IF($A202="","",DATE(YEAR($A202),MONTH($A202),1))</f>
        <v/>
      </c>
    </row>
    <row r="203" customFormat="false" ht="15" hidden="false" customHeight="false" outlineLevel="0" collapsed="false">
      <c r="A203" s="22"/>
      <c r="B203" s="23"/>
      <c r="C203" s="23"/>
      <c r="D203" s="25"/>
      <c r="E203" s="32"/>
      <c r="F203" s="23"/>
      <c r="G203" s="28" t="str">
        <f aca="false">IF($A203="","",IF($B203="Mileage",N($E203)*Settings!$B$13,N($D203)))</f>
        <v/>
      </c>
      <c r="H203" s="27" t="str">
        <f aca="false">IF($A203="","",IF($A203&gt;=DATE(YEAR($A203),4,6),YEAR($A203)&amp;"/"&amp;RIGHT(YEAR($A203)+1,2),YEAR($A203)-1&amp;"/"&amp;RIGHT(YEAR($A203),2)))</f>
        <v/>
      </c>
      <c r="I203" s="29" t="str">
        <f aca="false">IF($A203="","",DATE(YEAR($A203),MONTH($A203),1))</f>
        <v/>
      </c>
    </row>
    <row r="204" customFormat="false" ht="15" hidden="false" customHeight="false" outlineLevel="0" collapsed="false">
      <c r="A204" s="22"/>
      <c r="B204" s="23"/>
      <c r="C204" s="23"/>
      <c r="D204" s="25"/>
      <c r="E204" s="32"/>
      <c r="F204" s="23"/>
      <c r="G204" s="28" t="str">
        <f aca="false">IF($A204="","",IF($B204="Mileage",N($E204)*Settings!$B$13,N($D204)))</f>
        <v/>
      </c>
      <c r="H204" s="27" t="str">
        <f aca="false">IF($A204="","",IF($A204&gt;=DATE(YEAR($A204),4,6),YEAR($A204)&amp;"/"&amp;RIGHT(YEAR($A204)+1,2),YEAR($A204)-1&amp;"/"&amp;RIGHT(YEAR($A204),2)))</f>
        <v/>
      </c>
      <c r="I204" s="29" t="str">
        <f aca="false">IF($A204="","",DATE(YEAR($A204),MONTH($A204),1))</f>
        <v/>
      </c>
    </row>
    <row r="205" customFormat="false" ht="15" hidden="false" customHeight="false" outlineLevel="0" collapsed="false">
      <c r="A205" s="22"/>
      <c r="B205" s="23"/>
      <c r="C205" s="23"/>
      <c r="D205" s="25"/>
      <c r="E205" s="32"/>
      <c r="F205" s="23"/>
      <c r="G205" s="28" t="str">
        <f aca="false">IF($A205="","",IF($B205="Mileage",N($E205)*Settings!$B$13,N($D205)))</f>
        <v/>
      </c>
      <c r="H205" s="27" t="str">
        <f aca="false">IF($A205="","",IF($A205&gt;=DATE(YEAR($A205),4,6),YEAR($A205)&amp;"/"&amp;RIGHT(YEAR($A205)+1,2),YEAR($A205)-1&amp;"/"&amp;RIGHT(YEAR($A205),2)))</f>
        <v/>
      </c>
      <c r="I205" s="29" t="str">
        <f aca="false">IF($A205="","",DATE(YEAR($A205),MONTH($A205),1))</f>
        <v/>
      </c>
    </row>
    <row r="206" customFormat="false" ht="15" hidden="false" customHeight="false" outlineLevel="0" collapsed="false">
      <c r="A206" s="22"/>
      <c r="B206" s="23"/>
      <c r="C206" s="23"/>
      <c r="D206" s="25"/>
      <c r="E206" s="32"/>
      <c r="F206" s="23"/>
      <c r="G206" s="28" t="str">
        <f aca="false">IF($A206="","",IF($B206="Mileage",N($E206)*Settings!$B$13,N($D206)))</f>
        <v/>
      </c>
      <c r="H206" s="27" t="str">
        <f aca="false">IF($A206="","",IF($A206&gt;=DATE(YEAR($A206),4,6),YEAR($A206)&amp;"/"&amp;RIGHT(YEAR($A206)+1,2),YEAR($A206)-1&amp;"/"&amp;RIGHT(YEAR($A206),2)))</f>
        <v/>
      </c>
      <c r="I206" s="29" t="str">
        <f aca="false">IF($A206="","",DATE(YEAR($A206),MONTH($A206),1))</f>
        <v/>
      </c>
    </row>
    <row r="207" customFormat="false" ht="15" hidden="false" customHeight="false" outlineLevel="0" collapsed="false">
      <c r="A207" s="22"/>
      <c r="B207" s="23"/>
      <c r="C207" s="23"/>
      <c r="D207" s="25"/>
      <c r="E207" s="32"/>
      <c r="F207" s="23"/>
      <c r="G207" s="28" t="str">
        <f aca="false">IF($A207="","",IF($B207="Mileage",N($E207)*Settings!$B$13,N($D207)))</f>
        <v/>
      </c>
      <c r="H207" s="27" t="str">
        <f aca="false">IF($A207="","",IF($A207&gt;=DATE(YEAR($A207),4,6),YEAR($A207)&amp;"/"&amp;RIGHT(YEAR($A207)+1,2),YEAR($A207)-1&amp;"/"&amp;RIGHT(YEAR($A207),2)))</f>
        <v/>
      </c>
      <c r="I207" s="29" t="str">
        <f aca="false">IF($A207="","",DATE(YEAR($A207),MONTH($A207),1))</f>
        <v/>
      </c>
    </row>
    <row r="208" customFormat="false" ht="15" hidden="false" customHeight="false" outlineLevel="0" collapsed="false">
      <c r="A208" s="22"/>
      <c r="B208" s="23"/>
      <c r="C208" s="23"/>
      <c r="D208" s="25"/>
      <c r="E208" s="32"/>
      <c r="F208" s="23"/>
      <c r="G208" s="28" t="str">
        <f aca="false">IF($A208="","",IF($B208="Mileage",N($E208)*Settings!$B$13,N($D208)))</f>
        <v/>
      </c>
      <c r="H208" s="27" t="str">
        <f aca="false">IF($A208="","",IF($A208&gt;=DATE(YEAR($A208),4,6),YEAR($A208)&amp;"/"&amp;RIGHT(YEAR($A208)+1,2),YEAR($A208)-1&amp;"/"&amp;RIGHT(YEAR($A208),2)))</f>
        <v/>
      </c>
      <c r="I208" s="29" t="str">
        <f aca="false">IF($A208="","",DATE(YEAR($A208),MONTH($A208),1))</f>
        <v/>
      </c>
    </row>
    <row r="209" customFormat="false" ht="15" hidden="false" customHeight="false" outlineLevel="0" collapsed="false">
      <c r="A209" s="22"/>
      <c r="B209" s="23"/>
      <c r="C209" s="23"/>
      <c r="D209" s="25"/>
      <c r="E209" s="32"/>
      <c r="F209" s="23"/>
      <c r="G209" s="28" t="str">
        <f aca="false">IF($A209="","",IF($B209="Mileage",N($E209)*Settings!$B$13,N($D209)))</f>
        <v/>
      </c>
      <c r="H209" s="27" t="str">
        <f aca="false">IF($A209="","",IF($A209&gt;=DATE(YEAR($A209),4,6),YEAR($A209)&amp;"/"&amp;RIGHT(YEAR($A209)+1,2),YEAR($A209)-1&amp;"/"&amp;RIGHT(YEAR($A209),2)))</f>
        <v/>
      </c>
      <c r="I209" s="29" t="str">
        <f aca="false">IF($A209="","",DATE(YEAR($A209),MONTH($A209),1))</f>
        <v/>
      </c>
    </row>
    <row r="210" customFormat="false" ht="15" hidden="false" customHeight="false" outlineLevel="0" collapsed="false">
      <c r="A210" s="22"/>
      <c r="B210" s="23"/>
      <c r="C210" s="23"/>
      <c r="D210" s="25"/>
      <c r="E210" s="32"/>
      <c r="F210" s="23"/>
      <c r="G210" s="28" t="str">
        <f aca="false">IF($A210="","",IF($B210="Mileage",N($E210)*Settings!$B$13,N($D210)))</f>
        <v/>
      </c>
      <c r="H210" s="27" t="str">
        <f aca="false">IF($A210="","",IF($A210&gt;=DATE(YEAR($A210),4,6),YEAR($A210)&amp;"/"&amp;RIGHT(YEAR($A210)+1,2),YEAR($A210)-1&amp;"/"&amp;RIGHT(YEAR($A210),2)))</f>
        <v/>
      </c>
      <c r="I210" s="29" t="str">
        <f aca="false">IF($A210="","",DATE(YEAR($A210),MONTH($A210),1))</f>
        <v/>
      </c>
    </row>
    <row r="211" customFormat="false" ht="15" hidden="false" customHeight="false" outlineLevel="0" collapsed="false">
      <c r="A211" s="22"/>
      <c r="B211" s="23"/>
      <c r="C211" s="23"/>
      <c r="D211" s="25"/>
      <c r="E211" s="32"/>
      <c r="F211" s="23"/>
      <c r="G211" s="28" t="str">
        <f aca="false">IF($A211="","",IF($B211="Mileage",N($E211)*Settings!$B$13,N($D211)))</f>
        <v/>
      </c>
      <c r="H211" s="27" t="str">
        <f aca="false">IF($A211="","",IF($A211&gt;=DATE(YEAR($A211),4,6),YEAR($A211)&amp;"/"&amp;RIGHT(YEAR($A211)+1,2),YEAR($A211)-1&amp;"/"&amp;RIGHT(YEAR($A211),2)))</f>
        <v/>
      </c>
      <c r="I211" s="29" t="str">
        <f aca="false">IF($A211="","",DATE(YEAR($A211),MONTH($A211),1))</f>
        <v/>
      </c>
    </row>
    <row r="212" customFormat="false" ht="15" hidden="false" customHeight="false" outlineLevel="0" collapsed="false">
      <c r="A212" s="22"/>
      <c r="B212" s="23"/>
      <c r="C212" s="23"/>
      <c r="D212" s="25"/>
      <c r="E212" s="32"/>
      <c r="F212" s="23"/>
      <c r="G212" s="28" t="str">
        <f aca="false">IF($A212="","",IF($B212="Mileage",N($E212)*Settings!$B$13,N($D212)))</f>
        <v/>
      </c>
      <c r="H212" s="27" t="str">
        <f aca="false">IF($A212="","",IF($A212&gt;=DATE(YEAR($A212),4,6),YEAR($A212)&amp;"/"&amp;RIGHT(YEAR($A212)+1,2),YEAR($A212)-1&amp;"/"&amp;RIGHT(YEAR($A212),2)))</f>
        <v/>
      </c>
      <c r="I212" s="29" t="str">
        <f aca="false">IF($A212="","",DATE(YEAR($A212),MONTH($A212),1))</f>
        <v/>
      </c>
    </row>
    <row r="213" customFormat="false" ht="15" hidden="false" customHeight="false" outlineLevel="0" collapsed="false">
      <c r="A213" s="22"/>
      <c r="B213" s="23"/>
      <c r="C213" s="23"/>
      <c r="D213" s="25"/>
      <c r="E213" s="32"/>
      <c r="F213" s="23"/>
      <c r="G213" s="28" t="str">
        <f aca="false">IF($A213="","",IF($B213="Mileage",N($E213)*Settings!$B$13,N($D213)))</f>
        <v/>
      </c>
      <c r="H213" s="27" t="str">
        <f aca="false">IF($A213="","",IF($A213&gt;=DATE(YEAR($A213),4,6),YEAR($A213)&amp;"/"&amp;RIGHT(YEAR($A213)+1,2),YEAR($A213)-1&amp;"/"&amp;RIGHT(YEAR($A213),2)))</f>
        <v/>
      </c>
      <c r="I213" s="29" t="str">
        <f aca="false">IF($A213="","",DATE(YEAR($A213),MONTH($A213),1))</f>
        <v/>
      </c>
    </row>
    <row r="214" customFormat="false" ht="15" hidden="false" customHeight="false" outlineLevel="0" collapsed="false">
      <c r="A214" s="22"/>
      <c r="B214" s="23"/>
      <c r="C214" s="23"/>
      <c r="D214" s="25"/>
      <c r="E214" s="32"/>
      <c r="F214" s="23"/>
      <c r="G214" s="28" t="str">
        <f aca="false">IF($A214="","",IF($B214="Mileage",N($E214)*Settings!$B$13,N($D214)))</f>
        <v/>
      </c>
      <c r="H214" s="27" t="str">
        <f aca="false">IF($A214="","",IF($A214&gt;=DATE(YEAR($A214),4,6),YEAR($A214)&amp;"/"&amp;RIGHT(YEAR($A214)+1,2),YEAR($A214)-1&amp;"/"&amp;RIGHT(YEAR($A214),2)))</f>
        <v/>
      </c>
      <c r="I214" s="29" t="str">
        <f aca="false">IF($A214="","",DATE(YEAR($A214),MONTH($A214),1))</f>
        <v/>
      </c>
    </row>
    <row r="215" customFormat="false" ht="15" hidden="false" customHeight="false" outlineLevel="0" collapsed="false">
      <c r="A215" s="22"/>
      <c r="B215" s="23"/>
      <c r="C215" s="23"/>
      <c r="D215" s="25"/>
      <c r="E215" s="32"/>
      <c r="F215" s="23"/>
      <c r="G215" s="28" t="str">
        <f aca="false">IF($A215="","",IF($B215="Mileage",N($E215)*Settings!$B$13,N($D215)))</f>
        <v/>
      </c>
      <c r="H215" s="27" t="str">
        <f aca="false">IF($A215="","",IF($A215&gt;=DATE(YEAR($A215),4,6),YEAR($A215)&amp;"/"&amp;RIGHT(YEAR($A215)+1,2),YEAR($A215)-1&amp;"/"&amp;RIGHT(YEAR($A215),2)))</f>
        <v/>
      </c>
      <c r="I215" s="29" t="str">
        <f aca="false">IF($A215="","",DATE(YEAR($A215),MONTH($A215),1))</f>
        <v/>
      </c>
    </row>
    <row r="216" customFormat="false" ht="15" hidden="false" customHeight="false" outlineLevel="0" collapsed="false">
      <c r="A216" s="22"/>
      <c r="B216" s="23"/>
      <c r="C216" s="23"/>
      <c r="D216" s="25"/>
      <c r="E216" s="32"/>
      <c r="F216" s="23"/>
      <c r="G216" s="28" t="str">
        <f aca="false">IF($A216="","",IF($B216="Mileage",N($E216)*Settings!$B$13,N($D216)))</f>
        <v/>
      </c>
      <c r="H216" s="27" t="str">
        <f aca="false">IF($A216="","",IF($A216&gt;=DATE(YEAR($A216),4,6),YEAR($A216)&amp;"/"&amp;RIGHT(YEAR($A216)+1,2),YEAR($A216)-1&amp;"/"&amp;RIGHT(YEAR($A216),2)))</f>
        <v/>
      </c>
      <c r="I216" s="29" t="str">
        <f aca="false">IF($A216="","",DATE(YEAR($A216),MONTH($A216),1))</f>
        <v/>
      </c>
    </row>
    <row r="217" customFormat="false" ht="15" hidden="false" customHeight="false" outlineLevel="0" collapsed="false">
      <c r="A217" s="22"/>
      <c r="B217" s="23"/>
      <c r="C217" s="23"/>
      <c r="D217" s="25"/>
      <c r="E217" s="32"/>
      <c r="F217" s="23"/>
      <c r="G217" s="28" t="str">
        <f aca="false">IF($A217="","",IF($B217="Mileage",N($E217)*Settings!$B$13,N($D217)))</f>
        <v/>
      </c>
      <c r="H217" s="27" t="str">
        <f aca="false">IF($A217="","",IF($A217&gt;=DATE(YEAR($A217),4,6),YEAR($A217)&amp;"/"&amp;RIGHT(YEAR($A217)+1,2),YEAR($A217)-1&amp;"/"&amp;RIGHT(YEAR($A217),2)))</f>
        <v/>
      </c>
      <c r="I217" s="29" t="str">
        <f aca="false">IF($A217="","",DATE(YEAR($A217),MONTH($A217),1))</f>
        <v/>
      </c>
    </row>
    <row r="218" customFormat="false" ht="15" hidden="false" customHeight="false" outlineLevel="0" collapsed="false">
      <c r="A218" s="22"/>
      <c r="B218" s="23"/>
      <c r="C218" s="23"/>
      <c r="D218" s="25"/>
      <c r="E218" s="32"/>
      <c r="F218" s="23"/>
      <c r="G218" s="28" t="str">
        <f aca="false">IF($A218="","",IF($B218="Mileage",N($E218)*Settings!$B$13,N($D218)))</f>
        <v/>
      </c>
      <c r="H218" s="27" t="str">
        <f aca="false">IF($A218="","",IF($A218&gt;=DATE(YEAR($A218),4,6),YEAR($A218)&amp;"/"&amp;RIGHT(YEAR($A218)+1,2),YEAR($A218)-1&amp;"/"&amp;RIGHT(YEAR($A218),2)))</f>
        <v/>
      </c>
      <c r="I218" s="29" t="str">
        <f aca="false">IF($A218="","",DATE(YEAR($A218),MONTH($A218),1))</f>
        <v/>
      </c>
    </row>
    <row r="219" customFormat="false" ht="15" hidden="false" customHeight="false" outlineLevel="0" collapsed="false">
      <c r="A219" s="22"/>
      <c r="B219" s="23"/>
      <c r="C219" s="23"/>
      <c r="D219" s="25"/>
      <c r="E219" s="32"/>
      <c r="F219" s="23"/>
      <c r="G219" s="28" t="str">
        <f aca="false">IF($A219="","",IF($B219="Mileage",N($E219)*Settings!$B$13,N($D219)))</f>
        <v/>
      </c>
      <c r="H219" s="27" t="str">
        <f aca="false">IF($A219="","",IF($A219&gt;=DATE(YEAR($A219),4,6),YEAR($A219)&amp;"/"&amp;RIGHT(YEAR($A219)+1,2),YEAR($A219)-1&amp;"/"&amp;RIGHT(YEAR($A219),2)))</f>
        <v/>
      </c>
      <c r="I219" s="29" t="str">
        <f aca="false">IF($A219="","",DATE(YEAR($A219),MONTH($A219),1))</f>
        <v/>
      </c>
    </row>
    <row r="220" customFormat="false" ht="15" hidden="false" customHeight="false" outlineLevel="0" collapsed="false">
      <c r="A220" s="22"/>
      <c r="B220" s="23"/>
      <c r="C220" s="23"/>
      <c r="D220" s="25"/>
      <c r="E220" s="32"/>
      <c r="F220" s="23"/>
      <c r="G220" s="28" t="str">
        <f aca="false">IF($A220="","",IF($B220="Mileage",N($E220)*Settings!$B$13,N($D220)))</f>
        <v/>
      </c>
      <c r="H220" s="27" t="str">
        <f aca="false">IF($A220="","",IF($A220&gt;=DATE(YEAR($A220),4,6),YEAR($A220)&amp;"/"&amp;RIGHT(YEAR($A220)+1,2),YEAR($A220)-1&amp;"/"&amp;RIGHT(YEAR($A220),2)))</f>
        <v/>
      </c>
      <c r="I220" s="29" t="str">
        <f aca="false">IF($A220="","",DATE(YEAR($A220),MONTH($A220),1))</f>
        <v/>
      </c>
    </row>
    <row r="221" customFormat="false" ht="15" hidden="false" customHeight="false" outlineLevel="0" collapsed="false">
      <c r="A221" s="22"/>
      <c r="B221" s="23"/>
      <c r="C221" s="23"/>
      <c r="D221" s="25"/>
      <c r="E221" s="32"/>
      <c r="F221" s="23"/>
      <c r="G221" s="28" t="str">
        <f aca="false">IF($A221="","",IF($B221="Mileage",N($E221)*Settings!$B$13,N($D221)))</f>
        <v/>
      </c>
      <c r="H221" s="27" t="str">
        <f aca="false">IF($A221="","",IF($A221&gt;=DATE(YEAR($A221),4,6),YEAR($A221)&amp;"/"&amp;RIGHT(YEAR($A221)+1,2),YEAR($A221)-1&amp;"/"&amp;RIGHT(YEAR($A221),2)))</f>
        <v/>
      </c>
      <c r="I221" s="29" t="str">
        <f aca="false">IF($A221="","",DATE(YEAR($A221),MONTH($A221),1))</f>
        <v/>
      </c>
    </row>
    <row r="222" customFormat="false" ht="15" hidden="false" customHeight="false" outlineLevel="0" collapsed="false">
      <c r="A222" s="22"/>
      <c r="B222" s="23"/>
      <c r="C222" s="23"/>
      <c r="D222" s="25"/>
      <c r="E222" s="32"/>
      <c r="F222" s="23"/>
      <c r="G222" s="28" t="str">
        <f aca="false">IF($A222="","",IF($B222="Mileage",N($E222)*Settings!$B$13,N($D222)))</f>
        <v/>
      </c>
      <c r="H222" s="27" t="str">
        <f aca="false">IF($A222="","",IF($A222&gt;=DATE(YEAR($A222),4,6),YEAR($A222)&amp;"/"&amp;RIGHT(YEAR($A222)+1,2),YEAR($A222)-1&amp;"/"&amp;RIGHT(YEAR($A222),2)))</f>
        <v/>
      </c>
      <c r="I222" s="29" t="str">
        <f aca="false">IF($A222="","",DATE(YEAR($A222),MONTH($A222),1))</f>
        <v/>
      </c>
    </row>
    <row r="223" customFormat="false" ht="15" hidden="false" customHeight="false" outlineLevel="0" collapsed="false">
      <c r="A223" s="22"/>
      <c r="B223" s="23"/>
      <c r="C223" s="23"/>
      <c r="D223" s="25"/>
      <c r="E223" s="32"/>
      <c r="F223" s="23"/>
      <c r="G223" s="28" t="str">
        <f aca="false">IF($A223="","",IF($B223="Mileage",N($E223)*Settings!$B$13,N($D223)))</f>
        <v/>
      </c>
      <c r="H223" s="27" t="str">
        <f aca="false">IF($A223="","",IF($A223&gt;=DATE(YEAR($A223),4,6),YEAR($A223)&amp;"/"&amp;RIGHT(YEAR($A223)+1,2),YEAR($A223)-1&amp;"/"&amp;RIGHT(YEAR($A223),2)))</f>
        <v/>
      </c>
      <c r="I223" s="29" t="str">
        <f aca="false">IF($A223="","",DATE(YEAR($A223),MONTH($A223),1))</f>
        <v/>
      </c>
    </row>
    <row r="224" customFormat="false" ht="15" hidden="false" customHeight="false" outlineLevel="0" collapsed="false">
      <c r="A224" s="22"/>
      <c r="B224" s="23"/>
      <c r="C224" s="23"/>
      <c r="D224" s="25"/>
      <c r="E224" s="32"/>
      <c r="F224" s="23"/>
      <c r="G224" s="28" t="str">
        <f aca="false">IF($A224="","",IF($B224="Mileage",N($E224)*Settings!$B$13,N($D224)))</f>
        <v/>
      </c>
      <c r="H224" s="27" t="str">
        <f aca="false">IF($A224="","",IF($A224&gt;=DATE(YEAR($A224),4,6),YEAR($A224)&amp;"/"&amp;RIGHT(YEAR($A224)+1,2),YEAR($A224)-1&amp;"/"&amp;RIGHT(YEAR($A224),2)))</f>
        <v/>
      </c>
      <c r="I224" s="29" t="str">
        <f aca="false">IF($A224="","",DATE(YEAR($A224),MONTH($A224),1))</f>
        <v/>
      </c>
    </row>
    <row r="225" customFormat="false" ht="15" hidden="false" customHeight="false" outlineLevel="0" collapsed="false">
      <c r="A225" s="22"/>
      <c r="B225" s="23"/>
      <c r="C225" s="23"/>
      <c r="D225" s="25"/>
      <c r="E225" s="32"/>
      <c r="F225" s="23"/>
      <c r="G225" s="28" t="str">
        <f aca="false">IF($A225="","",IF($B225="Mileage",N($E225)*Settings!$B$13,N($D225)))</f>
        <v/>
      </c>
      <c r="H225" s="27" t="str">
        <f aca="false">IF($A225="","",IF($A225&gt;=DATE(YEAR($A225),4,6),YEAR($A225)&amp;"/"&amp;RIGHT(YEAR($A225)+1,2),YEAR($A225)-1&amp;"/"&amp;RIGHT(YEAR($A225),2)))</f>
        <v/>
      </c>
      <c r="I225" s="29" t="str">
        <f aca="false">IF($A225="","",DATE(YEAR($A225),MONTH($A225),1))</f>
        <v/>
      </c>
    </row>
    <row r="226" customFormat="false" ht="15" hidden="false" customHeight="false" outlineLevel="0" collapsed="false">
      <c r="A226" s="22"/>
      <c r="B226" s="23"/>
      <c r="C226" s="23"/>
      <c r="D226" s="25"/>
      <c r="E226" s="32"/>
      <c r="F226" s="23"/>
      <c r="G226" s="28" t="str">
        <f aca="false">IF($A226="","",IF($B226="Mileage",N($E226)*Settings!$B$13,N($D226)))</f>
        <v/>
      </c>
      <c r="H226" s="27" t="str">
        <f aca="false">IF($A226="","",IF($A226&gt;=DATE(YEAR($A226),4,6),YEAR($A226)&amp;"/"&amp;RIGHT(YEAR($A226)+1,2),YEAR($A226)-1&amp;"/"&amp;RIGHT(YEAR($A226),2)))</f>
        <v/>
      </c>
      <c r="I226" s="29" t="str">
        <f aca="false">IF($A226="","",DATE(YEAR($A226),MONTH($A226),1))</f>
        <v/>
      </c>
    </row>
    <row r="227" customFormat="false" ht="15" hidden="false" customHeight="false" outlineLevel="0" collapsed="false">
      <c r="A227" s="22"/>
      <c r="B227" s="23"/>
      <c r="C227" s="23"/>
      <c r="D227" s="25"/>
      <c r="E227" s="32"/>
      <c r="F227" s="23"/>
      <c r="G227" s="28" t="str">
        <f aca="false">IF($A227="","",IF($B227="Mileage",N($E227)*Settings!$B$13,N($D227)))</f>
        <v/>
      </c>
      <c r="H227" s="27" t="str">
        <f aca="false">IF($A227="","",IF($A227&gt;=DATE(YEAR($A227),4,6),YEAR($A227)&amp;"/"&amp;RIGHT(YEAR($A227)+1,2),YEAR($A227)-1&amp;"/"&amp;RIGHT(YEAR($A227),2)))</f>
        <v/>
      </c>
      <c r="I227" s="29" t="str">
        <f aca="false">IF($A227="","",DATE(YEAR($A227),MONTH($A227),1))</f>
        <v/>
      </c>
    </row>
    <row r="228" customFormat="false" ht="15" hidden="false" customHeight="false" outlineLevel="0" collapsed="false">
      <c r="A228" s="22"/>
      <c r="B228" s="23"/>
      <c r="C228" s="23"/>
      <c r="D228" s="25"/>
      <c r="E228" s="32"/>
      <c r="F228" s="23"/>
      <c r="G228" s="28" t="str">
        <f aca="false">IF($A228="","",IF($B228="Mileage",N($E228)*Settings!$B$13,N($D228)))</f>
        <v/>
      </c>
      <c r="H228" s="27" t="str">
        <f aca="false">IF($A228="","",IF($A228&gt;=DATE(YEAR($A228),4,6),YEAR($A228)&amp;"/"&amp;RIGHT(YEAR($A228)+1,2),YEAR($A228)-1&amp;"/"&amp;RIGHT(YEAR($A228),2)))</f>
        <v/>
      </c>
      <c r="I228" s="29" t="str">
        <f aca="false">IF($A228="","",DATE(YEAR($A228),MONTH($A228),1))</f>
        <v/>
      </c>
    </row>
    <row r="229" customFormat="false" ht="15" hidden="false" customHeight="false" outlineLevel="0" collapsed="false">
      <c r="A229" s="22"/>
      <c r="B229" s="23"/>
      <c r="C229" s="23"/>
      <c r="D229" s="25"/>
      <c r="E229" s="32"/>
      <c r="F229" s="23"/>
      <c r="G229" s="28" t="str">
        <f aca="false">IF($A229="","",IF($B229="Mileage",N($E229)*Settings!$B$13,N($D229)))</f>
        <v/>
      </c>
      <c r="H229" s="27" t="str">
        <f aca="false">IF($A229="","",IF($A229&gt;=DATE(YEAR($A229),4,6),YEAR($A229)&amp;"/"&amp;RIGHT(YEAR($A229)+1,2),YEAR($A229)-1&amp;"/"&amp;RIGHT(YEAR($A229),2)))</f>
        <v/>
      </c>
      <c r="I229" s="29" t="str">
        <f aca="false">IF($A229="","",DATE(YEAR($A229),MONTH($A229),1))</f>
        <v/>
      </c>
    </row>
    <row r="230" customFormat="false" ht="15" hidden="false" customHeight="false" outlineLevel="0" collapsed="false">
      <c r="A230" s="22"/>
      <c r="B230" s="23"/>
      <c r="C230" s="23"/>
      <c r="D230" s="25"/>
      <c r="E230" s="32"/>
      <c r="F230" s="23"/>
      <c r="G230" s="28" t="str">
        <f aca="false">IF($A230="","",IF($B230="Mileage",N($E230)*Settings!$B$13,N($D230)))</f>
        <v/>
      </c>
      <c r="H230" s="27" t="str">
        <f aca="false">IF($A230="","",IF($A230&gt;=DATE(YEAR($A230),4,6),YEAR($A230)&amp;"/"&amp;RIGHT(YEAR($A230)+1,2),YEAR($A230)-1&amp;"/"&amp;RIGHT(YEAR($A230),2)))</f>
        <v/>
      </c>
      <c r="I230" s="29" t="str">
        <f aca="false">IF($A230="","",DATE(YEAR($A230),MONTH($A230),1))</f>
        <v/>
      </c>
    </row>
    <row r="231" customFormat="false" ht="15" hidden="false" customHeight="false" outlineLevel="0" collapsed="false">
      <c r="A231" s="22"/>
      <c r="B231" s="23"/>
      <c r="C231" s="23"/>
      <c r="D231" s="25"/>
      <c r="E231" s="32"/>
      <c r="F231" s="23"/>
      <c r="G231" s="28" t="str">
        <f aca="false">IF($A231="","",IF($B231="Mileage",N($E231)*Settings!$B$13,N($D231)))</f>
        <v/>
      </c>
      <c r="H231" s="27" t="str">
        <f aca="false">IF($A231="","",IF($A231&gt;=DATE(YEAR($A231),4,6),YEAR($A231)&amp;"/"&amp;RIGHT(YEAR($A231)+1,2),YEAR($A231)-1&amp;"/"&amp;RIGHT(YEAR($A231),2)))</f>
        <v/>
      </c>
      <c r="I231" s="29" t="str">
        <f aca="false">IF($A231="","",DATE(YEAR($A231),MONTH($A231),1))</f>
        <v/>
      </c>
    </row>
    <row r="232" customFormat="false" ht="15" hidden="false" customHeight="false" outlineLevel="0" collapsed="false">
      <c r="A232" s="22"/>
      <c r="B232" s="23"/>
      <c r="C232" s="23"/>
      <c r="D232" s="25"/>
      <c r="E232" s="32"/>
      <c r="F232" s="23"/>
      <c r="G232" s="28" t="str">
        <f aca="false">IF($A232="","",IF($B232="Mileage",N($E232)*Settings!$B$13,N($D232)))</f>
        <v/>
      </c>
      <c r="H232" s="27" t="str">
        <f aca="false">IF($A232="","",IF($A232&gt;=DATE(YEAR($A232),4,6),YEAR($A232)&amp;"/"&amp;RIGHT(YEAR($A232)+1,2),YEAR($A232)-1&amp;"/"&amp;RIGHT(YEAR($A232),2)))</f>
        <v/>
      </c>
      <c r="I232" s="29" t="str">
        <f aca="false">IF($A232="","",DATE(YEAR($A232),MONTH($A232),1))</f>
        <v/>
      </c>
    </row>
    <row r="233" customFormat="false" ht="15" hidden="false" customHeight="false" outlineLevel="0" collapsed="false">
      <c r="A233" s="22"/>
      <c r="B233" s="23"/>
      <c r="C233" s="23"/>
      <c r="D233" s="25"/>
      <c r="E233" s="32"/>
      <c r="F233" s="23"/>
      <c r="G233" s="28" t="str">
        <f aca="false">IF($A233="","",IF($B233="Mileage",N($E233)*Settings!$B$13,N($D233)))</f>
        <v/>
      </c>
      <c r="H233" s="27" t="str">
        <f aca="false">IF($A233="","",IF($A233&gt;=DATE(YEAR($A233),4,6),YEAR($A233)&amp;"/"&amp;RIGHT(YEAR($A233)+1,2),YEAR($A233)-1&amp;"/"&amp;RIGHT(YEAR($A233),2)))</f>
        <v/>
      </c>
      <c r="I233" s="29" t="str">
        <f aca="false">IF($A233="","",DATE(YEAR($A233),MONTH($A233),1))</f>
        <v/>
      </c>
    </row>
    <row r="234" customFormat="false" ht="15" hidden="false" customHeight="false" outlineLevel="0" collapsed="false">
      <c r="A234" s="22"/>
      <c r="B234" s="23"/>
      <c r="C234" s="23"/>
      <c r="D234" s="25"/>
      <c r="E234" s="32"/>
      <c r="F234" s="23"/>
      <c r="G234" s="28" t="str">
        <f aca="false">IF($A234="","",IF($B234="Mileage",N($E234)*Settings!$B$13,N($D234)))</f>
        <v/>
      </c>
      <c r="H234" s="27" t="str">
        <f aca="false">IF($A234="","",IF($A234&gt;=DATE(YEAR($A234),4,6),YEAR($A234)&amp;"/"&amp;RIGHT(YEAR($A234)+1,2),YEAR($A234)-1&amp;"/"&amp;RIGHT(YEAR($A234),2)))</f>
        <v/>
      </c>
      <c r="I234" s="29" t="str">
        <f aca="false">IF($A234="","",DATE(YEAR($A234),MONTH($A234),1))</f>
        <v/>
      </c>
    </row>
    <row r="235" customFormat="false" ht="15" hidden="false" customHeight="false" outlineLevel="0" collapsed="false">
      <c r="A235" s="22"/>
      <c r="B235" s="23"/>
      <c r="C235" s="23"/>
      <c r="D235" s="25"/>
      <c r="E235" s="32"/>
      <c r="F235" s="23"/>
      <c r="G235" s="28" t="str">
        <f aca="false">IF($A235="","",IF($B235="Mileage",N($E235)*Settings!$B$13,N($D235)))</f>
        <v/>
      </c>
      <c r="H235" s="27" t="str">
        <f aca="false">IF($A235="","",IF($A235&gt;=DATE(YEAR($A235),4,6),YEAR($A235)&amp;"/"&amp;RIGHT(YEAR($A235)+1,2),YEAR($A235)-1&amp;"/"&amp;RIGHT(YEAR($A235),2)))</f>
        <v/>
      </c>
      <c r="I235" s="29" t="str">
        <f aca="false">IF($A235="","",DATE(YEAR($A235),MONTH($A235),1))</f>
        <v/>
      </c>
    </row>
    <row r="236" customFormat="false" ht="15" hidden="false" customHeight="false" outlineLevel="0" collapsed="false">
      <c r="A236" s="22"/>
      <c r="B236" s="23"/>
      <c r="C236" s="23"/>
      <c r="D236" s="25"/>
      <c r="E236" s="32"/>
      <c r="F236" s="23"/>
      <c r="G236" s="28" t="str">
        <f aca="false">IF($A236="","",IF($B236="Mileage",N($E236)*Settings!$B$13,N($D236)))</f>
        <v/>
      </c>
      <c r="H236" s="27" t="str">
        <f aca="false">IF($A236="","",IF($A236&gt;=DATE(YEAR($A236),4,6),YEAR($A236)&amp;"/"&amp;RIGHT(YEAR($A236)+1,2),YEAR($A236)-1&amp;"/"&amp;RIGHT(YEAR($A236),2)))</f>
        <v/>
      </c>
      <c r="I236" s="29" t="str">
        <f aca="false">IF($A236="","",DATE(YEAR($A236),MONTH($A236),1))</f>
        <v/>
      </c>
    </row>
    <row r="237" customFormat="false" ht="15" hidden="false" customHeight="false" outlineLevel="0" collapsed="false">
      <c r="A237" s="22"/>
      <c r="B237" s="23"/>
      <c r="C237" s="23"/>
      <c r="D237" s="25"/>
      <c r="E237" s="32"/>
      <c r="F237" s="23"/>
      <c r="G237" s="28" t="str">
        <f aca="false">IF($A237="","",IF($B237="Mileage",N($E237)*Settings!$B$13,N($D237)))</f>
        <v/>
      </c>
      <c r="H237" s="27" t="str">
        <f aca="false">IF($A237="","",IF($A237&gt;=DATE(YEAR($A237),4,6),YEAR($A237)&amp;"/"&amp;RIGHT(YEAR($A237)+1,2),YEAR($A237)-1&amp;"/"&amp;RIGHT(YEAR($A237),2)))</f>
        <v/>
      </c>
      <c r="I237" s="29" t="str">
        <f aca="false">IF($A237="","",DATE(YEAR($A237),MONTH($A237),1))</f>
        <v/>
      </c>
    </row>
    <row r="238" customFormat="false" ht="15" hidden="false" customHeight="false" outlineLevel="0" collapsed="false">
      <c r="A238" s="22"/>
      <c r="B238" s="23"/>
      <c r="C238" s="23"/>
      <c r="D238" s="25"/>
      <c r="E238" s="32"/>
      <c r="F238" s="23"/>
      <c r="G238" s="28" t="str">
        <f aca="false">IF($A238="","",IF($B238="Mileage",N($E238)*Settings!$B$13,N($D238)))</f>
        <v/>
      </c>
      <c r="H238" s="27" t="str">
        <f aca="false">IF($A238="","",IF($A238&gt;=DATE(YEAR($A238),4,6),YEAR($A238)&amp;"/"&amp;RIGHT(YEAR($A238)+1,2),YEAR($A238)-1&amp;"/"&amp;RIGHT(YEAR($A238),2)))</f>
        <v/>
      </c>
      <c r="I238" s="29" t="str">
        <f aca="false">IF($A238="","",DATE(YEAR($A238),MONTH($A238),1))</f>
        <v/>
      </c>
    </row>
    <row r="239" customFormat="false" ht="15" hidden="false" customHeight="false" outlineLevel="0" collapsed="false">
      <c r="A239" s="22"/>
      <c r="B239" s="23"/>
      <c r="C239" s="23"/>
      <c r="D239" s="25"/>
      <c r="E239" s="32"/>
      <c r="F239" s="23"/>
      <c r="G239" s="28" t="str">
        <f aca="false">IF($A239="","",IF($B239="Mileage",N($E239)*Settings!$B$13,N($D239)))</f>
        <v/>
      </c>
      <c r="H239" s="27" t="str">
        <f aca="false">IF($A239="","",IF($A239&gt;=DATE(YEAR($A239),4,6),YEAR($A239)&amp;"/"&amp;RIGHT(YEAR($A239)+1,2),YEAR($A239)-1&amp;"/"&amp;RIGHT(YEAR($A239),2)))</f>
        <v/>
      </c>
      <c r="I239" s="29" t="str">
        <f aca="false">IF($A239="","",DATE(YEAR($A239),MONTH($A239),1))</f>
        <v/>
      </c>
    </row>
    <row r="240" customFormat="false" ht="15" hidden="false" customHeight="false" outlineLevel="0" collapsed="false">
      <c r="A240" s="22"/>
      <c r="B240" s="23"/>
      <c r="C240" s="23"/>
      <c r="D240" s="25"/>
      <c r="E240" s="32"/>
      <c r="F240" s="23"/>
      <c r="G240" s="28" t="str">
        <f aca="false">IF($A240="","",IF($B240="Mileage",N($E240)*Settings!$B$13,N($D240)))</f>
        <v/>
      </c>
      <c r="H240" s="27" t="str">
        <f aca="false">IF($A240="","",IF($A240&gt;=DATE(YEAR($A240),4,6),YEAR($A240)&amp;"/"&amp;RIGHT(YEAR($A240)+1,2),YEAR($A240)-1&amp;"/"&amp;RIGHT(YEAR($A240),2)))</f>
        <v/>
      </c>
      <c r="I240" s="29" t="str">
        <f aca="false">IF($A240="","",DATE(YEAR($A240),MONTH($A240),1))</f>
        <v/>
      </c>
    </row>
    <row r="241" customFormat="false" ht="15" hidden="false" customHeight="false" outlineLevel="0" collapsed="false">
      <c r="A241" s="22"/>
      <c r="B241" s="23"/>
      <c r="C241" s="23"/>
      <c r="D241" s="25"/>
      <c r="E241" s="32"/>
      <c r="F241" s="23"/>
      <c r="G241" s="28" t="str">
        <f aca="false">IF($A241="","",IF($B241="Mileage",N($E241)*Settings!$B$13,N($D241)))</f>
        <v/>
      </c>
      <c r="H241" s="27" t="str">
        <f aca="false">IF($A241="","",IF($A241&gt;=DATE(YEAR($A241),4,6),YEAR($A241)&amp;"/"&amp;RIGHT(YEAR($A241)+1,2),YEAR($A241)-1&amp;"/"&amp;RIGHT(YEAR($A241),2)))</f>
        <v/>
      </c>
      <c r="I241" s="29" t="str">
        <f aca="false">IF($A241="","",DATE(YEAR($A241),MONTH($A241),1))</f>
        <v/>
      </c>
    </row>
    <row r="242" customFormat="false" ht="15" hidden="false" customHeight="false" outlineLevel="0" collapsed="false">
      <c r="A242" s="22"/>
      <c r="B242" s="23"/>
      <c r="C242" s="23"/>
      <c r="D242" s="25"/>
      <c r="E242" s="32"/>
      <c r="F242" s="23"/>
      <c r="G242" s="28" t="str">
        <f aca="false">IF($A242="","",IF($B242="Mileage",N($E242)*Settings!$B$13,N($D242)))</f>
        <v/>
      </c>
      <c r="H242" s="27" t="str">
        <f aca="false">IF($A242="","",IF($A242&gt;=DATE(YEAR($A242),4,6),YEAR($A242)&amp;"/"&amp;RIGHT(YEAR($A242)+1,2),YEAR($A242)-1&amp;"/"&amp;RIGHT(YEAR($A242),2)))</f>
        <v/>
      </c>
      <c r="I242" s="29" t="str">
        <f aca="false">IF($A242="","",DATE(YEAR($A242),MONTH($A242),1))</f>
        <v/>
      </c>
    </row>
    <row r="243" customFormat="false" ht="15" hidden="false" customHeight="false" outlineLevel="0" collapsed="false">
      <c r="A243" s="22"/>
      <c r="B243" s="23"/>
      <c r="C243" s="23"/>
      <c r="D243" s="25"/>
      <c r="E243" s="32"/>
      <c r="F243" s="23"/>
      <c r="G243" s="28" t="str">
        <f aca="false">IF($A243="","",IF($B243="Mileage",N($E243)*Settings!$B$13,N($D243)))</f>
        <v/>
      </c>
      <c r="H243" s="27" t="str">
        <f aca="false">IF($A243="","",IF($A243&gt;=DATE(YEAR($A243),4,6),YEAR($A243)&amp;"/"&amp;RIGHT(YEAR($A243)+1,2),YEAR($A243)-1&amp;"/"&amp;RIGHT(YEAR($A243),2)))</f>
        <v/>
      </c>
      <c r="I243" s="29" t="str">
        <f aca="false">IF($A243="","",DATE(YEAR($A243),MONTH($A243),1))</f>
        <v/>
      </c>
    </row>
    <row r="244" customFormat="false" ht="15" hidden="false" customHeight="false" outlineLevel="0" collapsed="false">
      <c r="A244" s="22"/>
      <c r="B244" s="23"/>
      <c r="C244" s="23"/>
      <c r="D244" s="25"/>
      <c r="E244" s="32"/>
      <c r="F244" s="23"/>
      <c r="G244" s="28" t="str">
        <f aca="false">IF($A244="","",IF($B244="Mileage",N($E244)*Settings!$B$13,N($D244)))</f>
        <v/>
      </c>
      <c r="H244" s="27" t="str">
        <f aca="false">IF($A244="","",IF($A244&gt;=DATE(YEAR($A244),4,6),YEAR($A244)&amp;"/"&amp;RIGHT(YEAR($A244)+1,2),YEAR($A244)-1&amp;"/"&amp;RIGHT(YEAR($A244),2)))</f>
        <v/>
      </c>
      <c r="I244" s="29" t="str">
        <f aca="false">IF($A244="","",DATE(YEAR($A244),MONTH($A244),1))</f>
        <v/>
      </c>
    </row>
    <row r="245" customFormat="false" ht="15" hidden="false" customHeight="false" outlineLevel="0" collapsed="false">
      <c r="A245" s="22"/>
      <c r="B245" s="23"/>
      <c r="C245" s="23"/>
      <c r="D245" s="25"/>
      <c r="E245" s="32"/>
      <c r="F245" s="23"/>
      <c r="G245" s="28" t="str">
        <f aca="false">IF($A245="","",IF($B245="Mileage",N($E245)*Settings!$B$13,N($D245)))</f>
        <v/>
      </c>
      <c r="H245" s="27" t="str">
        <f aca="false">IF($A245="","",IF($A245&gt;=DATE(YEAR($A245),4,6),YEAR($A245)&amp;"/"&amp;RIGHT(YEAR($A245)+1,2),YEAR($A245)-1&amp;"/"&amp;RIGHT(YEAR($A245),2)))</f>
        <v/>
      </c>
      <c r="I245" s="29" t="str">
        <f aca="false">IF($A245="","",DATE(YEAR($A245),MONTH($A245),1))</f>
        <v/>
      </c>
    </row>
    <row r="246" customFormat="false" ht="15" hidden="false" customHeight="false" outlineLevel="0" collapsed="false">
      <c r="A246" s="22"/>
      <c r="B246" s="23"/>
      <c r="C246" s="23"/>
      <c r="D246" s="25"/>
      <c r="E246" s="32"/>
      <c r="F246" s="23"/>
      <c r="G246" s="28" t="str">
        <f aca="false">IF($A246="","",IF($B246="Mileage",N($E246)*Settings!$B$13,N($D246)))</f>
        <v/>
      </c>
      <c r="H246" s="27" t="str">
        <f aca="false">IF($A246="","",IF($A246&gt;=DATE(YEAR($A246),4,6),YEAR($A246)&amp;"/"&amp;RIGHT(YEAR($A246)+1,2),YEAR($A246)-1&amp;"/"&amp;RIGHT(YEAR($A246),2)))</f>
        <v/>
      </c>
      <c r="I246" s="29" t="str">
        <f aca="false">IF($A246="","",DATE(YEAR($A246),MONTH($A246),1))</f>
        <v/>
      </c>
    </row>
    <row r="247" customFormat="false" ht="15" hidden="false" customHeight="false" outlineLevel="0" collapsed="false">
      <c r="A247" s="22"/>
      <c r="B247" s="23"/>
      <c r="C247" s="23"/>
      <c r="D247" s="25"/>
      <c r="E247" s="32"/>
      <c r="F247" s="23"/>
      <c r="G247" s="28" t="str">
        <f aca="false">IF($A247="","",IF($B247="Mileage",N($E247)*Settings!$B$13,N($D247)))</f>
        <v/>
      </c>
      <c r="H247" s="27" t="str">
        <f aca="false">IF($A247="","",IF($A247&gt;=DATE(YEAR($A247),4,6),YEAR($A247)&amp;"/"&amp;RIGHT(YEAR($A247)+1,2),YEAR($A247)-1&amp;"/"&amp;RIGHT(YEAR($A247),2)))</f>
        <v/>
      </c>
      <c r="I247" s="29" t="str">
        <f aca="false">IF($A247="","",DATE(YEAR($A247),MONTH($A247),1))</f>
        <v/>
      </c>
    </row>
    <row r="248" customFormat="false" ht="15" hidden="false" customHeight="false" outlineLevel="0" collapsed="false">
      <c r="A248" s="22"/>
      <c r="B248" s="23"/>
      <c r="C248" s="23"/>
      <c r="D248" s="25"/>
      <c r="E248" s="32"/>
      <c r="F248" s="23"/>
      <c r="G248" s="28" t="str">
        <f aca="false">IF($A248="","",IF($B248="Mileage",N($E248)*Settings!$B$13,N($D248)))</f>
        <v/>
      </c>
      <c r="H248" s="27" t="str">
        <f aca="false">IF($A248="","",IF($A248&gt;=DATE(YEAR($A248),4,6),YEAR($A248)&amp;"/"&amp;RIGHT(YEAR($A248)+1,2),YEAR($A248)-1&amp;"/"&amp;RIGHT(YEAR($A248),2)))</f>
        <v/>
      </c>
      <c r="I248" s="29" t="str">
        <f aca="false">IF($A248="","",DATE(YEAR($A248),MONTH($A248),1))</f>
        <v/>
      </c>
    </row>
    <row r="249" customFormat="false" ht="15" hidden="false" customHeight="false" outlineLevel="0" collapsed="false">
      <c r="A249" s="22"/>
      <c r="B249" s="23"/>
      <c r="C249" s="23"/>
      <c r="D249" s="25"/>
      <c r="E249" s="32"/>
      <c r="F249" s="23"/>
      <c r="G249" s="28" t="str">
        <f aca="false">IF($A249="","",IF($B249="Mileage",N($E249)*Settings!$B$13,N($D249)))</f>
        <v/>
      </c>
      <c r="H249" s="27" t="str">
        <f aca="false">IF($A249="","",IF($A249&gt;=DATE(YEAR($A249),4,6),YEAR($A249)&amp;"/"&amp;RIGHT(YEAR($A249)+1,2),YEAR($A249)-1&amp;"/"&amp;RIGHT(YEAR($A249),2)))</f>
        <v/>
      </c>
      <c r="I249" s="29" t="str">
        <f aca="false">IF($A249="","",DATE(YEAR($A249),MONTH($A249),1))</f>
        <v/>
      </c>
    </row>
    <row r="250" customFormat="false" ht="15" hidden="false" customHeight="false" outlineLevel="0" collapsed="false">
      <c r="A250" s="22"/>
      <c r="B250" s="23"/>
      <c r="C250" s="23"/>
      <c r="D250" s="25"/>
      <c r="E250" s="32"/>
      <c r="F250" s="23"/>
      <c r="G250" s="28" t="str">
        <f aca="false">IF($A250="","",IF($B250="Mileage",N($E250)*Settings!$B$13,N($D250)))</f>
        <v/>
      </c>
      <c r="H250" s="27" t="str">
        <f aca="false">IF($A250="","",IF($A250&gt;=DATE(YEAR($A250),4,6),YEAR($A250)&amp;"/"&amp;RIGHT(YEAR($A250)+1,2),YEAR($A250)-1&amp;"/"&amp;RIGHT(YEAR($A250),2)))</f>
        <v/>
      </c>
      <c r="I250" s="29" t="str">
        <f aca="false">IF($A250="","",DATE(YEAR($A250),MONTH($A250),1))</f>
        <v/>
      </c>
    </row>
    <row r="251" customFormat="false" ht="15" hidden="false" customHeight="false" outlineLevel="0" collapsed="false">
      <c r="A251" s="22"/>
      <c r="B251" s="23"/>
      <c r="C251" s="23"/>
      <c r="D251" s="25"/>
      <c r="E251" s="32"/>
      <c r="F251" s="23"/>
      <c r="G251" s="28" t="str">
        <f aca="false">IF($A251="","",IF($B251="Mileage",N($E251)*Settings!$B$13,N($D251)))</f>
        <v/>
      </c>
      <c r="H251" s="27" t="str">
        <f aca="false">IF($A251="","",IF($A251&gt;=DATE(YEAR($A251),4,6),YEAR($A251)&amp;"/"&amp;RIGHT(YEAR($A251)+1,2),YEAR($A251)-1&amp;"/"&amp;RIGHT(YEAR($A251),2)))</f>
        <v/>
      </c>
      <c r="I251" s="29" t="str">
        <f aca="false">IF($A251="","",DATE(YEAR($A251),MONTH($A251),1))</f>
        <v/>
      </c>
    </row>
    <row r="252" customFormat="false" ht="15" hidden="false" customHeight="false" outlineLevel="0" collapsed="false">
      <c r="A252" s="22"/>
      <c r="B252" s="23"/>
      <c r="C252" s="23"/>
      <c r="D252" s="25"/>
      <c r="E252" s="32"/>
      <c r="F252" s="23"/>
      <c r="G252" s="28" t="str">
        <f aca="false">IF($A252="","",IF($B252="Mileage",N($E252)*Settings!$B$13,N($D252)))</f>
        <v/>
      </c>
      <c r="H252" s="27" t="str">
        <f aca="false">IF($A252="","",IF($A252&gt;=DATE(YEAR($A252),4,6),YEAR($A252)&amp;"/"&amp;RIGHT(YEAR($A252)+1,2),YEAR($A252)-1&amp;"/"&amp;RIGHT(YEAR($A252),2)))</f>
        <v/>
      </c>
      <c r="I252" s="29" t="str">
        <f aca="false">IF($A252="","",DATE(YEAR($A252),MONTH($A252),1))</f>
        <v/>
      </c>
    </row>
    <row r="253" customFormat="false" ht="15" hidden="false" customHeight="false" outlineLevel="0" collapsed="false">
      <c r="A253" s="22"/>
      <c r="B253" s="23"/>
      <c r="C253" s="23"/>
      <c r="D253" s="25"/>
      <c r="E253" s="32"/>
      <c r="F253" s="23"/>
      <c r="G253" s="28" t="str">
        <f aca="false">IF($A253="","",IF($B253="Mileage",N($E253)*Settings!$B$13,N($D253)))</f>
        <v/>
      </c>
      <c r="H253" s="27" t="str">
        <f aca="false">IF($A253="","",IF($A253&gt;=DATE(YEAR($A253),4,6),YEAR($A253)&amp;"/"&amp;RIGHT(YEAR($A253)+1,2),YEAR($A253)-1&amp;"/"&amp;RIGHT(YEAR($A253),2)))</f>
        <v/>
      </c>
      <c r="I253" s="29" t="str">
        <f aca="false">IF($A253="","",DATE(YEAR($A253),MONTH($A253),1))</f>
        <v/>
      </c>
    </row>
    <row r="254" customFormat="false" ht="15" hidden="false" customHeight="false" outlineLevel="0" collapsed="false">
      <c r="A254" s="22"/>
      <c r="B254" s="23"/>
      <c r="C254" s="23"/>
      <c r="D254" s="25"/>
      <c r="E254" s="32"/>
      <c r="F254" s="23"/>
      <c r="G254" s="28" t="str">
        <f aca="false">IF($A254="","",IF($B254="Mileage",N($E254)*Settings!$B$13,N($D254)))</f>
        <v/>
      </c>
      <c r="H254" s="27" t="str">
        <f aca="false">IF($A254="","",IF($A254&gt;=DATE(YEAR($A254),4,6),YEAR($A254)&amp;"/"&amp;RIGHT(YEAR($A254)+1,2),YEAR($A254)-1&amp;"/"&amp;RIGHT(YEAR($A254),2)))</f>
        <v/>
      </c>
      <c r="I254" s="29" t="str">
        <f aca="false">IF($A254="","",DATE(YEAR($A254),MONTH($A254),1))</f>
        <v/>
      </c>
    </row>
    <row r="255" customFormat="false" ht="15" hidden="false" customHeight="false" outlineLevel="0" collapsed="false">
      <c r="A255" s="22"/>
      <c r="B255" s="23"/>
      <c r="C255" s="23"/>
      <c r="D255" s="25"/>
      <c r="E255" s="32"/>
      <c r="F255" s="23"/>
      <c r="G255" s="28" t="str">
        <f aca="false">IF($A255="","",IF($B255="Mileage",N($E255)*Settings!$B$13,N($D255)))</f>
        <v/>
      </c>
      <c r="H255" s="27" t="str">
        <f aca="false">IF($A255="","",IF($A255&gt;=DATE(YEAR($A255),4,6),YEAR($A255)&amp;"/"&amp;RIGHT(YEAR($A255)+1,2),YEAR($A255)-1&amp;"/"&amp;RIGHT(YEAR($A255),2)))</f>
        <v/>
      </c>
      <c r="I255" s="29" t="str">
        <f aca="false">IF($A255="","",DATE(YEAR($A255),MONTH($A255),1))</f>
        <v/>
      </c>
    </row>
    <row r="256" customFormat="false" ht="15" hidden="false" customHeight="false" outlineLevel="0" collapsed="false">
      <c r="A256" s="22"/>
      <c r="B256" s="23"/>
      <c r="C256" s="23"/>
      <c r="D256" s="25"/>
      <c r="E256" s="32"/>
      <c r="F256" s="23"/>
      <c r="G256" s="28" t="str">
        <f aca="false">IF($A256="","",IF($B256="Mileage",N($E256)*Settings!$B$13,N($D256)))</f>
        <v/>
      </c>
      <c r="H256" s="27" t="str">
        <f aca="false">IF($A256="","",IF($A256&gt;=DATE(YEAR($A256),4,6),YEAR($A256)&amp;"/"&amp;RIGHT(YEAR($A256)+1,2),YEAR($A256)-1&amp;"/"&amp;RIGHT(YEAR($A256),2)))</f>
        <v/>
      </c>
      <c r="I256" s="29" t="str">
        <f aca="false">IF($A256="","",DATE(YEAR($A256),MONTH($A256),1))</f>
        <v/>
      </c>
    </row>
    <row r="257" customFormat="false" ht="15" hidden="false" customHeight="false" outlineLevel="0" collapsed="false">
      <c r="A257" s="22"/>
      <c r="B257" s="23"/>
      <c r="C257" s="23"/>
      <c r="D257" s="25"/>
      <c r="E257" s="32"/>
      <c r="F257" s="23"/>
      <c r="G257" s="28" t="str">
        <f aca="false">IF($A257="","",IF($B257="Mileage",N($E257)*Settings!$B$13,N($D257)))</f>
        <v/>
      </c>
      <c r="H257" s="27" t="str">
        <f aca="false">IF($A257="","",IF($A257&gt;=DATE(YEAR($A257),4,6),YEAR($A257)&amp;"/"&amp;RIGHT(YEAR($A257)+1,2),YEAR($A257)-1&amp;"/"&amp;RIGHT(YEAR($A257),2)))</f>
        <v/>
      </c>
      <c r="I257" s="29" t="str">
        <f aca="false">IF($A257="","",DATE(YEAR($A257),MONTH($A257),1))</f>
        <v/>
      </c>
    </row>
    <row r="258" customFormat="false" ht="15" hidden="false" customHeight="false" outlineLevel="0" collapsed="false">
      <c r="A258" s="22"/>
      <c r="B258" s="23"/>
      <c r="C258" s="23"/>
      <c r="D258" s="25"/>
      <c r="E258" s="32"/>
      <c r="F258" s="23"/>
      <c r="G258" s="28" t="str">
        <f aca="false">IF($A258="","",IF($B258="Mileage",N($E258)*Settings!$B$13,N($D258)))</f>
        <v/>
      </c>
      <c r="H258" s="27" t="str">
        <f aca="false">IF($A258="","",IF($A258&gt;=DATE(YEAR($A258),4,6),YEAR($A258)&amp;"/"&amp;RIGHT(YEAR($A258)+1,2),YEAR($A258)-1&amp;"/"&amp;RIGHT(YEAR($A258),2)))</f>
        <v/>
      </c>
      <c r="I258" s="29" t="str">
        <f aca="false">IF($A258="","",DATE(YEAR($A258),MONTH($A258),1))</f>
        <v/>
      </c>
    </row>
    <row r="259" customFormat="false" ht="15" hidden="false" customHeight="false" outlineLevel="0" collapsed="false">
      <c r="A259" s="22"/>
      <c r="B259" s="23"/>
      <c r="C259" s="23"/>
      <c r="D259" s="25"/>
      <c r="E259" s="32"/>
      <c r="F259" s="23"/>
      <c r="G259" s="28" t="str">
        <f aca="false">IF($A259="","",IF($B259="Mileage",N($E259)*Settings!$B$13,N($D259)))</f>
        <v/>
      </c>
      <c r="H259" s="27" t="str">
        <f aca="false">IF($A259="","",IF($A259&gt;=DATE(YEAR($A259),4,6),YEAR($A259)&amp;"/"&amp;RIGHT(YEAR($A259)+1,2),YEAR($A259)-1&amp;"/"&amp;RIGHT(YEAR($A259),2)))</f>
        <v/>
      </c>
      <c r="I259" s="29" t="str">
        <f aca="false">IF($A259="","",DATE(YEAR($A259),MONTH($A259),1))</f>
        <v/>
      </c>
    </row>
    <row r="260" customFormat="false" ht="15" hidden="false" customHeight="false" outlineLevel="0" collapsed="false">
      <c r="A260" s="22"/>
      <c r="B260" s="23"/>
      <c r="C260" s="23"/>
      <c r="D260" s="25"/>
      <c r="E260" s="32"/>
      <c r="F260" s="23"/>
      <c r="G260" s="28" t="str">
        <f aca="false">IF($A260="","",IF($B260="Mileage",N($E260)*Settings!$B$13,N($D260)))</f>
        <v/>
      </c>
      <c r="H260" s="27" t="str">
        <f aca="false">IF($A260="","",IF($A260&gt;=DATE(YEAR($A260),4,6),YEAR($A260)&amp;"/"&amp;RIGHT(YEAR($A260)+1,2),YEAR($A260)-1&amp;"/"&amp;RIGHT(YEAR($A260),2)))</f>
        <v/>
      </c>
      <c r="I260" s="29" t="str">
        <f aca="false">IF($A260="","",DATE(YEAR($A260),MONTH($A260),1))</f>
        <v/>
      </c>
    </row>
    <row r="261" customFormat="false" ht="15" hidden="false" customHeight="false" outlineLevel="0" collapsed="false">
      <c r="A261" s="22"/>
      <c r="B261" s="23"/>
      <c r="C261" s="23"/>
      <c r="D261" s="25"/>
      <c r="E261" s="32"/>
      <c r="F261" s="23"/>
      <c r="G261" s="28" t="str">
        <f aca="false">IF($A261="","",IF($B261="Mileage",N($E261)*Settings!$B$13,N($D261)))</f>
        <v/>
      </c>
      <c r="H261" s="27" t="str">
        <f aca="false">IF($A261="","",IF($A261&gt;=DATE(YEAR($A261),4,6),YEAR($A261)&amp;"/"&amp;RIGHT(YEAR($A261)+1,2),YEAR($A261)-1&amp;"/"&amp;RIGHT(YEAR($A261),2)))</f>
        <v/>
      </c>
      <c r="I261" s="29" t="str">
        <f aca="false">IF($A261="","",DATE(YEAR($A261),MONTH($A261),1))</f>
        <v/>
      </c>
    </row>
    <row r="262" customFormat="false" ht="15" hidden="false" customHeight="false" outlineLevel="0" collapsed="false">
      <c r="A262" s="22"/>
      <c r="B262" s="23"/>
      <c r="C262" s="23"/>
      <c r="D262" s="25"/>
      <c r="E262" s="32"/>
      <c r="F262" s="23"/>
      <c r="G262" s="28" t="str">
        <f aca="false">IF($A262="","",IF($B262="Mileage",N($E262)*Settings!$B$13,N($D262)))</f>
        <v/>
      </c>
      <c r="H262" s="27" t="str">
        <f aca="false">IF($A262="","",IF($A262&gt;=DATE(YEAR($A262),4,6),YEAR($A262)&amp;"/"&amp;RIGHT(YEAR($A262)+1,2),YEAR($A262)-1&amp;"/"&amp;RIGHT(YEAR($A262),2)))</f>
        <v/>
      </c>
      <c r="I262" s="29" t="str">
        <f aca="false">IF($A262="","",DATE(YEAR($A262),MONTH($A262),1))</f>
        <v/>
      </c>
    </row>
    <row r="263" customFormat="false" ht="15" hidden="false" customHeight="false" outlineLevel="0" collapsed="false">
      <c r="A263" s="22"/>
      <c r="B263" s="23"/>
      <c r="C263" s="23"/>
      <c r="D263" s="25"/>
      <c r="E263" s="32"/>
      <c r="F263" s="23"/>
      <c r="G263" s="28" t="str">
        <f aca="false">IF($A263="","",IF($B263="Mileage",N($E263)*Settings!$B$13,N($D263)))</f>
        <v/>
      </c>
      <c r="H263" s="27" t="str">
        <f aca="false">IF($A263="","",IF($A263&gt;=DATE(YEAR($A263),4,6),YEAR($A263)&amp;"/"&amp;RIGHT(YEAR($A263)+1,2),YEAR($A263)-1&amp;"/"&amp;RIGHT(YEAR($A263),2)))</f>
        <v/>
      </c>
      <c r="I263" s="29" t="str">
        <f aca="false">IF($A263="","",DATE(YEAR($A263),MONTH($A263),1))</f>
        <v/>
      </c>
    </row>
    <row r="264" customFormat="false" ht="15" hidden="false" customHeight="false" outlineLevel="0" collapsed="false">
      <c r="A264" s="22"/>
      <c r="B264" s="23"/>
      <c r="C264" s="23"/>
      <c r="D264" s="25"/>
      <c r="E264" s="32"/>
      <c r="F264" s="23"/>
      <c r="G264" s="28" t="str">
        <f aca="false">IF($A264="","",IF($B264="Mileage",N($E264)*Settings!$B$13,N($D264)))</f>
        <v/>
      </c>
      <c r="H264" s="27" t="str">
        <f aca="false">IF($A264="","",IF($A264&gt;=DATE(YEAR($A264),4,6),YEAR($A264)&amp;"/"&amp;RIGHT(YEAR($A264)+1,2),YEAR($A264)-1&amp;"/"&amp;RIGHT(YEAR($A264),2)))</f>
        <v/>
      </c>
      <c r="I264" s="29" t="str">
        <f aca="false">IF($A264="","",DATE(YEAR($A264),MONTH($A264),1))</f>
        <v/>
      </c>
    </row>
    <row r="265" customFormat="false" ht="15" hidden="false" customHeight="false" outlineLevel="0" collapsed="false">
      <c r="A265" s="22"/>
      <c r="B265" s="23"/>
      <c r="C265" s="23"/>
      <c r="D265" s="25"/>
      <c r="E265" s="32"/>
      <c r="F265" s="23"/>
      <c r="G265" s="28" t="str">
        <f aca="false">IF($A265="","",IF($B265="Mileage",N($E265)*Settings!$B$13,N($D265)))</f>
        <v/>
      </c>
      <c r="H265" s="27" t="str">
        <f aca="false">IF($A265="","",IF($A265&gt;=DATE(YEAR($A265),4,6),YEAR($A265)&amp;"/"&amp;RIGHT(YEAR($A265)+1,2),YEAR($A265)-1&amp;"/"&amp;RIGHT(YEAR($A265),2)))</f>
        <v/>
      </c>
      <c r="I265" s="29" t="str">
        <f aca="false">IF($A265="","",DATE(YEAR($A265),MONTH($A265),1))</f>
        <v/>
      </c>
    </row>
    <row r="266" customFormat="false" ht="15" hidden="false" customHeight="false" outlineLevel="0" collapsed="false">
      <c r="A266" s="22"/>
      <c r="B266" s="23"/>
      <c r="C266" s="23"/>
      <c r="D266" s="25"/>
      <c r="E266" s="32"/>
      <c r="F266" s="23"/>
      <c r="G266" s="28" t="str">
        <f aca="false">IF($A266="","",IF($B266="Mileage",N($E266)*Settings!$B$13,N($D266)))</f>
        <v/>
      </c>
      <c r="H266" s="27" t="str">
        <f aca="false">IF($A266="","",IF($A266&gt;=DATE(YEAR($A266),4,6),YEAR($A266)&amp;"/"&amp;RIGHT(YEAR($A266)+1,2),YEAR($A266)-1&amp;"/"&amp;RIGHT(YEAR($A266),2)))</f>
        <v/>
      </c>
      <c r="I266" s="29" t="str">
        <f aca="false">IF($A266="","",DATE(YEAR($A266),MONTH($A266),1))</f>
        <v/>
      </c>
    </row>
    <row r="267" customFormat="false" ht="15" hidden="false" customHeight="false" outlineLevel="0" collapsed="false">
      <c r="A267" s="22"/>
      <c r="B267" s="23"/>
      <c r="C267" s="23"/>
      <c r="D267" s="25"/>
      <c r="E267" s="32"/>
      <c r="F267" s="23"/>
      <c r="G267" s="28" t="str">
        <f aca="false">IF($A267="","",IF($B267="Mileage",N($E267)*Settings!$B$13,N($D267)))</f>
        <v/>
      </c>
      <c r="H267" s="27" t="str">
        <f aca="false">IF($A267="","",IF($A267&gt;=DATE(YEAR($A267),4,6),YEAR($A267)&amp;"/"&amp;RIGHT(YEAR($A267)+1,2),YEAR($A267)-1&amp;"/"&amp;RIGHT(YEAR($A267),2)))</f>
        <v/>
      </c>
      <c r="I267" s="29" t="str">
        <f aca="false">IF($A267="","",DATE(YEAR($A267),MONTH($A267),1))</f>
        <v/>
      </c>
    </row>
    <row r="268" customFormat="false" ht="15" hidden="false" customHeight="false" outlineLevel="0" collapsed="false">
      <c r="A268" s="22"/>
      <c r="B268" s="23"/>
      <c r="C268" s="23"/>
      <c r="D268" s="25"/>
      <c r="E268" s="32"/>
      <c r="F268" s="23"/>
      <c r="G268" s="28" t="str">
        <f aca="false">IF($A268="","",IF($B268="Mileage",N($E268)*Settings!$B$13,N($D268)))</f>
        <v/>
      </c>
      <c r="H268" s="27" t="str">
        <f aca="false">IF($A268="","",IF($A268&gt;=DATE(YEAR($A268),4,6),YEAR($A268)&amp;"/"&amp;RIGHT(YEAR($A268)+1,2),YEAR($A268)-1&amp;"/"&amp;RIGHT(YEAR($A268),2)))</f>
        <v/>
      </c>
      <c r="I268" s="29" t="str">
        <f aca="false">IF($A268="","",DATE(YEAR($A268),MONTH($A268),1))</f>
        <v/>
      </c>
    </row>
    <row r="269" customFormat="false" ht="15" hidden="false" customHeight="false" outlineLevel="0" collapsed="false">
      <c r="A269" s="22"/>
      <c r="B269" s="23"/>
      <c r="C269" s="23"/>
      <c r="D269" s="25"/>
      <c r="E269" s="32"/>
      <c r="F269" s="23"/>
      <c r="G269" s="28" t="str">
        <f aca="false">IF($A269="","",IF($B269="Mileage",N($E269)*Settings!$B$13,N($D269)))</f>
        <v/>
      </c>
      <c r="H269" s="27" t="str">
        <f aca="false">IF($A269="","",IF($A269&gt;=DATE(YEAR($A269),4,6),YEAR($A269)&amp;"/"&amp;RIGHT(YEAR($A269)+1,2),YEAR($A269)-1&amp;"/"&amp;RIGHT(YEAR($A269),2)))</f>
        <v/>
      </c>
      <c r="I269" s="29" t="str">
        <f aca="false">IF($A269="","",DATE(YEAR($A269),MONTH($A269),1))</f>
        <v/>
      </c>
    </row>
    <row r="270" customFormat="false" ht="15" hidden="false" customHeight="false" outlineLevel="0" collapsed="false">
      <c r="A270" s="22"/>
      <c r="B270" s="23"/>
      <c r="C270" s="23"/>
      <c r="D270" s="25"/>
      <c r="E270" s="32"/>
      <c r="F270" s="23"/>
      <c r="G270" s="28" t="str">
        <f aca="false">IF($A270="","",IF($B270="Mileage",N($E270)*Settings!$B$13,N($D270)))</f>
        <v/>
      </c>
      <c r="H270" s="27" t="str">
        <f aca="false">IF($A270="","",IF($A270&gt;=DATE(YEAR($A270),4,6),YEAR($A270)&amp;"/"&amp;RIGHT(YEAR($A270)+1,2),YEAR($A270)-1&amp;"/"&amp;RIGHT(YEAR($A270),2)))</f>
        <v/>
      </c>
      <c r="I270" s="29" t="str">
        <f aca="false">IF($A270="","",DATE(YEAR($A270),MONTH($A270),1))</f>
        <v/>
      </c>
    </row>
    <row r="271" customFormat="false" ht="15" hidden="false" customHeight="false" outlineLevel="0" collapsed="false">
      <c r="A271" s="22"/>
      <c r="B271" s="23"/>
      <c r="C271" s="23"/>
      <c r="D271" s="25"/>
      <c r="E271" s="32"/>
      <c r="F271" s="23"/>
      <c r="G271" s="28" t="str">
        <f aca="false">IF($A271="","",IF($B271="Mileage",N($E271)*Settings!$B$13,N($D271)))</f>
        <v/>
      </c>
      <c r="H271" s="27" t="str">
        <f aca="false">IF($A271="","",IF($A271&gt;=DATE(YEAR($A271),4,6),YEAR($A271)&amp;"/"&amp;RIGHT(YEAR($A271)+1,2),YEAR($A271)-1&amp;"/"&amp;RIGHT(YEAR($A271),2)))</f>
        <v/>
      </c>
      <c r="I271" s="29" t="str">
        <f aca="false">IF($A271="","",DATE(YEAR($A271),MONTH($A271),1))</f>
        <v/>
      </c>
    </row>
    <row r="272" customFormat="false" ht="15" hidden="false" customHeight="false" outlineLevel="0" collapsed="false">
      <c r="A272" s="22"/>
      <c r="B272" s="23"/>
      <c r="C272" s="23"/>
      <c r="D272" s="25"/>
      <c r="E272" s="32"/>
      <c r="F272" s="23"/>
      <c r="G272" s="28" t="str">
        <f aca="false">IF($A272="","",IF($B272="Mileage",N($E272)*Settings!$B$13,N($D272)))</f>
        <v/>
      </c>
      <c r="H272" s="27" t="str">
        <f aca="false">IF($A272="","",IF($A272&gt;=DATE(YEAR($A272),4,6),YEAR($A272)&amp;"/"&amp;RIGHT(YEAR($A272)+1,2),YEAR($A272)-1&amp;"/"&amp;RIGHT(YEAR($A272),2)))</f>
        <v/>
      </c>
      <c r="I272" s="29" t="str">
        <f aca="false">IF($A272="","",DATE(YEAR($A272),MONTH($A272),1))</f>
        <v/>
      </c>
    </row>
    <row r="273" customFormat="false" ht="15" hidden="false" customHeight="false" outlineLevel="0" collapsed="false">
      <c r="A273" s="22"/>
      <c r="B273" s="23"/>
      <c r="C273" s="23"/>
      <c r="D273" s="25"/>
      <c r="E273" s="32"/>
      <c r="F273" s="23"/>
      <c r="G273" s="28" t="str">
        <f aca="false">IF($A273="","",IF($B273="Mileage",N($E273)*Settings!$B$13,N($D273)))</f>
        <v/>
      </c>
      <c r="H273" s="27" t="str">
        <f aca="false">IF($A273="","",IF($A273&gt;=DATE(YEAR($A273),4,6),YEAR($A273)&amp;"/"&amp;RIGHT(YEAR($A273)+1,2),YEAR($A273)-1&amp;"/"&amp;RIGHT(YEAR($A273),2)))</f>
        <v/>
      </c>
      <c r="I273" s="29" t="str">
        <f aca="false">IF($A273="","",DATE(YEAR($A273),MONTH($A273),1))</f>
        <v/>
      </c>
    </row>
    <row r="274" customFormat="false" ht="15" hidden="false" customHeight="false" outlineLevel="0" collapsed="false">
      <c r="A274" s="22"/>
      <c r="B274" s="23"/>
      <c r="C274" s="23"/>
      <c r="D274" s="25"/>
      <c r="E274" s="32"/>
      <c r="F274" s="23"/>
      <c r="G274" s="28" t="str">
        <f aca="false">IF($A274="","",IF($B274="Mileage",N($E274)*Settings!$B$13,N($D274)))</f>
        <v/>
      </c>
      <c r="H274" s="27" t="str">
        <f aca="false">IF($A274="","",IF($A274&gt;=DATE(YEAR($A274),4,6),YEAR($A274)&amp;"/"&amp;RIGHT(YEAR($A274)+1,2),YEAR($A274)-1&amp;"/"&amp;RIGHT(YEAR($A274),2)))</f>
        <v/>
      </c>
      <c r="I274" s="29" t="str">
        <f aca="false">IF($A274="","",DATE(YEAR($A274),MONTH($A274),1))</f>
        <v/>
      </c>
    </row>
    <row r="275" customFormat="false" ht="15" hidden="false" customHeight="false" outlineLevel="0" collapsed="false">
      <c r="A275" s="22"/>
      <c r="B275" s="23"/>
      <c r="C275" s="23"/>
      <c r="D275" s="25"/>
      <c r="E275" s="32"/>
      <c r="F275" s="23"/>
      <c r="G275" s="28" t="str">
        <f aca="false">IF($A275="","",IF($B275="Mileage",N($E275)*Settings!$B$13,N($D275)))</f>
        <v/>
      </c>
      <c r="H275" s="27" t="str">
        <f aca="false">IF($A275="","",IF($A275&gt;=DATE(YEAR($A275),4,6),YEAR($A275)&amp;"/"&amp;RIGHT(YEAR($A275)+1,2),YEAR($A275)-1&amp;"/"&amp;RIGHT(YEAR($A275),2)))</f>
        <v/>
      </c>
      <c r="I275" s="29" t="str">
        <f aca="false">IF($A275="","",DATE(YEAR($A275),MONTH($A275),1))</f>
        <v/>
      </c>
    </row>
    <row r="276" customFormat="false" ht="15" hidden="false" customHeight="false" outlineLevel="0" collapsed="false">
      <c r="A276" s="22"/>
      <c r="B276" s="23"/>
      <c r="C276" s="23"/>
      <c r="D276" s="25"/>
      <c r="E276" s="32"/>
      <c r="F276" s="23"/>
      <c r="G276" s="28" t="str">
        <f aca="false">IF($A276="","",IF($B276="Mileage",N($E276)*Settings!$B$13,N($D276)))</f>
        <v/>
      </c>
      <c r="H276" s="27" t="str">
        <f aca="false">IF($A276="","",IF($A276&gt;=DATE(YEAR($A276),4,6),YEAR($A276)&amp;"/"&amp;RIGHT(YEAR($A276)+1,2),YEAR($A276)-1&amp;"/"&amp;RIGHT(YEAR($A276),2)))</f>
        <v/>
      </c>
      <c r="I276" s="29" t="str">
        <f aca="false">IF($A276="","",DATE(YEAR($A276),MONTH($A276),1))</f>
        <v/>
      </c>
    </row>
    <row r="277" customFormat="false" ht="15" hidden="false" customHeight="false" outlineLevel="0" collapsed="false">
      <c r="A277" s="22"/>
      <c r="B277" s="23"/>
      <c r="C277" s="23"/>
      <c r="D277" s="25"/>
      <c r="E277" s="32"/>
      <c r="F277" s="23"/>
      <c r="G277" s="28" t="str">
        <f aca="false">IF($A277="","",IF($B277="Mileage",N($E277)*Settings!$B$13,N($D277)))</f>
        <v/>
      </c>
      <c r="H277" s="27" t="str">
        <f aca="false">IF($A277="","",IF($A277&gt;=DATE(YEAR($A277),4,6),YEAR($A277)&amp;"/"&amp;RIGHT(YEAR($A277)+1,2),YEAR($A277)-1&amp;"/"&amp;RIGHT(YEAR($A277),2)))</f>
        <v/>
      </c>
      <c r="I277" s="29" t="str">
        <f aca="false">IF($A277="","",DATE(YEAR($A277),MONTH($A277),1))</f>
        <v/>
      </c>
    </row>
    <row r="278" customFormat="false" ht="15" hidden="false" customHeight="false" outlineLevel="0" collapsed="false">
      <c r="A278" s="22"/>
      <c r="B278" s="23"/>
      <c r="C278" s="23"/>
      <c r="D278" s="25"/>
      <c r="E278" s="32"/>
      <c r="F278" s="23"/>
      <c r="G278" s="28" t="str">
        <f aca="false">IF($A278="","",IF($B278="Mileage",N($E278)*Settings!$B$13,N($D278)))</f>
        <v/>
      </c>
      <c r="H278" s="27" t="str">
        <f aca="false">IF($A278="","",IF($A278&gt;=DATE(YEAR($A278),4,6),YEAR($A278)&amp;"/"&amp;RIGHT(YEAR($A278)+1,2),YEAR($A278)-1&amp;"/"&amp;RIGHT(YEAR($A278),2)))</f>
        <v/>
      </c>
      <c r="I278" s="29" t="str">
        <f aca="false">IF($A278="","",DATE(YEAR($A278),MONTH($A278),1))</f>
        <v/>
      </c>
    </row>
    <row r="279" customFormat="false" ht="15" hidden="false" customHeight="false" outlineLevel="0" collapsed="false">
      <c r="A279" s="22"/>
      <c r="B279" s="23"/>
      <c r="C279" s="23"/>
      <c r="D279" s="25"/>
      <c r="E279" s="32"/>
      <c r="F279" s="23"/>
      <c r="G279" s="28" t="str">
        <f aca="false">IF($A279="","",IF($B279="Mileage",N($E279)*Settings!$B$13,N($D279)))</f>
        <v/>
      </c>
      <c r="H279" s="27" t="str">
        <f aca="false">IF($A279="","",IF($A279&gt;=DATE(YEAR($A279),4,6),YEAR($A279)&amp;"/"&amp;RIGHT(YEAR($A279)+1,2),YEAR($A279)-1&amp;"/"&amp;RIGHT(YEAR($A279),2)))</f>
        <v/>
      </c>
      <c r="I279" s="29" t="str">
        <f aca="false">IF($A279="","",DATE(YEAR($A279),MONTH($A279),1))</f>
        <v/>
      </c>
    </row>
    <row r="280" customFormat="false" ht="15" hidden="false" customHeight="false" outlineLevel="0" collapsed="false">
      <c r="A280" s="22"/>
      <c r="B280" s="23"/>
      <c r="C280" s="23"/>
      <c r="D280" s="25"/>
      <c r="E280" s="32"/>
      <c r="F280" s="23"/>
      <c r="G280" s="28" t="str">
        <f aca="false">IF($A280="","",IF($B280="Mileage",N($E280)*Settings!$B$13,N($D280)))</f>
        <v/>
      </c>
      <c r="H280" s="27" t="str">
        <f aca="false">IF($A280="","",IF($A280&gt;=DATE(YEAR($A280),4,6),YEAR($A280)&amp;"/"&amp;RIGHT(YEAR($A280)+1,2),YEAR($A280)-1&amp;"/"&amp;RIGHT(YEAR($A280),2)))</f>
        <v/>
      </c>
      <c r="I280" s="29" t="str">
        <f aca="false">IF($A280="","",DATE(YEAR($A280),MONTH($A280),1))</f>
        <v/>
      </c>
    </row>
    <row r="281" customFormat="false" ht="15" hidden="false" customHeight="false" outlineLevel="0" collapsed="false">
      <c r="A281" s="22"/>
      <c r="B281" s="23"/>
      <c r="C281" s="23"/>
      <c r="D281" s="25"/>
      <c r="E281" s="32"/>
      <c r="F281" s="23"/>
      <c r="G281" s="28" t="str">
        <f aca="false">IF($A281="","",IF($B281="Mileage",N($E281)*Settings!$B$13,N($D281)))</f>
        <v/>
      </c>
      <c r="H281" s="27" t="str">
        <f aca="false">IF($A281="","",IF($A281&gt;=DATE(YEAR($A281),4,6),YEAR($A281)&amp;"/"&amp;RIGHT(YEAR($A281)+1,2),YEAR($A281)-1&amp;"/"&amp;RIGHT(YEAR($A281),2)))</f>
        <v/>
      </c>
      <c r="I281" s="29" t="str">
        <f aca="false">IF($A281="","",DATE(YEAR($A281),MONTH($A281),1))</f>
        <v/>
      </c>
    </row>
    <row r="282" customFormat="false" ht="15" hidden="false" customHeight="false" outlineLevel="0" collapsed="false">
      <c r="A282" s="22"/>
      <c r="B282" s="23"/>
      <c r="C282" s="23"/>
      <c r="D282" s="25"/>
      <c r="E282" s="32"/>
      <c r="F282" s="23"/>
      <c r="G282" s="28" t="str">
        <f aca="false">IF($A282="","",IF($B282="Mileage",N($E282)*Settings!$B$13,N($D282)))</f>
        <v/>
      </c>
      <c r="H282" s="27" t="str">
        <f aca="false">IF($A282="","",IF($A282&gt;=DATE(YEAR($A282),4,6),YEAR($A282)&amp;"/"&amp;RIGHT(YEAR($A282)+1,2),YEAR($A282)-1&amp;"/"&amp;RIGHT(YEAR($A282),2)))</f>
        <v/>
      </c>
      <c r="I282" s="29" t="str">
        <f aca="false">IF($A282="","",DATE(YEAR($A282),MONTH($A282),1))</f>
        <v/>
      </c>
    </row>
    <row r="283" customFormat="false" ht="15" hidden="false" customHeight="false" outlineLevel="0" collapsed="false">
      <c r="A283" s="22"/>
      <c r="B283" s="23"/>
      <c r="C283" s="23"/>
      <c r="D283" s="25"/>
      <c r="E283" s="32"/>
      <c r="F283" s="23"/>
      <c r="G283" s="28" t="str">
        <f aca="false">IF($A283="","",IF($B283="Mileage",N($E283)*Settings!$B$13,N($D283)))</f>
        <v/>
      </c>
      <c r="H283" s="27" t="str">
        <f aca="false">IF($A283="","",IF($A283&gt;=DATE(YEAR($A283),4,6),YEAR($A283)&amp;"/"&amp;RIGHT(YEAR($A283)+1,2),YEAR($A283)-1&amp;"/"&amp;RIGHT(YEAR($A283),2)))</f>
        <v/>
      </c>
      <c r="I283" s="29" t="str">
        <f aca="false">IF($A283="","",DATE(YEAR($A283),MONTH($A283),1))</f>
        <v/>
      </c>
    </row>
    <row r="284" customFormat="false" ht="15" hidden="false" customHeight="false" outlineLevel="0" collapsed="false">
      <c r="A284" s="22"/>
      <c r="B284" s="23"/>
      <c r="C284" s="23"/>
      <c r="D284" s="25"/>
      <c r="E284" s="32"/>
      <c r="F284" s="23"/>
      <c r="G284" s="28" t="str">
        <f aca="false">IF($A284="","",IF($B284="Mileage",N($E284)*Settings!$B$13,N($D284)))</f>
        <v/>
      </c>
      <c r="H284" s="27" t="str">
        <f aca="false">IF($A284="","",IF($A284&gt;=DATE(YEAR($A284),4,6),YEAR($A284)&amp;"/"&amp;RIGHT(YEAR($A284)+1,2),YEAR($A284)-1&amp;"/"&amp;RIGHT(YEAR($A284),2)))</f>
        <v/>
      </c>
      <c r="I284" s="29" t="str">
        <f aca="false">IF($A284="","",DATE(YEAR($A284),MONTH($A284),1))</f>
        <v/>
      </c>
    </row>
    <row r="285" customFormat="false" ht="15" hidden="false" customHeight="false" outlineLevel="0" collapsed="false">
      <c r="A285" s="22"/>
      <c r="B285" s="23"/>
      <c r="C285" s="23"/>
      <c r="D285" s="25"/>
      <c r="E285" s="32"/>
      <c r="F285" s="23"/>
      <c r="G285" s="28" t="str">
        <f aca="false">IF($A285="","",IF($B285="Mileage",N($E285)*Settings!$B$13,N($D285)))</f>
        <v/>
      </c>
      <c r="H285" s="27" t="str">
        <f aca="false">IF($A285="","",IF($A285&gt;=DATE(YEAR($A285),4,6),YEAR($A285)&amp;"/"&amp;RIGHT(YEAR($A285)+1,2),YEAR($A285)-1&amp;"/"&amp;RIGHT(YEAR($A285),2)))</f>
        <v/>
      </c>
      <c r="I285" s="29" t="str">
        <f aca="false">IF($A285="","",DATE(YEAR($A285),MONTH($A285),1))</f>
        <v/>
      </c>
    </row>
    <row r="286" customFormat="false" ht="15" hidden="false" customHeight="false" outlineLevel="0" collapsed="false">
      <c r="A286" s="22"/>
      <c r="B286" s="23"/>
      <c r="C286" s="23"/>
      <c r="D286" s="25"/>
      <c r="E286" s="32"/>
      <c r="F286" s="23"/>
      <c r="G286" s="28" t="str">
        <f aca="false">IF($A286="","",IF($B286="Mileage",N($E286)*Settings!$B$13,N($D286)))</f>
        <v/>
      </c>
      <c r="H286" s="27" t="str">
        <f aca="false">IF($A286="","",IF($A286&gt;=DATE(YEAR($A286),4,6),YEAR($A286)&amp;"/"&amp;RIGHT(YEAR($A286)+1,2),YEAR($A286)-1&amp;"/"&amp;RIGHT(YEAR($A286),2)))</f>
        <v/>
      </c>
      <c r="I286" s="29" t="str">
        <f aca="false">IF($A286="","",DATE(YEAR($A286),MONTH($A286),1))</f>
        <v/>
      </c>
    </row>
    <row r="287" customFormat="false" ht="15" hidden="false" customHeight="false" outlineLevel="0" collapsed="false">
      <c r="A287" s="22"/>
      <c r="B287" s="23"/>
      <c r="C287" s="23"/>
      <c r="D287" s="25"/>
      <c r="E287" s="32"/>
      <c r="F287" s="23"/>
      <c r="G287" s="28" t="str">
        <f aca="false">IF($A287="","",IF($B287="Mileage",N($E287)*Settings!$B$13,N($D287)))</f>
        <v/>
      </c>
      <c r="H287" s="27" t="str">
        <f aca="false">IF($A287="","",IF($A287&gt;=DATE(YEAR($A287),4,6),YEAR($A287)&amp;"/"&amp;RIGHT(YEAR($A287)+1,2),YEAR($A287)-1&amp;"/"&amp;RIGHT(YEAR($A287),2)))</f>
        <v/>
      </c>
      <c r="I287" s="29" t="str">
        <f aca="false">IF($A287="","",DATE(YEAR($A287),MONTH($A287),1))</f>
        <v/>
      </c>
    </row>
    <row r="288" customFormat="false" ht="15" hidden="false" customHeight="false" outlineLevel="0" collapsed="false">
      <c r="A288" s="22"/>
      <c r="B288" s="23"/>
      <c r="C288" s="23"/>
      <c r="D288" s="25"/>
      <c r="E288" s="32"/>
      <c r="F288" s="23"/>
      <c r="G288" s="28" t="str">
        <f aca="false">IF($A288="","",IF($B288="Mileage",N($E288)*Settings!$B$13,N($D288)))</f>
        <v/>
      </c>
      <c r="H288" s="27" t="str">
        <f aca="false">IF($A288="","",IF($A288&gt;=DATE(YEAR($A288),4,6),YEAR($A288)&amp;"/"&amp;RIGHT(YEAR($A288)+1,2),YEAR($A288)-1&amp;"/"&amp;RIGHT(YEAR($A288),2)))</f>
        <v/>
      </c>
      <c r="I288" s="29" t="str">
        <f aca="false">IF($A288="","",DATE(YEAR($A288),MONTH($A288),1))</f>
        <v/>
      </c>
    </row>
    <row r="289" customFormat="false" ht="15" hidden="false" customHeight="false" outlineLevel="0" collapsed="false">
      <c r="A289" s="22"/>
      <c r="B289" s="23"/>
      <c r="C289" s="23"/>
      <c r="D289" s="25"/>
      <c r="E289" s="32"/>
      <c r="F289" s="23"/>
      <c r="G289" s="28" t="str">
        <f aca="false">IF($A289="","",IF($B289="Mileage",N($E289)*Settings!$B$13,N($D289)))</f>
        <v/>
      </c>
      <c r="H289" s="27" t="str">
        <f aca="false">IF($A289="","",IF($A289&gt;=DATE(YEAR($A289),4,6),YEAR($A289)&amp;"/"&amp;RIGHT(YEAR($A289)+1,2),YEAR($A289)-1&amp;"/"&amp;RIGHT(YEAR($A289),2)))</f>
        <v/>
      </c>
      <c r="I289" s="29" t="str">
        <f aca="false">IF($A289="","",DATE(YEAR($A289),MONTH($A289),1))</f>
        <v/>
      </c>
    </row>
    <row r="290" customFormat="false" ht="15" hidden="false" customHeight="false" outlineLevel="0" collapsed="false">
      <c r="A290" s="22"/>
      <c r="B290" s="23"/>
      <c r="C290" s="23"/>
      <c r="D290" s="25"/>
      <c r="E290" s="32"/>
      <c r="F290" s="23"/>
      <c r="G290" s="28" t="str">
        <f aca="false">IF($A290="","",IF($B290="Mileage",N($E290)*Settings!$B$13,N($D290)))</f>
        <v/>
      </c>
      <c r="H290" s="27" t="str">
        <f aca="false">IF($A290="","",IF($A290&gt;=DATE(YEAR($A290),4,6),YEAR($A290)&amp;"/"&amp;RIGHT(YEAR($A290)+1,2),YEAR($A290)-1&amp;"/"&amp;RIGHT(YEAR($A290),2)))</f>
        <v/>
      </c>
      <c r="I290" s="29" t="str">
        <f aca="false">IF($A290="","",DATE(YEAR($A290),MONTH($A290),1))</f>
        <v/>
      </c>
    </row>
    <row r="291" customFormat="false" ht="15" hidden="false" customHeight="false" outlineLevel="0" collapsed="false">
      <c r="A291" s="22"/>
      <c r="B291" s="23"/>
      <c r="C291" s="23"/>
      <c r="D291" s="25"/>
      <c r="E291" s="32"/>
      <c r="F291" s="23"/>
      <c r="G291" s="28" t="str">
        <f aca="false">IF($A291="","",IF($B291="Mileage",N($E291)*Settings!$B$13,N($D291)))</f>
        <v/>
      </c>
      <c r="H291" s="27" t="str">
        <f aca="false">IF($A291="","",IF($A291&gt;=DATE(YEAR($A291),4,6),YEAR($A291)&amp;"/"&amp;RIGHT(YEAR($A291)+1,2),YEAR($A291)-1&amp;"/"&amp;RIGHT(YEAR($A291),2)))</f>
        <v/>
      </c>
      <c r="I291" s="29" t="str">
        <f aca="false">IF($A291="","",DATE(YEAR($A291),MONTH($A291),1))</f>
        <v/>
      </c>
    </row>
    <row r="292" customFormat="false" ht="15" hidden="false" customHeight="false" outlineLevel="0" collapsed="false">
      <c r="A292" s="22"/>
      <c r="B292" s="23"/>
      <c r="C292" s="23"/>
      <c r="D292" s="25"/>
      <c r="E292" s="32"/>
      <c r="F292" s="23"/>
      <c r="G292" s="28" t="str">
        <f aca="false">IF($A292="","",IF($B292="Mileage",N($E292)*Settings!$B$13,N($D292)))</f>
        <v/>
      </c>
      <c r="H292" s="27" t="str">
        <f aca="false">IF($A292="","",IF($A292&gt;=DATE(YEAR($A292),4,6),YEAR($A292)&amp;"/"&amp;RIGHT(YEAR($A292)+1,2),YEAR($A292)-1&amp;"/"&amp;RIGHT(YEAR($A292),2)))</f>
        <v/>
      </c>
      <c r="I292" s="29" t="str">
        <f aca="false">IF($A292="","",DATE(YEAR($A292),MONTH($A292),1))</f>
        <v/>
      </c>
    </row>
    <row r="293" customFormat="false" ht="15" hidden="false" customHeight="false" outlineLevel="0" collapsed="false">
      <c r="A293" s="22"/>
      <c r="B293" s="23"/>
      <c r="C293" s="23"/>
      <c r="D293" s="25"/>
      <c r="E293" s="32"/>
      <c r="F293" s="23"/>
      <c r="G293" s="28" t="str">
        <f aca="false">IF($A293="","",IF($B293="Mileage",N($E293)*Settings!$B$13,N($D293)))</f>
        <v/>
      </c>
      <c r="H293" s="27" t="str">
        <f aca="false">IF($A293="","",IF($A293&gt;=DATE(YEAR($A293),4,6),YEAR($A293)&amp;"/"&amp;RIGHT(YEAR($A293)+1,2),YEAR($A293)-1&amp;"/"&amp;RIGHT(YEAR($A293),2)))</f>
        <v/>
      </c>
      <c r="I293" s="29" t="str">
        <f aca="false">IF($A293="","",DATE(YEAR($A293),MONTH($A293),1))</f>
        <v/>
      </c>
    </row>
    <row r="294" customFormat="false" ht="15" hidden="false" customHeight="false" outlineLevel="0" collapsed="false">
      <c r="A294" s="22"/>
      <c r="B294" s="23"/>
      <c r="C294" s="23"/>
      <c r="D294" s="25"/>
      <c r="E294" s="32"/>
      <c r="F294" s="23"/>
      <c r="G294" s="28" t="str">
        <f aca="false">IF($A294="","",IF($B294="Mileage",N($E294)*Settings!$B$13,N($D294)))</f>
        <v/>
      </c>
      <c r="H294" s="27" t="str">
        <f aca="false">IF($A294="","",IF($A294&gt;=DATE(YEAR($A294),4,6),YEAR($A294)&amp;"/"&amp;RIGHT(YEAR($A294)+1,2),YEAR($A294)-1&amp;"/"&amp;RIGHT(YEAR($A294),2)))</f>
        <v/>
      </c>
      <c r="I294" s="29" t="str">
        <f aca="false">IF($A294="","",DATE(YEAR($A294),MONTH($A294),1))</f>
        <v/>
      </c>
    </row>
    <row r="295" customFormat="false" ht="15" hidden="false" customHeight="false" outlineLevel="0" collapsed="false">
      <c r="A295" s="22"/>
      <c r="B295" s="23"/>
      <c r="C295" s="23"/>
      <c r="D295" s="25"/>
      <c r="E295" s="32"/>
      <c r="F295" s="23"/>
      <c r="G295" s="28" t="str">
        <f aca="false">IF($A295="","",IF($B295="Mileage",N($E295)*Settings!$B$13,N($D295)))</f>
        <v/>
      </c>
      <c r="H295" s="27" t="str">
        <f aca="false">IF($A295="","",IF($A295&gt;=DATE(YEAR($A295),4,6),YEAR($A295)&amp;"/"&amp;RIGHT(YEAR($A295)+1,2),YEAR($A295)-1&amp;"/"&amp;RIGHT(YEAR($A295),2)))</f>
        <v/>
      </c>
      <c r="I295" s="29" t="str">
        <f aca="false">IF($A295="","",DATE(YEAR($A295),MONTH($A295),1))</f>
        <v/>
      </c>
    </row>
    <row r="296" customFormat="false" ht="15" hidden="false" customHeight="false" outlineLevel="0" collapsed="false">
      <c r="A296" s="22"/>
      <c r="B296" s="23"/>
      <c r="C296" s="23"/>
      <c r="D296" s="25"/>
      <c r="E296" s="32"/>
      <c r="F296" s="23"/>
      <c r="G296" s="28" t="str">
        <f aca="false">IF($A296="","",IF($B296="Mileage",N($E296)*Settings!$B$13,N($D296)))</f>
        <v/>
      </c>
      <c r="H296" s="27" t="str">
        <f aca="false">IF($A296="","",IF($A296&gt;=DATE(YEAR($A296),4,6),YEAR($A296)&amp;"/"&amp;RIGHT(YEAR($A296)+1,2),YEAR($A296)-1&amp;"/"&amp;RIGHT(YEAR($A296),2)))</f>
        <v/>
      </c>
      <c r="I296" s="29" t="str">
        <f aca="false">IF($A296="","",DATE(YEAR($A296),MONTH($A296),1))</f>
        <v/>
      </c>
    </row>
    <row r="297" customFormat="false" ht="15" hidden="false" customHeight="false" outlineLevel="0" collapsed="false">
      <c r="A297" s="22"/>
      <c r="B297" s="23"/>
      <c r="C297" s="23"/>
      <c r="D297" s="25"/>
      <c r="E297" s="32"/>
      <c r="F297" s="23"/>
      <c r="G297" s="28" t="str">
        <f aca="false">IF($A297="","",IF($B297="Mileage",N($E297)*Settings!$B$13,N($D297)))</f>
        <v/>
      </c>
      <c r="H297" s="27" t="str">
        <f aca="false">IF($A297="","",IF($A297&gt;=DATE(YEAR($A297),4,6),YEAR($A297)&amp;"/"&amp;RIGHT(YEAR($A297)+1,2),YEAR($A297)-1&amp;"/"&amp;RIGHT(YEAR($A297),2)))</f>
        <v/>
      </c>
      <c r="I297" s="29" t="str">
        <f aca="false">IF($A297="","",DATE(YEAR($A297),MONTH($A297),1))</f>
        <v/>
      </c>
    </row>
    <row r="298" customFormat="false" ht="15" hidden="false" customHeight="false" outlineLevel="0" collapsed="false">
      <c r="A298" s="22"/>
      <c r="B298" s="23"/>
      <c r="C298" s="23"/>
      <c r="D298" s="25"/>
      <c r="E298" s="32"/>
      <c r="F298" s="23"/>
      <c r="G298" s="28" t="str">
        <f aca="false">IF($A298="","",IF($B298="Mileage",N($E298)*Settings!$B$13,N($D298)))</f>
        <v/>
      </c>
      <c r="H298" s="27" t="str">
        <f aca="false">IF($A298="","",IF($A298&gt;=DATE(YEAR($A298),4,6),YEAR($A298)&amp;"/"&amp;RIGHT(YEAR($A298)+1,2),YEAR($A298)-1&amp;"/"&amp;RIGHT(YEAR($A298),2)))</f>
        <v/>
      </c>
      <c r="I298" s="29" t="str">
        <f aca="false">IF($A298="","",DATE(YEAR($A298),MONTH($A298),1))</f>
        <v/>
      </c>
    </row>
    <row r="299" customFormat="false" ht="15" hidden="false" customHeight="false" outlineLevel="0" collapsed="false">
      <c r="A299" s="22"/>
      <c r="B299" s="23"/>
      <c r="C299" s="23"/>
      <c r="D299" s="25"/>
      <c r="E299" s="32"/>
      <c r="F299" s="23"/>
      <c r="G299" s="28" t="str">
        <f aca="false">IF($A299="","",IF($B299="Mileage",N($E299)*Settings!$B$13,N($D299)))</f>
        <v/>
      </c>
      <c r="H299" s="27" t="str">
        <f aca="false">IF($A299="","",IF($A299&gt;=DATE(YEAR($A299),4,6),YEAR($A299)&amp;"/"&amp;RIGHT(YEAR($A299)+1,2),YEAR($A299)-1&amp;"/"&amp;RIGHT(YEAR($A299),2)))</f>
        <v/>
      </c>
      <c r="I299" s="29" t="str">
        <f aca="false">IF($A299="","",DATE(YEAR($A299),MONTH($A299),1))</f>
        <v/>
      </c>
    </row>
    <row r="300" customFormat="false" ht="15" hidden="false" customHeight="false" outlineLevel="0" collapsed="false">
      <c r="A300" s="22"/>
      <c r="B300" s="23"/>
      <c r="C300" s="23"/>
      <c r="D300" s="25"/>
      <c r="E300" s="32"/>
      <c r="F300" s="23"/>
      <c r="G300" s="28" t="str">
        <f aca="false">IF($A300="","",IF($B300="Mileage",N($E300)*Settings!$B$13,N($D300)))</f>
        <v/>
      </c>
      <c r="H300" s="27" t="str">
        <f aca="false">IF($A300="","",IF($A300&gt;=DATE(YEAR($A300),4,6),YEAR($A300)&amp;"/"&amp;RIGHT(YEAR($A300)+1,2),YEAR($A300)-1&amp;"/"&amp;RIGHT(YEAR($A300),2)))</f>
        <v/>
      </c>
      <c r="I300" s="29" t="str">
        <f aca="false">IF($A300="","",DATE(YEAR($A300),MONTH($A300),1))</f>
        <v/>
      </c>
    </row>
    <row r="301" customFormat="false" ht="15" hidden="false" customHeight="false" outlineLevel="0" collapsed="false">
      <c r="A301" s="22"/>
      <c r="B301" s="23"/>
      <c r="C301" s="23"/>
      <c r="D301" s="25"/>
      <c r="E301" s="32"/>
      <c r="F301" s="23"/>
      <c r="G301" s="28" t="str">
        <f aca="false">IF($A301="","",IF($B301="Mileage",N($E301)*Settings!$B$13,N($D301)))</f>
        <v/>
      </c>
      <c r="H301" s="27" t="str">
        <f aca="false">IF($A301="","",IF($A301&gt;=DATE(YEAR($A301),4,6),YEAR($A301)&amp;"/"&amp;RIGHT(YEAR($A301)+1,2),YEAR($A301)-1&amp;"/"&amp;RIGHT(YEAR($A301),2)))</f>
        <v/>
      </c>
      <c r="I301" s="29" t="str">
        <f aca="false">IF($A301="","",DATE(YEAR($A301),MONTH($A301),1))</f>
        <v/>
      </c>
    </row>
    <row r="302" customFormat="false" ht="15" hidden="false" customHeight="false" outlineLevel="0" collapsed="false">
      <c r="A302" s="22"/>
      <c r="B302" s="23"/>
      <c r="C302" s="23"/>
      <c r="D302" s="25"/>
      <c r="E302" s="32"/>
      <c r="F302" s="23"/>
      <c r="G302" s="28" t="str">
        <f aca="false">IF($A302="","",IF($B302="Mileage",N($E302)*Settings!$B$13,N($D302)))</f>
        <v/>
      </c>
      <c r="H302" s="27" t="str">
        <f aca="false">IF($A302="","",IF($A302&gt;=DATE(YEAR($A302),4,6),YEAR($A302)&amp;"/"&amp;RIGHT(YEAR($A302)+1,2),YEAR($A302)-1&amp;"/"&amp;RIGHT(YEAR($A302),2)))</f>
        <v/>
      </c>
      <c r="I302" s="29" t="str">
        <f aca="false">IF($A302="","",DATE(YEAR($A302),MONTH($A302),1))</f>
        <v/>
      </c>
    </row>
    <row r="303" customFormat="false" ht="15" hidden="false" customHeight="false" outlineLevel="0" collapsed="false">
      <c r="A303" s="22"/>
      <c r="B303" s="23"/>
      <c r="C303" s="23"/>
      <c r="D303" s="25"/>
      <c r="E303" s="32"/>
      <c r="F303" s="23"/>
      <c r="G303" s="28" t="str">
        <f aca="false">IF($A303="","",IF($B303="Mileage",N($E303)*Settings!$B$13,N($D303)))</f>
        <v/>
      </c>
      <c r="H303" s="27" t="str">
        <f aca="false">IF($A303="","",IF($A303&gt;=DATE(YEAR($A303),4,6),YEAR($A303)&amp;"/"&amp;RIGHT(YEAR($A303)+1,2),YEAR($A303)-1&amp;"/"&amp;RIGHT(YEAR($A303),2)))</f>
        <v/>
      </c>
      <c r="I303" s="29" t="str">
        <f aca="false">IF($A303="","",DATE(YEAR($A303),MONTH($A303),1))</f>
        <v/>
      </c>
    </row>
    <row r="304" customFormat="false" ht="15" hidden="false" customHeight="false" outlineLevel="0" collapsed="false">
      <c r="A304" s="22"/>
      <c r="B304" s="23"/>
      <c r="C304" s="23"/>
      <c r="D304" s="25"/>
      <c r="E304" s="32"/>
      <c r="F304" s="23"/>
      <c r="G304" s="28" t="str">
        <f aca="false">IF($A304="","",IF($B304="Mileage",N($E304)*Settings!$B$13,N($D304)))</f>
        <v/>
      </c>
      <c r="H304" s="27" t="str">
        <f aca="false">IF($A304="","",IF($A304&gt;=DATE(YEAR($A304),4,6),YEAR($A304)&amp;"/"&amp;RIGHT(YEAR($A304)+1,2),YEAR($A304)-1&amp;"/"&amp;RIGHT(YEAR($A304),2)))</f>
        <v/>
      </c>
      <c r="I304" s="29" t="str">
        <f aca="false">IF($A304="","",DATE(YEAR($A304),MONTH($A304),1))</f>
        <v/>
      </c>
    </row>
    <row r="305" customFormat="false" ht="15" hidden="false" customHeight="false" outlineLevel="0" collapsed="false">
      <c r="A305" s="22"/>
      <c r="B305" s="23"/>
      <c r="C305" s="23"/>
      <c r="D305" s="25"/>
      <c r="E305" s="32"/>
      <c r="F305" s="23"/>
      <c r="G305" s="28" t="str">
        <f aca="false">IF($A305="","",IF($B305="Mileage",N($E305)*Settings!$B$13,N($D305)))</f>
        <v/>
      </c>
      <c r="H305" s="27" t="str">
        <f aca="false">IF($A305="","",IF($A305&gt;=DATE(YEAR($A305),4,6),YEAR($A305)&amp;"/"&amp;RIGHT(YEAR($A305)+1,2),YEAR($A305)-1&amp;"/"&amp;RIGHT(YEAR($A305),2)))</f>
        <v/>
      </c>
      <c r="I305" s="29" t="str">
        <f aca="false">IF($A305="","",DATE(YEAR($A305),MONTH($A305),1))</f>
        <v/>
      </c>
    </row>
    <row r="306" customFormat="false" ht="15" hidden="false" customHeight="false" outlineLevel="0" collapsed="false">
      <c r="A306" s="22"/>
      <c r="B306" s="23"/>
      <c r="C306" s="23"/>
      <c r="D306" s="25"/>
      <c r="E306" s="32"/>
      <c r="F306" s="23"/>
      <c r="G306" s="28" t="str">
        <f aca="false">IF($A306="","",IF($B306="Mileage",N($E306)*Settings!$B$13,N($D306)))</f>
        <v/>
      </c>
      <c r="H306" s="27" t="str">
        <f aca="false">IF($A306="","",IF($A306&gt;=DATE(YEAR($A306),4,6),YEAR($A306)&amp;"/"&amp;RIGHT(YEAR($A306)+1,2),YEAR($A306)-1&amp;"/"&amp;RIGHT(YEAR($A306),2)))</f>
        <v/>
      </c>
      <c r="I306" s="29" t="str">
        <f aca="false">IF($A306="","",DATE(YEAR($A306),MONTH($A306),1))</f>
        <v/>
      </c>
    </row>
    <row r="307" customFormat="false" ht="15" hidden="false" customHeight="false" outlineLevel="0" collapsed="false">
      <c r="A307" s="22"/>
      <c r="B307" s="23"/>
      <c r="C307" s="23"/>
      <c r="D307" s="25"/>
      <c r="E307" s="32"/>
      <c r="F307" s="23"/>
      <c r="G307" s="28" t="str">
        <f aca="false">IF($A307="","",IF($B307="Mileage",N($E307)*Settings!$B$13,N($D307)))</f>
        <v/>
      </c>
      <c r="H307" s="27" t="str">
        <f aca="false">IF($A307="","",IF($A307&gt;=DATE(YEAR($A307),4,6),YEAR($A307)&amp;"/"&amp;RIGHT(YEAR($A307)+1,2),YEAR($A307)-1&amp;"/"&amp;RIGHT(YEAR($A307),2)))</f>
        <v/>
      </c>
      <c r="I307" s="29" t="str">
        <f aca="false">IF($A307="","",DATE(YEAR($A307),MONTH($A307),1))</f>
        <v/>
      </c>
    </row>
    <row r="308" customFormat="false" ht="15" hidden="false" customHeight="false" outlineLevel="0" collapsed="false">
      <c r="A308" s="22"/>
      <c r="B308" s="23"/>
      <c r="C308" s="23"/>
      <c r="D308" s="25"/>
      <c r="E308" s="32"/>
      <c r="F308" s="23"/>
      <c r="G308" s="28" t="str">
        <f aca="false">IF($A308="","",IF($B308="Mileage",N($E308)*Settings!$B$13,N($D308)))</f>
        <v/>
      </c>
      <c r="H308" s="27" t="str">
        <f aca="false">IF($A308="","",IF($A308&gt;=DATE(YEAR($A308),4,6),YEAR($A308)&amp;"/"&amp;RIGHT(YEAR($A308)+1,2),YEAR($A308)-1&amp;"/"&amp;RIGHT(YEAR($A308),2)))</f>
        <v/>
      </c>
      <c r="I308" s="29" t="str">
        <f aca="false">IF($A308="","",DATE(YEAR($A308),MONTH($A308),1))</f>
        <v/>
      </c>
    </row>
    <row r="309" customFormat="false" ht="15" hidden="false" customHeight="false" outlineLevel="0" collapsed="false">
      <c r="A309" s="22"/>
      <c r="B309" s="23"/>
      <c r="C309" s="23"/>
      <c r="D309" s="25"/>
      <c r="E309" s="32"/>
      <c r="F309" s="23"/>
      <c r="G309" s="28" t="str">
        <f aca="false">IF($A309="","",IF($B309="Mileage",N($E309)*Settings!$B$13,N($D309)))</f>
        <v/>
      </c>
      <c r="H309" s="27" t="str">
        <f aca="false">IF($A309="","",IF($A309&gt;=DATE(YEAR($A309),4,6),YEAR($A309)&amp;"/"&amp;RIGHT(YEAR($A309)+1,2),YEAR($A309)-1&amp;"/"&amp;RIGHT(YEAR($A309),2)))</f>
        <v/>
      </c>
      <c r="I309" s="29" t="str">
        <f aca="false">IF($A309="","",DATE(YEAR($A309),MONTH($A309),1))</f>
        <v/>
      </c>
    </row>
    <row r="310" customFormat="false" ht="15" hidden="false" customHeight="false" outlineLevel="0" collapsed="false">
      <c r="A310" s="22"/>
      <c r="B310" s="23"/>
      <c r="C310" s="23"/>
      <c r="D310" s="25"/>
      <c r="E310" s="32"/>
      <c r="F310" s="23"/>
      <c r="G310" s="28" t="str">
        <f aca="false">IF($A310="","",IF($B310="Mileage",N($E310)*Settings!$B$13,N($D310)))</f>
        <v/>
      </c>
      <c r="H310" s="27" t="str">
        <f aca="false">IF($A310="","",IF($A310&gt;=DATE(YEAR($A310),4,6),YEAR($A310)&amp;"/"&amp;RIGHT(YEAR($A310)+1,2),YEAR($A310)-1&amp;"/"&amp;RIGHT(YEAR($A310),2)))</f>
        <v/>
      </c>
      <c r="I310" s="29" t="str">
        <f aca="false">IF($A310="","",DATE(YEAR($A310),MONTH($A310),1))</f>
        <v/>
      </c>
    </row>
    <row r="311" customFormat="false" ht="15" hidden="false" customHeight="false" outlineLevel="0" collapsed="false">
      <c r="A311" s="22"/>
      <c r="B311" s="23"/>
      <c r="C311" s="23"/>
      <c r="D311" s="25"/>
      <c r="E311" s="32"/>
      <c r="F311" s="23"/>
      <c r="G311" s="28" t="str">
        <f aca="false">IF($A311="","",IF($B311="Mileage",N($E311)*Settings!$B$13,N($D311)))</f>
        <v/>
      </c>
      <c r="H311" s="27" t="str">
        <f aca="false">IF($A311="","",IF($A311&gt;=DATE(YEAR($A311),4,6),YEAR($A311)&amp;"/"&amp;RIGHT(YEAR($A311)+1,2),YEAR($A311)-1&amp;"/"&amp;RIGHT(YEAR($A311),2)))</f>
        <v/>
      </c>
      <c r="I311" s="29" t="str">
        <f aca="false">IF($A311="","",DATE(YEAR($A311),MONTH($A311),1))</f>
        <v/>
      </c>
    </row>
    <row r="312" customFormat="false" ht="15" hidden="false" customHeight="false" outlineLevel="0" collapsed="false">
      <c r="A312" s="22"/>
      <c r="B312" s="23"/>
      <c r="C312" s="23"/>
      <c r="D312" s="25"/>
      <c r="E312" s="32"/>
      <c r="F312" s="23"/>
      <c r="G312" s="28" t="str">
        <f aca="false">IF($A312="","",IF($B312="Mileage",N($E312)*Settings!$B$13,N($D312)))</f>
        <v/>
      </c>
      <c r="H312" s="27" t="str">
        <f aca="false">IF($A312="","",IF($A312&gt;=DATE(YEAR($A312),4,6),YEAR($A312)&amp;"/"&amp;RIGHT(YEAR($A312)+1,2),YEAR($A312)-1&amp;"/"&amp;RIGHT(YEAR($A312),2)))</f>
        <v/>
      </c>
      <c r="I312" s="29" t="str">
        <f aca="false">IF($A312="","",DATE(YEAR($A312),MONTH($A312),1))</f>
        <v/>
      </c>
    </row>
    <row r="313" customFormat="false" ht="15" hidden="false" customHeight="false" outlineLevel="0" collapsed="false">
      <c r="A313" s="22"/>
      <c r="B313" s="23"/>
      <c r="C313" s="23"/>
      <c r="D313" s="25"/>
      <c r="E313" s="32"/>
      <c r="F313" s="23"/>
      <c r="G313" s="28" t="str">
        <f aca="false">IF($A313="","",IF($B313="Mileage",N($E313)*Settings!$B$13,N($D313)))</f>
        <v/>
      </c>
      <c r="H313" s="27" t="str">
        <f aca="false">IF($A313="","",IF($A313&gt;=DATE(YEAR($A313),4,6),YEAR($A313)&amp;"/"&amp;RIGHT(YEAR($A313)+1,2),YEAR($A313)-1&amp;"/"&amp;RIGHT(YEAR($A313),2)))</f>
        <v/>
      </c>
      <c r="I313" s="29" t="str">
        <f aca="false">IF($A313="","",DATE(YEAR($A313),MONTH($A313),1))</f>
        <v/>
      </c>
    </row>
    <row r="314" customFormat="false" ht="15" hidden="false" customHeight="false" outlineLevel="0" collapsed="false">
      <c r="A314" s="22"/>
      <c r="B314" s="23"/>
      <c r="C314" s="23"/>
      <c r="D314" s="25"/>
      <c r="E314" s="32"/>
      <c r="F314" s="23"/>
      <c r="G314" s="28" t="str">
        <f aca="false">IF($A314="","",IF($B314="Mileage",N($E314)*Settings!$B$13,N($D314)))</f>
        <v/>
      </c>
      <c r="H314" s="27" t="str">
        <f aca="false">IF($A314="","",IF($A314&gt;=DATE(YEAR($A314),4,6),YEAR($A314)&amp;"/"&amp;RIGHT(YEAR($A314)+1,2),YEAR($A314)-1&amp;"/"&amp;RIGHT(YEAR($A314),2)))</f>
        <v/>
      </c>
      <c r="I314" s="29" t="str">
        <f aca="false">IF($A314="","",DATE(YEAR($A314),MONTH($A314),1))</f>
        <v/>
      </c>
    </row>
    <row r="315" customFormat="false" ht="15" hidden="false" customHeight="false" outlineLevel="0" collapsed="false">
      <c r="A315" s="22"/>
      <c r="B315" s="23"/>
      <c r="C315" s="23"/>
      <c r="D315" s="25"/>
      <c r="E315" s="32"/>
      <c r="F315" s="23"/>
      <c r="G315" s="28" t="str">
        <f aca="false">IF($A315="","",IF($B315="Mileage",N($E315)*Settings!$B$13,N($D315)))</f>
        <v/>
      </c>
      <c r="H315" s="27" t="str">
        <f aca="false">IF($A315="","",IF($A315&gt;=DATE(YEAR($A315),4,6),YEAR($A315)&amp;"/"&amp;RIGHT(YEAR($A315)+1,2),YEAR($A315)-1&amp;"/"&amp;RIGHT(YEAR($A315),2)))</f>
        <v/>
      </c>
      <c r="I315" s="29" t="str">
        <f aca="false">IF($A315="","",DATE(YEAR($A315),MONTH($A315),1))</f>
        <v/>
      </c>
    </row>
    <row r="316" customFormat="false" ht="15" hidden="false" customHeight="false" outlineLevel="0" collapsed="false">
      <c r="A316" s="22"/>
      <c r="B316" s="23"/>
      <c r="C316" s="23"/>
      <c r="D316" s="25"/>
      <c r="E316" s="32"/>
      <c r="F316" s="23"/>
      <c r="G316" s="28" t="str">
        <f aca="false">IF($A316="","",IF($B316="Mileage",N($E316)*Settings!$B$13,N($D316)))</f>
        <v/>
      </c>
      <c r="H316" s="27" t="str">
        <f aca="false">IF($A316="","",IF($A316&gt;=DATE(YEAR($A316),4,6),YEAR($A316)&amp;"/"&amp;RIGHT(YEAR($A316)+1,2),YEAR($A316)-1&amp;"/"&amp;RIGHT(YEAR($A316),2)))</f>
        <v/>
      </c>
      <c r="I316" s="29" t="str">
        <f aca="false">IF($A316="","",DATE(YEAR($A316),MONTH($A316),1))</f>
        <v/>
      </c>
    </row>
    <row r="317" customFormat="false" ht="15" hidden="false" customHeight="false" outlineLevel="0" collapsed="false">
      <c r="A317" s="22"/>
      <c r="B317" s="23"/>
      <c r="C317" s="23"/>
      <c r="D317" s="25"/>
      <c r="E317" s="32"/>
      <c r="F317" s="23"/>
      <c r="G317" s="28" t="str">
        <f aca="false">IF($A317="","",IF($B317="Mileage",N($E317)*Settings!$B$13,N($D317)))</f>
        <v/>
      </c>
      <c r="H317" s="27" t="str">
        <f aca="false">IF($A317="","",IF($A317&gt;=DATE(YEAR($A317),4,6),YEAR($A317)&amp;"/"&amp;RIGHT(YEAR($A317)+1,2),YEAR($A317)-1&amp;"/"&amp;RIGHT(YEAR($A317),2)))</f>
        <v/>
      </c>
      <c r="I317" s="29" t="str">
        <f aca="false">IF($A317="","",DATE(YEAR($A317),MONTH($A317),1))</f>
        <v/>
      </c>
    </row>
    <row r="318" customFormat="false" ht="15" hidden="false" customHeight="false" outlineLevel="0" collapsed="false">
      <c r="A318" s="22"/>
      <c r="B318" s="23"/>
      <c r="C318" s="23"/>
      <c r="D318" s="25"/>
      <c r="E318" s="32"/>
      <c r="F318" s="23"/>
      <c r="G318" s="28" t="str">
        <f aca="false">IF($A318="","",IF($B318="Mileage",N($E318)*Settings!$B$13,N($D318)))</f>
        <v/>
      </c>
      <c r="H318" s="27" t="str">
        <f aca="false">IF($A318="","",IF($A318&gt;=DATE(YEAR($A318),4,6),YEAR($A318)&amp;"/"&amp;RIGHT(YEAR($A318)+1,2),YEAR($A318)-1&amp;"/"&amp;RIGHT(YEAR($A318),2)))</f>
        <v/>
      </c>
      <c r="I318" s="29" t="str">
        <f aca="false">IF($A318="","",DATE(YEAR($A318),MONTH($A318),1))</f>
        <v/>
      </c>
    </row>
    <row r="319" customFormat="false" ht="15" hidden="false" customHeight="false" outlineLevel="0" collapsed="false">
      <c r="A319" s="22"/>
      <c r="B319" s="23"/>
      <c r="C319" s="23"/>
      <c r="D319" s="25"/>
      <c r="E319" s="32"/>
      <c r="F319" s="23"/>
      <c r="G319" s="28" t="str">
        <f aca="false">IF($A319="","",IF($B319="Mileage",N($E319)*Settings!$B$13,N($D319)))</f>
        <v/>
      </c>
      <c r="H319" s="27" t="str">
        <f aca="false">IF($A319="","",IF($A319&gt;=DATE(YEAR($A319),4,6),YEAR($A319)&amp;"/"&amp;RIGHT(YEAR($A319)+1,2),YEAR($A319)-1&amp;"/"&amp;RIGHT(YEAR($A319),2)))</f>
        <v/>
      </c>
      <c r="I319" s="29" t="str">
        <f aca="false">IF($A319="","",DATE(YEAR($A319),MONTH($A319),1))</f>
        <v/>
      </c>
    </row>
    <row r="320" customFormat="false" ht="15" hidden="false" customHeight="false" outlineLevel="0" collapsed="false">
      <c r="A320" s="22"/>
      <c r="B320" s="23"/>
      <c r="C320" s="23"/>
      <c r="D320" s="25"/>
      <c r="E320" s="32"/>
      <c r="F320" s="23"/>
      <c r="G320" s="28" t="str">
        <f aca="false">IF($A320="","",IF($B320="Mileage",N($E320)*Settings!$B$13,N($D320)))</f>
        <v/>
      </c>
      <c r="H320" s="27" t="str">
        <f aca="false">IF($A320="","",IF($A320&gt;=DATE(YEAR($A320),4,6),YEAR($A320)&amp;"/"&amp;RIGHT(YEAR($A320)+1,2),YEAR($A320)-1&amp;"/"&amp;RIGHT(YEAR($A320),2)))</f>
        <v/>
      </c>
      <c r="I320" s="29" t="str">
        <f aca="false">IF($A320="","",DATE(YEAR($A320),MONTH($A320),1))</f>
        <v/>
      </c>
    </row>
    <row r="321" customFormat="false" ht="15" hidden="false" customHeight="false" outlineLevel="0" collapsed="false">
      <c r="A321" s="22"/>
      <c r="B321" s="23"/>
      <c r="C321" s="23"/>
      <c r="D321" s="25"/>
      <c r="E321" s="32"/>
      <c r="F321" s="23"/>
      <c r="G321" s="28" t="str">
        <f aca="false">IF($A321="","",IF($B321="Mileage",N($E321)*Settings!$B$13,N($D321)))</f>
        <v/>
      </c>
      <c r="H321" s="27" t="str">
        <f aca="false">IF($A321="","",IF($A321&gt;=DATE(YEAR($A321),4,6),YEAR($A321)&amp;"/"&amp;RIGHT(YEAR($A321)+1,2),YEAR($A321)-1&amp;"/"&amp;RIGHT(YEAR($A321),2)))</f>
        <v/>
      </c>
      <c r="I321" s="29" t="str">
        <f aca="false">IF($A321="","",DATE(YEAR($A321),MONTH($A321),1))</f>
        <v/>
      </c>
    </row>
    <row r="322" customFormat="false" ht="15" hidden="false" customHeight="false" outlineLevel="0" collapsed="false">
      <c r="A322" s="22"/>
      <c r="B322" s="23"/>
      <c r="C322" s="23"/>
      <c r="D322" s="25"/>
      <c r="E322" s="32"/>
      <c r="F322" s="23"/>
      <c r="G322" s="28" t="str">
        <f aca="false">IF($A322="","",IF($B322="Mileage",N($E322)*Settings!$B$13,N($D322)))</f>
        <v/>
      </c>
      <c r="H322" s="27" t="str">
        <f aca="false">IF($A322="","",IF($A322&gt;=DATE(YEAR($A322),4,6),YEAR($A322)&amp;"/"&amp;RIGHT(YEAR($A322)+1,2),YEAR($A322)-1&amp;"/"&amp;RIGHT(YEAR($A322),2)))</f>
        <v/>
      </c>
      <c r="I322" s="29" t="str">
        <f aca="false">IF($A322="","",DATE(YEAR($A322),MONTH($A322),1))</f>
        <v/>
      </c>
    </row>
    <row r="323" customFormat="false" ht="15" hidden="false" customHeight="false" outlineLevel="0" collapsed="false">
      <c r="A323" s="22"/>
      <c r="B323" s="23"/>
      <c r="C323" s="23"/>
      <c r="D323" s="25"/>
      <c r="E323" s="32"/>
      <c r="F323" s="23"/>
      <c r="G323" s="28" t="str">
        <f aca="false">IF($A323="","",IF($B323="Mileage",N($E323)*Settings!$B$13,N($D323)))</f>
        <v/>
      </c>
      <c r="H323" s="27" t="str">
        <f aca="false">IF($A323="","",IF($A323&gt;=DATE(YEAR($A323),4,6),YEAR($A323)&amp;"/"&amp;RIGHT(YEAR($A323)+1,2),YEAR($A323)-1&amp;"/"&amp;RIGHT(YEAR($A323),2)))</f>
        <v/>
      </c>
      <c r="I323" s="29" t="str">
        <f aca="false">IF($A323="","",DATE(YEAR($A323),MONTH($A323),1))</f>
        <v/>
      </c>
    </row>
    <row r="324" customFormat="false" ht="15" hidden="false" customHeight="false" outlineLevel="0" collapsed="false">
      <c r="A324" s="22"/>
      <c r="B324" s="23"/>
      <c r="C324" s="23"/>
      <c r="D324" s="25"/>
      <c r="E324" s="32"/>
      <c r="F324" s="23"/>
      <c r="G324" s="28" t="str">
        <f aca="false">IF($A324="","",IF($B324="Mileage",N($E324)*Settings!$B$13,N($D324)))</f>
        <v/>
      </c>
      <c r="H324" s="27" t="str">
        <f aca="false">IF($A324="","",IF($A324&gt;=DATE(YEAR($A324),4,6),YEAR($A324)&amp;"/"&amp;RIGHT(YEAR($A324)+1,2),YEAR($A324)-1&amp;"/"&amp;RIGHT(YEAR($A324),2)))</f>
        <v/>
      </c>
      <c r="I324" s="29" t="str">
        <f aca="false">IF($A324="","",DATE(YEAR($A324),MONTH($A324),1))</f>
        <v/>
      </c>
    </row>
    <row r="325" customFormat="false" ht="15" hidden="false" customHeight="false" outlineLevel="0" collapsed="false">
      <c r="A325" s="22"/>
      <c r="B325" s="23"/>
      <c r="C325" s="23"/>
      <c r="D325" s="25"/>
      <c r="E325" s="32"/>
      <c r="F325" s="23"/>
      <c r="G325" s="28" t="str">
        <f aca="false">IF($A325="","",IF($B325="Mileage",N($E325)*Settings!$B$13,N($D325)))</f>
        <v/>
      </c>
      <c r="H325" s="27" t="str">
        <f aca="false">IF($A325="","",IF($A325&gt;=DATE(YEAR($A325),4,6),YEAR($A325)&amp;"/"&amp;RIGHT(YEAR($A325)+1,2),YEAR($A325)-1&amp;"/"&amp;RIGHT(YEAR($A325),2)))</f>
        <v/>
      </c>
      <c r="I325" s="29" t="str">
        <f aca="false">IF($A325="","",DATE(YEAR($A325),MONTH($A325),1))</f>
        <v/>
      </c>
    </row>
    <row r="326" customFormat="false" ht="15" hidden="false" customHeight="false" outlineLevel="0" collapsed="false">
      <c r="A326" s="22"/>
      <c r="B326" s="23"/>
      <c r="C326" s="23"/>
      <c r="D326" s="25"/>
      <c r="E326" s="32"/>
      <c r="F326" s="23"/>
      <c r="G326" s="28" t="str">
        <f aca="false">IF($A326="","",IF($B326="Mileage",N($E326)*Settings!$B$13,N($D326)))</f>
        <v/>
      </c>
      <c r="H326" s="27" t="str">
        <f aca="false">IF($A326="","",IF($A326&gt;=DATE(YEAR($A326),4,6),YEAR($A326)&amp;"/"&amp;RIGHT(YEAR($A326)+1,2),YEAR($A326)-1&amp;"/"&amp;RIGHT(YEAR($A326),2)))</f>
        <v/>
      </c>
      <c r="I326" s="29" t="str">
        <f aca="false">IF($A326="","",DATE(YEAR($A326),MONTH($A326),1))</f>
        <v/>
      </c>
    </row>
    <row r="327" customFormat="false" ht="15" hidden="false" customHeight="false" outlineLevel="0" collapsed="false">
      <c r="A327" s="22"/>
      <c r="B327" s="23"/>
      <c r="C327" s="23"/>
      <c r="D327" s="25"/>
      <c r="E327" s="32"/>
      <c r="F327" s="23"/>
      <c r="G327" s="28" t="str">
        <f aca="false">IF($A327="","",IF($B327="Mileage",N($E327)*Settings!$B$13,N($D327)))</f>
        <v/>
      </c>
      <c r="H327" s="27" t="str">
        <f aca="false">IF($A327="","",IF($A327&gt;=DATE(YEAR($A327),4,6),YEAR($A327)&amp;"/"&amp;RIGHT(YEAR($A327)+1,2),YEAR($A327)-1&amp;"/"&amp;RIGHT(YEAR($A327),2)))</f>
        <v/>
      </c>
      <c r="I327" s="29" t="str">
        <f aca="false">IF($A327="","",DATE(YEAR($A327),MONTH($A327),1))</f>
        <v/>
      </c>
    </row>
    <row r="328" customFormat="false" ht="15" hidden="false" customHeight="false" outlineLevel="0" collapsed="false">
      <c r="A328" s="22"/>
      <c r="B328" s="23"/>
      <c r="C328" s="23"/>
      <c r="D328" s="25"/>
      <c r="E328" s="32"/>
      <c r="F328" s="23"/>
      <c r="G328" s="28" t="str">
        <f aca="false">IF($A328="","",IF($B328="Mileage",N($E328)*Settings!$B$13,N($D328)))</f>
        <v/>
      </c>
      <c r="H328" s="27" t="str">
        <f aca="false">IF($A328="","",IF($A328&gt;=DATE(YEAR($A328),4,6),YEAR($A328)&amp;"/"&amp;RIGHT(YEAR($A328)+1,2),YEAR($A328)-1&amp;"/"&amp;RIGHT(YEAR($A328),2)))</f>
        <v/>
      </c>
      <c r="I328" s="29" t="str">
        <f aca="false">IF($A328="","",DATE(YEAR($A328),MONTH($A328),1))</f>
        <v/>
      </c>
    </row>
    <row r="329" customFormat="false" ht="15" hidden="false" customHeight="false" outlineLevel="0" collapsed="false">
      <c r="A329" s="22"/>
      <c r="B329" s="23"/>
      <c r="C329" s="23"/>
      <c r="D329" s="25"/>
      <c r="E329" s="32"/>
      <c r="F329" s="23"/>
      <c r="G329" s="28" t="str">
        <f aca="false">IF($A329="","",IF($B329="Mileage",N($E329)*Settings!$B$13,N($D329)))</f>
        <v/>
      </c>
      <c r="H329" s="27" t="str">
        <f aca="false">IF($A329="","",IF($A329&gt;=DATE(YEAR($A329),4,6),YEAR($A329)&amp;"/"&amp;RIGHT(YEAR($A329)+1,2),YEAR($A329)-1&amp;"/"&amp;RIGHT(YEAR($A329),2)))</f>
        <v/>
      </c>
      <c r="I329" s="29" t="str">
        <f aca="false">IF($A329="","",DATE(YEAR($A329),MONTH($A329),1))</f>
        <v/>
      </c>
    </row>
    <row r="330" customFormat="false" ht="15" hidden="false" customHeight="false" outlineLevel="0" collapsed="false">
      <c r="A330" s="22"/>
      <c r="B330" s="23"/>
      <c r="C330" s="23"/>
      <c r="D330" s="25"/>
      <c r="E330" s="32"/>
      <c r="F330" s="23"/>
      <c r="G330" s="28" t="str">
        <f aca="false">IF($A330="","",IF($B330="Mileage",N($E330)*Settings!$B$13,N($D330)))</f>
        <v/>
      </c>
      <c r="H330" s="27" t="str">
        <f aca="false">IF($A330="","",IF($A330&gt;=DATE(YEAR($A330),4,6),YEAR($A330)&amp;"/"&amp;RIGHT(YEAR($A330)+1,2),YEAR($A330)-1&amp;"/"&amp;RIGHT(YEAR($A330),2)))</f>
        <v/>
      </c>
      <c r="I330" s="29" t="str">
        <f aca="false">IF($A330="","",DATE(YEAR($A330),MONTH($A330),1))</f>
        <v/>
      </c>
    </row>
    <row r="331" customFormat="false" ht="15" hidden="false" customHeight="false" outlineLevel="0" collapsed="false">
      <c r="A331" s="22"/>
      <c r="B331" s="23"/>
      <c r="C331" s="23"/>
      <c r="D331" s="25"/>
      <c r="E331" s="32"/>
      <c r="F331" s="23"/>
      <c r="G331" s="28" t="str">
        <f aca="false">IF($A331="","",IF($B331="Mileage",N($E331)*Settings!$B$13,N($D331)))</f>
        <v/>
      </c>
      <c r="H331" s="27" t="str">
        <f aca="false">IF($A331="","",IF($A331&gt;=DATE(YEAR($A331),4,6),YEAR($A331)&amp;"/"&amp;RIGHT(YEAR($A331)+1,2),YEAR($A331)-1&amp;"/"&amp;RIGHT(YEAR($A331),2)))</f>
        <v/>
      </c>
      <c r="I331" s="29" t="str">
        <f aca="false">IF($A331="","",DATE(YEAR($A331),MONTH($A331),1))</f>
        <v/>
      </c>
    </row>
    <row r="332" customFormat="false" ht="15" hidden="false" customHeight="false" outlineLevel="0" collapsed="false">
      <c r="A332" s="22"/>
      <c r="B332" s="23"/>
      <c r="C332" s="23"/>
      <c r="D332" s="25"/>
      <c r="E332" s="32"/>
      <c r="F332" s="23"/>
      <c r="G332" s="28" t="str">
        <f aca="false">IF($A332="","",IF($B332="Mileage",N($E332)*Settings!$B$13,N($D332)))</f>
        <v/>
      </c>
      <c r="H332" s="27" t="str">
        <f aca="false">IF($A332="","",IF($A332&gt;=DATE(YEAR($A332),4,6),YEAR($A332)&amp;"/"&amp;RIGHT(YEAR($A332)+1,2),YEAR($A332)-1&amp;"/"&amp;RIGHT(YEAR($A332),2)))</f>
        <v/>
      </c>
      <c r="I332" s="29" t="str">
        <f aca="false">IF($A332="","",DATE(YEAR($A332),MONTH($A332),1))</f>
        <v/>
      </c>
    </row>
    <row r="333" customFormat="false" ht="15" hidden="false" customHeight="false" outlineLevel="0" collapsed="false">
      <c r="A333" s="22"/>
      <c r="B333" s="23"/>
      <c r="C333" s="23"/>
      <c r="D333" s="25"/>
      <c r="E333" s="32"/>
      <c r="F333" s="23"/>
      <c r="G333" s="28" t="str">
        <f aca="false">IF($A333="","",IF($B333="Mileage",N($E333)*Settings!$B$13,N($D333)))</f>
        <v/>
      </c>
      <c r="H333" s="27" t="str">
        <f aca="false">IF($A333="","",IF($A333&gt;=DATE(YEAR($A333),4,6),YEAR($A333)&amp;"/"&amp;RIGHT(YEAR($A333)+1,2),YEAR($A333)-1&amp;"/"&amp;RIGHT(YEAR($A333),2)))</f>
        <v/>
      </c>
      <c r="I333" s="29" t="str">
        <f aca="false">IF($A333="","",DATE(YEAR($A333),MONTH($A333),1))</f>
        <v/>
      </c>
    </row>
    <row r="334" customFormat="false" ht="15" hidden="false" customHeight="false" outlineLevel="0" collapsed="false">
      <c r="A334" s="22"/>
      <c r="B334" s="23"/>
      <c r="C334" s="23"/>
      <c r="D334" s="25"/>
      <c r="E334" s="32"/>
      <c r="F334" s="23"/>
      <c r="G334" s="28" t="str">
        <f aca="false">IF($A334="","",IF($B334="Mileage",N($E334)*Settings!$B$13,N($D334)))</f>
        <v/>
      </c>
      <c r="H334" s="27" t="str">
        <f aca="false">IF($A334="","",IF($A334&gt;=DATE(YEAR($A334),4,6),YEAR($A334)&amp;"/"&amp;RIGHT(YEAR($A334)+1,2),YEAR($A334)-1&amp;"/"&amp;RIGHT(YEAR($A334),2)))</f>
        <v/>
      </c>
      <c r="I334" s="29" t="str">
        <f aca="false">IF($A334="","",DATE(YEAR($A334),MONTH($A334),1))</f>
        <v/>
      </c>
    </row>
    <row r="335" customFormat="false" ht="15" hidden="false" customHeight="false" outlineLevel="0" collapsed="false">
      <c r="A335" s="22"/>
      <c r="B335" s="23"/>
      <c r="C335" s="23"/>
      <c r="D335" s="25"/>
      <c r="E335" s="32"/>
      <c r="F335" s="23"/>
      <c r="G335" s="28" t="str">
        <f aca="false">IF($A335="","",IF($B335="Mileage",N($E335)*Settings!$B$13,N($D335)))</f>
        <v/>
      </c>
      <c r="H335" s="27" t="str">
        <f aca="false">IF($A335="","",IF($A335&gt;=DATE(YEAR($A335),4,6),YEAR($A335)&amp;"/"&amp;RIGHT(YEAR($A335)+1,2),YEAR($A335)-1&amp;"/"&amp;RIGHT(YEAR($A335),2)))</f>
        <v/>
      </c>
      <c r="I335" s="29" t="str">
        <f aca="false">IF($A335="","",DATE(YEAR($A335),MONTH($A335),1))</f>
        <v/>
      </c>
    </row>
    <row r="336" customFormat="false" ht="15" hidden="false" customHeight="false" outlineLevel="0" collapsed="false">
      <c r="A336" s="22"/>
      <c r="B336" s="23"/>
      <c r="C336" s="23"/>
      <c r="D336" s="25"/>
      <c r="E336" s="32"/>
      <c r="F336" s="23"/>
      <c r="G336" s="28" t="str">
        <f aca="false">IF($A336="","",IF($B336="Mileage",N($E336)*Settings!$B$13,N($D336)))</f>
        <v/>
      </c>
      <c r="H336" s="27" t="str">
        <f aca="false">IF($A336="","",IF($A336&gt;=DATE(YEAR($A336),4,6),YEAR($A336)&amp;"/"&amp;RIGHT(YEAR($A336)+1,2),YEAR($A336)-1&amp;"/"&amp;RIGHT(YEAR($A336),2)))</f>
        <v/>
      </c>
      <c r="I336" s="29" t="str">
        <f aca="false">IF($A336="","",DATE(YEAR($A336),MONTH($A336),1))</f>
        <v/>
      </c>
    </row>
    <row r="337" customFormat="false" ht="15" hidden="false" customHeight="false" outlineLevel="0" collapsed="false">
      <c r="A337" s="22"/>
      <c r="B337" s="23"/>
      <c r="C337" s="23"/>
      <c r="D337" s="25"/>
      <c r="E337" s="32"/>
      <c r="F337" s="23"/>
      <c r="G337" s="28" t="str">
        <f aca="false">IF($A337="","",IF($B337="Mileage",N($E337)*Settings!$B$13,N($D337)))</f>
        <v/>
      </c>
      <c r="H337" s="27" t="str">
        <f aca="false">IF($A337="","",IF($A337&gt;=DATE(YEAR($A337),4,6),YEAR($A337)&amp;"/"&amp;RIGHT(YEAR($A337)+1,2),YEAR($A337)-1&amp;"/"&amp;RIGHT(YEAR($A337),2)))</f>
        <v/>
      </c>
      <c r="I337" s="29" t="str">
        <f aca="false">IF($A337="","",DATE(YEAR($A337),MONTH($A337),1))</f>
        <v/>
      </c>
    </row>
    <row r="338" customFormat="false" ht="15" hidden="false" customHeight="false" outlineLevel="0" collapsed="false">
      <c r="A338" s="22"/>
      <c r="B338" s="23"/>
      <c r="C338" s="23"/>
      <c r="D338" s="25"/>
      <c r="E338" s="32"/>
      <c r="F338" s="23"/>
      <c r="G338" s="28" t="str">
        <f aca="false">IF($A338="","",IF($B338="Mileage",N($E338)*Settings!$B$13,N($D338)))</f>
        <v/>
      </c>
      <c r="H338" s="27" t="str">
        <f aca="false">IF($A338="","",IF($A338&gt;=DATE(YEAR($A338),4,6),YEAR($A338)&amp;"/"&amp;RIGHT(YEAR($A338)+1,2),YEAR($A338)-1&amp;"/"&amp;RIGHT(YEAR($A338),2)))</f>
        <v/>
      </c>
      <c r="I338" s="29" t="str">
        <f aca="false">IF($A338="","",DATE(YEAR($A338),MONTH($A338),1))</f>
        <v/>
      </c>
    </row>
    <row r="339" customFormat="false" ht="15" hidden="false" customHeight="false" outlineLevel="0" collapsed="false">
      <c r="A339" s="22"/>
      <c r="B339" s="23"/>
      <c r="C339" s="23"/>
      <c r="D339" s="25"/>
      <c r="E339" s="32"/>
      <c r="F339" s="23"/>
      <c r="G339" s="28" t="str">
        <f aca="false">IF($A339="","",IF($B339="Mileage",N($E339)*Settings!$B$13,N($D339)))</f>
        <v/>
      </c>
      <c r="H339" s="27" t="str">
        <f aca="false">IF($A339="","",IF($A339&gt;=DATE(YEAR($A339),4,6),YEAR($A339)&amp;"/"&amp;RIGHT(YEAR($A339)+1,2),YEAR($A339)-1&amp;"/"&amp;RIGHT(YEAR($A339),2)))</f>
        <v/>
      </c>
      <c r="I339" s="29" t="str">
        <f aca="false">IF($A339="","",DATE(YEAR($A339),MONTH($A339),1))</f>
        <v/>
      </c>
    </row>
    <row r="340" customFormat="false" ht="15" hidden="false" customHeight="false" outlineLevel="0" collapsed="false">
      <c r="A340" s="22"/>
      <c r="B340" s="23"/>
      <c r="C340" s="23"/>
      <c r="D340" s="25"/>
      <c r="E340" s="32"/>
      <c r="F340" s="23"/>
      <c r="G340" s="28" t="str">
        <f aca="false">IF($A340="","",IF($B340="Mileage",N($E340)*Settings!$B$13,N($D340)))</f>
        <v/>
      </c>
      <c r="H340" s="27" t="str">
        <f aca="false">IF($A340="","",IF($A340&gt;=DATE(YEAR($A340),4,6),YEAR($A340)&amp;"/"&amp;RIGHT(YEAR($A340)+1,2),YEAR($A340)-1&amp;"/"&amp;RIGHT(YEAR($A340),2)))</f>
        <v/>
      </c>
      <c r="I340" s="29" t="str">
        <f aca="false">IF($A340="","",DATE(YEAR($A340),MONTH($A340),1))</f>
        <v/>
      </c>
    </row>
    <row r="341" customFormat="false" ht="15" hidden="false" customHeight="false" outlineLevel="0" collapsed="false">
      <c r="A341" s="22"/>
      <c r="B341" s="23"/>
      <c r="C341" s="23"/>
      <c r="D341" s="25"/>
      <c r="E341" s="32"/>
      <c r="F341" s="23"/>
      <c r="G341" s="28" t="str">
        <f aca="false">IF($A341="","",IF($B341="Mileage",N($E341)*Settings!$B$13,N($D341)))</f>
        <v/>
      </c>
      <c r="H341" s="27" t="str">
        <f aca="false">IF($A341="","",IF($A341&gt;=DATE(YEAR($A341),4,6),YEAR($A341)&amp;"/"&amp;RIGHT(YEAR($A341)+1,2),YEAR($A341)-1&amp;"/"&amp;RIGHT(YEAR($A341),2)))</f>
        <v/>
      </c>
      <c r="I341" s="29" t="str">
        <f aca="false">IF($A341="","",DATE(YEAR($A341),MONTH($A341),1))</f>
        <v/>
      </c>
    </row>
    <row r="342" customFormat="false" ht="15" hidden="false" customHeight="false" outlineLevel="0" collapsed="false">
      <c r="A342" s="22"/>
      <c r="B342" s="23"/>
      <c r="C342" s="23"/>
      <c r="D342" s="25"/>
      <c r="E342" s="32"/>
      <c r="F342" s="23"/>
      <c r="G342" s="28" t="str">
        <f aca="false">IF($A342="","",IF($B342="Mileage",N($E342)*Settings!$B$13,N($D342)))</f>
        <v/>
      </c>
      <c r="H342" s="27" t="str">
        <f aca="false">IF($A342="","",IF($A342&gt;=DATE(YEAR($A342),4,6),YEAR($A342)&amp;"/"&amp;RIGHT(YEAR($A342)+1,2),YEAR($A342)-1&amp;"/"&amp;RIGHT(YEAR($A342),2)))</f>
        <v/>
      </c>
      <c r="I342" s="29" t="str">
        <f aca="false">IF($A342="","",DATE(YEAR($A342),MONTH($A342),1))</f>
        <v/>
      </c>
    </row>
    <row r="343" customFormat="false" ht="15" hidden="false" customHeight="false" outlineLevel="0" collapsed="false">
      <c r="A343" s="22"/>
      <c r="B343" s="23"/>
      <c r="C343" s="23"/>
      <c r="D343" s="25"/>
      <c r="E343" s="32"/>
      <c r="F343" s="23"/>
      <c r="G343" s="28" t="str">
        <f aca="false">IF($A343="","",IF($B343="Mileage",N($E343)*Settings!$B$13,N($D343)))</f>
        <v/>
      </c>
      <c r="H343" s="27" t="str">
        <f aca="false">IF($A343="","",IF($A343&gt;=DATE(YEAR($A343),4,6),YEAR($A343)&amp;"/"&amp;RIGHT(YEAR($A343)+1,2),YEAR($A343)-1&amp;"/"&amp;RIGHT(YEAR($A343),2)))</f>
        <v/>
      </c>
      <c r="I343" s="29" t="str">
        <f aca="false">IF($A343="","",DATE(YEAR($A343),MONTH($A343),1))</f>
        <v/>
      </c>
    </row>
    <row r="344" customFormat="false" ht="15" hidden="false" customHeight="false" outlineLevel="0" collapsed="false">
      <c r="A344" s="22"/>
      <c r="B344" s="23"/>
      <c r="C344" s="23"/>
      <c r="D344" s="25"/>
      <c r="E344" s="32"/>
      <c r="F344" s="23"/>
      <c r="G344" s="28" t="str">
        <f aca="false">IF($A344="","",IF($B344="Mileage",N($E344)*Settings!$B$13,N($D344)))</f>
        <v/>
      </c>
      <c r="H344" s="27" t="str">
        <f aca="false">IF($A344="","",IF($A344&gt;=DATE(YEAR($A344),4,6),YEAR($A344)&amp;"/"&amp;RIGHT(YEAR($A344)+1,2),YEAR($A344)-1&amp;"/"&amp;RIGHT(YEAR($A344),2)))</f>
        <v/>
      </c>
      <c r="I344" s="29" t="str">
        <f aca="false">IF($A344="","",DATE(YEAR($A344),MONTH($A344),1))</f>
        <v/>
      </c>
    </row>
    <row r="345" customFormat="false" ht="15" hidden="false" customHeight="false" outlineLevel="0" collapsed="false">
      <c r="A345" s="22"/>
      <c r="B345" s="23"/>
      <c r="C345" s="23"/>
      <c r="D345" s="25"/>
      <c r="E345" s="32"/>
      <c r="F345" s="23"/>
      <c r="G345" s="28" t="str">
        <f aca="false">IF($A345="","",IF($B345="Mileage",N($E345)*Settings!$B$13,N($D345)))</f>
        <v/>
      </c>
      <c r="H345" s="27" t="str">
        <f aca="false">IF($A345="","",IF($A345&gt;=DATE(YEAR($A345),4,6),YEAR($A345)&amp;"/"&amp;RIGHT(YEAR($A345)+1,2),YEAR($A345)-1&amp;"/"&amp;RIGHT(YEAR($A345),2)))</f>
        <v/>
      </c>
      <c r="I345" s="29" t="str">
        <f aca="false">IF($A345="","",DATE(YEAR($A345),MONTH($A345),1))</f>
        <v/>
      </c>
    </row>
    <row r="346" customFormat="false" ht="15" hidden="false" customHeight="false" outlineLevel="0" collapsed="false">
      <c r="A346" s="22"/>
      <c r="B346" s="23"/>
      <c r="C346" s="23"/>
      <c r="D346" s="25"/>
      <c r="E346" s="32"/>
      <c r="F346" s="23"/>
      <c r="G346" s="28" t="str">
        <f aca="false">IF($A346="","",IF($B346="Mileage",N($E346)*Settings!$B$13,N($D346)))</f>
        <v/>
      </c>
      <c r="H346" s="27" t="str">
        <f aca="false">IF($A346="","",IF($A346&gt;=DATE(YEAR($A346),4,6),YEAR($A346)&amp;"/"&amp;RIGHT(YEAR($A346)+1,2),YEAR($A346)-1&amp;"/"&amp;RIGHT(YEAR($A346),2)))</f>
        <v/>
      </c>
      <c r="I346" s="29" t="str">
        <f aca="false">IF($A346="","",DATE(YEAR($A346),MONTH($A346),1))</f>
        <v/>
      </c>
    </row>
    <row r="347" customFormat="false" ht="15" hidden="false" customHeight="false" outlineLevel="0" collapsed="false">
      <c r="A347" s="22"/>
      <c r="B347" s="23"/>
      <c r="C347" s="23"/>
      <c r="D347" s="25"/>
      <c r="E347" s="32"/>
      <c r="F347" s="23"/>
      <c r="G347" s="28" t="str">
        <f aca="false">IF($A347="","",IF($B347="Mileage",N($E347)*Settings!$B$13,N($D347)))</f>
        <v/>
      </c>
      <c r="H347" s="27" t="str">
        <f aca="false">IF($A347="","",IF($A347&gt;=DATE(YEAR($A347),4,6),YEAR($A347)&amp;"/"&amp;RIGHT(YEAR($A347)+1,2),YEAR($A347)-1&amp;"/"&amp;RIGHT(YEAR($A347),2)))</f>
        <v/>
      </c>
      <c r="I347" s="29" t="str">
        <f aca="false">IF($A347="","",DATE(YEAR($A347),MONTH($A347),1))</f>
        <v/>
      </c>
    </row>
    <row r="348" customFormat="false" ht="15" hidden="false" customHeight="false" outlineLevel="0" collapsed="false">
      <c r="A348" s="22"/>
      <c r="B348" s="23"/>
      <c r="C348" s="23"/>
      <c r="D348" s="25"/>
      <c r="E348" s="32"/>
      <c r="F348" s="23"/>
      <c r="G348" s="28" t="str">
        <f aca="false">IF($A348="","",IF($B348="Mileage",N($E348)*Settings!$B$13,N($D348)))</f>
        <v/>
      </c>
      <c r="H348" s="27" t="str">
        <f aca="false">IF($A348="","",IF($A348&gt;=DATE(YEAR($A348),4,6),YEAR($A348)&amp;"/"&amp;RIGHT(YEAR($A348)+1,2),YEAR($A348)-1&amp;"/"&amp;RIGHT(YEAR($A348),2)))</f>
        <v/>
      </c>
      <c r="I348" s="29" t="str">
        <f aca="false">IF($A348="","",DATE(YEAR($A348),MONTH($A348),1))</f>
        <v/>
      </c>
    </row>
    <row r="349" customFormat="false" ht="15" hidden="false" customHeight="false" outlineLevel="0" collapsed="false">
      <c r="A349" s="22"/>
      <c r="B349" s="23"/>
      <c r="C349" s="23"/>
      <c r="D349" s="25"/>
      <c r="E349" s="32"/>
      <c r="F349" s="23"/>
      <c r="G349" s="28" t="str">
        <f aca="false">IF($A349="","",IF($B349="Mileage",N($E349)*Settings!$B$13,N($D349)))</f>
        <v/>
      </c>
      <c r="H349" s="27" t="str">
        <f aca="false">IF($A349="","",IF($A349&gt;=DATE(YEAR($A349),4,6),YEAR($A349)&amp;"/"&amp;RIGHT(YEAR($A349)+1,2),YEAR($A349)-1&amp;"/"&amp;RIGHT(YEAR($A349),2)))</f>
        <v/>
      </c>
      <c r="I349" s="29" t="str">
        <f aca="false">IF($A349="","",DATE(YEAR($A349),MONTH($A349),1))</f>
        <v/>
      </c>
    </row>
    <row r="350" customFormat="false" ht="15" hidden="false" customHeight="false" outlineLevel="0" collapsed="false">
      <c r="A350" s="22"/>
      <c r="B350" s="23"/>
      <c r="C350" s="23"/>
      <c r="D350" s="25"/>
      <c r="E350" s="32"/>
      <c r="F350" s="23"/>
      <c r="G350" s="28" t="str">
        <f aca="false">IF($A350="","",IF($B350="Mileage",N($E350)*Settings!$B$13,N($D350)))</f>
        <v/>
      </c>
      <c r="H350" s="27" t="str">
        <f aca="false">IF($A350="","",IF($A350&gt;=DATE(YEAR($A350),4,6),YEAR($A350)&amp;"/"&amp;RIGHT(YEAR($A350)+1,2),YEAR($A350)-1&amp;"/"&amp;RIGHT(YEAR($A350),2)))</f>
        <v/>
      </c>
      <c r="I350" s="29" t="str">
        <f aca="false">IF($A350="","",DATE(YEAR($A350),MONTH($A350),1))</f>
        <v/>
      </c>
    </row>
    <row r="351" customFormat="false" ht="15" hidden="false" customHeight="false" outlineLevel="0" collapsed="false">
      <c r="A351" s="22"/>
      <c r="B351" s="23"/>
      <c r="C351" s="23"/>
      <c r="D351" s="25"/>
      <c r="E351" s="32"/>
      <c r="F351" s="23"/>
      <c r="G351" s="28" t="str">
        <f aca="false">IF($A351="","",IF($B351="Mileage",N($E351)*Settings!$B$13,N($D351)))</f>
        <v/>
      </c>
      <c r="H351" s="27" t="str">
        <f aca="false">IF($A351="","",IF($A351&gt;=DATE(YEAR($A351),4,6),YEAR($A351)&amp;"/"&amp;RIGHT(YEAR($A351)+1,2),YEAR($A351)-1&amp;"/"&amp;RIGHT(YEAR($A351),2)))</f>
        <v/>
      </c>
      <c r="I351" s="29" t="str">
        <f aca="false">IF($A351="","",DATE(YEAR($A351),MONTH($A351),1))</f>
        <v/>
      </c>
    </row>
    <row r="352" customFormat="false" ht="15" hidden="false" customHeight="false" outlineLevel="0" collapsed="false">
      <c r="A352" s="22"/>
      <c r="B352" s="23"/>
      <c r="C352" s="23"/>
      <c r="D352" s="25"/>
      <c r="E352" s="32"/>
      <c r="F352" s="23"/>
      <c r="G352" s="28" t="str">
        <f aca="false">IF($A352="","",IF($B352="Mileage",N($E352)*Settings!$B$13,N($D352)))</f>
        <v/>
      </c>
      <c r="H352" s="27" t="str">
        <f aca="false">IF($A352="","",IF($A352&gt;=DATE(YEAR($A352),4,6),YEAR($A352)&amp;"/"&amp;RIGHT(YEAR($A352)+1,2),YEAR($A352)-1&amp;"/"&amp;RIGHT(YEAR($A352),2)))</f>
        <v/>
      </c>
      <c r="I352" s="29" t="str">
        <f aca="false">IF($A352="","",DATE(YEAR($A352),MONTH($A352),1))</f>
        <v/>
      </c>
    </row>
    <row r="353" customFormat="false" ht="15" hidden="false" customHeight="false" outlineLevel="0" collapsed="false">
      <c r="A353" s="22"/>
      <c r="B353" s="23"/>
      <c r="C353" s="23"/>
      <c r="D353" s="25"/>
      <c r="E353" s="32"/>
      <c r="F353" s="23"/>
      <c r="G353" s="28" t="str">
        <f aca="false">IF($A353="","",IF($B353="Mileage",N($E353)*Settings!$B$13,N($D353)))</f>
        <v/>
      </c>
      <c r="H353" s="27" t="str">
        <f aca="false">IF($A353="","",IF($A353&gt;=DATE(YEAR($A353),4,6),YEAR($A353)&amp;"/"&amp;RIGHT(YEAR($A353)+1,2),YEAR($A353)-1&amp;"/"&amp;RIGHT(YEAR($A353),2)))</f>
        <v/>
      </c>
      <c r="I353" s="29" t="str">
        <f aca="false">IF($A353="","",DATE(YEAR($A353),MONTH($A353),1))</f>
        <v/>
      </c>
    </row>
    <row r="354" customFormat="false" ht="15" hidden="false" customHeight="false" outlineLevel="0" collapsed="false">
      <c r="A354" s="22"/>
      <c r="B354" s="23"/>
      <c r="C354" s="23"/>
      <c r="D354" s="25"/>
      <c r="E354" s="32"/>
      <c r="F354" s="23"/>
      <c r="G354" s="28" t="str">
        <f aca="false">IF($A354="","",IF($B354="Mileage",N($E354)*Settings!$B$13,N($D354)))</f>
        <v/>
      </c>
      <c r="H354" s="27" t="str">
        <f aca="false">IF($A354="","",IF($A354&gt;=DATE(YEAR($A354),4,6),YEAR($A354)&amp;"/"&amp;RIGHT(YEAR($A354)+1,2),YEAR($A354)-1&amp;"/"&amp;RIGHT(YEAR($A354),2)))</f>
        <v/>
      </c>
      <c r="I354" s="29" t="str">
        <f aca="false">IF($A354="","",DATE(YEAR($A354),MONTH($A354),1))</f>
        <v/>
      </c>
    </row>
    <row r="355" customFormat="false" ht="15" hidden="false" customHeight="false" outlineLevel="0" collapsed="false">
      <c r="A355" s="22"/>
      <c r="B355" s="23"/>
      <c r="C355" s="23"/>
      <c r="D355" s="25"/>
      <c r="E355" s="32"/>
      <c r="F355" s="23"/>
      <c r="G355" s="28" t="str">
        <f aca="false">IF($A355="","",IF($B355="Mileage",N($E355)*Settings!$B$13,N($D355)))</f>
        <v/>
      </c>
      <c r="H355" s="27" t="str">
        <f aca="false">IF($A355="","",IF($A355&gt;=DATE(YEAR($A355),4,6),YEAR($A355)&amp;"/"&amp;RIGHT(YEAR($A355)+1,2),YEAR($A355)-1&amp;"/"&amp;RIGHT(YEAR($A355),2)))</f>
        <v/>
      </c>
      <c r="I355" s="29" t="str">
        <f aca="false">IF($A355="","",DATE(YEAR($A355),MONTH($A355),1))</f>
        <v/>
      </c>
    </row>
    <row r="356" customFormat="false" ht="15" hidden="false" customHeight="false" outlineLevel="0" collapsed="false">
      <c r="A356" s="22"/>
      <c r="B356" s="23"/>
      <c r="C356" s="23"/>
      <c r="D356" s="25"/>
      <c r="E356" s="32"/>
      <c r="F356" s="23"/>
      <c r="G356" s="28" t="str">
        <f aca="false">IF($A356="","",IF($B356="Mileage",N($E356)*Settings!$B$13,N($D356)))</f>
        <v/>
      </c>
      <c r="H356" s="27" t="str">
        <f aca="false">IF($A356="","",IF($A356&gt;=DATE(YEAR($A356),4,6),YEAR($A356)&amp;"/"&amp;RIGHT(YEAR($A356)+1,2),YEAR($A356)-1&amp;"/"&amp;RIGHT(YEAR($A356),2)))</f>
        <v/>
      </c>
      <c r="I356" s="29" t="str">
        <f aca="false">IF($A356="","",DATE(YEAR($A356),MONTH($A356),1))</f>
        <v/>
      </c>
    </row>
    <row r="357" customFormat="false" ht="15" hidden="false" customHeight="false" outlineLevel="0" collapsed="false">
      <c r="A357" s="22"/>
      <c r="B357" s="23"/>
      <c r="C357" s="23"/>
      <c r="D357" s="25"/>
      <c r="E357" s="32"/>
      <c r="F357" s="23"/>
      <c r="G357" s="28" t="str">
        <f aca="false">IF($A357="","",IF($B357="Mileage",N($E357)*Settings!$B$13,N($D357)))</f>
        <v/>
      </c>
      <c r="H357" s="27" t="str">
        <f aca="false">IF($A357="","",IF($A357&gt;=DATE(YEAR($A357),4,6),YEAR($A357)&amp;"/"&amp;RIGHT(YEAR($A357)+1,2),YEAR($A357)-1&amp;"/"&amp;RIGHT(YEAR($A357),2)))</f>
        <v/>
      </c>
      <c r="I357" s="29" t="str">
        <f aca="false">IF($A357="","",DATE(YEAR($A357),MONTH($A357),1))</f>
        <v/>
      </c>
    </row>
    <row r="358" customFormat="false" ht="15" hidden="false" customHeight="false" outlineLevel="0" collapsed="false">
      <c r="A358" s="22"/>
      <c r="B358" s="23"/>
      <c r="C358" s="23"/>
      <c r="D358" s="25"/>
      <c r="E358" s="32"/>
      <c r="F358" s="23"/>
      <c r="G358" s="28" t="str">
        <f aca="false">IF($A358="","",IF($B358="Mileage",N($E358)*Settings!$B$13,N($D358)))</f>
        <v/>
      </c>
      <c r="H358" s="27" t="str">
        <f aca="false">IF($A358="","",IF($A358&gt;=DATE(YEAR($A358),4,6),YEAR($A358)&amp;"/"&amp;RIGHT(YEAR($A358)+1,2),YEAR($A358)-1&amp;"/"&amp;RIGHT(YEAR($A358),2)))</f>
        <v/>
      </c>
      <c r="I358" s="29" t="str">
        <f aca="false">IF($A358="","",DATE(YEAR($A358),MONTH($A358),1))</f>
        <v/>
      </c>
    </row>
    <row r="359" customFormat="false" ht="15" hidden="false" customHeight="false" outlineLevel="0" collapsed="false">
      <c r="A359" s="22"/>
      <c r="B359" s="23"/>
      <c r="C359" s="23"/>
      <c r="D359" s="25"/>
      <c r="E359" s="32"/>
      <c r="F359" s="23"/>
      <c r="G359" s="28" t="str">
        <f aca="false">IF($A359="","",IF($B359="Mileage",N($E359)*Settings!$B$13,N($D359)))</f>
        <v/>
      </c>
      <c r="H359" s="27" t="str">
        <f aca="false">IF($A359="","",IF($A359&gt;=DATE(YEAR($A359),4,6),YEAR($A359)&amp;"/"&amp;RIGHT(YEAR($A359)+1,2),YEAR($A359)-1&amp;"/"&amp;RIGHT(YEAR($A359),2)))</f>
        <v/>
      </c>
      <c r="I359" s="29" t="str">
        <f aca="false">IF($A359="","",DATE(YEAR($A359),MONTH($A359),1))</f>
        <v/>
      </c>
    </row>
    <row r="360" customFormat="false" ht="15" hidden="false" customHeight="false" outlineLevel="0" collapsed="false">
      <c r="A360" s="22"/>
      <c r="B360" s="23"/>
      <c r="C360" s="23"/>
      <c r="D360" s="25"/>
      <c r="E360" s="32"/>
      <c r="F360" s="23"/>
      <c r="G360" s="28" t="str">
        <f aca="false">IF($A360="","",IF($B360="Mileage",N($E360)*Settings!$B$13,N($D360)))</f>
        <v/>
      </c>
      <c r="H360" s="27" t="str">
        <f aca="false">IF($A360="","",IF($A360&gt;=DATE(YEAR($A360),4,6),YEAR($A360)&amp;"/"&amp;RIGHT(YEAR($A360)+1,2),YEAR($A360)-1&amp;"/"&amp;RIGHT(YEAR($A360),2)))</f>
        <v/>
      </c>
      <c r="I360" s="29" t="str">
        <f aca="false">IF($A360="","",DATE(YEAR($A360),MONTH($A360),1))</f>
        <v/>
      </c>
    </row>
    <row r="361" customFormat="false" ht="15" hidden="false" customHeight="false" outlineLevel="0" collapsed="false">
      <c r="A361" s="22"/>
      <c r="B361" s="23"/>
      <c r="C361" s="23"/>
      <c r="D361" s="25"/>
      <c r="E361" s="32"/>
      <c r="F361" s="23"/>
      <c r="G361" s="28" t="str">
        <f aca="false">IF($A361="","",IF($B361="Mileage",N($E361)*Settings!$B$13,N($D361)))</f>
        <v/>
      </c>
      <c r="H361" s="27" t="str">
        <f aca="false">IF($A361="","",IF($A361&gt;=DATE(YEAR($A361),4,6),YEAR($A361)&amp;"/"&amp;RIGHT(YEAR($A361)+1,2),YEAR($A361)-1&amp;"/"&amp;RIGHT(YEAR($A361),2)))</f>
        <v/>
      </c>
      <c r="I361" s="29" t="str">
        <f aca="false">IF($A361="","",DATE(YEAR($A361),MONTH($A361),1))</f>
        <v/>
      </c>
    </row>
    <row r="362" customFormat="false" ht="15" hidden="false" customHeight="false" outlineLevel="0" collapsed="false">
      <c r="A362" s="22"/>
      <c r="B362" s="23"/>
      <c r="C362" s="23"/>
      <c r="D362" s="25"/>
      <c r="E362" s="32"/>
      <c r="F362" s="23"/>
      <c r="G362" s="28" t="str">
        <f aca="false">IF($A362="","",IF($B362="Mileage",N($E362)*Settings!$B$13,N($D362)))</f>
        <v/>
      </c>
      <c r="H362" s="27" t="str">
        <f aca="false">IF($A362="","",IF($A362&gt;=DATE(YEAR($A362),4,6),YEAR($A362)&amp;"/"&amp;RIGHT(YEAR($A362)+1,2),YEAR($A362)-1&amp;"/"&amp;RIGHT(YEAR($A362),2)))</f>
        <v/>
      </c>
      <c r="I362" s="29" t="str">
        <f aca="false">IF($A362="","",DATE(YEAR($A362),MONTH($A362),1))</f>
        <v/>
      </c>
    </row>
    <row r="363" customFormat="false" ht="15" hidden="false" customHeight="false" outlineLevel="0" collapsed="false">
      <c r="A363" s="22"/>
      <c r="B363" s="23"/>
      <c r="C363" s="23"/>
      <c r="D363" s="25"/>
      <c r="E363" s="32"/>
      <c r="F363" s="23"/>
      <c r="G363" s="28" t="str">
        <f aca="false">IF($A363="","",IF($B363="Mileage",N($E363)*Settings!$B$13,N($D363)))</f>
        <v/>
      </c>
      <c r="H363" s="27" t="str">
        <f aca="false">IF($A363="","",IF($A363&gt;=DATE(YEAR($A363),4,6),YEAR($A363)&amp;"/"&amp;RIGHT(YEAR($A363)+1,2),YEAR($A363)-1&amp;"/"&amp;RIGHT(YEAR($A363),2)))</f>
        <v/>
      </c>
      <c r="I363" s="29" t="str">
        <f aca="false">IF($A363="","",DATE(YEAR($A363),MONTH($A363),1))</f>
        <v/>
      </c>
    </row>
    <row r="364" customFormat="false" ht="15" hidden="false" customHeight="false" outlineLevel="0" collapsed="false">
      <c r="A364" s="22"/>
      <c r="B364" s="23"/>
      <c r="C364" s="23"/>
      <c r="D364" s="25"/>
      <c r="E364" s="32"/>
      <c r="F364" s="23"/>
      <c r="G364" s="28" t="str">
        <f aca="false">IF($A364="","",IF($B364="Mileage",N($E364)*Settings!$B$13,N($D364)))</f>
        <v/>
      </c>
      <c r="H364" s="27" t="str">
        <f aca="false">IF($A364="","",IF($A364&gt;=DATE(YEAR($A364),4,6),YEAR($A364)&amp;"/"&amp;RIGHT(YEAR($A364)+1,2),YEAR($A364)-1&amp;"/"&amp;RIGHT(YEAR($A364),2)))</f>
        <v/>
      </c>
      <c r="I364" s="29" t="str">
        <f aca="false">IF($A364="","",DATE(YEAR($A364),MONTH($A364),1))</f>
        <v/>
      </c>
    </row>
    <row r="365" customFormat="false" ht="15" hidden="false" customHeight="false" outlineLevel="0" collapsed="false">
      <c r="A365" s="22"/>
      <c r="B365" s="23"/>
      <c r="C365" s="23"/>
      <c r="D365" s="25"/>
      <c r="E365" s="32"/>
      <c r="F365" s="23"/>
      <c r="G365" s="28" t="str">
        <f aca="false">IF($A365="","",IF($B365="Mileage",N($E365)*Settings!$B$13,N($D365)))</f>
        <v/>
      </c>
      <c r="H365" s="27" t="str">
        <f aca="false">IF($A365="","",IF($A365&gt;=DATE(YEAR($A365),4,6),YEAR($A365)&amp;"/"&amp;RIGHT(YEAR($A365)+1,2),YEAR($A365)-1&amp;"/"&amp;RIGHT(YEAR($A365),2)))</f>
        <v/>
      </c>
      <c r="I365" s="29" t="str">
        <f aca="false">IF($A365="","",DATE(YEAR($A365),MONTH($A365),1))</f>
        <v/>
      </c>
    </row>
    <row r="366" customFormat="false" ht="15" hidden="false" customHeight="false" outlineLevel="0" collapsed="false">
      <c r="A366" s="22"/>
      <c r="B366" s="23"/>
      <c r="C366" s="23"/>
      <c r="D366" s="25"/>
      <c r="E366" s="32"/>
      <c r="F366" s="23"/>
      <c r="G366" s="28" t="str">
        <f aca="false">IF($A366="","",IF($B366="Mileage",N($E366)*Settings!$B$13,N($D366)))</f>
        <v/>
      </c>
      <c r="H366" s="27" t="str">
        <f aca="false">IF($A366="","",IF($A366&gt;=DATE(YEAR($A366),4,6),YEAR($A366)&amp;"/"&amp;RIGHT(YEAR($A366)+1,2),YEAR($A366)-1&amp;"/"&amp;RIGHT(YEAR($A366),2)))</f>
        <v/>
      </c>
      <c r="I366" s="29" t="str">
        <f aca="false">IF($A366="","",DATE(YEAR($A366),MONTH($A366),1))</f>
        <v/>
      </c>
    </row>
    <row r="367" customFormat="false" ht="15" hidden="false" customHeight="false" outlineLevel="0" collapsed="false">
      <c r="A367" s="22"/>
      <c r="B367" s="23"/>
      <c r="C367" s="23"/>
      <c r="D367" s="25"/>
      <c r="E367" s="32"/>
      <c r="F367" s="23"/>
      <c r="G367" s="28" t="str">
        <f aca="false">IF($A367="","",IF($B367="Mileage",N($E367)*Settings!$B$13,N($D367)))</f>
        <v/>
      </c>
      <c r="H367" s="27" t="str">
        <f aca="false">IF($A367="","",IF($A367&gt;=DATE(YEAR($A367),4,6),YEAR($A367)&amp;"/"&amp;RIGHT(YEAR($A367)+1,2),YEAR($A367)-1&amp;"/"&amp;RIGHT(YEAR($A367),2)))</f>
        <v/>
      </c>
      <c r="I367" s="29" t="str">
        <f aca="false">IF($A367="","",DATE(YEAR($A367),MONTH($A367),1))</f>
        <v/>
      </c>
    </row>
    <row r="368" customFormat="false" ht="15" hidden="false" customHeight="false" outlineLevel="0" collapsed="false">
      <c r="A368" s="22"/>
      <c r="B368" s="23"/>
      <c r="C368" s="23"/>
      <c r="D368" s="25"/>
      <c r="E368" s="32"/>
      <c r="F368" s="23"/>
      <c r="G368" s="28" t="str">
        <f aca="false">IF($A368="","",IF($B368="Mileage",N($E368)*Settings!$B$13,N($D368)))</f>
        <v/>
      </c>
      <c r="H368" s="27" t="str">
        <f aca="false">IF($A368="","",IF($A368&gt;=DATE(YEAR($A368),4,6),YEAR($A368)&amp;"/"&amp;RIGHT(YEAR($A368)+1,2),YEAR($A368)-1&amp;"/"&amp;RIGHT(YEAR($A368),2)))</f>
        <v/>
      </c>
      <c r="I368" s="29" t="str">
        <f aca="false">IF($A368="","",DATE(YEAR($A368),MONTH($A368),1))</f>
        <v/>
      </c>
    </row>
    <row r="369" customFormat="false" ht="15" hidden="false" customHeight="false" outlineLevel="0" collapsed="false">
      <c r="A369" s="22"/>
      <c r="B369" s="23"/>
      <c r="C369" s="23"/>
      <c r="D369" s="25"/>
      <c r="E369" s="32"/>
      <c r="F369" s="23"/>
      <c r="G369" s="28" t="str">
        <f aca="false">IF($A369="","",IF($B369="Mileage",N($E369)*Settings!$B$13,N($D369)))</f>
        <v/>
      </c>
      <c r="H369" s="27" t="str">
        <f aca="false">IF($A369="","",IF($A369&gt;=DATE(YEAR($A369),4,6),YEAR($A369)&amp;"/"&amp;RIGHT(YEAR($A369)+1,2),YEAR($A369)-1&amp;"/"&amp;RIGHT(YEAR($A369),2)))</f>
        <v/>
      </c>
      <c r="I369" s="29" t="str">
        <f aca="false">IF($A369="","",DATE(YEAR($A369),MONTH($A369),1))</f>
        <v/>
      </c>
    </row>
    <row r="370" customFormat="false" ht="15" hidden="false" customHeight="false" outlineLevel="0" collapsed="false">
      <c r="A370" s="22"/>
      <c r="B370" s="23"/>
      <c r="C370" s="23"/>
      <c r="D370" s="25"/>
      <c r="E370" s="32"/>
      <c r="F370" s="23"/>
      <c r="G370" s="28" t="str">
        <f aca="false">IF($A370="","",IF($B370="Mileage",N($E370)*Settings!$B$13,N($D370)))</f>
        <v/>
      </c>
      <c r="H370" s="27" t="str">
        <f aca="false">IF($A370="","",IF($A370&gt;=DATE(YEAR($A370),4,6),YEAR($A370)&amp;"/"&amp;RIGHT(YEAR($A370)+1,2),YEAR($A370)-1&amp;"/"&amp;RIGHT(YEAR($A370),2)))</f>
        <v/>
      </c>
      <c r="I370" s="29" t="str">
        <f aca="false">IF($A370="","",DATE(YEAR($A370),MONTH($A370),1))</f>
        <v/>
      </c>
    </row>
    <row r="371" customFormat="false" ht="15" hidden="false" customHeight="false" outlineLevel="0" collapsed="false">
      <c r="A371" s="22"/>
      <c r="B371" s="23"/>
      <c r="C371" s="23"/>
      <c r="D371" s="25"/>
      <c r="E371" s="32"/>
      <c r="F371" s="23"/>
      <c r="G371" s="28" t="str">
        <f aca="false">IF($A371="","",IF($B371="Mileage",N($E371)*Settings!$B$13,N($D371)))</f>
        <v/>
      </c>
      <c r="H371" s="27" t="str">
        <f aca="false">IF($A371="","",IF($A371&gt;=DATE(YEAR($A371),4,6),YEAR($A371)&amp;"/"&amp;RIGHT(YEAR($A371)+1,2),YEAR($A371)-1&amp;"/"&amp;RIGHT(YEAR($A371),2)))</f>
        <v/>
      </c>
      <c r="I371" s="29" t="str">
        <f aca="false">IF($A371="","",DATE(YEAR($A371),MONTH($A371),1))</f>
        <v/>
      </c>
    </row>
    <row r="372" customFormat="false" ht="15" hidden="false" customHeight="false" outlineLevel="0" collapsed="false">
      <c r="A372" s="22"/>
      <c r="B372" s="23"/>
      <c r="C372" s="23"/>
      <c r="D372" s="25"/>
      <c r="E372" s="32"/>
      <c r="F372" s="23"/>
      <c r="G372" s="28" t="str">
        <f aca="false">IF($A372="","",IF($B372="Mileage",N($E372)*Settings!$B$13,N($D372)))</f>
        <v/>
      </c>
      <c r="H372" s="27" t="str">
        <f aca="false">IF($A372="","",IF($A372&gt;=DATE(YEAR($A372),4,6),YEAR($A372)&amp;"/"&amp;RIGHT(YEAR($A372)+1,2),YEAR($A372)-1&amp;"/"&amp;RIGHT(YEAR($A372),2)))</f>
        <v/>
      </c>
      <c r="I372" s="29" t="str">
        <f aca="false">IF($A372="","",DATE(YEAR($A372),MONTH($A372),1))</f>
        <v/>
      </c>
    </row>
    <row r="373" customFormat="false" ht="15" hidden="false" customHeight="false" outlineLevel="0" collapsed="false">
      <c r="A373" s="22"/>
      <c r="B373" s="23"/>
      <c r="C373" s="23"/>
      <c r="D373" s="25"/>
      <c r="E373" s="32"/>
      <c r="F373" s="23"/>
      <c r="G373" s="28" t="str">
        <f aca="false">IF($A373="","",IF($B373="Mileage",N($E373)*Settings!$B$13,N($D373)))</f>
        <v/>
      </c>
      <c r="H373" s="27" t="str">
        <f aca="false">IF($A373="","",IF($A373&gt;=DATE(YEAR($A373),4,6),YEAR($A373)&amp;"/"&amp;RIGHT(YEAR($A373)+1,2),YEAR($A373)-1&amp;"/"&amp;RIGHT(YEAR($A373),2)))</f>
        <v/>
      </c>
      <c r="I373" s="29" t="str">
        <f aca="false">IF($A373="","",DATE(YEAR($A373),MONTH($A373),1))</f>
        <v/>
      </c>
    </row>
    <row r="374" customFormat="false" ht="15" hidden="false" customHeight="false" outlineLevel="0" collapsed="false">
      <c r="A374" s="22"/>
      <c r="B374" s="23"/>
      <c r="C374" s="23"/>
      <c r="D374" s="25"/>
      <c r="E374" s="32"/>
      <c r="F374" s="23"/>
      <c r="G374" s="28" t="str">
        <f aca="false">IF($A374="","",IF($B374="Mileage",N($E374)*Settings!$B$13,N($D374)))</f>
        <v/>
      </c>
      <c r="H374" s="27" t="str">
        <f aca="false">IF($A374="","",IF($A374&gt;=DATE(YEAR($A374),4,6),YEAR($A374)&amp;"/"&amp;RIGHT(YEAR($A374)+1,2),YEAR($A374)-1&amp;"/"&amp;RIGHT(YEAR($A374),2)))</f>
        <v/>
      </c>
      <c r="I374" s="29" t="str">
        <f aca="false">IF($A374="","",DATE(YEAR($A374),MONTH($A374),1))</f>
        <v/>
      </c>
    </row>
    <row r="375" customFormat="false" ht="15" hidden="false" customHeight="false" outlineLevel="0" collapsed="false">
      <c r="A375" s="22"/>
      <c r="B375" s="23"/>
      <c r="C375" s="23"/>
      <c r="D375" s="25"/>
      <c r="E375" s="32"/>
      <c r="F375" s="23"/>
      <c r="G375" s="28" t="str">
        <f aca="false">IF($A375="","",IF($B375="Mileage",N($E375)*Settings!$B$13,N($D375)))</f>
        <v/>
      </c>
      <c r="H375" s="27" t="str">
        <f aca="false">IF($A375="","",IF($A375&gt;=DATE(YEAR($A375),4,6),YEAR($A375)&amp;"/"&amp;RIGHT(YEAR($A375)+1,2),YEAR($A375)-1&amp;"/"&amp;RIGHT(YEAR($A375),2)))</f>
        <v/>
      </c>
      <c r="I375" s="29" t="str">
        <f aca="false">IF($A375="","",DATE(YEAR($A375),MONTH($A375),1))</f>
        <v/>
      </c>
    </row>
    <row r="376" customFormat="false" ht="15" hidden="false" customHeight="false" outlineLevel="0" collapsed="false">
      <c r="A376" s="22"/>
      <c r="B376" s="23"/>
      <c r="C376" s="23"/>
      <c r="D376" s="25"/>
      <c r="E376" s="32"/>
      <c r="F376" s="23"/>
      <c r="G376" s="28" t="str">
        <f aca="false">IF($A376="","",IF($B376="Mileage",N($E376)*Settings!$B$13,N($D376)))</f>
        <v/>
      </c>
      <c r="H376" s="27" t="str">
        <f aca="false">IF($A376="","",IF($A376&gt;=DATE(YEAR($A376),4,6),YEAR($A376)&amp;"/"&amp;RIGHT(YEAR($A376)+1,2),YEAR($A376)-1&amp;"/"&amp;RIGHT(YEAR($A376),2)))</f>
        <v/>
      </c>
      <c r="I376" s="29" t="str">
        <f aca="false">IF($A376="","",DATE(YEAR($A376),MONTH($A376),1))</f>
        <v/>
      </c>
    </row>
    <row r="377" customFormat="false" ht="15" hidden="false" customHeight="false" outlineLevel="0" collapsed="false">
      <c r="A377" s="22"/>
      <c r="B377" s="23"/>
      <c r="C377" s="23"/>
      <c r="D377" s="25"/>
      <c r="E377" s="32"/>
      <c r="F377" s="23"/>
      <c r="G377" s="28" t="str">
        <f aca="false">IF($A377="","",IF($B377="Mileage",N($E377)*Settings!$B$13,N($D377)))</f>
        <v/>
      </c>
      <c r="H377" s="27" t="str">
        <f aca="false">IF($A377="","",IF($A377&gt;=DATE(YEAR($A377),4,6),YEAR($A377)&amp;"/"&amp;RIGHT(YEAR($A377)+1,2),YEAR($A377)-1&amp;"/"&amp;RIGHT(YEAR($A377),2)))</f>
        <v/>
      </c>
      <c r="I377" s="29" t="str">
        <f aca="false">IF($A377="","",DATE(YEAR($A377),MONTH($A377),1))</f>
        <v/>
      </c>
    </row>
    <row r="378" customFormat="false" ht="15" hidden="false" customHeight="false" outlineLevel="0" collapsed="false">
      <c r="A378" s="22"/>
      <c r="B378" s="23"/>
      <c r="C378" s="23"/>
      <c r="D378" s="25"/>
      <c r="E378" s="32"/>
      <c r="F378" s="23"/>
      <c r="G378" s="28" t="str">
        <f aca="false">IF($A378="","",IF($B378="Mileage",N($E378)*Settings!$B$13,N($D378)))</f>
        <v/>
      </c>
      <c r="H378" s="27" t="str">
        <f aca="false">IF($A378="","",IF($A378&gt;=DATE(YEAR($A378),4,6),YEAR($A378)&amp;"/"&amp;RIGHT(YEAR($A378)+1,2),YEAR($A378)-1&amp;"/"&amp;RIGHT(YEAR($A378),2)))</f>
        <v/>
      </c>
      <c r="I378" s="29" t="str">
        <f aca="false">IF($A378="","",DATE(YEAR($A378),MONTH($A378),1))</f>
        <v/>
      </c>
    </row>
    <row r="379" customFormat="false" ht="15" hidden="false" customHeight="false" outlineLevel="0" collapsed="false">
      <c r="A379" s="22"/>
      <c r="B379" s="23"/>
      <c r="C379" s="23"/>
      <c r="D379" s="25"/>
      <c r="E379" s="32"/>
      <c r="F379" s="23"/>
      <c r="G379" s="28" t="str">
        <f aca="false">IF($A379="","",IF($B379="Mileage",N($E379)*Settings!$B$13,N($D379)))</f>
        <v/>
      </c>
      <c r="H379" s="27" t="str">
        <f aca="false">IF($A379="","",IF($A379&gt;=DATE(YEAR($A379),4,6),YEAR($A379)&amp;"/"&amp;RIGHT(YEAR($A379)+1,2),YEAR($A379)-1&amp;"/"&amp;RIGHT(YEAR($A379),2)))</f>
        <v/>
      </c>
      <c r="I379" s="29" t="str">
        <f aca="false">IF($A379="","",DATE(YEAR($A379),MONTH($A379),1))</f>
        <v/>
      </c>
    </row>
    <row r="380" customFormat="false" ht="15" hidden="false" customHeight="false" outlineLevel="0" collapsed="false">
      <c r="A380" s="22"/>
      <c r="B380" s="23"/>
      <c r="C380" s="23"/>
      <c r="D380" s="25"/>
      <c r="E380" s="32"/>
      <c r="F380" s="23"/>
      <c r="G380" s="28" t="str">
        <f aca="false">IF($A380="","",IF($B380="Mileage",N($E380)*Settings!$B$13,N($D380)))</f>
        <v/>
      </c>
      <c r="H380" s="27" t="str">
        <f aca="false">IF($A380="","",IF($A380&gt;=DATE(YEAR($A380),4,6),YEAR($A380)&amp;"/"&amp;RIGHT(YEAR($A380)+1,2),YEAR($A380)-1&amp;"/"&amp;RIGHT(YEAR($A380),2)))</f>
        <v/>
      </c>
      <c r="I380" s="29" t="str">
        <f aca="false">IF($A380="","",DATE(YEAR($A380),MONTH($A380),1))</f>
        <v/>
      </c>
    </row>
    <row r="381" customFormat="false" ht="15" hidden="false" customHeight="false" outlineLevel="0" collapsed="false">
      <c r="A381" s="22"/>
      <c r="B381" s="23"/>
      <c r="C381" s="23"/>
      <c r="D381" s="25"/>
      <c r="E381" s="32"/>
      <c r="F381" s="23"/>
      <c r="G381" s="28" t="str">
        <f aca="false">IF($A381="","",IF($B381="Mileage",N($E381)*Settings!$B$13,N($D381)))</f>
        <v/>
      </c>
      <c r="H381" s="27" t="str">
        <f aca="false">IF($A381="","",IF($A381&gt;=DATE(YEAR($A381),4,6),YEAR($A381)&amp;"/"&amp;RIGHT(YEAR($A381)+1,2),YEAR($A381)-1&amp;"/"&amp;RIGHT(YEAR($A381),2)))</f>
        <v/>
      </c>
      <c r="I381" s="29" t="str">
        <f aca="false">IF($A381="","",DATE(YEAR($A381),MONTH($A381),1))</f>
        <v/>
      </c>
    </row>
    <row r="382" customFormat="false" ht="15" hidden="false" customHeight="false" outlineLevel="0" collapsed="false">
      <c r="A382" s="22"/>
      <c r="B382" s="23"/>
      <c r="C382" s="23"/>
      <c r="D382" s="25"/>
      <c r="E382" s="32"/>
      <c r="F382" s="23"/>
      <c r="G382" s="28" t="str">
        <f aca="false">IF($A382="","",IF($B382="Mileage",N($E382)*Settings!$B$13,N($D382)))</f>
        <v/>
      </c>
      <c r="H382" s="27" t="str">
        <f aca="false">IF($A382="","",IF($A382&gt;=DATE(YEAR($A382),4,6),YEAR($A382)&amp;"/"&amp;RIGHT(YEAR($A382)+1,2),YEAR($A382)-1&amp;"/"&amp;RIGHT(YEAR($A382),2)))</f>
        <v/>
      </c>
      <c r="I382" s="29" t="str">
        <f aca="false">IF($A382="","",DATE(YEAR($A382),MONTH($A382),1))</f>
        <v/>
      </c>
    </row>
    <row r="383" customFormat="false" ht="15" hidden="false" customHeight="false" outlineLevel="0" collapsed="false">
      <c r="A383" s="22"/>
      <c r="B383" s="23"/>
      <c r="C383" s="23"/>
      <c r="D383" s="25"/>
      <c r="E383" s="32"/>
      <c r="F383" s="23"/>
      <c r="G383" s="28" t="str">
        <f aca="false">IF($A383="","",IF($B383="Mileage",N($E383)*Settings!$B$13,N($D383)))</f>
        <v/>
      </c>
      <c r="H383" s="27" t="str">
        <f aca="false">IF($A383="","",IF($A383&gt;=DATE(YEAR($A383),4,6),YEAR($A383)&amp;"/"&amp;RIGHT(YEAR($A383)+1,2),YEAR($A383)-1&amp;"/"&amp;RIGHT(YEAR($A383),2)))</f>
        <v/>
      </c>
      <c r="I383" s="29" t="str">
        <f aca="false">IF($A383="","",DATE(YEAR($A383),MONTH($A383),1))</f>
        <v/>
      </c>
    </row>
    <row r="384" customFormat="false" ht="15" hidden="false" customHeight="false" outlineLevel="0" collapsed="false">
      <c r="A384" s="22"/>
      <c r="B384" s="23"/>
      <c r="C384" s="23"/>
      <c r="D384" s="25"/>
      <c r="E384" s="32"/>
      <c r="F384" s="23"/>
      <c r="G384" s="28" t="str">
        <f aca="false">IF($A384="","",IF($B384="Mileage",N($E384)*Settings!$B$13,N($D384)))</f>
        <v/>
      </c>
      <c r="H384" s="27" t="str">
        <f aca="false">IF($A384="","",IF($A384&gt;=DATE(YEAR($A384),4,6),YEAR($A384)&amp;"/"&amp;RIGHT(YEAR($A384)+1,2),YEAR($A384)-1&amp;"/"&amp;RIGHT(YEAR($A384),2)))</f>
        <v/>
      </c>
      <c r="I384" s="29" t="str">
        <f aca="false">IF($A384="","",DATE(YEAR($A384),MONTH($A384),1))</f>
        <v/>
      </c>
    </row>
    <row r="385" customFormat="false" ht="15" hidden="false" customHeight="false" outlineLevel="0" collapsed="false">
      <c r="A385" s="22"/>
      <c r="B385" s="23"/>
      <c r="C385" s="23"/>
      <c r="D385" s="25"/>
      <c r="E385" s="32"/>
      <c r="F385" s="23"/>
      <c r="G385" s="28" t="str">
        <f aca="false">IF($A385="","",IF($B385="Mileage",N($E385)*Settings!$B$13,N($D385)))</f>
        <v/>
      </c>
      <c r="H385" s="27" t="str">
        <f aca="false">IF($A385="","",IF($A385&gt;=DATE(YEAR($A385),4,6),YEAR($A385)&amp;"/"&amp;RIGHT(YEAR($A385)+1,2),YEAR($A385)-1&amp;"/"&amp;RIGHT(YEAR($A385),2)))</f>
        <v/>
      </c>
      <c r="I385" s="29" t="str">
        <f aca="false">IF($A385="","",DATE(YEAR($A385),MONTH($A385),1))</f>
        <v/>
      </c>
    </row>
    <row r="386" customFormat="false" ht="15" hidden="false" customHeight="false" outlineLevel="0" collapsed="false">
      <c r="A386" s="22"/>
      <c r="B386" s="23"/>
      <c r="C386" s="23"/>
      <c r="D386" s="25"/>
      <c r="E386" s="32"/>
      <c r="F386" s="23"/>
      <c r="G386" s="28" t="str">
        <f aca="false">IF($A386="","",IF($B386="Mileage",N($E386)*Settings!$B$13,N($D386)))</f>
        <v/>
      </c>
      <c r="H386" s="27" t="str">
        <f aca="false">IF($A386="","",IF($A386&gt;=DATE(YEAR($A386),4,6),YEAR($A386)&amp;"/"&amp;RIGHT(YEAR($A386)+1,2),YEAR($A386)-1&amp;"/"&amp;RIGHT(YEAR($A386),2)))</f>
        <v/>
      </c>
      <c r="I386" s="29" t="str">
        <f aca="false">IF($A386="","",DATE(YEAR($A386),MONTH($A386),1))</f>
        <v/>
      </c>
    </row>
    <row r="387" customFormat="false" ht="15" hidden="false" customHeight="false" outlineLevel="0" collapsed="false">
      <c r="A387" s="22"/>
      <c r="B387" s="23"/>
      <c r="C387" s="23"/>
      <c r="D387" s="25"/>
      <c r="E387" s="32"/>
      <c r="F387" s="23"/>
      <c r="G387" s="28" t="str">
        <f aca="false">IF($A387="","",IF($B387="Mileage",N($E387)*Settings!$B$13,N($D387)))</f>
        <v/>
      </c>
      <c r="H387" s="27" t="str">
        <f aca="false">IF($A387="","",IF($A387&gt;=DATE(YEAR($A387),4,6),YEAR($A387)&amp;"/"&amp;RIGHT(YEAR($A387)+1,2),YEAR($A387)-1&amp;"/"&amp;RIGHT(YEAR($A387),2)))</f>
        <v/>
      </c>
      <c r="I387" s="29" t="str">
        <f aca="false">IF($A387="","",DATE(YEAR($A387),MONTH($A387),1))</f>
        <v/>
      </c>
    </row>
    <row r="388" customFormat="false" ht="15" hidden="false" customHeight="false" outlineLevel="0" collapsed="false">
      <c r="A388" s="22"/>
      <c r="B388" s="23"/>
      <c r="C388" s="23"/>
      <c r="D388" s="25"/>
      <c r="E388" s="32"/>
      <c r="F388" s="23"/>
      <c r="G388" s="28" t="str">
        <f aca="false">IF($A388="","",IF($B388="Mileage",N($E388)*Settings!$B$13,N($D388)))</f>
        <v/>
      </c>
      <c r="H388" s="27" t="str">
        <f aca="false">IF($A388="","",IF($A388&gt;=DATE(YEAR($A388),4,6),YEAR($A388)&amp;"/"&amp;RIGHT(YEAR($A388)+1,2),YEAR($A388)-1&amp;"/"&amp;RIGHT(YEAR($A388),2)))</f>
        <v/>
      </c>
      <c r="I388" s="29" t="str">
        <f aca="false">IF($A388="","",DATE(YEAR($A388),MONTH($A388),1))</f>
        <v/>
      </c>
    </row>
    <row r="389" customFormat="false" ht="15" hidden="false" customHeight="false" outlineLevel="0" collapsed="false">
      <c r="A389" s="22"/>
      <c r="B389" s="23"/>
      <c r="C389" s="23"/>
      <c r="D389" s="25"/>
      <c r="E389" s="32"/>
      <c r="F389" s="23"/>
      <c r="G389" s="28" t="str">
        <f aca="false">IF($A389="","",IF($B389="Mileage",N($E389)*Settings!$B$13,N($D389)))</f>
        <v/>
      </c>
      <c r="H389" s="27" t="str">
        <f aca="false">IF($A389="","",IF($A389&gt;=DATE(YEAR($A389),4,6),YEAR($A389)&amp;"/"&amp;RIGHT(YEAR($A389)+1,2),YEAR($A389)-1&amp;"/"&amp;RIGHT(YEAR($A389),2)))</f>
        <v/>
      </c>
      <c r="I389" s="29" t="str">
        <f aca="false">IF($A389="","",DATE(YEAR($A389),MONTH($A389),1))</f>
        <v/>
      </c>
    </row>
    <row r="390" customFormat="false" ht="15" hidden="false" customHeight="false" outlineLevel="0" collapsed="false">
      <c r="A390" s="22"/>
      <c r="B390" s="23"/>
      <c r="C390" s="23"/>
      <c r="D390" s="25"/>
      <c r="E390" s="32"/>
      <c r="F390" s="23"/>
      <c r="G390" s="28" t="str">
        <f aca="false">IF($A390="","",IF($B390="Mileage",N($E390)*Settings!$B$13,N($D390)))</f>
        <v/>
      </c>
      <c r="H390" s="27" t="str">
        <f aca="false">IF($A390="","",IF($A390&gt;=DATE(YEAR($A390),4,6),YEAR($A390)&amp;"/"&amp;RIGHT(YEAR($A390)+1,2),YEAR($A390)-1&amp;"/"&amp;RIGHT(YEAR($A390),2)))</f>
        <v/>
      </c>
      <c r="I390" s="29" t="str">
        <f aca="false">IF($A390="","",DATE(YEAR($A390),MONTH($A390),1))</f>
        <v/>
      </c>
    </row>
    <row r="391" customFormat="false" ht="15" hidden="false" customHeight="false" outlineLevel="0" collapsed="false">
      <c r="A391" s="22"/>
      <c r="B391" s="23"/>
      <c r="C391" s="23"/>
      <c r="D391" s="25"/>
      <c r="E391" s="32"/>
      <c r="F391" s="23"/>
      <c r="G391" s="28" t="str">
        <f aca="false">IF($A391="","",IF($B391="Mileage",N($E391)*Settings!$B$13,N($D391)))</f>
        <v/>
      </c>
      <c r="H391" s="27" t="str">
        <f aca="false">IF($A391="","",IF($A391&gt;=DATE(YEAR($A391),4,6),YEAR($A391)&amp;"/"&amp;RIGHT(YEAR($A391)+1,2),YEAR($A391)-1&amp;"/"&amp;RIGHT(YEAR($A391),2)))</f>
        <v/>
      </c>
      <c r="I391" s="29" t="str">
        <f aca="false">IF($A391="","",DATE(YEAR($A391),MONTH($A391),1))</f>
        <v/>
      </c>
    </row>
    <row r="392" customFormat="false" ht="15" hidden="false" customHeight="false" outlineLevel="0" collapsed="false">
      <c r="A392" s="22"/>
      <c r="B392" s="23"/>
      <c r="C392" s="23"/>
      <c r="D392" s="25"/>
      <c r="E392" s="32"/>
      <c r="F392" s="23"/>
      <c r="G392" s="28" t="str">
        <f aca="false">IF($A392="","",IF($B392="Mileage",N($E392)*Settings!$B$13,N($D392)))</f>
        <v/>
      </c>
      <c r="H392" s="27" t="str">
        <f aca="false">IF($A392="","",IF($A392&gt;=DATE(YEAR($A392),4,6),YEAR($A392)&amp;"/"&amp;RIGHT(YEAR($A392)+1,2),YEAR($A392)-1&amp;"/"&amp;RIGHT(YEAR($A392),2)))</f>
        <v/>
      </c>
      <c r="I392" s="29" t="str">
        <f aca="false">IF($A392="","",DATE(YEAR($A392),MONTH($A392),1))</f>
        <v/>
      </c>
    </row>
    <row r="393" customFormat="false" ht="15" hidden="false" customHeight="false" outlineLevel="0" collapsed="false">
      <c r="A393" s="22"/>
      <c r="B393" s="23"/>
      <c r="C393" s="23"/>
      <c r="D393" s="25"/>
      <c r="E393" s="32"/>
      <c r="F393" s="23"/>
      <c r="G393" s="28" t="str">
        <f aca="false">IF($A393="","",IF($B393="Mileage",N($E393)*Settings!$B$13,N($D393)))</f>
        <v/>
      </c>
      <c r="H393" s="27" t="str">
        <f aca="false">IF($A393="","",IF($A393&gt;=DATE(YEAR($A393),4,6),YEAR($A393)&amp;"/"&amp;RIGHT(YEAR($A393)+1,2),YEAR($A393)-1&amp;"/"&amp;RIGHT(YEAR($A393),2)))</f>
        <v/>
      </c>
      <c r="I393" s="29" t="str">
        <f aca="false">IF($A393="","",DATE(YEAR($A393),MONTH($A393),1))</f>
        <v/>
      </c>
    </row>
    <row r="394" customFormat="false" ht="15" hidden="false" customHeight="false" outlineLevel="0" collapsed="false">
      <c r="A394" s="22"/>
      <c r="B394" s="23"/>
      <c r="C394" s="23"/>
      <c r="D394" s="25"/>
      <c r="E394" s="32"/>
      <c r="F394" s="23"/>
      <c r="G394" s="28" t="str">
        <f aca="false">IF($A394="","",IF($B394="Mileage",N($E394)*Settings!$B$13,N($D394)))</f>
        <v/>
      </c>
      <c r="H394" s="27" t="str">
        <f aca="false">IF($A394="","",IF($A394&gt;=DATE(YEAR($A394),4,6),YEAR($A394)&amp;"/"&amp;RIGHT(YEAR($A394)+1,2),YEAR($A394)-1&amp;"/"&amp;RIGHT(YEAR($A394),2)))</f>
        <v/>
      </c>
      <c r="I394" s="29" t="str">
        <f aca="false">IF($A394="","",DATE(YEAR($A394),MONTH($A394),1))</f>
        <v/>
      </c>
    </row>
    <row r="395" customFormat="false" ht="15" hidden="false" customHeight="false" outlineLevel="0" collapsed="false">
      <c r="A395" s="22"/>
      <c r="B395" s="23"/>
      <c r="C395" s="23"/>
      <c r="D395" s="25"/>
      <c r="E395" s="32"/>
      <c r="F395" s="23"/>
      <c r="G395" s="28" t="str">
        <f aca="false">IF($A395="","",IF($B395="Mileage",N($E395)*Settings!$B$13,N($D395)))</f>
        <v/>
      </c>
      <c r="H395" s="27" t="str">
        <f aca="false">IF($A395="","",IF($A395&gt;=DATE(YEAR($A395),4,6),YEAR($A395)&amp;"/"&amp;RIGHT(YEAR($A395)+1,2),YEAR($A395)-1&amp;"/"&amp;RIGHT(YEAR($A395),2)))</f>
        <v/>
      </c>
      <c r="I395" s="29" t="str">
        <f aca="false">IF($A395="","",DATE(YEAR($A395),MONTH($A395),1))</f>
        <v/>
      </c>
    </row>
    <row r="396" customFormat="false" ht="15" hidden="false" customHeight="false" outlineLevel="0" collapsed="false">
      <c r="A396" s="22"/>
      <c r="B396" s="23"/>
      <c r="C396" s="23"/>
      <c r="D396" s="25"/>
      <c r="E396" s="32"/>
      <c r="F396" s="23"/>
      <c r="G396" s="28" t="str">
        <f aca="false">IF($A396="","",IF($B396="Mileage",N($E396)*Settings!$B$13,N($D396)))</f>
        <v/>
      </c>
      <c r="H396" s="27" t="str">
        <f aca="false">IF($A396="","",IF($A396&gt;=DATE(YEAR($A396),4,6),YEAR($A396)&amp;"/"&amp;RIGHT(YEAR($A396)+1,2),YEAR($A396)-1&amp;"/"&amp;RIGHT(YEAR($A396),2)))</f>
        <v/>
      </c>
      <c r="I396" s="29" t="str">
        <f aca="false">IF($A396="","",DATE(YEAR($A396),MONTH($A396),1))</f>
        <v/>
      </c>
    </row>
    <row r="397" customFormat="false" ht="15" hidden="false" customHeight="false" outlineLevel="0" collapsed="false">
      <c r="A397" s="22"/>
      <c r="B397" s="23"/>
      <c r="C397" s="23"/>
      <c r="D397" s="25"/>
      <c r="E397" s="32"/>
      <c r="F397" s="23"/>
      <c r="G397" s="28" t="str">
        <f aca="false">IF($A397="","",IF($B397="Mileage",N($E397)*Settings!$B$13,N($D397)))</f>
        <v/>
      </c>
      <c r="H397" s="27" t="str">
        <f aca="false">IF($A397="","",IF($A397&gt;=DATE(YEAR($A397),4,6),YEAR($A397)&amp;"/"&amp;RIGHT(YEAR($A397)+1,2),YEAR($A397)-1&amp;"/"&amp;RIGHT(YEAR($A397),2)))</f>
        <v/>
      </c>
      <c r="I397" s="29" t="str">
        <f aca="false">IF($A397="","",DATE(YEAR($A397),MONTH($A397),1))</f>
        <v/>
      </c>
    </row>
    <row r="398" customFormat="false" ht="15" hidden="false" customHeight="false" outlineLevel="0" collapsed="false">
      <c r="A398" s="22"/>
      <c r="B398" s="23"/>
      <c r="C398" s="23"/>
      <c r="D398" s="25"/>
      <c r="E398" s="32"/>
      <c r="F398" s="23"/>
      <c r="G398" s="28" t="str">
        <f aca="false">IF($A398="","",IF($B398="Mileage",N($E398)*Settings!$B$13,N($D398)))</f>
        <v/>
      </c>
      <c r="H398" s="27" t="str">
        <f aca="false">IF($A398="","",IF($A398&gt;=DATE(YEAR($A398),4,6),YEAR($A398)&amp;"/"&amp;RIGHT(YEAR($A398)+1,2),YEAR($A398)-1&amp;"/"&amp;RIGHT(YEAR($A398),2)))</f>
        <v/>
      </c>
      <c r="I398" s="29" t="str">
        <f aca="false">IF($A398="","",DATE(YEAR($A398),MONTH($A398),1))</f>
        <v/>
      </c>
    </row>
    <row r="399" customFormat="false" ht="15" hidden="false" customHeight="false" outlineLevel="0" collapsed="false">
      <c r="A399" s="22"/>
      <c r="B399" s="23"/>
      <c r="C399" s="23"/>
      <c r="D399" s="25"/>
      <c r="E399" s="32"/>
      <c r="F399" s="23"/>
      <c r="G399" s="28" t="str">
        <f aca="false">IF($A399="","",IF($B399="Mileage",N($E399)*Settings!$B$13,N($D399)))</f>
        <v/>
      </c>
      <c r="H399" s="27" t="str">
        <f aca="false">IF($A399="","",IF($A399&gt;=DATE(YEAR($A399),4,6),YEAR($A399)&amp;"/"&amp;RIGHT(YEAR($A399)+1,2),YEAR($A399)-1&amp;"/"&amp;RIGHT(YEAR($A399),2)))</f>
        <v/>
      </c>
      <c r="I399" s="29" t="str">
        <f aca="false">IF($A399="","",DATE(YEAR($A399),MONTH($A399),1))</f>
        <v/>
      </c>
    </row>
    <row r="400" customFormat="false" ht="15" hidden="false" customHeight="false" outlineLevel="0" collapsed="false">
      <c r="A400" s="22"/>
      <c r="B400" s="23"/>
      <c r="C400" s="23"/>
      <c r="D400" s="25"/>
      <c r="E400" s="32"/>
      <c r="F400" s="23"/>
      <c r="G400" s="28" t="str">
        <f aca="false">IF($A400="","",IF($B400="Mileage",N($E400)*Settings!$B$13,N($D400)))</f>
        <v/>
      </c>
      <c r="H400" s="27" t="str">
        <f aca="false">IF($A400="","",IF($A400&gt;=DATE(YEAR($A400),4,6),YEAR($A400)&amp;"/"&amp;RIGHT(YEAR($A400)+1,2),YEAR($A400)-1&amp;"/"&amp;RIGHT(YEAR($A400),2)))</f>
        <v/>
      </c>
      <c r="I400" s="29" t="str">
        <f aca="false">IF($A400="","",DATE(YEAR($A400),MONTH($A400),1))</f>
        <v/>
      </c>
    </row>
    <row r="401" customFormat="false" ht="15" hidden="false" customHeight="false" outlineLevel="0" collapsed="false">
      <c r="A401" s="22"/>
      <c r="B401" s="23"/>
      <c r="C401" s="23"/>
      <c r="D401" s="25"/>
      <c r="E401" s="32"/>
      <c r="F401" s="23"/>
      <c r="G401" s="28" t="str">
        <f aca="false">IF($A401="","",IF($B401="Mileage",N($E401)*Settings!$B$13,N($D401)))</f>
        <v/>
      </c>
      <c r="H401" s="27" t="str">
        <f aca="false">IF($A401="","",IF($A401&gt;=DATE(YEAR($A401),4,6),YEAR($A401)&amp;"/"&amp;RIGHT(YEAR($A401)+1,2),YEAR($A401)-1&amp;"/"&amp;RIGHT(YEAR($A401),2)))</f>
        <v/>
      </c>
      <c r="I401" s="29" t="str">
        <f aca="false">IF($A401="","",DATE(YEAR($A401),MONTH($A401),1))</f>
        <v/>
      </c>
    </row>
    <row r="402" customFormat="false" ht="15" hidden="false" customHeight="false" outlineLevel="0" collapsed="false">
      <c r="A402" s="22"/>
      <c r="B402" s="23"/>
      <c r="C402" s="23"/>
      <c r="D402" s="25"/>
      <c r="E402" s="32"/>
      <c r="F402" s="23"/>
      <c r="G402" s="28" t="str">
        <f aca="false">IF($A402="","",IF($B402="Mileage",N($E402)*Settings!$B$13,N($D402)))</f>
        <v/>
      </c>
      <c r="H402" s="27" t="str">
        <f aca="false">IF($A402="","",IF($A402&gt;=DATE(YEAR($A402),4,6),YEAR($A402)&amp;"/"&amp;RIGHT(YEAR($A402)+1,2),YEAR($A402)-1&amp;"/"&amp;RIGHT(YEAR($A402),2)))</f>
        <v/>
      </c>
      <c r="I402" s="29" t="str">
        <f aca="false">IF($A402="","",DATE(YEAR($A402),MONTH($A402),1))</f>
        <v/>
      </c>
    </row>
    <row r="403" customFormat="false" ht="15" hidden="false" customHeight="false" outlineLevel="0" collapsed="false">
      <c r="A403" s="22"/>
      <c r="B403" s="23"/>
      <c r="C403" s="23"/>
      <c r="D403" s="25"/>
      <c r="E403" s="32"/>
      <c r="F403" s="23"/>
      <c r="G403" s="28" t="str">
        <f aca="false">IF($A403="","",IF($B403="Mileage",N($E403)*Settings!$B$13,N($D403)))</f>
        <v/>
      </c>
      <c r="H403" s="27" t="str">
        <f aca="false">IF($A403="","",IF($A403&gt;=DATE(YEAR($A403),4,6),YEAR($A403)&amp;"/"&amp;RIGHT(YEAR($A403)+1,2),YEAR($A403)-1&amp;"/"&amp;RIGHT(YEAR($A403),2)))</f>
        <v/>
      </c>
      <c r="I403" s="29" t="str">
        <f aca="false">IF($A403="","",DATE(YEAR($A403),MONTH($A403),1))</f>
        <v/>
      </c>
    </row>
    <row r="404" customFormat="false" ht="15" hidden="false" customHeight="false" outlineLevel="0" collapsed="false">
      <c r="A404" s="22"/>
      <c r="B404" s="23"/>
      <c r="C404" s="23"/>
      <c r="D404" s="25"/>
      <c r="E404" s="32"/>
      <c r="F404" s="23"/>
      <c r="G404" s="28" t="str">
        <f aca="false">IF($A404="","",IF($B404="Mileage",N($E404)*Settings!$B$13,N($D404)))</f>
        <v/>
      </c>
      <c r="H404" s="27" t="str">
        <f aca="false">IF($A404="","",IF($A404&gt;=DATE(YEAR($A404),4,6),YEAR($A404)&amp;"/"&amp;RIGHT(YEAR($A404)+1,2),YEAR($A404)-1&amp;"/"&amp;RIGHT(YEAR($A404),2)))</f>
        <v/>
      </c>
      <c r="I404" s="29" t="str">
        <f aca="false">IF($A404="","",DATE(YEAR($A404),MONTH($A404),1))</f>
        <v/>
      </c>
    </row>
    <row r="405" customFormat="false" ht="15" hidden="false" customHeight="false" outlineLevel="0" collapsed="false">
      <c r="A405" s="22"/>
      <c r="B405" s="23"/>
      <c r="C405" s="23"/>
      <c r="D405" s="25"/>
      <c r="E405" s="32"/>
      <c r="F405" s="23"/>
      <c r="G405" s="28" t="str">
        <f aca="false">IF($A405="","",IF($B405="Mileage",N($E405)*Settings!$B$13,N($D405)))</f>
        <v/>
      </c>
      <c r="H405" s="27" t="str">
        <f aca="false">IF($A405="","",IF($A405&gt;=DATE(YEAR($A405),4,6),YEAR($A405)&amp;"/"&amp;RIGHT(YEAR($A405)+1,2),YEAR($A405)-1&amp;"/"&amp;RIGHT(YEAR($A405),2)))</f>
        <v/>
      </c>
      <c r="I405" s="29" t="str">
        <f aca="false">IF($A405="","",DATE(YEAR($A405),MONTH($A405),1))</f>
        <v/>
      </c>
    </row>
    <row r="406" customFormat="false" ht="15" hidden="false" customHeight="false" outlineLevel="0" collapsed="false">
      <c r="A406" s="22"/>
      <c r="B406" s="23"/>
      <c r="C406" s="23"/>
      <c r="D406" s="25"/>
      <c r="E406" s="32"/>
      <c r="F406" s="23"/>
      <c r="G406" s="28" t="str">
        <f aca="false">IF($A406="","",IF($B406="Mileage",N($E406)*Settings!$B$13,N($D406)))</f>
        <v/>
      </c>
      <c r="H406" s="27" t="str">
        <f aca="false">IF($A406="","",IF($A406&gt;=DATE(YEAR($A406),4,6),YEAR($A406)&amp;"/"&amp;RIGHT(YEAR($A406)+1,2),YEAR($A406)-1&amp;"/"&amp;RIGHT(YEAR($A406),2)))</f>
        <v/>
      </c>
      <c r="I406" s="29" t="str">
        <f aca="false">IF($A406="","",DATE(YEAR($A406),MONTH($A406),1))</f>
        <v/>
      </c>
    </row>
    <row r="407" customFormat="false" ht="15" hidden="false" customHeight="false" outlineLevel="0" collapsed="false">
      <c r="A407" s="22"/>
      <c r="B407" s="23"/>
      <c r="C407" s="23"/>
      <c r="D407" s="25"/>
      <c r="E407" s="32"/>
      <c r="F407" s="23"/>
      <c r="G407" s="28" t="str">
        <f aca="false">IF($A407="","",IF($B407="Mileage",N($E407)*Settings!$B$13,N($D407)))</f>
        <v/>
      </c>
      <c r="H407" s="27" t="str">
        <f aca="false">IF($A407="","",IF($A407&gt;=DATE(YEAR($A407),4,6),YEAR($A407)&amp;"/"&amp;RIGHT(YEAR($A407)+1,2),YEAR($A407)-1&amp;"/"&amp;RIGHT(YEAR($A407),2)))</f>
        <v/>
      </c>
      <c r="I407" s="29" t="str">
        <f aca="false">IF($A407="","",DATE(YEAR($A407),MONTH($A407),1))</f>
        <v/>
      </c>
    </row>
    <row r="408" customFormat="false" ht="15" hidden="false" customHeight="false" outlineLevel="0" collapsed="false">
      <c r="A408" s="22"/>
      <c r="B408" s="23"/>
      <c r="C408" s="23"/>
      <c r="D408" s="25"/>
      <c r="E408" s="32"/>
      <c r="F408" s="23"/>
      <c r="G408" s="28" t="str">
        <f aca="false">IF($A408="","",IF($B408="Mileage",N($E408)*Settings!$B$13,N($D408)))</f>
        <v/>
      </c>
      <c r="H408" s="27" t="str">
        <f aca="false">IF($A408="","",IF($A408&gt;=DATE(YEAR($A408),4,6),YEAR($A408)&amp;"/"&amp;RIGHT(YEAR($A408)+1,2),YEAR($A408)-1&amp;"/"&amp;RIGHT(YEAR($A408),2)))</f>
        <v/>
      </c>
      <c r="I408" s="29" t="str">
        <f aca="false">IF($A408="","",DATE(YEAR($A408),MONTH($A408),1))</f>
        <v/>
      </c>
    </row>
    <row r="409" customFormat="false" ht="15" hidden="false" customHeight="false" outlineLevel="0" collapsed="false">
      <c r="A409" s="22"/>
      <c r="B409" s="23"/>
      <c r="C409" s="23"/>
      <c r="D409" s="25"/>
      <c r="E409" s="32"/>
      <c r="F409" s="23"/>
      <c r="G409" s="28" t="str">
        <f aca="false">IF($A409="","",IF($B409="Mileage",N($E409)*Settings!$B$13,N($D409)))</f>
        <v/>
      </c>
      <c r="H409" s="27" t="str">
        <f aca="false">IF($A409="","",IF($A409&gt;=DATE(YEAR($A409),4,6),YEAR($A409)&amp;"/"&amp;RIGHT(YEAR($A409)+1,2),YEAR($A409)-1&amp;"/"&amp;RIGHT(YEAR($A409),2)))</f>
        <v/>
      </c>
      <c r="I409" s="29" t="str">
        <f aca="false">IF($A409="","",DATE(YEAR($A409),MONTH($A409),1))</f>
        <v/>
      </c>
    </row>
    <row r="410" customFormat="false" ht="15" hidden="false" customHeight="false" outlineLevel="0" collapsed="false">
      <c r="A410" s="22"/>
      <c r="B410" s="23"/>
      <c r="C410" s="23"/>
      <c r="D410" s="25"/>
      <c r="E410" s="32"/>
      <c r="F410" s="23"/>
      <c r="G410" s="28" t="str">
        <f aca="false">IF($A410="","",IF($B410="Mileage",N($E410)*Settings!$B$13,N($D410)))</f>
        <v/>
      </c>
      <c r="H410" s="27" t="str">
        <f aca="false">IF($A410="","",IF($A410&gt;=DATE(YEAR($A410),4,6),YEAR($A410)&amp;"/"&amp;RIGHT(YEAR($A410)+1,2),YEAR($A410)-1&amp;"/"&amp;RIGHT(YEAR($A410),2)))</f>
        <v/>
      </c>
      <c r="I410" s="29" t="str">
        <f aca="false">IF($A410="","",DATE(YEAR($A410),MONTH($A410),1))</f>
        <v/>
      </c>
    </row>
    <row r="411" customFormat="false" ht="15" hidden="false" customHeight="false" outlineLevel="0" collapsed="false">
      <c r="A411" s="22"/>
      <c r="B411" s="23"/>
      <c r="C411" s="23"/>
      <c r="D411" s="25"/>
      <c r="E411" s="32"/>
      <c r="F411" s="23"/>
      <c r="G411" s="28" t="str">
        <f aca="false">IF($A411="","",IF($B411="Mileage",N($E411)*Settings!$B$13,N($D411)))</f>
        <v/>
      </c>
      <c r="H411" s="27" t="str">
        <f aca="false">IF($A411="","",IF($A411&gt;=DATE(YEAR($A411),4,6),YEAR($A411)&amp;"/"&amp;RIGHT(YEAR($A411)+1,2),YEAR($A411)-1&amp;"/"&amp;RIGHT(YEAR($A411),2)))</f>
        <v/>
      </c>
      <c r="I411" s="29" t="str">
        <f aca="false">IF($A411="","",DATE(YEAR($A411),MONTH($A411),1))</f>
        <v/>
      </c>
    </row>
    <row r="412" customFormat="false" ht="15" hidden="false" customHeight="false" outlineLevel="0" collapsed="false">
      <c r="A412" s="22"/>
      <c r="B412" s="23"/>
      <c r="C412" s="23"/>
      <c r="D412" s="25"/>
      <c r="E412" s="32"/>
      <c r="F412" s="23"/>
      <c r="G412" s="28" t="str">
        <f aca="false">IF($A412="","",IF($B412="Mileage",N($E412)*Settings!$B$13,N($D412)))</f>
        <v/>
      </c>
      <c r="H412" s="27" t="str">
        <f aca="false">IF($A412="","",IF($A412&gt;=DATE(YEAR($A412),4,6),YEAR($A412)&amp;"/"&amp;RIGHT(YEAR($A412)+1,2),YEAR($A412)-1&amp;"/"&amp;RIGHT(YEAR($A412),2)))</f>
        <v/>
      </c>
      <c r="I412" s="29" t="str">
        <f aca="false">IF($A412="","",DATE(YEAR($A412),MONTH($A412),1))</f>
        <v/>
      </c>
    </row>
    <row r="413" customFormat="false" ht="15" hidden="false" customHeight="false" outlineLevel="0" collapsed="false">
      <c r="A413" s="22"/>
      <c r="B413" s="23"/>
      <c r="C413" s="23"/>
      <c r="D413" s="25"/>
      <c r="E413" s="32"/>
      <c r="F413" s="23"/>
      <c r="G413" s="28" t="str">
        <f aca="false">IF($A413="","",IF($B413="Mileage",N($E413)*Settings!$B$13,N($D413)))</f>
        <v/>
      </c>
      <c r="H413" s="27" t="str">
        <f aca="false">IF($A413="","",IF($A413&gt;=DATE(YEAR($A413),4,6),YEAR($A413)&amp;"/"&amp;RIGHT(YEAR($A413)+1,2),YEAR($A413)-1&amp;"/"&amp;RIGHT(YEAR($A413),2)))</f>
        <v/>
      </c>
      <c r="I413" s="29" t="str">
        <f aca="false">IF($A413="","",DATE(YEAR($A413),MONTH($A413),1))</f>
        <v/>
      </c>
    </row>
    <row r="414" customFormat="false" ht="15" hidden="false" customHeight="false" outlineLevel="0" collapsed="false">
      <c r="A414" s="22"/>
      <c r="B414" s="23"/>
      <c r="C414" s="23"/>
      <c r="D414" s="25"/>
      <c r="E414" s="32"/>
      <c r="F414" s="23"/>
      <c r="G414" s="28" t="str">
        <f aca="false">IF($A414="","",IF($B414="Mileage",N($E414)*Settings!$B$13,N($D414)))</f>
        <v/>
      </c>
      <c r="H414" s="27" t="str">
        <f aca="false">IF($A414="","",IF($A414&gt;=DATE(YEAR($A414),4,6),YEAR($A414)&amp;"/"&amp;RIGHT(YEAR($A414)+1,2),YEAR($A414)-1&amp;"/"&amp;RIGHT(YEAR($A414),2)))</f>
        <v/>
      </c>
      <c r="I414" s="29" t="str">
        <f aca="false">IF($A414="","",DATE(YEAR($A414),MONTH($A414),1))</f>
        <v/>
      </c>
    </row>
    <row r="415" customFormat="false" ht="15" hidden="false" customHeight="false" outlineLevel="0" collapsed="false">
      <c r="A415" s="22"/>
      <c r="B415" s="23"/>
      <c r="C415" s="23"/>
      <c r="D415" s="25"/>
      <c r="E415" s="32"/>
      <c r="F415" s="23"/>
      <c r="G415" s="28" t="str">
        <f aca="false">IF($A415="","",IF($B415="Mileage",N($E415)*Settings!$B$13,N($D415)))</f>
        <v/>
      </c>
      <c r="H415" s="27" t="str">
        <f aca="false">IF($A415="","",IF($A415&gt;=DATE(YEAR($A415),4,6),YEAR($A415)&amp;"/"&amp;RIGHT(YEAR($A415)+1,2),YEAR($A415)-1&amp;"/"&amp;RIGHT(YEAR($A415),2)))</f>
        <v/>
      </c>
      <c r="I415" s="29" t="str">
        <f aca="false">IF($A415="","",DATE(YEAR($A415),MONTH($A415),1))</f>
        <v/>
      </c>
    </row>
    <row r="416" customFormat="false" ht="15" hidden="false" customHeight="false" outlineLevel="0" collapsed="false">
      <c r="A416" s="22"/>
      <c r="B416" s="23"/>
      <c r="C416" s="23"/>
      <c r="D416" s="25"/>
      <c r="E416" s="32"/>
      <c r="F416" s="23"/>
      <c r="G416" s="28" t="str">
        <f aca="false">IF($A416="","",IF($B416="Mileage",N($E416)*Settings!$B$13,N($D416)))</f>
        <v/>
      </c>
      <c r="H416" s="27" t="str">
        <f aca="false">IF($A416="","",IF($A416&gt;=DATE(YEAR($A416),4,6),YEAR($A416)&amp;"/"&amp;RIGHT(YEAR($A416)+1,2),YEAR($A416)-1&amp;"/"&amp;RIGHT(YEAR($A416),2)))</f>
        <v/>
      </c>
      <c r="I416" s="29" t="str">
        <f aca="false">IF($A416="","",DATE(YEAR($A416),MONTH($A416),1))</f>
        <v/>
      </c>
    </row>
    <row r="417" customFormat="false" ht="15" hidden="false" customHeight="false" outlineLevel="0" collapsed="false">
      <c r="A417" s="22"/>
      <c r="B417" s="23"/>
      <c r="C417" s="23"/>
      <c r="D417" s="25"/>
      <c r="E417" s="32"/>
      <c r="F417" s="23"/>
      <c r="G417" s="28" t="str">
        <f aca="false">IF($A417="","",IF($B417="Mileage",N($E417)*Settings!$B$13,N($D417)))</f>
        <v/>
      </c>
      <c r="H417" s="27" t="str">
        <f aca="false">IF($A417="","",IF($A417&gt;=DATE(YEAR($A417),4,6),YEAR($A417)&amp;"/"&amp;RIGHT(YEAR($A417)+1,2),YEAR($A417)-1&amp;"/"&amp;RIGHT(YEAR($A417),2)))</f>
        <v/>
      </c>
      <c r="I417" s="29" t="str">
        <f aca="false">IF($A417="","",DATE(YEAR($A417),MONTH($A417),1))</f>
        <v/>
      </c>
    </row>
    <row r="418" customFormat="false" ht="15" hidden="false" customHeight="false" outlineLevel="0" collapsed="false">
      <c r="A418" s="22"/>
      <c r="B418" s="23"/>
      <c r="C418" s="23"/>
      <c r="D418" s="25"/>
      <c r="E418" s="32"/>
      <c r="F418" s="23"/>
      <c r="G418" s="28" t="str">
        <f aca="false">IF($A418="","",IF($B418="Mileage",N($E418)*Settings!$B$13,N($D418)))</f>
        <v/>
      </c>
      <c r="H418" s="27" t="str">
        <f aca="false">IF($A418="","",IF($A418&gt;=DATE(YEAR($A418),4,6),YEAR($A418)&amp;"/"&amp;RIGHT(YEAR($A418)+1,2),YEAR($A418)-1&amp;"/"&amp;RIGHT(YEAR($A418),2)))</f>
        <v/>
      </c>
      <c r="I418" s="29" t="str">
        <f aca="false">IF($A418="","",DATE(YEAR($A418),MONTH($A418),1))</f>
        <v/>
      </c>
    </row>
    <row r="419" customFormat="false" ht="15" hidden="false" customHeight="false" outlineLevel="0" collapsed="false">
      <c r="A419" s="22"/>
      <c r="B419" s="23"/>
      <c r="C419" s="23"/>
      <c r="D419" s="25"/>
      <c r="E419" s="32"/>
      <c r="F419" s="23"/>
      <c r="G419" s="28" t="str">
        <f aca="false">IF($A419="","",IF($B419="Mileage",N($E419)*Settings!$B$13,N($D419)))</f>
        <v/>
      </c>
      <c r="H419" s="27" t="str">
        <f aca="false">IF($A419="","",IF($A419&gt;=DATE(YEAR($A419),4,6),YEAR($A419)&amp;"/"&amp;RIGHT(YEAR($A419)+1,2),YEAR($A419)-1&amp;"/"&amp;RIGHT(YEAR($A419),2)))</f>
        <v/>
      </c>
      <c r="I419" s="29" t="str">
        <f aca="false">IF($A419="","",DATE(YEAR($A419),MONTH($A419),1))</f>
        <v/>
      </c>
    </row>
    <row r="420" customFormat="false" ht="15" hidden="false" customHeight="false" outlineLevel="0" collapsed="false">
      <c r="A420" s="22"/>
      <c r="B420" s="23"/>
      <c r="C420" s="23"/>
      <c r="D420" s="25"/>
      <c r="E420" s="32"/>
      <c r="F420" s="23"/>
      <c r="G420" s="28" t="str">
        <f aca="false">IF($A420="","",IF($B420="Mileage",N($E420)*Settings!$B$13,N($D420)))</f>
        <v/>
      </c>
      <c r="H420" s="27" t="str">
        <f aca="false">IF($A420="","",IF($A420&gt;=DATE(YEAR($A420),4,6),YEAR($A420)&amp;"/"&amp;RIGHT(YEAR($A420)+1,2),YEAR($A420)-1&amp;"/"&amp;RIGHT(YEAR($A420),2)))</f>
        <v/>
      </c>
      <c r="I420" s="29" t="str">
        <f aca="false">IF($A420="","",DATE(YEAR($A420),MONTH($A420),1))</f>
        <v/>
      </c>
    </row>
    <row r="421" customFormat="false" ht="15" hidden="false" customHeight="false" outlineLevel="0" collapsed="false">
      <c r="A421" s="22"/>
      <c r="B421" s="23"/>
      <c r="C421" s="23"/>
      <c r="D421" s="25"/>
      <c r="E421" s="32"/>
      <c r="F421" s="23"/>
      <c r="G421" s="28" t="str">
        <f aca="false">IF($A421="","",IF($B421="Mileage",N($E421)*Settings!$B$13,N($D421)))</f>
        <v/>
      </c>
      <c r="H421" s="27" t="str">
        <f aca="false">IF($A421="","",IF($A421&gt;=DATE(YEAR($A421),4,6),YEAR($A421)&amp;"/"&amp;RIGHT(YEAR($A421)+1,2),YEAR($A421)-1&amp;"/"&amp;RIGHT(YEAR($A421),2)))</f>
        <v/>
      </c>
      <c r="I421" s="29" t="str">
        <f aca="false">IF($A421="","",DATE(YEAR($A421),MONTH($A421),1))</f>
        <v/>
      </c>
    </row>
    <row r="422" customFormat="false" ht="15" hidden="false" customHeight="false" outlineLevel="0" collapsed="false">
      <c r="A422" s="22"/>
      <c r="B422" s="23"/>
      <c r="C422" s="23"/>
      <c r="D422" s="25"/>
      <c r="E422" s="32"/>
      <c r="F422" s="23"/>
      <c r="G422" s="28" t="str">
        <f aca="false">IF($A422="","",IF($B422="Mileage",N($E422)*Settings!$B$13,N($D422)))</f>
        <v/>
      </c>
      <c r="H422" s="27" t="str">
        <f aca="false">IF($A422="","",IF($A422&gt;=DATE(YEAR($A422),4,6),YEAR($A422)&amp;"/"&amp;RIGHT(YEAR($A422)+1,2),YEAR($A422)-1&amp;"/"&amp;RIGHT(YEAR($A422),2)))</f>
        <v/>
      </c>
      <c r="I422" s="29" t="str">
        <f aca="false">IF($A422="","",DATE(YEAR($A422),MONTH($A422),1))</f>
        <v/>
      </c>
    </row>
    <row r="423" customFormat="false" ht="15" hidden="false" customHeight="false" outlineLevel="0" collapsed="false">
      <c r="A423" s="22"/>
      <c r="B423" s="23"/>
      <c r="C423" s="23"/>
      <c r="D423" s="25"/>
      <c r="E423" s="32"/>
      <c r="F423" s="23"/>
      <c r="G423" s="28" t="str">
        <f aca="false">IF($A423="","",IF($B423="Mileage",N($E423)*Settings!$B$13,N($D423)))</f>
        <v/>
      </c>
      <c r="H423" s="27" t="str">
        <f aca="false">IF($A423="","",IF($A423&gt;=DATE(YEAR($A423),4,6),YEAR($A423)&amp;"/"&amp;RIGHT(YEAR($A423)+1,2),YEAR($A423)-1&amp;"/"&amp;RIGHT(YEAR($A423),2)))</f>
        <v/>
      </c>
      <c r="I423" s="29" t="str">
        <f aca="false">IF($A423="","",DATE(YEAR($A423),MONTH($A423),1))</f>
        <v/>
      </c>
    </row>
    <row r="424" customFormat="false" ht="15" hidden="false" customHeight="false" outlineLevel="0" collapsed="false">
      <c r="A424" s="22"/>
      <c r="B424" s="23"/>
      <c r="C424" s="23"/>
      <c r="D424" s="25"/>
      <c r="E424" s="32"/>
      <c r="F424" s="23"/>
      <c r="G424" s="28" t="str">
        <f aca="false">IF($A424="","",IF($B424="Mileage",N($E424)*Settings!$B$13,N($D424)))</f>
        <v/>
      </c>
      <c r="H424" s="27" t="str">
        <f aca="false">IF($A424="","",IF($A424&gt;=DATE(YEAR($A424),4,6),YEAR($A424)&amp;"/"&amp;RIGHT(YEAR($A424)+1,2),YEAR($A424)-1&amp;"/"&amp;RIGHT(YEAR($A424),2)))</f>
        <v/>
      </c>
      <c r="I424" s="29" t="str">
        <f aca="false">IF($A424="","",DATE(YEAR($A424),MONTH($A424),1))</f>
        <v/>
      </c>
    </row>
    <row r="425" customFormat="false" ht="15" hidden="false" customHeight="false" outlineLevel="0" collapsed="false">
      <c r="A425" s="22"/>
      <c r="B425" s="23"/>
      <c r="C425" s="23"/>
      <c r="D425" s="25"/>
      <c r="E425" s="32"/>
      <c r="F425" s="23"/>
      <c r="G425" s="28" t="str">
        <f aca="false">IF($A425="","",IF($B425="Mileage",N($E425)*Settings!$B$13,N($D425)))</f>
        <v/>
      </c>
      <c r="H425" s="27" t="str">
        <f aca="false">IF($A425="","",IF($A425&gt;=DATE(YEAR($A425),4,6),YEAR($A425)&amp;"/"&amp;RIGHT(YEAR($A425)+1,2),YEAR($A425)-1&amp;"/"&amp;RIGHT(YEAR($A425),2)))</f>
        <v/>
      </c>
      <c r="I425" s="29" t="str">
        <f aca="false">IF($A425="","",DATE(YEAR($A425),MONTH($A425),1))</f>
        <v/>
      </c>
    </row>
    <row r="426" customFormat="false" ht="15" hidden="false" customHeight="false" outlineLevel="0" collapsed="false">
      <c r="A426" s="22"/>
      <c r="B426" s="23"/>
      <c r="C426" s="23"/>
      <c r="D426" s="25"/>
      <c r="E426" s="32"/>
      <c r="F426" s="23"/>
      <c r="G426" s="28" t="str">
        <f aca="false">IF($A426="","",IF($B426="Mileage",N($E426)*Settings!$B$13,N($D426)))</f>
        <v/>
      </c>
      <c r="H426" s="27" t="str">
        <f aca="false">IF($A426="","",IF($A426&gt;=DATE(YEAR($A426),4,6),YEAR($A426)&amp;"/"&amp;RIGHT(YEAR($A426)+1,2),YEAR($A426)-1&amp;"/"&amp;RIGHT(YEAR($A426),2)))</f>
        <v/>
      </c>
      <c r="I426" s="29" t="str">
        <f aca="false">IF($A426="","",DATE(YEAR($A426),MONTH($A426),1))</f>
        <v/>
      </c>
    </row>
    <row r="427" customFormat="false" ht="15" hidden="false" customHeight="false" outlineLevel="0" collapsed="false">
      <c r="A427" s="22"/>
      <c r="B427" s="23"/>
      <c r="C427" s="23"/>
      <c r="D427" s="25"/>
      <c r="E427" s="32"/>
      <c r="F427" s="23"/>
      <c r="G427" s="28" t="str">
        <f aca="false">IF($A427="","",IF($B427="Mileage",N($E427)*Settings!$B$13,N($D427)))</f>
        <v/>
      </c>
      <c r="H427" s="27" t="str">
        <f aca="false">IF($A427="","",IF($A427&gt;=DATE(YEAR($A427),4,6),YEAR($A427)&amp;"/"&amp;RIGHT(YEAR($A427)+1,2),YEAR($A427)-1&amp;"/"&amp;RIGHT(YEAR($A427),2)))</f>
        <v/>
      </c>
      <c r="I427" s="29" t="str">
        <f aca="false">IF($A427="","",DATE(YEAR($A427),MONTH($A427),1))</f>
        <v/>
      </c>
    </row>
    <row r="428" customFormat="false" ht="15" hidden="false" customHeight="false" outlineLevel="0" collapsed="false">
      <c r="A428" s="22"/>
      <c r="B428" s="23"/>
      <c r="C428" s="23"/>
      <c r="D428" s="25"/>
      <c r="E428" s="32"/>
      <c r="F428" s="23"/>
      <c r="G428" s="28" t="str">
        <f aca="false">IF($A428="","",IF($B428="Mileage",N($E428)*Settings!$B$13,N($D428)))</f>
        <v/>
      </c>
      <c r="H428" s="27" t="str">
        <f aca="false">IF($A428="","",IF($A428&gt;=DATE(YEAR($A428),4,6),YEAR($A428)&amp;"/"&amp;RIGHT(YEAR($A428)+1,2),YEAR($A428)-1&amp;"/"&amp;RIGHT(YEAR($A428),2)))</f>
        <v/>
      </c>
      <c r="I428" s="29" t="str">
        <f aca="false">IF($A428="","",DATE(YEAR($A428),MONTH($A428),1))</f>
        <v/>
      </c>
    </row>
    <row r="429" customFormat="false" ht="15" hidden="false" customHeight="false" outlineLevel="0" collapsed="false">
      <c r="A429" s="22"/>
      <c r="B429" s="23"/>
      <c r="C429" s="23"/>
      <c r="D429" s="25"/>
      <c r="E429" s="32"/>
      <c r="F429" s="23"/>
      <c r="G429" s="28" t="str">
        <f aca="false">IF($A429="","",IF($B429="Mileage",N($E429)*Settings!$B$13,N($D429)))</f>
        <v/>
      </c>
      <c r="H429" s="27" t="str">
        <f aca="false">IF($A429="","",IF($A429&gt;=DATE(YEAR($A429),4,6),YEAR($A429)&amp;"/"&amp;RIGHT(YEAR($A429)+1,2),YEAR($A429)-1&amp;"/"&amp;RIGHT(YEAR($A429),2)))</f>
        <v/>
      </c>
      <c r="I429" s="29" t="str">
        <f aca="false">IF($A429="","",DATE(YEAR($A429),MONTH($A429),1))</f>
        <v/>
      </c>
    </row>
    <row r="430" customFormat="false" ht="15" hidden="false" customHeight="false" outlineLevel="0" collapsed="false">
      <c r="A430" s="22"/>
      <c r="B430" s="23"/>
      <c r="C430" s="23"/>
      <c r="D430" s="25"/>
      <c r="E430" s="32"/>
      <c r="F430" s="23"/>
      <c r="G430" s="28" t="str">
        <f aca="false">IF($A430="","",IF($B430="Mileage",N($E430)*Settings!$B$13,N($D430)))</f>
        <v/>
      </c>
      <c r="H430" s="27" t="str">
        <f aca="false">IF($A430="","",IF($A430&gt;=DATE(YEAR($A430),4,6),YEAR($A430)&amp;"/"&amp;RIGHT(YEAR($A430)+1,2),YEAR($A430)-1&amp;"/"&amp;RIGHT(YEAR($A430),2)))</f>
        <v/>
      </c>
      <c r="I430" s="29" t="str">
        <f aca="false">IF($A430="","",DATE(YEAR($A430),MONTH($A430),1))</f>
        <v/>
      </c>
    </row>
    <row r="431" customFormat="false" ht="15" hidden="false" customHeight="false" outlineLevel="0" collapsed="false">
      <c r="A431" s="22"/>
      <c r="B431" s="23"/>
      <c r="C431" s="23"/>
      <c r="D431" s="25"/>
      <c r="E431" s="32"/>
      <c r="F431" s="23"/>
      <c r="G431" s="28" t="str">
        <f aca="false">IF($A431="","",IF($B431="Mileage",N($E431)*Settings!$B$13,N($D431)))</f>
        <v/>
      </c>
      <c r="H431" s="27" t="str">
        <f aca="false">IF($A431="","",IF($A431&gt;=DATE(YEAR($A431),4,6),YEAR($A431)&amp;"/"&amp;RIGHT(YEAR($A431)+1,2),YEAR($A431)-1&amp;"/"&amp;RIGHT(YEAR($A431),2)))</f>
        <v/>
      </c>
      <c r="I431" s="29" t="str">
        <f aca="false">IF($A431="","",DATE(YEAR($A431),MONTH($A431),1))</f>
        <v/>
      </c>
    </row>
    <row r="432" customFormat="false" ht="15" hidden="false" customHeight="false" outlineLevel="0" collapsed="false">
      <c r="A432" s="22"/>
      <c r="B432" s="23"/>
      <c r="C432" s="23"/>
      <c r="D432" s="25"/>
      <c r="E432" s="32"/>
      <c r="F432" s="23"/>
      <c r="G432" s="28" t="str">
        <f aca="false">IF($A432="","",IF($B432="Mileage",N($E432)*Settings!$B$13,N($D432)))</f>
        <v/>
      </c>
      <c r="H432" s="27" t="str">
        <f aca="false">IF($A432="","",IF($A432&gt;=DATE(YEAR($A432),4,6),YEAR($A432)&amp;"/"&amp;RIGHT(YEAR($A432)+1,2),YEAR($A432)-1&amp;"/"&amp;RIGHT(YEAR($A432),2)))</f>
        <v/>
      </c>
      <c r="I432" s="29" t="str">
        <f aca="false">IF($A432="","",DATE(YEAR($A432),MONTH($A432),1))</f>
        <v/>
      </c>
    </row>
    <row r="433" customFormat="false" ht="15" hidden="false" customHeight="false" outlineLevel="0" collapsed="false">
      <c r="A433" s="22"/>
      <c r="B433" s="23"/>
      <c r="C433" s="23"/>
      <c r="D433" s="25"/>
      <c r="E433" s="32"/>
      <c r="F433" s="23"/>
      <c r="G433" s="28" t="str">
        <f aca="false">IF($A433="","",IF($B433="Mileage",N($E433)*Settings!$B$13,N($D433)))</f>
        <v/>
      </c>
      <c r="H433" s="27" t="str">
        <f aca="false">IF($A433="","",IF($A433&gt;=DATE(YEAR($A433),4,6),YEAR($A433)&amp;"/"&amp;RIGHT(YEAR($A433)+1,2),YEAR($A433)-1&amp;"/"&amp;RIGHT(YEAR($A433),2)))</f>
        <v/>
      </c>
      <c r="I433" s="29" t="str">
        <f aca="false">IF($A433="","",DATE(YEAR($A433),MONTH($A433),1))</f>
        <v/>
      </c>
    </row>
    <row r="434" customFormat="false" ht="15" hidden="false" customHeight="false" outlineLevel="0" collapsed="false">
      <c r="A434" s="22"/>
      <c r="B434" s="23"/>
      <c r="C434" s="23"/>
      <c r="D434" s="25"/>
      <c r="E434" s="32"/>
      <c r="F434" s="23"/>
      <c r="G434" s="28" t="str">
        <f aca="false">IF($A434="","",IF($B434="Mileage",N($E434)*Settings!$B$13,N($D434)))</f>
        <v/>
      </c>
      <c r="H434" s="27" t="str">
        <f aca="false">IF($A434="","",IF($A434&gt;=DATE(YEAR($A434),4,6),YEAR($A434)&amp;"/"&amp;RIGHT(YEAR($A434)+1,2),YEAR($A434)-1&amp;"/"&amp;RIGHT(YEAR($A434),2)))</f>
        <v/>
      </c>
      <c r="I434" s="29" t="str">
        <f aca="false">IF($A434="","",DATE(YEAR($A434),MONTH($A434),1))</f>
        <v/>
      </c>
    </row>
    <row r="435" customFormat="false" ht="15" hidden="false" customHeight="false" outlineLevel="0" collapsed="false">
      <c r="A435" s="22"/>
      <c r="B435" s="23"/>
      <c r="C435" s="23"/>
      <c r="D435" s="25"/>
      <c r="E435" s="32"/>
      <c r="F435" s="23"/>
      <c r="G435" s="28" t="str">
        <f aca="false">IF($A435="","",IF($B435="Mileage",N($E435)*Settings!$B$13,N($D435)))</f>
        <v/>
      </c>
      <c r="H435" s="27" t="str">
        <f aca="false">IF($A435="","",IF($A435&gt;=DATE(YEAR($A435),4,6),YEAR($A435)&amp;"/"&amp;RIGHT(YEAR($A435)+1,2),YEAR($A435)-1&amp;"/"&amp;RIGHT(YEAR($A435),2)))</f>
        <v/>
      </c>
      <c r="I435" s="29" t="str">
        <f aca="false">IF($A435="","",DATE(YEAR($A435),MONTH($A435),1))</f>
        <v/>
      </c>
    </row>
    <row r="436" customFormat="false" ht="15" hidden="false" customHeight="false" outlineLevel="0" collapsed="false">
      <c r="A436" s="22"/>
      <c r="B436" s="23"/>
      <c r="C436" s="23"/>
      <c r="D436" s="25"/>
      <c r="E436" s="32"/>
      <c r="F436" s="23"/>
      <c r="G436" s="28" t="str">
        <f aca="false">IF($A436="","",IF($B436="Mileage",N($E436)*Settings!$B$13,N($D436)))</f>
        <v/>
      </c>
      <c r="H436" s="27" t="str">
        <f aca="false">IF($A436="","",IF($A436&gt;=DATE(YEAR($A436),4,6),YEAR($A436)&amp;"/"&amp;RIGHT(YEAR($A436)+1,2),YEAR($A436)-1&amp;"/"&amp;RIGHT(YEAR($A436),2)))</f>
        <v/>
      </c>
      <c r="I436" s="29" t="str">
        <f aca="false">IF($A436="","",DATE(YEAR($A436),MONTH($A436),1))</f>
        <v/>
      </c>
    </row>
    <row r="437" customFormat="false" ht="15" hidden="false" customHeight="false" outlineLevel="0" collapsed="false">
      <c r="A437" s="22"/>
      <c r="B437" s="23"/>
      <c r="C437" s="23"/>
      <c r="D437" s="25"/>
      <c r="E437" s="32"/>
      <c r="F437" s="23"/>
      <c r="G437" s="28" t="str">
        <f aca="false">IF($A437="","",IF($B437="Mileage",N($E437)*Settings!$B$13,N($D437)))</f>
        <v/>
      </c>
      <c r="H437" s="27" t="str">
        <f aca="false">IF($A437="","",IF($A437&gt;=DATE(YEAR($A437),4,6),YEAR($A437)&amp;"/"&amp;RIGHT(YEAR($A437)+1,2),YEAR($A437)-1&amp;"/"&amp;RIGHT(YEAR($A437),2)))</f>
        <v/>
      </c>
      <c r="I437" s="29" t="str">
        <f aca="false">IF($A437="","",DATE(YEAR($A437),MONTH($A437),1))</f>
        <v/>
      </c>
    </row>
    <row r="438" customFormat="false" ht="15" hidden="false" customHeight="false" outlineLevel="0" collapsed="false">
      <c r="A438" s="22"/>
      <c r="B438" s="23"/>
      <c r="C438" s="23"/>
      <c r="D438" s="25"/>
      <c r="E438" s="32"/>
      <c r="F438" s="23"/>
      <c r="G438" s="28" t="str">
        <f aca="false">IF($A438="","",IF($B438="Mileage",N($E438)*Settings!$B$13,N($D438)))</f>
        <v/>
      </c>
      <c r="H438" s="27" t="str">
        <f aca="false">IF($A438="","",IF($A438&gt;=DATE(YEAR($A438),4,6),YEAR($A438)&amp;"/"&amp;RIGHT(YEAR($A438)+1,2),YEAR($A438)-1&amp;"/"&amp;RIGHT(YEAR($A438),2)))</f>
        <v/>
      </c>
      <c r="I438" s="29" t="str">
        <f aca="false">IF($A438="","",DATE(YEAR($A438),MONTH($A438),1))</f>
        <v/>
      </c>
    </row>
    <row r="439" customFormat="false" ht="15" hidden="false" customHeight="false" outlineLevel="0" collapsed="false">
      <c r="A439" s="22"/>
      <c r="B439" s="23"/>
      <c r="C439" s="23"/>
      <c r="D439" s="25"/>
      <c r="E439" s="32"/>
      <c r="F439" s="23"/>
      <c r="G439" s="28" t="str">
        <f aca="false">IF($A439="","",IF($B439="Mileage",N($E439)*Settings!$B$13,N($D439)))</f>
        <v/>
      </c>
      <c r="H439" s="27" t="str">
        <f aca="false">IF($A439="","",IF($A439&gt;=DATE(YEAR($A439),4,6),YEAR($A439)&amp;"/"&amp;RIGHT(YEAR($A439)+1,2),YEAR($A439)-1&amp;"/"&amp;RIGHT(YEAR($A439),2)))</f>
        <v/>
      </c>
      <c r="I439" s="29" t="str">
        <f aca="false">IF($A439="","",DATE(YEAR($A439),MONTH($A439),1))</f>
        <v/>
      </c>
    </row>
    <row r="440" customFormat="false" ht="15" hidden="false" customHeight="false" outlineLevel="0" collapsed="false">
      <c r="A440" s="22"/>
      <c r="B440" s="23"/>
      <c r="C440" s="23"/>
      <c r="D440" s="25"/>
      <c r="E440" s="32"/>
      <c r="F440" s="23"/>
      <c r="G440" s="28" t="str">
        <f aca="false">IF($A440="","",IF($B440="Mileage",N($E440)*Settings!$B$13,N($D440)))</f>
        <v/>
      </c>
      <c r="H440" s="27" t="str">
        <f aca="false">IF($A440="","",IF($A440&gt;=DATE(YEAR($A440),4,6),YEAR($A440)&amp;"/"&amp;RIGHT(YEAR($A440)+1,2),YEAR($A440)-1&amp;"/"&amp;RIGHT(YEAR($A440),2)))</f>
        <v/>
      </c>
      <c r="I440" s="29" t="str">
        <f aca="false">IF($A440="","",DATE(YEAR($A440),MONTH($A440),1))</f>
        <v/>
      </c>
    </row>
    <row r="441" customFormat="false" ht="15" hidden="false" customHeight="false" outlineLevel="0" collapsed="false">
      <c r="A441" s="22"/>
      <c r="B441" s="23"/>
      <c r="C441" s="23"/>
      <c r="D441" s="25"/>
      <c r="E441" s="32"/>
      <c r="F441" s="23"/>
      <c r="G441" s="28" t="str">
        <f aca="false">IF($A441="","",IF($B441="Mileage",N($E441)*Settings!$B$13,N($D441)))</f>
        <v/>
      </c>
      <c r="H441" s="27" t="str">
        <f aca="false">IF($A441="","",IF($A441&gt;=DATE(YEAR($A441),4,6),YEAR($A441)&amp;"/"&amp;RIGHT(YEAR($A441)+1,2),YEAR($A441)-1&amp;"/"&amp;RIGHT(YEAR($A441),2)))</f>
        <v/>
      </c>
      <c r="I441" s="29" t="str">
        <f aca="false">IF($A441="","",DATE(YEAR($A441),MONTH($A441),1))</f>
        <v/>
      </c>
    </row>
    <row r="442" customFormat="false" ht="15" hidden="false" customHeight="false" outlineLevel="0" collapsed="false">
      <c r="A442" s="22"/>
      <c r="B442" s="23"/>
      <c r="C442" s="23"/>
      <c r="D442" s="25"/>
      <c r="E442" s="32"/>
      <c r="F442" s="23"/>
      <c r="G442" s="28" t="str">
        <f aca="false">IF($A442="","",IF($B442="Mileage",N($E442)*Settings!$B$13,N($D442)))</f>
        <v/>
      </c>
      <c r="H442" s="27" t="str">
        <f aca="false">IF($A442="","",IF($A442&gt;=DATE(YEAR($A442),4,6),YEAR($A442)&amp;"/"&amp;RIGHT(YEAR($A442)+1,2),YEAR($A442)-1&amp;"/"&amp;RIGHT(YEAR($A442),2)))</f>
        <v/>
      </c>
      <c r="I442" s="29" t="str">
        <f aca="false">IF($A442="","",DATE(YEAR($A442),MONTH($A442),1))</f>
        <v/>
      </c>
    </row>
    <row r="443" customFormat="false" ht="15" hidden="false" customHeight="false" outlineLevel="0" collapsed="false">
      <c r="A443" s="22"/>
      <c r="B443" s="23"/>
      <c r="C443" s="23"/>
      <c r="D443" s="25"/>
      <c r="E443" s="32"/>
      <c r="F443" s="23"/>
      <c r="G443" s="28" t="str">
        <f aca="false">IF($A443="","",IF($B443="Mileage",N($E443)*Settings!$B$13,N($D443)))</f>
        <v/>
      </c>
      <c r="H443" s="27" t="str">
        <f aca="false">IF($A443="","",IF($A443&gt;=DATE(YEAR($A443),4,6),YEAR($A443)&amp;"/"&amp;RIGHT(YEAR($A443)+1,2),YEAR($A443)-1&amp;"/"&amp;RIGHT(YEAR($A443),2)))</f>
        <v/>
      </c>
      <c r="I443" s="29" t="str">
        <f aca="false">IF($A443="","",DATE(YEAR($A443),MONTH($A443),1))</f>
        <v/>
      </c>
    </row>
    <row r="444" customFormat="false" ht="15" hidden="false" customHeight="false" outlineLevel="0" collapsed="false">
      <c r="A444" s="22"/>
      <c r="B444" s="23"/>
      <c r="C444" s="23"/>
      <c r="D444" s="25"/>
      <c r="E444" s="32"/>
      <c r="F444" s="23"/>
      <c r="G444" s="28" t="str">
        <f aca="false">IF($A444="","",IF($B444="Mileage",N($E444)*Settings!$B$13,N($D444)))</f>
        <v/>
      </c>
      <c r="H444" s="27" t="str">
        <f aca="false">IF($A444="","",IF($A444&gt;=DATE(YEAR($A444),4,6),YEAR($A444)&amp;"/"&amp;RIGHT(YEAR($A444)+1,2),YEAR($A444)-1&amp;"/"&amp;RIGHT(YEAR($A444),2)))</f>
        <v/>
      </c>
      <c r="I444" s="29" t="str">
        <f aca="false">IF($A444="","",DATE(YEAR($A444),MONTH($A444),1))</f>
        <v/>
      </c>
    </row>
    <row r="445" customFormat="false" ht="15" hidden="false" customHeight="false" outlineLevel="0" collapsed="false">
      <c r="A445" s="22"/>
      <c r="B445" s="23"/>
      <c r="C445" s="23"/>
      <c r="D445" s="25"/>
      <c r="E445" s="32"/>
      <c r="F445" s="23"/>
      <c r="G445" s="28" t="str">
        <f aca="false">IF($A445="","",IF($B445="Mileage",N($E445)*Settings!$B$13,N($D445)))</f>
        <v/>
      </c>
      <c r="H445" s="27" t="str">
        <f aca="false">IF($A445="","",IF($A445&gt;=DATE(YEAR($A445),4,6),YEAR($A445)&amp;"/"&amp;RIGHT(YEAR($A445)+1,2),YEAR($A445)-1&amp;"/"&amp;RIGHT(YEAR($A445),2)))</f>
        <v/>
      </c>
      <c r="I445" s="29" t="str">
        <f aca="false">IF($A445="","",DATE(YEAR($A445),MONTH($A445),1))</f>
        <v/>
      </c>
    </row>
    <row r="446" customFormat="false" ht="15" hidden="false" customHeight="false" outlineLevel="0" collapsed="false">
      <c r="A446" s="22"/>
      <c r="B446" s="23"/>
      <c r="C446" s="23"/>
      <c r="D446" s="25"/>
      <c r="E446" s="32"/>
      <c r="F446" s="23"/>
      <c r="G446" s="28" t="str">
        <f aca="false">IF($A446="","",IF($B446="Mileage",N($E446)*Settings!$B$13,N($D446)))</f>
        <v/>
      </c>
      <c r="H446" s="27" t="str">
        <f aca="false">IF($A446="","",IF($A446&gt;=DATE(YEAR($A446),4,6),YEAR($A446)&amp;"/"&amp;RIGHT(YEAR($A446)+1,2),YEAR($A446)-1&amp;"/"&amp;RIGHT(YEAR($A446),2)))</f>
        <v/>
      </c>
      <c r="I446" s="29" t="str">
        <f aca="false">IF($A446="","",DATE(YEAR($A446),MONTH($A446),1))</f>
        <v/>
      </c>
    </row>
    <row r="447" customFormat="false" ht="15" hidden="false" customHeight="false" outlineLevel="0" collapsed="false">
      <c r="A447" s="22"/>
      <c r="B447" s="23"/>
      <c r="C447" s="23"/>
      <c r="D447" s="25"/>
      <c r="E447" s="32"/>
      <c r="F447" s="23"/>
      <c r="G447" s="28" t="str">
        <f aca="false">IF($A447="","",IF($B447="Mileage",N($E447)*Settings!$B$13,N($D447)))</f>
        <v/>
      </c>
      <c r="H447" s="27" t="str">
        <f aca="false">IF($A447="","",IF($A447&gt;=DATE(YEAR($A447),4,6),YEAR($A447)&amp;"/"&amp;RIGHT(YEAR($A447)+1,2),YEAR($A447)-1&amp;"/"&amp;RIGHT(YEAR($A447),2)))</f>
        <v/>
      </c>
      <c r="I447" s="29" t="str">
        <f aca="false">IF($A447="","",DATE(YEAR($A447),MONTH($A447),1))</f>
        <v/>
      </c>
    </row>
    <row r="448" customFormat="false" ht="15" hidden="false" customHeight="false" outlineLevel="0" collapsed="false">
      <c r="A448" s="22"/>
      <c r="B448" s="23"/>
      <c r="C448" s="23"/>
      <c r="D448" s="25"/>
      <c r="E448" s="32"/>
      <c r="F448" s="23"/>
      <c r="G448" s="28" t="str">
        <f aca="false">IF($A448="","",IF($B448="Mileage",N($E448)*Settings!$B$13,N($D448)))</f>
        <v/>
      </c>
      <c r="H448" s="27" t="str">
        <f aca="false">IF($A448="","",IF($A448&gt;=DATE(YEAR($A448),4,6),YEAR($A448)&amp;"/"&amp;RIGHT(YEAR($A448)+1,2),YEAR($A448)-1&amp;"/"&amp;RIGHT(YEAR($A448),2)))</f>
        <v/>
      </c>
      <c r="I448" s="29" t="str">
        <f aca="false">IF($A448="","",DATE(YEAR($A448),MONTH($A448),1))</f>
        <v/>
      </c>
    </row>
    <row r="449" customFormat="false" ht="15" hidden="false" customHeight="false" outlineLevel="0" collapsed="false">
      <c r="A449" s="22"/>
      <c r="B449" s="23"/>
      <c r="C449" s="23"/>
      <c r="D449" s="25"/>
      <c r="E449" s="32"/>
      <c r="F449" s="23"/>
      <c r="G449" s="28" t="str">
        <f aca="false">IF($A449="","",IF($B449="Mileage",N($E449)*Settings!$B$13,N($D449)))</f>
        <v/>
      </c>
      <c r="H449" s="27" t="str">
        <f aca="false">IF($A449="","",IF($A449&gt;=DATE(YEAR($A449),4,6),YEAR($A449)&amp;"/"&amp;RIGHT(YEAR($A449)+1,2),YEAR($A449)-1&amp;"/"&amp;RIGHT(YEAR($A449),2)))</f>
        <v/>
      </c>
      <c r="I449" s="29" t="str">
        <f aca="false">IF($A449="","",DATE(YEAR($A449),MONTH($A449),1))</f>
        <v/>
      </c>
    </row>
    <row r="450" customFormat="false" ht="15" hidden="false" customHeight="false" outlineLevel="0" collapsed="false">
      <c r="A450" s="22"/>
      <c r="B450" s="23"/>
      <c r="C450" s="23"/>
      <c r="D450" s="25"/>
      <c r="E450" s="32"/>
      <c r="F450" s="23"/>
      <c r="G450" s="28" t="str">
        <f aca="false">IF($A450="","",IF($B450="Mileage",N($E450)*Settings!$B$13,N($D450)))</f>
        <v/>
      </c>
      <c r="H450" s="27" t="str">
        <f aca="false">IF($A450="","",IF($A450&gt;=DATE(YEAR($A450),4,6),YEAR($A450)&amp;"/"&amp;RIGHT(YEAR($A450)+1,2),YEAR($A450)-1&amp;"/"&amp;RIGHT(YEAR($A450),2)))</f>
        <v/>
      </c>
      <c r="I450" s="29" t="str">
        <f aca="false">IF($A450="","",DATE(YEAR($A450),MONTH($A450),1))</f>
        <v/>
      </c>
    </row>
    <row r="451" customFormat="false" ht="15" hidden="false" customHeight="false" outlineLevel="0" collapsed="false">
      <c r="A451" s="22"/>
      <c r="B451" s="23"/>
      <c r="C451" s="23"/>
      <c r="D451" s="25"/>
      <c r="E451" s="32"/>
      <c r="F451" s="23"/>
      <c r="G451" s="28" t="str">
        <f aca="false">IF($A451="","",IF($B451="Mileage",N($E451)*Settings!$B$13,N($D451)))</f>
        <v/>
      </c>
      <c r="H451" s="27" t="str">
        <f aca="false">IF($A451="","",IF($A451&gt;=DATE(YEAR($A451),4,6),YEAR($A451)&amp;"/"&amp;RIGHT(YEAR($A451)+1,2),YEAR($A451)-1&amp;"/"&amp;RIGHT(YEAR($A451),2)))</f>
        <v/>
      </c>
      <c r="I451" s="29" t="str">
        <f aca="false">IF($A451="","",DATE(YEAR($A451),MONTH($A451),1))</f>
        <v/>
      </c>
    </row>
    <row r="452" customFormat="false" ht="15" hidden="false" customHeight="false" outlineLevel="0" collapsed="false">
      <c r="A452" s="22"/>
      <c r="B452" s="23"/>
      <c r="C452" s="23"/>
      <c r="D452" s="25"/>
      <c r="E452" s="32"/>
      <c r="F452" s="23"/>
      <c r="G452" s="28" t="str">
        <f aca="false">IF($A452="","",IF($B452="Mileage",N($E452)*Settings!$B$13,N($D452)))</f>
        <v/>
      </c>
      <c r="H452" s="27" t="str">
        <f aca="false">IF($A452="","",IF($A452&gt;=DATE(YEAR($A452),4,6),YEAR($A452)&amp;"/"&amp;RIGHT(YEAR($A452)+1,2),YEAR($A452)-1&amp;"/"&amp;RIGHT(YEAR($A452),2)))</f>
        <v/>
      </c>
      <c r="I452" s="29" t="str">
        <f aca="false">IF($A452="","",DATE(YEAR($A452),MONTH($A452),1))</f>
        <v/>
      </c>
    </row>
    <row r="453" customFormat="false" ht="15" hidden="false" customHeight="false" outlineLevel="0" collapsed="false">
      <c r="A453" s="22"/>
      <c r="B453" s="23"/>
      <c r="C453" s="23"/>
      <c r="D453" s="25"/>
      <c r="E453" s="32"/>
      <c r="F453" s="23"/>
      <c r="G453" s="28" t="str">
        <f aca="false">IF($A453="","",IF($B453="Mileage",N($E453)*Settings!$B$13,N($D453)))</f>
        <v/>
      </c>
      <c r="H453" s="27" t="str">
        <f aca="false">IF($A453="","",IF($A453&gt;=DATE(YEAR($A453),4,6),YEAR($A453)&amp;"/"&amp;RIGHT(YEAR($A453)+1,2),YEAR($A453)-1&amp;"/"&amp;RIGHT(YEAR($A453),2)))</f>
        <v/>
      </c>
      <c r="I453" s="29" t="str">
        <f aca="false">IF($A453="","",DATE(YEAR($A453),MONTH($A453),1))</f>
        <v/>
      </c>
    </row>
    <row r="454" customFormat="false" ht="15" hidden="false" customHeight="false" outlineLevel="0" collapsed="false">
      <c r="A454" s="22"/>
      <c r="B454" s="23"/>
      <c r="C454" s="23"/>
      <c r="D454" s="25"/>
      <c r="E454" s="32"/>
      <c r="F454" s="23"/>
      <c r="G454" s="28" t="str">
        <f aca="false">IF($A454="","",IF($B454="Mileage",N($E454)*Settings!$B$13,N($D454)))</f>
        <v/>
      </c>
      <c r="H454" s="27" t="str">
        <f aca="false">IF($A454="","",IF($A454&gt;=DATE(YEAR($A454),4,6),YEAR($A454)&amp;"/"&amp;RIGHT(YEAR($A454)+1,2),YEAR($A454)-1&amp;"/"&amp;RIGHT(YEAR($A454),2)))</f>
        <v/>
      </c>
      <c r="I454" s="29" t="str">
        <f aca="false">IF($A454="","",DATE(YEAR($A454),MONTH($A454),1))</f>
        <v/>
      </c>
    </row>
    <row r="455" customFormat="false" ht="15" hidden="false" customHeight="false" outlineLevel="0" collapsed="false">
      <c r="A455" s="22"/>
      <c r="B455" s="23"/>
      <c r="C455" s="23"/>
      <c r="D455" s="25"/>
      <c r="E455" s="32"/>
      <c r="F455" s="23"/>
      <c r="G455" s="28" t="str">
        <f aca="false">IF($A455="","",IF($B455="Mileage",N($E455)*Settings!$B$13,N($D455)))</f>
        <v/>
      </c>
      <c r="H455" s="27" t="str">
        <f aca="false">IF($A455="","",IF($A455&gt;=DATE(YEAR($A455),4,6),YEAR($A455)&amp;"/"&amp;RIGHT(YEAR($A455)+1,2),YEAR($A455)-1&amp;"/"&amp;RIGHT(YEAR($A455),2)))</f>
        <v/>
      </c>
      <c r="I455" s="29" t="str">
        <f aca="false">IF($A455="","",DATE(YEAR($A455),MONTH($A455),1))</f>
        <v/>
      </c>
    </row>
    <row r="456" customFormat="false" ht="15" hidden="false" customHeight="false" outlineLevel="0" collapsed="false">
      <c r="A456" s="22"/>
      <c r="B456" s="23"/>
      <c r="C456" s="23"/>
      <c r="D456" s="25"/>
      <c r="E456" s="32"/>
      <c r="F456" s="23"/>
      <c r="G456" s="28" t="str">
        <f aca="false">IF($A456="","",IF($B456="Mileage",N($E456)*Settings!$B$13,N($D456)))</f>
        <v/>
      </c>
      <c r="H456" s="27" t="str">
        <f aca="false">IF($A456="","",IF($A456&gt;=DATE(YEAR($A456),4,6),YEAR($A456)&amp;"/"&amp;RIGHT(YEAR($A456)+1,2),YEAR($A456)-1&amp;"/"&amp;RIGHT(YEAR($A456),2)))</f>
        <v/>
      </c>
      <c r="I456" s="29" t="str">
        <f aca="false">IF($A456="","",DATE(YEAR($A456),MONTH($A456),1))</f>
        <v/>
      </c>
    </row>
    <row r="457" customFormat="false" ht="15" hidden="false" customHeight="false" outlineLevel="0" collapsed="false">
      <c r="A457" s="22"/>
      <c r="B457" s="23"/>
      <c r="C457" s="23"/>
      <c r="D457" s="25"/>
      <c r="E457" s="32"/>
      <c r="F457" s="23"/>
      <c r="G457" s="28" t="str">
        <f aca="false">IF($A457="","",IF($B457="Mileage",N($E457)*Settings!$B$13,N($D457)))</f>
        <v/>
      </c>
      <c r="H457" s="27" t="str">
        <f aca="false">IF($A457="","",IF($A457&gt;=DATE(YEAR($A457),4,6),YEAR($A457)&amp;"/"&amp;RIGHT(YEAR($A457)+1,2),YEAR($A457)-1&amp;"/"&amp;RIGHT(YEAR($A457),2)))</f>
        <v/>
      </c>
      <c r="I457" s="29" t="str">
        <f aca="false">IF($A457="","",DATE(YEAR($A457),MONTH($A457),1))</f>
        <v/>
      </c>
    </row>
    <row r="458" customFormat="false" ht="15" hidden="false" customHeight="false" outlineLevel="0" collapsed="false">
      <c r="A458" s="22"/>
      <c r="B458" s="23"/>
      <c r="C458" s="23"/>
      <c r="D458" s="25"/>
      <c r="E458" s="32"/>
      <c r="F458" s="23"/>
      <c r="G458" s="28" t="str">
        <f aca="false">IF($A458="","",IF($B458="Mileage",N($E458)*Settings!$B$13,N($D458)))</f>
        <v/>
      </c>
      <c r="H458" s="27" t="str">
        <f aca="false">IF($A458="","",IF($A458&gt;=DATE(YEAR($A458),4,6),YEAR($A458)&amp;"/"&amp;RIGHT(YEAR($A458)+1,2),YEAR($A458)-1&amp;"/"&amp;RIGHT(YEAR($A458),2)))</f>
        <v/>
      </c>
      <c r="I458" s="29" t="str">
        <f aca="false">IF($A458="","",DATE(YEAR($A458),MONTH($A458),1))</f>
        <v/>
      </c>
    </row>
    <row r="459" customFormat="false" ht="15" hidden="false" customHeight="false" outlineLevel="0" collapsed="false">
      <c r="A459" s="22"/>
      <c r="B459" s="23"/>
      <c r="C459" s="23"/>
      <c r="D459" s="25"/>
      <c r="E459" s="32"/>
      <c r="F459" s="23"/>
      <c r="G459" s="28" t="str">
        <f aca="false">IF($A459="","",IF($B459="Mileage",N($E459)*Settings!$B$13,N($D459)))</f>
        <v/>
      </c>
      <c r="H459" s="27" t="str">
        <f aca="false">IF($A459="","",IF($A459&gt;=DATE(YEAR($A459),4,6),YEAR($A459)&amp;"/"&amp;RIGHT(YEAR($A459)+1,2),YEAR($A459)-1&amp;"/"&amp;RIGHT(YEAR($A459),2)))</f>
        <v/>
      </c>
      <c r="I459" s="29" t="str">
        <f aca="false">IF($A459="","",DATE(YEAR($A459),MONTH($A459),1))</f>
        <v/>
      </c>
    </row>
    <row r="460" customFormat="false" ht="15" hidden="false" customHeight="false" outlineLevel="0" collapsed="false">
      <c r="A460" s="22"/>
      <c r="B460" s="23"/>
      <c r="C460" s="23"/>
      <c r="D460" s="25"/>
      <c r="E460" s="32"/>
      <c r="F460" s="23"/>
      <c r="G460" s="28" t="str">
        <f aca="false">IF($A460="","",IF($B460="Mileage",N($E460)*Settings!$B$13,N($D460)))</f>
        <v/>
      </c>
      <c r="H460" s="27" t="str">
        <f aca="false">IF($A460="","",IF($A460&gt;=DATE(YEAR($A460),4,6),YEAR($A460)&amp;"/"&amp;RIGHT(YEAR($A460)+1,2),YEAR($A460)-1&amp;"/"&amp;RIGHT(YEAR($A460),2)))</f>
        <v/>
      </c>
      <c r="I460" s="29" t="str">
        <f aca="false">IF($A460="","",DATE(YEAR($A460),MONTH($A460),1))</f>
        <v/>
      </c>
    </row>
    <row r="461" customFormat="false" ht="15" hidden="false" customHeight="false" outlineLevel="0" collapsed="false">
      <c r="A461" s="22"/>
      <c r="B461" s="23"/>
      <c r="C461" s="23"/>
      <c r="D461" s="25"/>
      <c r="E461" s="32"/>
      <c r="F461" s="23"/>
      <c r="G461" s="28" t="str">
        <f aca="false">IF($A461="","",IF($B461="Mileage",N($E461)*Settings!$B$13,N($D461)))</f>
        <v/>
      </c>
      <c r="H461" s="27" t="str">
        <f aca="false">IF($A461="","",IF($A461&gt;=DATE(YEAR($A461),4,6),YEAR($A461)&amp;"/"&amp;RIGHT(YEAR($A461)+1,2),YEAR($A461)-1&amp;"/"&amp;RIGHT(YEAR($A461),2)))</f>
        <v/>
      </c>
      <c r="I461" s="29" t="str">
        <f aca="false">IF($A461="","",DATE(YEAR($A461),MONTH($A461),1))</f>
        <v/>
      </c>
    </row>
    <row r="462" customFormat="false" ht="15" hidden="false" customHeight="false" outlineLevel="0" collapsed="false">
      <c r="A462" s="22"/>
      <c r="B462" s="23"/>
      <c r="C462" s="23"/>
      <c r="D462" s="25"/>
      <c r="E462" s="32"/>
      <c r="F462" s="23"/>
      <c r="G462" s="28" t="str">
        <f aca="false">IF($A462="","",IF($B462="Mileage",N($E462)*Settings!$B$13,N($D462)))</f>
        <v/>
      </c>
      <c r="H462" s="27" t="str">
        <f aca="false">IF($A462="","",IF($A462&gt;=DATE(YEAR($A462),4,6),YEAR($A462)&amp;"/"&amp;RIGHT(YEAR($A462)+1,2),YEAR($A462)-1&amp;"/"&amp;RIGHT(YEAR($A462),2)))</f>
        <v/>
      </c>
      <c r="I462" s="29" t="str">
        <f aca="false">IF($A462="","",DATE(YEAR($A462),MONTH($A462),1))</f>
        <v/>
      </c>
    </row>
    <row r="463" customFormat="false" ht="15" hidden="false" customHeight="false" outlineLevel="0" collapsed="false">
      <c r="A463" s="22"/>
      <c r="B463" s="23"/>
      <c r="C463" s="23"/>
      <c r="D463" s="25"/>
      <c r="E463" s="32"/>
      <c r="F463" s="23"/>
      <c r="G463" s="28" t="str">
        <f aca="false">IF($A463="","",IF($B463="Mileage",N($E463)*Settings!$B$13,N($D463)))</f>
        <v/>
      </c>
      <c r="H463" s="27" t="str">
        <f aca="false">IF($A463="","",IF($A463&gt;=DATE(YEAR($A463),4,6),YEAR($A463)&amp;"/"&amp;RIGHT(YEAR($A463)+1,2),YEAR($A463)-1&amp;"/"&amp;RIGHT(YEAR($A463),2)))</f>
        <v/>
      </c>
      <c r="I463" s="29" t="str">
        <f aca="false">IF($A463="","",DATE(YEAR($A463),MONTH($A463),1))</f>
        <v/>
      </c>
    </row>
    <row r="464" customFormat="false" ht="15" hidden="false" customHeight="false" outlineLevel="0" collapsed="false">
      <c r="A464" s="22"/>
      <c r="B464" s="23"/>
      <c r="C464" s="23"/>
      <c r="D464" s="25"/>
      <c r="E464" s="32"/>
      <c r="F464" s="23"/>
      <c r="G464" s="28" t="str">
        <f aca="false">IF($A464="","",IF($B464="Mileage",N($E464)*Settings!$B$13,N($D464)))</f>
        <v/>
      </c>
      <c r="H464" s="27" t="str">
        <f aca="false">IF($A464="","",IF($A464&gt;=DATE(YEAR($A464),4,6),YEAR($A464)&amp;"/"&amp;RIGHT(YEAR($A464)+1,2),YEAR($A464)-1&amp;"/"&amp;RIGHT(YEAR($A464),2)))</f>
        <v/>
      </c>
      <c r="I464" s="29" t="str">
        <f aca="false">IF($A464="","",DATE(YEAR($A464),MONTH($A464),1))</f>
        <v/>
      </c>
    </row>
    <row r="465" customFormat="false" ht="15" hidden="false" customHeight="false" outlineLevel="0" collapsed="false">
      <c r="A465" s="22"/>
      <c r="B465" s="23"/>
      <c r="C465" s="23"/>
      <c r="D465" s="25"/>
      <c r="E465" s="32"/>
      <c r="F465" s="23"/>
      <c r="G465" s="28" t="str">
        <f aca="false">IF($A465="","",IF($B465="Mileage",N($E465)*Settings!$B$13,N($D465)))</f>
        <v/>
      </c>
      <c r="H465" s="27" t="str">
        <f aca="false">IF($A465="","",IF($A465&gt;=DATE(YEAR($A465),4,6),YEAR($A465)&amp;"/"&amp;RIGHT(YEAR($A465)+1,2),YEAR($A465)-1&amp;"/"&amp;RIGHT(YEAR($A465),2)))</f>
        <v/>
      </c>
      <c r="I465" s="29" t="str">
        <f aca="false">IF($A465="","",DATE(YEAR($A465),MONTH($A465),1))</f>
        <v/>
      </c>
    </row>
    <row r="466" customFormat="false" ht="15" hidden="false" customHeight="false" outlineLevel="0" collapsed="false">
      <c r="A466" s="22"/>
      <c r="B466" s="23"/>
      <c r="C466" s="23"/>
      <c r="D466" s="25"/>
      <c r="E466" s="32"/>
      <c r="F466" s="23"/>
      <c r="G466" s="28" t="str">
        <f aca="false">IF($A466="","",IF($B466="Mileage",N($E466)*Settings!$B$13,N($D466)))</f>
        <v/>
      </c>
      <c r="H466" s="27" t="str">
        <f aca="false">IF($A466="","",IF($A466&gt;=DATE(YEAR($A466),4,6),YEAR($A466)&amp;"/"&amp;RIGHT(YEAR($A466)+1,2),YEAR($A466)-1&amp;"/"&amp;RIGHT(YEAR($A466),2)))</f>
        <v/>
      </c>
      <c r="I466" s="29" t="str">
        <f aca="false">IF($A466="","",DATE(YEAR($A466),MONTH($A466),1))</f>
        <v/>
      </c>
    </row>
    <row r="467" customFormat="false" ht="15" hidden="false" customHeight="false" outlineLevel="0" collapsed="false">
      <c r="A467" s="22"/>
      <c r="B467" s="23"/>
      <c r="C467" s="23"/>
      <c r="D467" s="25"/>
      <c r="E467" s="32"/>
      <c r="F467" s="23"/>
      <c r="G467" s="28" t="str">
        <f aca="false">IF($A467="","",IF($B467="Mileage",N($E467)*Settings!$B$13,N($D467)))</f>
        <v/>
      </c>
      <c r="H467" s="27" t="str">
        <f aca="false">IF($A467="","",IF($A467&gt;=DATE(YEAR($A467),4,6),YEAR($A467)&amp;"/"&amp;RIGHT(YEAR($A467)+1,2),YEAR($A467)-1&amp;"/"&amp;RIGHT(YEAR($A467),2)))</f>
        <v/>
      </c>
      <c r="I467" s="29" t="str">
        <f aca="false">IF($A467="","",DATE(YEAR($A467),MONTH($A467),1))</f>
        <v/>
      </c>
    </row>
    <row r="468" customFormat="false" ht="15" hidden="false" customHeight="false" outlineLevel="0" collapsed="false">
      <c r="A468" s="22"/>
      <c r="B468" s="23"/>
      <c r="C468" s="23"/>
      <c r="D468" s="25"/>
      <c r="E468" s="32"/>
      <c r="F468" s="23"/>
      <c r="G468" s="28" t="str">
        <f aca="false">IF($A468="","",IF($B468="Mileage",N($E468)*Settings!$B$13,N($D468)))</f>
        <v/>
      </c>
      <c r="H468" s="27" t="str">
        <f aca="false">IF($A468="","",IF($A468&gt;=DATE(YEAR($A468),4,6),YEAR($A468)&amp;"/"&amp;RIGHT(YEAR($A468)+1,2),YEAR($A468)-1&amp;"/"&amp;RIGHT(YEAR($A468),2)))</f>
        <v/>
      </c>
      <c r="I468" s="29" t="str">
        <f aca="false">IF($A468="","",DATE(YEAR($A468),MONTH($A468),1))</f>
        <v/>
      </c>
    </row>
    <row r="469" customFormat="false" ht="15" hidden="false" customHeight="false" outlineLevel="0" collapsed="false">
      <c r="A469" s="22"/>
      <c r="B469" s="23"/>
      <c r="C469" s="23"/>
      <c r="D469" s="25"/>
      <c r="E469" s="32"/>
      <c r="F469" s="23"/>
      <c r="G469" s="28" t="str">
        <f aca="false">IF($A469="","",IF($B469="Mileage",N($E469)*Settings!$B$13,N($D469)))</f>
        <v/>
      </c>
      <c r="H469" s="27" t="str">
        <f aca="false">IF($A469="","",IF($A469&gt;=DATE(YEAR($A469),4,6),YEAR($A469)&amp;"/"&amp;RIGHT(YEAR($A469)+1,2),YEAR($A469)-1&amp;"/"&amp;RIGHT(YEAR($A469),2)))</f>
        <v/>
      </c>
      <c r="I469" s="29" t="str">
        <f aca="false">IF($A469="","",DATE(YEAR($A469),MONTH($A469),1))</f>
        <v/>
      </c>
    </row>
    <row r="470" customFormat="false" ht="15" hidden="false" customHeight="false" outlineLevel="0" collapsed="false">
      <c r="A470" s="22"/>
      <c r="B470" s="23"/>
      <c r="C470" s="23"/>
      <c r="D470" s="25"/>
      <c r="E470" s="32"/>
      <c r="F470" s="23"/>
      <c r="G470" s="28" t="str">
        <f aca="false">IF($A470="","",IF($B470="Mileage",N($E470)*Settings!$B$13,N($D470)))</f>
        <v/>
      </c>
      <c r="H470" s="27" t="str">
        <f aca="false">IF($A470="","",IF($A470&gt;=DATE(YEAR($A470),4,6),YEAR($A470)&amp;"/"&amp;RIGHT(YEAR($A470)+1,2),YEAR($A470)-1&amp;"/"&amp;RIGHT(YEAR($A470),2)))</f>
        <v/>
      </c>
      <c r="I470" s="29" t="str">
        <f aca="false">IF($A470="","",DATE(YEAR($A470),MONTH($A470),1))</f>
        <v/>
      </c>
    </row>
    <row r="471" customFormat="false" ht="15" hidden="false" customHeight="false" outlineLevel="0" collapsed="false">
      <c r="A471" s="22"/>
      <c r="B471" s="23"/>
      <c r="C471" s="23"/>
      <c r="D471" s="25"/>
      <c r="E471" s="32"/>
      <c r="F471" s="23"/>
      <c r="G471" s="28" t="str">
        <f aca="false">IF($A471="","",IF($B471="Mileage",N($E471)*Settings!$B$13,N($D471)))</f>
        <v/>
      </c>
      <c r="H471" s="27" t="str">
        <f aca="false">IF($A471="","",IF($A471&gt;=DATE(YEAR($A471),4,6),YEAR($A471)&amp;"/"&amp;RIGHT(YEAR($A471)+1,2),YEAR($A471)-1&amp;"/"&amp;RIGHT(YEAR($A471),2)))</f>
        <v/>
      </c>
      <c r="I471" s="29" t="str">
        <f aca="false">IF($A471="","",DATE(YEAR($A471),MONTH($A471),1))</f>
        <v/>
      </c>
    </row>
    <row r="472" customFormat="false" ht="15" hidden="false" customHeight="false" outlineLevel="0" collapsed="false">
      <c r="A472" s="22"/>
      <c r="B472" s="23"/>
      <c r="C472" s="23"/>
      <c r="D472" s="25"/>
      <c r="E472" s="32"/>
      <c r="F472" s="23"/>
      <c r="G472" s="28" t="str">
        <f aca="false">IF($A472="","",IF($B472="Mileage",N($E472)*Settings!$B$13,N($D472)))</f>
        <v/>
      </c>
      <c r="H472" s="27" t="str">
        <f aca="false">IF($A472="","",IF($A472&gt;=DATE(YEAR($A472),4,6),YEAR($A472)&amp;"/"&amp;RIGHT(YEAR($A472)+1,2),YEAR($A472)-1&amp;"/"&amp;RIGHT(YEAR($A472),2)))</f>
        <v/>
      </c>
      <c r="I472" s="29" t="str">
        <f aca="false">IF($A472="","",DATE(YEAR($A472),MONTH($A472),1))</f>
        <v/>
      </c>
    </row>
    <row r="473" customFormat="false" ht="15" hidden="false" customHeight="false" outlineLevel="0" collapsed="false">
      <c r="A473" s="22"/>
      <c r="B473" s="23"/>
      <c r="C473" s="23"/>
      <c r="D473" s="25"/>
      <c r="E473" s="32"/>
      <c r="F473" s="23"/>
      <c r="G473" s="28" t="str">
        <f aca="false">IF($A473="","",IF($B473="Mileage",N($E473)*Settings!$B$13,N($D473)))</f>
        <v/>
      </c>
      <c r="H473" s="27" t="str">
        <f aca="false">IF($A473="","",IF($A473&gt;=DATE(YEAR($A473),4,6),YEAR($A473)&amp;"/"&amp;RIGHT(YEAR($A473)+1,2),YEAR($A473)-1&amp;"/"&amp;RIGHT(YEAR($A473),2)))</f>
        <v/>
      </c>
      <c r="I473" s="29" t="str">
        <f aca="false">IF($A473="","",DATE(YEAR($A473),MONTH($A473),1))</f>
        <v/>
      </c>
    </row>
    <row r="474" customFormat="false" ht="15" hidden="false" customHeight="false" outlineLevel="0" collapsed="false">
      <c r="A474" s="22"/>
      <c r="B474" s="23"/>
      <c r="C474" s="23"/>
      <c r="D474" s="25"/>
      <c r="E474" s="32"/>
      <c r="F474" s="23"/>
      <c r="G474" s="28" t="str">
        <f aca="false">IF($A474="","",IF($B474="Mileage",N($E474)*Settings!$B$13,N($D474)))</f>
        <v/>
      </c>
      <c r="H474" s="27" t="str">
        <f aca="false">IF($A474="","",IF($A474&gt;=DATE(YEAR($A474),4,6),YEAR($A474)&amp;"/"&amp;RIGHT(YEAR($A474)+1,2),YEAR($A474)-1&amp;"/"&amp;RIGHT(YEAR($A474),2)))</f>
        <v/>
      </c>
      <c r="I474" s="29" t="str">
        <f aca="false">IF($A474="","",DATE(YEAR($A474),MONTH($A474),1))</f>
        <v/>
      </c>
    </row>
    <row r="475" customFormat="false" ht="15" hidden="false" customHeight="false" outlineLevel="0" collapsed="false">
      <c r="A475" s="22"/>
      <c r="B475" s="23"/>
      <c r="C475" s="23"/>
      <c r="D475" s="25"/>
      <c r="E475" s="32"/>
      <c r="F475" s="23"/>
      <c r="G475" s="28" t="str">
        <f aca="false">IF($A475="","",IF($B475="Mileage",N($E475)*Settings!$B$13,N($D475)))</f>
        <v/>
      </c>
      <c r="H475" s="27" t="str">
        <f aca="false">IF($A475="","",IF($A475&gt;=DATE(YEAR($A475),4,6),YEAR($A475)&amp;"/"&amp;RIGHT(YEAR($A475)+1,2),YEAR($A475)-1&amp;"/"&amp;RIGHT(YEAR($A475),2)))</f>
        <v/>
      </c>
      <c r="I475" s="29" t="str">
        <f aca="false">IF($A475="","",DATE(YEAR($A475),MONTH($A475),1))</f>
        <v/>
      </c>
    </row>
    <row r="476" customFormat="false" ht="15" hidden="false" customHeight="false" outlineLevel="0" collapsed="false">
      <c r="A476" s="22"/>
      <c r="B476" s="23"/>
      <c r="C476" s="23"/>
      <c r="D476" s="25"/>
      <c r="E476" s="32"/>
      <c r="F476" s="23"/>
      <c r="G476" s="28" t="str">
        <f aca="false">IF($A476="","",IF($B476="Mileage",N($E476)*Settings!$B$13,N($D476)))</f>
        <v/>
      </c>
      <c r="H476" s="27" t="str">
        <f aca="false">IF($A476="","",IF($A476&gt;=DATE(YEAR($A476),4,6),YEAR($A476)&amp;"/"&amp;RIGHT(YEAR($A476)+1,2),YEAR($A476)-1&amp;"/"&amp;RIGHT(YEAR($A476),2)))</f>
        <v/>
      </c>
      <c r="I476" s="29" t="str">
        <f aca="false">IF($A476="","",DATE(YEAR($A476),MONTH($A476),1))</f>
        <v/>
      </c>
    </row>
    <row r="477" customFormat="false" ht="15" hidden="false" customHeight="false" outlineLevel="0" collapsed="false">
      <c r="A477" s="22"/>
      <c r="B477" s="23"/>
      <c r="C477" s="23"/>
      <c r="D477" s="25"/>
      <c r="E477" s="32"/>
      <c r="F477" s="23"/>
      <c r="G477" s="28" t="str">
        <f aca="false">IF($A477="","",IF($B477="Mileage",N($E477)*Settings!$B$13,N($D477)))</f>
        <v/>
      </c>
      <c r="H477" s="27" t="str">
        <f aca="false">IF($A477="","",IF($A477&gt;=DATE(YEAR($A477),4,6),YEAR($A477)&amp;"/"&amp;RIGHT(YEAR($A477)+1,2),YEAR($A477)-1&amp;"/"&amp;RIGHT(YEAR($A477),2)))</f>
        <v/>
      </c>
      <c r="I477" s="29" t="str">
        <f aca="false">IF($A477="","",DATE(YEAR($A477),MONTH($A477),1))</f>
        <v/>
      </c>
    </row>
    <row r="478" customFormat="false" ht="15" hidden="false" customHeight="false" outlineLevel="0" collapsed="false">
      <c r="A478" s="22"/>
      <c r="B478" s="23"/>
      <c r="C478" s="23"/>
      <c r="D478" s="25"/>
      <c r="E478" s="32"/>
      <c r="F478" s="23"/>
      <c r="G478" s="28" t="str">
        <f aca="false">IF($A478="","",IF($B478="Mileage",N($E478)*Settings!$B$13,N($D478)))</f>
        <v/>
      </c>
      <c r="H478" s="27" t="str">
        <f aca="false">IF($A478="","",IF($A478&gt;=DATE(YEAR($A478),4,6),YEAR($A478)&amp;"/"&amp;RIGHT(YEAR($A478)+1,2),YEAR($A478)-1&amp;"/"&amp;RIGHT(YEAR($A478),2)))</f>
        <v/>
      </c>
      <c r="I478" s="29" t="str">
        <f aca="false">IF($A478="","",DATE(YEAR($A478),MONTH($A478),1))</f>
        <v/>
      </c>
    </row>
    <row r="479" customFormat="false" ht="15" hidden="false" customHeight="false" outlineLevel="0" collapsed="false">
      <c r="A479" s="22"/>
      <c r="B479" s="23"/>
      <c r="C479" s="23"/>
      <c r="D479" s="25"/>
      <c r="E479" s="32"/>
      <c r="F479" s="23"/>
      <c r="G479" s="28" t="str">
        <f aca="false">IF($A479="","",IF($B479="Mileage",N($E479)*Settings!$B$13,N($D479)))</f>
        <v/>
      </c>
      <c r="H479" s="27" t="str">
        <f aca="false">IF($A479="","",IF($A479&gt;=DATE(YEAR($A479),4,6),YEAR($A479)&amp;"/"&amp;RIGHT(YEAR($A479)+1,2),YEAR($A479)-1&amp;"/"&amp;RIGHT(YEAR($A479),2)))</f>
        <v/>
      </c>
      <c r="I479" s="29" t="str">
        <f aca="false">IF($A479="","",DATE(YEAR($A479),MONTH($A479),1))</f>
        <v/>
      </c>
    </row>
    <row r="480" customFormat="false" ht="15" hidden="false" customHeight="false" outlineLevel="0" collapsed="false">
      <c r="A480" s="22"/>
      <c r="B480" s="23"/>
      <c r="C480" s="23"/>
      <c r="D480" s="25"/>
      <c r="E480" s="32"/>
      <c r="F480" s="23"/>
      <c r="G480" s="28" t="str">
        <f aca="false">IF($A480="","",IF($B480="Mileage",N($E480)*Settings!$B$13,N($D480)))</f>
        <v/>
      </c>
      <c r="H480" s="27" t="str">
        <f aca="false">IF($A480="","",IF($A480&gt;=DATE(YEAR($A480),4,6),YEAR($A480)&amp;"/"&amp;RIGHT(YEAR($A480)+1,2),YEAR($A480)-1&amp;"/"&amp;RIGHT(YEAR($A480),2)))</f>
        <v/>
      </c>
      <c r="I480" s="29" t="str">
        <f aca="false">IF($A480="","",DATE(YEAR($A480),MONTH($A480),1))</f>
        <v/>
      </c>
    </row>
    <row r="481" customFormat="false" ht="15" hidden="false" customHeight="false" outlineLevel="0" collapsed="false">
      <c r="A481" s="22"/>
      <c r="B481" s="23"/>
      <c r="C481" s="23"/>
      <c r="D481" s="25"/>
      <c r="E481" s="32"/>
      <c r="F481" s="23"/>
      <c r="G481" s="28" t="str">
        <f aca="false">IF($A481="","",IF($B481="Mileage",N($E481)*Settings!$B$13,N($D481)))</f>
        <v/>
      </c>
      <c r="H481" s="27" t="str">
        <f aca="false">IF($A481="","",IF($A481&gt;=DATE(YEAR($A481),4,6),YEAR($A481)&amp;"/"&amp;RIGHT(YEAR($A481)+1,2),YEAR($A481)-1&amp;"/"&amp;RIGHT(YEAR($A481),2)))</f>
        <v/>
      </c>
      <c r="I481" s="29" t="str">
        <f aca="false">IF($A481="","",DATE(YEAR($A481),MONTH($A481),1))</f>
        <v/>
      </c>
    </row>
    <row r="482" customFormat="false" ht="15" hidden="false" customHeight="false" outlineLevel="0" collapsed="false">
      <c r="A482" s="22"/>
      <c r="B482" s="23"/>
      <c r="C482" s="23"/>
      <c r="D482" s="25"/>
      <c r="E482" s="32"/>
      <c r="F482" s="23"/>
      <c r="G482" s="28" t="str">
        <f aca="false">IF($A482="","",IF($B482="Mileage",N($E482)*Settings!$B$13,N($D482)))</f>
        <v/>
      </c>
      <c r="H482" s="27" t="str">
        <f aca="false">IF($A482="","",IF($A482&gt;=DATE(YEAR($A482),4,6),YEAR($A482)&amp;"/"&amp;RIGHT(YEAR($A482)+1,2),YEAR($A482)-1&amp;"/"&amp;RIGHT(YEAR($A482),2)))</f>
        <v/>
      </c>
      <c r="I482" s="29" t="str">
        <f aca="false">IF($A482="","",DATE(YEAR($A482),MONTH($A482),1))</f>
        <v/>
      </c>
    </row>
    <row r="483" customFormat="false" ht="15" hidden="false" customHeight="false" outlineLevel="0" collapsed="false">
      <c r="A483" s="22"/>
      <c r="B483" s="23"/>
      <c r="C483" s="23"/>
      <c r="D483" s="25"/>
      <c r="E483" s="32"/>
      <c r="F483" s="23"/>
      <c r="G483" s="28" t="str">
        <f aca="false">IF($A483="","",IF($B483="Mileage",N($E483)*Settings!$B$13,N($D483)))</f>
        <v/>
      </c>
      <c r="H483" s="27" t="str">
        <f aca="false">IF($A483="","",IF($A483&gt;=DATE(YEAR($A483),4,6),YEAR($A483)&amp;"/"&amp;RIGHT(YEAR($A483)+1,2),YEAR($A483)-1&amp;"/"&amp;RIGHT(YEAR($A483),2)))</f>
        <v/>
      </c>
      <c r="I483" s="29" t="str">
        <f aca="false">IF($A483="","",DATE(YEAR($A483),MONTH($A483),1))</f>
        <v/>
      </c>
    </row>
    <row r="484" customFormat="false" ht="15" hidden="false" customHeight="false" outlineLevel="0" collapsed="false">
      <c r="A484" s="22"/>
      <c r="B484" s="23"/>
      <c r="C484" s="23"/>
      <c r="D484" s="25"/>
      <c r="E484" s="32"/>
      <c r="F484" s="23"/>
      <c r="G484" s="28" t="str">
        <f aca="false">IF($A484="","",IF($B484="Mileage",N($E484)*Settings!$B$13,N($D484)))</f>
        <v/>
      </c>
      <c r="H484" s="27" t="str">
        <f aca="false">IF($A484="","",IF($A484&gt;=DATE(YEAR($A484),4,6),YEAR($A484)&amp;"/"&amp;RIGHT(YEAR($A484)+1,2),YEAR($A484)-1&amp;"/"&amp;RIGHT(YEAR($A484),2)))</f>
        <v/>
      </c>
      <c r="I484" s="29" t="str">
        <f aca="false">IF($A484="","",DATE(YEAR($A484),MONTH($A484),1))</f>
        <v/>
      </c>
    </row>
    <row r="485" customFormat="false" ht="15" hidden="false" customHeight="false" outlineLevel="0" collapsed="false">
      <c r="A485" s="22"/>
      <c r="B485" s="23"/>
      <c r="C485" s="23"/>
      <c r="D485" s="25"/>
      <c r="E485" s="32"/>
      <c r="F485" s="23"/>
      <c r="G485" s="28" t="str">
        <f aca="false">IF($A485="","",IF($B485="Mileage",N($E485)*Settings!$B$13,N($D485)))</f>
        <v/>
      </c>
      <c r="H485" s="27" t="str">
        <f aca="false">IF($A485="","",IF($A485&gt;=DATE(YEAR($A485),4,6),YEAR($A485)&amp;"/"&amp;RIGHT(YEAR($A485)+1,2),YEAR($A485)-1&amp;"/"&amp;RIGHT(YEAR($A485),2)))</f>
        <v/>
      </c>
      <c r="I485" s="29" t="str">
        <f aca="false">IF($A485="","",DATE(YEAR($A485),MONTH($A485),1))</f>
        <v/>
      </c>
    </row>
    <row r="486" customFormat="false" ht="15" hidden="false" customHeight="false" outlineLevel="0" collapsed="false">
      <c r="A486" s="22"/>
      <c r="B486" s="23"/>
      <c r="C486" s="23"/>
      <c r="D486" s="25"/>
      <c r="E486" s="32"/>
      <c r="F486" s="23"/>
      <c r="G486" s="28" t="str">
        <f aca="false">IF($A486="","",IF($B486="Mileage",N($E486)*Settings!$B$13,N($D486)))</f>
        <v/>
      </c>
      <c r="H486" s="27" t="str">
        <f aca="false">IF($A486="","",IF($A486&gt;=DATE(YEAR($A486),4,6),YEAR($A486)&amp;"/"&amp;RIGHT(YEAR($A486)+1,2),YEAR($A486)-1&amp;"/"&amp;RIGHT(YEAR($A486),2)))</f>
        <v/>
      </c>
      <c r="I486" s="29" t="str">
        <f aca="false">IF($A486="","",DATE(YEAR($A486),MONTH($A486),1))</f>
        <v/>
      </c>
    </row>
    <row r="487" customFormat="false" ht="15" hidden="false" customHeight="false" outlineLevel="0" collapsed="false">
      <c r="A487" s="22"/>
      <c r="B487" s="23"/>
      <c r="C487" s="23"/>
      <c r="D487" s="25"/>
      <c r="E487" s="32"/>
      <c r="F487" s="23"/>
      <c r="G487" s="28" t="str">
        <f aca="false">IF($A487="","",IF($B487="Mileage",N($E487)*Settings!$B$13,N($D487)))</f>
        <v/>
      </c>
      <c r="H487" s="27" t="str">
        <f aca="false">IF($A487="","",IF($A487&gt;=DATE(YEAR($A487),4,6),YEAR($A487)&amp;"/"&amp;RIGHT(YEAR($A487)+1,2),YEAR($A487)-1&amp;"/"&amp;RIGHT(YEAR($A487),2)))</f>
        <v/>
      </c>
      <c r="I487" s="29" t="str">
        <f aca="false">IF($A487="","",DATE(YEAR($A487),MONTH($A487),1))</f>
        <v/>
      </c>
    </row>
    <row r="488" customFormat="false" ht="15" hidden="false" customHeight="false" outlineLevel="0" collapsed="false">
      <c r="A488" s="22"/>
      <c r="B488" s="23"/>
      <c r="C488" s="23"/>
      <c r="D488" s="25"/>
      <c r="E488" s="32"/>
      <c r="F488" s="23"/>
      <c r="G488" s="28" t="str">
        <f aca="false">IF($A488="","",IF($B488="Mileage",N($E488)*Settings!$B$13,N($D488)))</f>
        <v/>
      </c>
      <c r="H488" s="27" t="str">
        <f aca="false">IF($A488="","",IF($A488&gt;=DATE(YEAR($A488),4,6),YEAR($A488)&amp;"/"&amp;RIGHT(YEAR($A488)+1,2),YEAR($A488)-1&amp;"/"&amp;RIGHT(YEAR($A488),2)))</f>
        <v/>
      </c>
      <c r="I488" s="29" t="str">
        <f aca="false">IF($A488="","",DATE(YEAR($A488),MONTH($A488),1))</f>
        <v/>
      </c>
    </row>
    <row r="489" customFormat="false" ht="15" hidden="false" customHeight="false" outlineLevel="0" collapsed="false">
      <c r="A489" s="22"/>
      <c r="B489" s="23"/>
      <c r="C489" s="23"/>
      <c r="D489" s="25"/>
      <c r="E489" s="32"/>
      <c r="F489" s="23"/>
      <c r="G489" s="28" t="str">
        <f aca="false">IF($A489="","",IF($B489="Mileage",N($E489)*Settings!$B$13,N($D489)))</f>
        <v/>
      </c>
      <c r="H489" s="27" t="str">
        <f aca="false">IF($A489="","",IF($A489&gt;=DATE(YEAR($A489),4,6),YEAR($A489)&amp;"/"&amp;RIGHT(YEAR($A489)+1,2),YEAR($A489)-1&amp;"/"&amp;RIGHT(YEAR($A489),2)))</f>
        <v/>
      </c>
      <c r="I489" s="29" t="str">
        <f aca="false">IF($A489="","",DATE(YEAR($A489),MONTH($A489),1))</f>
        <v/>
      </c>
    </row>
    <row r="490" customFormat="false" ht="15" hidden="false" customHeight="false" outlineLevel="0" collapsed="false">
      <c r="A490" s="22"/>
      <c r="B490" s="23"/>
      <c r="C490" s="23"/>
      <c r="D490" s="25"/>
      <c r="E490" s="32"/>
      <c r="F490" s="23"/>
      <c r="G490" s="28" t="str">
        <f aca="false">IF($A490="","",IF($B490="Mileage",N($E490)*Settings!$B$13,N($D490)))</f>
        <v/>
      </c>
      <c r="H490" s="27" t="str">
        <f aca="false">IF($A490="","",IF($A490&gt;=DATE(YEAR($A490),4,6),YEAR($A490)&amp;"/"&amp;RIGHT(YEAR($A490)+1,2),YEAR($A490)-1&amp;"/"&amp;RIGHT(YEAR($A490),2)))</f>
        <v/>
      </c>
      <c r="I490" s="29" t="str">
        <f aca="false">IF($A490="","",DATE(YEAR($A490),MONTH($A490),1))</f>
        <v/>
      </c>
    </row>
    <row r="491" customFormat="false" ht="15" hidden="false" customHeight="false" outlineLevel="0" collapsed="false">
      <c r="A491" s="22"/>
      <c r="B491" s="23"/>
      <c r="C491" s="23"/>
      <c r="D491" s="25"/>
      <c r="E491" s="32"/>
      <c r="F491" s="23"/>
      <c r="G491" s="28" t="str">
        <f aca="false">IF($A491="","",IF($B491="Mileage",N($E491)*Settings!$B$13,N($D491)))</f>
        <v/>
      </c>
      <c r="H491" s="27" t="str">
        <f aca="false">IF($A491="","",IF($A491&gt;=DATE(YEAR($A491),4,6),YEAR($A491)&amp;"/"&amp;RIGHT(YEAR($A491)+1,2),YEAR($A491)-1&amp;"/"&amp;RIGHT(YEAR($A491),2)))</f>
        <v/>
      </c>
      <c r="I491" s="29" t="str">
        <f aca="false">IF($A491="","",DATE(YEAR($A491),MONTH($A491),1))</f>
        <v/>
      </c>
    </row>
    <row r="492" customFormat="false" ht="15" hidden="false" customHeight="false" outlineLevel="0" collapsed="false">
      <c r="A492" s="22"/>
      <c r="B492" s="23"/>
      <c r="C492" s="23"/>
      <c r="D492" s="25"/>
      <c r="E492" s="32"/>
      <c r="F492" s="23"/>
      <c r="G492" s="28" t="str">
        <f aca="false">IF($A492="","",IF($B492="Mileage",N($E492)*Settings!$B$13,N($D492)))</f>
        <v/>
      </c>
      <c r="H492" s="27" t="str">
        <f aca="false">IF($A492="","",IF($A492&gt;=DATE(YEAR($A492),4,6),YEAR($A492)&amp;"/"&amp;RIGHT(YEAR($A492)+1,2),YEAR($A492)-1&amp;"/"&amp;RIGHT(YEAR($A492),2)))</f>
        <v/>
      </c>
      <c r="I492" s="29" t="str">
        <f aca="false">IF($A492="","",DATE(YEAR($A492),MONTH($A492),1))</f>
        <v/>
      </c>
    </row>
    <row r="493" customFormat="false" ht="15" hidden="false" customHeight="false" outlineLevel="0" collapsed="false">
      <c r="A493" s="22"/>
      <c r="B493" s="23"/>
      <c r="C493" s="23"/>
      <c r="D493" s="25"/>
      <c r="E493" s="32"/>
      <c r="F493" s="23"/>
      <c r="G493" s="28" t="str">
        <f aca="false">IF($A493="","",IF($B493="Mileage",N($E493)*Settings!$B$13,N($D493)))</f>
        <v/>
      </c>
      <c r="H493" s="27" t="str">
        <f aca="false">IF($A493="","",IF($A493&gt;=DATE(YEAR($A493),4,6),YEAR($A493)&amp;"/"&amp;RIGHT(YEAR($A493)+1,2),YEAR($A493)-1&amp;"/"&amp;RIGHT(YEAR($A493),2)))</f>
        <v/>
      </c>
      <c r="I493" s="29" t="str">
        <f aca="false">IF($A493="","",DATE(YEAR($A493),MONTH($A493),1))</f>
        <v/>
      </c>
    </row>
    <row r="494" customFormat="false" ht="15" hidden="false" customHeight="false" outlineLevel="0" collapsed="false">
      <c r="A494" s="22"/>
      <c r="B494" s="23"/>
      <c r="C494" s="23"/>
      <c r="D494" s="25"/>
      <c r="E494" s="32"/>
      <c r="F494" s="23"/>
      <c r="G494" s="28" t="str">
        <f aca="false">IF($A494="","",IF($B494="Mileage",N($E494)*Settings!$B$13,N($D494)))</f>
        <v/>
      </c>
      <c r="H494" s="27" t="str">
        <f aca="false">IF($A494="","",IF($A494&gt;=DATE(YEAR($A494),4,6),YEAR($A494)&amp;"/"&amp;RIGHT(YEAR($A494)+1,2),YEAR($A494)-1&amp;"/"&amp;RIGHT(YEAR($A494),2)))</f>
        <v/>
      </c>
      <c r="I494" s="29" t="str">
        <f aca="false">IF($A494="","",DATE(YEAR($A494),MONTH($A494),1))</f>
        <v/>
      </c>
    </row>
    <row r="495" customFormat="false" ht="15" hidden="false" customHeight="false" outlineLevel="0" collapsed="false">
      <c r="A495" s="22"/>
      <c r="B495" s="23"/>
      <c r="C495" s="23"/>
      <c r="D495" s="25"/>
      <c r="E495" s="32"/>
      <c r="F495" s="23"/>
      <c r="G495" s="28" t="str">
        <f aca="false">IF($A495="","",IF($B495="Mileage",N($E495)*Settings!$B$13,N($D495)))</f>
        <v/>
      </c>
      <c r="H495" s="27" t="str">
        <f aca="false">IF($A495="","",IF($A495&gt;=DATE(YEAR($A495),4,6),YEAR($A495)&amp;"/"&amp;RIGHT(YEAR($A495)+1,2),YEAR($A495)-1&amp;"/"&amp;RIGHT(YEAR($A495),2)))</f>
        <v/>
      </c>
      <c r="I495" s="29" t="str">
        <f aca="false">IF($A495="","",DATE(YEAR($A495),MONTH($A495),1))</f>
        <v/>
      </c>
    </row>
    <row r="496" customFormat="false" ht="15" hidden="false" customHeight="false" outlineLevel="0" collapsed="false">
      <c r="A496" s="22"/>
      <c r="B496" s="23"/>
      <c r="C496" s="23"/>
      <c r="D496" s="25"/>
      <c r="E496" s="32"/>
      <c r="F496" s="23"/>
      <c r="G496" s="28" t="str">
        <f aca="false">IF($A496="","",IF($B496="Mileage",N($E496)*Settings!$B$13,N($D496)))</f>
        <v/>
      </c>
      <c r="H496" s="27" t="str">
        <f aca="false">IF($A496="","",IF($A496&gt;=DATE(YEAR($A496),4,6),YEAR($A496)&amp;"/"&amp;RIGHT(YEAR($A496)+1,2),YEAR($A496)-1&amp;"/"&amp;RIGHT(YEAR($A496),2)))</f>
        <v/>
      </c>
      <c r="I496" s="29" t="str">
        <f aca="false">IF($A496="","",DATE(YEAR($A496),MONTH($A496),1))</f>
        <v/>
      </c>
    </row>
    <row r="497" customFormat="false" ht="15" hidden="false" customHeight="false" outlineLevel="0" collapsed="false">
      <c r="A497" s="22"/>
      <c r="B497" s="23"/>
      <c r="C497" s="23"/>
      <c r="D497" s="25"/>
      <c r="E497" s="32"/>
      <c r="F497" s="23"/>
      <c r="G497" s="28" t="str">
        <f aca="false">IF($A497="","",IF($B497="Mileage",N($E497)*Settings!$B$13,N($D497)))</f>
        <v/>
      </c>
      <c r="H497" s="27" t="str">
        <f aca="false">IF($A497="","",IF($A497&gt;=DATE(YEAR($A497),4,6),YEAR($A497)&amp;"/"&amp;RIGHT(YEAR($A497)+1,2),YEAR($A497)-1&amp;"/"&amp;RIGHT(YEAR($A497),2)))</f>
        <v/>
      </c>
      <c r="I497" s="29" t="str">
        <f aca="false">IF($A497="","",DATE(YEAR($A497),MONTH($A497),1))</f>
        <v/>
      </c>
    </row>
    <row r="498" customFormat="false" ht="15" hidden="false" customHeight="false" outlineLevel="0" collapsed="false">
      <c r="A498" s="22"/>
      <c r="B498" s="23"/>
      <c r="C498" s="23"/>
      <c r="D498" s="25"/>
      <c r="E498" s="32"/>
      <c r="F498" s="23"/>
      <c r="G498" s="28" t="str">
        <f aca="false">IF($A498="","",IF($B498="Mileage",N($E498)*Settings!$B$13,N($D498)))</f>
        <v/>
      </c>
      <c r="H498" s="27" t="str">
        <f aca="false">IF($A498="","",IF($A498&gt;=DATE(YEAR($A498),4,6),YEAR($A498)&amp;"/"&amp;RIGHT(YEAR($A498)+1,2),YEAR($A498)-1&amp;"/"&amp;RIGHT(YEAR($A498),2)))</f>
        <v/>
      </c>
      <c r="I498" s="29" t="str">
        <f aca="false">IF($A498="","",DATE(YEAR($A498),MONTH($A498),1))</f>
        <v/>
      </c>
    </row>
    <row r="499" customFormat="false" ht="15" hidden="false" customHeight="false" outlineLevel="0" collapsed="false">
      <c r="A499" s="22"/>
      <c r="B499" s="23"/>
      <c r="C499" s="23"/>
      <c r="D499" s="25"/>
      <c r="E499" s="32"/>
      <c r="F499" s="23"/>
      <c r="G499" s="28" t="str">
        <f aca="false">IF($A499="","",IF($B499="Mileage",N($E499)*Settings!$B$13,N($D499)))</f>
        <v/>
      </c>
      <c r="H499" s="27" t="str">
        <f aca="false">IF($A499="","",IF($A499&gt;=DATE(YEAR($A499),4,6),YEAR($A499)&amp;"/"&amp;RIGHT(YEAR($A499)+1,2),YEAR($A499)-1&amp;"/"&amp;RIGHT(YEAR($A499),2)))</f>
        <v/>
      </c>
      <c r="I499" s="29" t="str">
        <f aca="false">IF($A499="","",DATE(YEAR($A499),MONTH($A499),1))</f>
        <v/>
      </c>
    </row>
    <row r="500" customFormat="false" ht="15" hidden="false" customHeight="false" outlineLevel="0" collapsed="false">
      <c r="A500" s="22"/>
      <c r="B500" s="23"/>
      <c r="C500" s="23"/>
      <c r="D500" s="25"/>
      <c r="E500" s="32"/>
      <c r="F500" s="23"/>
      <c r="G500" s="28" t="str">
        <f aca="false">IF($A500="","",IF($B500="Mileage",N($E500)*Settings!$B$13,N($D500)))</f>
        <v/>
      </c>
      <c r="H500" s="27" t="str">
        <f aca="false">IF($A500="","",IF($A500&gt;=DATE(YEAR($A500),4,6),YEAR($A500)&amp;"/"&amp;RIGHT(YEAR($A500)+1,2),YEAR($A500)-1&amp;"/"&amp;RIGHT(YEAR($A500),2)))</f>
        <v/>
      </c>
      <c r="I500" s="29" t="str">
        <f aca="false">IF($A500="","",DATE(YEAR($A500),MONTH($A500),1))</f>
        <v/>
      </c>
    </row>
    <row r="501" customFormat="false" ht="15" hidden="false" customHeight="false" outlineLevel="0" collapsed="false">
      <c r="A501" s="22"/>
      <c r="B501" s="23"/>
      <c r="C501" s="23"/>
      <c r="D501" s="25"/>
      <c r="E501" s="32"/>
      <c r="F501" s="23"/>
      <c r="G501" s="28" t="str">
        <f aca="false">IF($A501="","",IF($B501="Mileage",N($E501)*Settings!$B$13,N($D501)))</f>
        <v/>
      </c>
      <c r="H501" s="27" t="str">
        <f aca="false">IF($A501="","",IF($A501&gt;=DATE(YEAR($A501),4,6),YEAR($A501)&amp;"/"&amp;RIGHT(YEAR($A501)+1,2),YEAR($A501)-1&amp;"/"&amp;RIGHT(YEAR($A501),2)))</f>
        <v/>
      </c>
      <c r="I501" s="29" t="str">
        <f aca="false">IF($A501="","",DATE(YEAR($A501),MONTH($A501),1))</f>
        <v/>
      </c>
    </row>
    <row r="502" customFormat="false" ht="15" hidden="false" customHeight="false" outlineLevel="0" collapsed="false">
      <c r="A502" s="22"/>
      <c r="B502" s="23"/>
      <c r="C502" s="23"/>
      <c r="D502" s="25"/>
      <c r="E502" s="32"/>
      <c r="F502" s="23"/>
      <c r="G502" s="28" t="str">
        <f aca="false">IF($A502="","",IF($B502="Mileage",N($E502)*Settings!$B$13,N($D502)))</f>
        <v/>
      </c>
      <c r="H502" s="27" t="str">
        <f aca="false">IF($A502="","",IF($A502&gt;=DATE(YEAR($A502),4,6),YEAR($A502)&amp;"/"&amp;RIGHT(YEAR($A502)+1,2),YEAR($A502)-1&amp;"/"&amp;RIGHT(YEAR($A502),2)))</f>
        <v/>
      </c>
      <c r="I502" s="29" t="str">
        <f aca="false">IF($A502="","",DATE(YEAR($A502),MONTH($A502),1))</f>
        <v/>
      </c>
    </row>
    <row r="503" customFormat="false" ht="15" hidden="false" customHeight="false" outlineLevel="0" collapsed="false">
      <c r="A503" s="22"/>
      <c r="B503" s="23"/>
      <c r="C503" s="23"/>
      <c r="D503" s="25"/>
      <c r="E503" s="32"/>
      <c r="F503" s="23"/>
      <c r="G503" s="28" t="str">
        <f aca="false">IF($A503="","",IF($B503="Mileage",N($E503)*Settings!$B$13,N($D503)))</f>
        <v/>
      </c>
      <c r="H503" s="27" t="str">
        <f aca="false">IF($A503="","",IF($A503&gt;=DATE(YEAR($A503),4,6),YEAR($A503)&amp;"/"&amp;RIGHT(YEAR($A503)+1,2),YEAR($A503)-1&amp;"/"&amp;RIGHT(YEAR($A503),2)))</f>
        <v/>
      </c>
      <c r="I503" s="29" t="str">
        <f aca="false">IF($A503="","",DATE(YEAR($A503),MONTH($A503),1))</f>
        <v/>
      </c>
    </row>
    <row r="504" customFormat="false" ht="15" hidden="false" customHeight="false" outlineLevel="0" collapsed="false">
      <c r="A504" s="22"/>
      <c r="B504" s="23"/>
      <c r="C504" s="23"/>
      <c r="D504" s="25"/>
      <c r="E504" s="32"/>
      <c r="F504" s="23"/>
      <c r="G504" s="28" t="str">
        <f aca="false">IF($A504="","",IF($B504="Mileage",N($E504)*Settings!$B$13,N($D504)))</f>
        <v/>
      </c>
      <c r="H504" s="27" t="str">
        <f aca="false">IF($A504="","",IF($A504&gt;=DATE(YEAR($A504),4,6),YEAR($A504)&amp;"/"&amp;RIGHT(YEAR($A504)+1,2),YEAR($A504)-1&amp;"/"&amp;RIGHT(YEAR($A504),2)))</f>
        <v/>
      </c>
      <c r="I504" s="29" t="str">
        <f aca="false">IF($A504="","",DATE(YEAR($A504),MONTH($A504),1))</f>
        <v/>
      </c>
    </row>
  </sheetData>
  <dataValidations count="2">
    <dataValidation allowBlank="true" errorStyle="stop" operator="between" showDropDown="false" showErrorMessage="false" showInputMessage="false" sqref="B5:B504" type="list">
      <formula1>Settings!$L$22:$L$32</formula1>
      <formula2>0</formula2>
    </dataValidation>
    <dataValidation allowBlank="true" errorStyle="stop" operator="between" showDropDown="false" showErrorMessage="false" showInputMessage="false" sqref="F5:F504" type="list">
      <formula1>Settings!$I$22:$I$23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A86A"/>
    <pageSetUpPr fitToPage="false"/>
  </sheetPr>
  <dimension ref="A1:Y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13" min="7" style="0" width="12"/>
    <col collapsed="false" customWidth="true" hidden="false" outlineLevel="0" max="15" min="14" style="0" width="10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20" min="19" style="0" width="9"/>
    <col collapsed="false" customWidth="true" hidden="false" outlineLevel="0" max="21" min="21" style="0" width="24"/>
    <col collapsed="false" customWidth="true" hidden="false" outlineLevel="0" max="22" min="22" style="0" width="20"/>
    <col collapsed="false" customWidth="true" hidden="false" outlineLevel="0" max="23" min="23" style="0" width="9"/>
    <col collapsed="false" customWidth="true" hidden="false" outlineLevel="0" max="24" min="24" style="0" width="12"/>
    <col collapsed="false" customWidth="true" hidden="false" outlineLevel="0" max="25" min="25" style="0" width="36"/>
  </cols>
  <sheetData>
    <row r="1" customFormat="false" ht="19.7" hidden="false" customHeight="false" outlineLevel="0" collapsed="false">
      <c r="A1" s="1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3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31.5" hidden="false" customHeight="true" outlineLevel="0" collapsed="false">
      <c r="A4" s="20" t="s">
        <v>99</v>
      </c>
      <c r="B4" s="20" t="s">
        <v>236</v>
      </c>
      <c r="C4" s="20" t="s">
        <v>237</v>
      </c>
      <c r="D4" s="20" t="s">
        <v>110</v>
      </c>
      <c r="E4" s="20" t="s">
        <v>238</v>
      </c>
      <c r="F4" s="20" t="s">
        <v>239</v>
      </c>
      <c r="G4" s="21" t="s">
        <v>240</v>
      </c>
      <c r="H4" s="20" t="s">
        <v>241</v>
      </c>
      <c r="I4" s="21" t="s">
        <v>242</v>
      </c>
      <c r="J4" s="21" t="s">
        <v>243</v>
      </c>
      <c r="K4" s="20" t="s">
        <v>244</v>
      </c>
      <c r="L4" s="21" t="s">
        <v>245</v>
      </c>
      <c r="M4" s="21" t="s">
        <v>246</v>
      </c>
      <c r="N4" s="20" t="s">
        <v>247</v>
      </c>
      <c r="O4" s="20" t="s">
        <v>248</v>
      </c>
      <c r="P4" s="20" t="s">
        <v>249</v>
      </c>
      <c r="Q4" s="20" t="s">
        <v>250</v>
      </c>
      <c r="R4" s="20" t="s">
        <v>251</v>
      </c>
      <c r="S4" s="20" t="s">
        <v>252</v>
      </c>
      <c r="T4" s="20" t="s">
        <v>253</v>
      </c>
      <c r="U4" s="20" t="s">
        <v>254</v>
      </c>
      <c r="V4" s="20" t="s">
        <v>255</v>
      </c>
      <c r="W4" s="20" t="s">
        <v>256</v>
      </c>
      <c r="X4" s="20" t="s">
        <v>257</v>
      </c>
      <c r="Y4" s="20" t="s">
        <v>164</v>
      </c>
    </row>
    <row r="5" customFormat="false" ht="15" hidden="false" customHeight="false" outlineLevel="0" collapsed="false">
      <c r="A5" s="23" t="s">
        <v>115</v>
      </c>
      <c r="B5" s="23" t="s">
        <v>258</v>
      </c>
      <c r="C5" s="23" t="s">
        <v>259</v>
      </c>
      <c r="D5" s="23" t="s">
        <v>206</v>
      </c>
      <c r="E5" s="32" t="n">
        <v>2</v>
      </c>
      <c r="F5" s="32" t="n">
        <v>1</v>
      </c>
      <c r="G5" s="28" t="n">
        <f aca="false">IF($A5="","",INDEX(Settings!$C$22:$C$26,MATCH(MIN($E5,4),Settings!$A$22:$A$26,0))+MAX(0,$F5-1)*Settings!$B$6+IF($P5="FreshTurn",INDEX(Settings!$D$22:$D$26,MATCH(MIN($E5,4),Settings!$A$22:$A$26,0)),0))</f>
        <v>60</v>
      </c>
      <c r="H5" s="25"/>
      <c r="I5" s="28" t="n">
        <f aca="false">IF($A5="","",IF($H5&lt;&gt;"",$H5,$G5))</f>
        <v>60</v>
      </c>
      <c r="J5" s="28" t="n">
        <f aca="false">IF($A5="","",INDEX(Settings!$F$22:$F$26,MATCH(MIN($E5,4),Settings!$A$22:$A$26,0))+MAX(0,$F5-1)*Settings!$B$6*Settings!$B$9)</f>
        <v>40</v>
      </c>
      <c r="K5" s="25"/>
      <c r="L5" s="28" t="n">
        <f aca="false">IF($A5="","",IF($K5&lt;&gt;"",$K5,$J5))</f>
        <v>40</v>
      </c>
      <c r="M5" s="28" t="n">
        <f aca="false">IF($A5="","",$I5-$L5)</f>
        <v>20</v>
      </c>
      <c r="N5" s="23" t="s">
        <v>116</v>
      </c>
      <c r="O5" s="23" t="s">
        <v>122</v>
      </c>
      <c r="P5" s="23" t="s">
        <v>260</v>
      </c>
      <c r="Q5" s="23" t="s">
        <v>261</v>
      </c>
      <c r="R5" s="23" t="s">
        <v>119</v>
      </c>
      <c r="S5" s="24" t="n">
        <v>0.458333333333333</v>
      </c>
      <c r="T5" s="24" t="n">
        <v>0.666666666666667</v>
      </c>
      <c r="U5" s="23" t="s">
        <v>262</v>
      </c>
      <c r="V5" s="23" t="s">
        <v>263</v>
      </c>
      <c r="W5" s="23" t="s">
        <v>119</v>
      </c>
      <c r="X5" s="22" t="n">
        <v>46296</v>
      </c>
      <c r="Y5" s="23" t="s">
        <v>264</v>
      </c>
    </row>
    <row r="6" customFormat="false" ht="15" hidden="false" customHeight="false" outlineLevel="0" collapsed="false">
      <c r="A6" s="23"/>
      <c r="B6" s="23"/>
      <c r="C6" s="23"/>
      <c r="D6" s="23"/>
      <c r="E6" s="32"/>
      <c r="F6" s="32"/>
      <c r="G6" s="28" t="str">
        <f aca="false">IF($A6="","",INDEX(Settings!$C$22:$C$26,MATCH(MIN($E6,4),Settings!$A$22:$A$26,0))+MAX(0,$F6-1)*Settings!$B$6+IF($P6="FreshTurn",INDEX(Settings!$D$22:$D$26,MATCH(MIN($E6,4),Settings!$A$22:$A$26,0)),0))</f>
        <v/>
      </c>
      <c r="H6" s="25"/>
      <c r="I6" s="28" t="str">
        <f aca="false">IF($A6="","",IF($H6&lt;&gt;"",$H6,$G6))</f>
        <v/>
      </c>
      <c r="J6" s="28" t="str">
        <f aca="false">IF($A6="","",INDEX(Settings!$F$22:$F$26,MATCH(MIN($E6,4),Settings!$A$22:$A$26,0))+MAX(0,$F6-1)*Settings!$B$6*Settings!$B$9)</f>
        <v/>
      </c>
      <c r="K6" s="25"/>
      <c r="L6" s="28" t="str">
        <f aca="false">IF($A6="","",IF($K6&lt;&gt;"",$K6,$J6))</f>
        <v/>
      </c>
      <c r="M6" s="28" t="str">
        <f aca="false">IF($A6="","",$I6-$L6)</f>
        <v/>
      </c>
      <c r="N6" s="23"/>
      <c r="O6" s="23"/>
      <c r="P6" s="23"/>
      <c r="Q6" s="23"/>
      <c r="R6" s="23"/>
      <c r="S6" s="24"/>
      <c r="T6" s="24"/>
      <c r="U6" s="23"/>
      <c r="V6" s="23"/>
      <c r="W6" s="23"/>
      <c r="X6" s="22"/>
      <c r="Y6" s="23"/>
    </row>
    <row r="7" customFormat="false" ht="15" hidden="false" customHeight="false" outlineLevel="0" collapsed="false">
      <c r="A7" s="23"/>
      <c r="B7" s="23"/>
      <c r="C7" s="23"/>
      <c r="D7" s="23"/>
      <c r="E7" s="32"/>
      <c r="F7" s="32"/>
      <c r="G7" s="28" t="str">
        <f aca="false">IF($A7="","",INDEX(Settings!$C$22:$C$26,MATCH(MIN($E7,4),Settings!$A$22:$A$26,0))+MAX(0,$F7-1)*Settings!$B$6+IF($P7="FreshTurn",INDEX(Settings!$D$22:$D$26,MATCH(MIN($E7,4),Settings!$A$22:$A$26,0)),0))</f>
        <v/>
      </c>
      <c r="H7" s="25"/>
      <c r="I7" s="28" t="str">
        <f aca="false">IF($A7="","",IF($H7&lt;&gt;"",$H7,$G7))</f>
        <v/>
      </c>
      <c r="J7" s="28" t="str">
        <f aca="false">IF($A7="","",INDEX(Settings!$F$22:$F$26,MATCH(MIN($E7,4),Settings!$A$22:$A$26,0))+MAX(0,$F7-1)*Settings!$B$6*Settings!$B$9)</f>
        <v/>
      </c>
      <c r="K7" s="25"/>
      <c r="L7" s="28" t="str">
        <f aca="false">IF($A7="","",IF($K7&lt;&gt;"",$K7,$J7))</f>
        <v/>
      </c>
      <c r="M7" s="28" t="str">
        <f aca="false">IF($A7="","",$I7-$L7)</f>
        <v/>
      </c>
      <c r="N7" s="23"/>
      <c r="O7" s="23"/>
      <c r="P7" s="23"/>
      <c r="Q7" s="23"/>
      <c r="R7" s="23"/>
      <c r="S7" s="24"/>
      <c r="T7" s="24"/>
      <c r="U7" s="23"/>
      <c r="V7" s="23"/>
      <c r="W7" s="23"/>
      <c r="X7" s="22"/>
      <c r="Y7" s="23"/>
    </row>
    <row r="8" customFormat="false" ht="15" hidden="false" customHeight="false" outlineLevel="0" collapsed="false">
      <c r="A8" s="23"/>
      <c r="B8" s="23"/>
      <c r="C8" s="23"/>
      <c r="D8" s="23"/>
      <c r="E8" s="32"/>
      <c r="F8" s="32"/>
      <c r="G8" s="28" t="str">
        <f aca="false">IF($A8="","",INDEX(Settings!$C$22:$C$26,MATCH(MIN($E8,4),Settings!$A$22:$A$26,0))+MAX(0,$F8-1)*Settings!$B$6+IF($P8="FreshTurn",INDEX(Settings!$D$22:$D$26,MATCH(MIN($E8,4),Settings!$A$22:$A$26,0)),0))</f>
        <v/>
      </c>
      <c r="H8" s="25"/>
      <c r="I8" s="28" t="str">
        <f aca="false">IF($A8="","",IF($H8&lt;&gt;"",$H8,$G8))</f>
        <v/>
      </c>
      <c r="J8" s="28" t="str">
        <f aca="false">IF($A8="","",INDEX(Settings!$F$22:$F$26,MATCH(MIN($E8,4),Settings!$A$22:$A$26,0))+MAX(0,$F8-1)*Settings!$B$6*Settings!$B$9)</f>
        <v/>
      </c>
      <c r="K8" s="25"/>
      <c r="L8" s="28" t="str">
        <f aca="false">IF($A8="","",IF($K8&lt;&gt;"",$K8,$J8))</f>
        <v/>
      </c>
      <c r="M8" s="28" t="str">
        <f aca="false">IF($A8="","",$I8-$L8)</f>
        <v/>
      </c>
      <c r="N8" s="23"/>
      <c r="O8" s="23"/>
      <c r="P8" s="23"/>
      <c r="Q8" s="23"/>
      <c r="R8" s="23"/>
      <c r="S8" s="24"/>
      <c r="T8" s="24"/>
      <c r="U8" s="23"/>
      <c r="V8" s="23"/>
      <c r="W8" s="23"/>
      <c r="X8" s="22"/>
      <c r="Y8" s="23"/>
    </row>
    <row r="9" customFormat="false" ht="15" hidden="false" customHeight="false" outlineLevel="0" collapsed="false">
      <c r="A9" s="23"/>
      <c r="B9" s="23"/>
      <c r="C9" s="23"/>
      <c r="D9" s="23"/>
      <c r="E9" s="32"/>
      <c r="F9" s="32"/>
      <c r="G9" s="28" t="str">
        <f aca="false">IF($A9="","",INDEX(Settings!$C$22:$C$26,MATCH(MIN($E9,4),Settings!$A$22:$A$26,0))+MAX(0,$F9-1)*Settings!$B$6+IF($P9="FreshTurn",INDEX(Settings!$D$22:$D$26,MATCH(MIN($E9,4),Settings!$A$22:$A$26,0)),0))</f>
        <v/>
      </c>
      <c r="H9" s="25"/>
      <c r="I9" s="28" t="str">
        <f aca="false">IF($A9="","",IF($H9&lt;&gt;"",$H9,$G9))</f>
        <v/>
      </c>
      <c r="J9" s="28" t="str">
        <f aca="false">IF($A9="","",INDEX(Settings!$F$22:$F$26,MATCH(MIN($E9,4),Settings!$A$22:$A$26,0))+MAX(0,$F9-1)*Settings!$B$6*Settings!$B$9)</f>
        <v/>
      </c>
      <c r="K9" s="25"/>
      <c r="L9" s="28" t="str">
        <f aca="false">IF($A9="","",IF($K9&lt;&gt;"",$K9,$J9))</f>
        <v/>
      </c>
      <c r="M9" s="28" t="str">
        <f aca="false">IF($A9="","",$I9-$L9)</f>
        <v/>
      </c>
      <c r="N9" s="23"/>
      <c r="O9" s="23"/>
      <c r="P9" s="23"/>
      <c r="Q9" s="23"/>
      <c r="R9" s="23"/>
      <c r="S9" s="24"/>
      <c r="T9" s="24"/>
      <c r="U9" s="23"/>
      <c r="V9" s="23"/>
      <c r="W9" s="23"/>
      <c r="X9" s="22"/>
      <c r="Y9" s="23"/>
    </row>
    <row r="10" customFormat="false" ht="15" hidden="false" customHeight="false" outlineLevel="0" collapsed="false">
      <c r="A10" s="23"/>
      <c r="B10" s="23"/>
      <c r="C10" s="23"/>
      <c r="D10" s="23"/>
      <c r="E10" s="32"/>
      <c r="F10" s="32"/>
      <c r="G10" s="28" t="str">
        <f aca="false">IF($A10="","",INDEX(Settings!$C$22:$C$26,MATCH(MIN($E10,4),Settings!$A$22:$A$26,0))+MAX(0,$F10-1)*Settings!$B$6+IF($P10="FreshTurn",INDEX(Settings!$D$22:$D$26,MATCH(MIN($E10,4),Settings!$A$22:$A$26,0)),0))</f>
        <v/>
      </c>
      <c r="H10" s="25"/>
      <c r="I10" s="28" t="str">
        <f aca="false">IF($A10="","",IF($H10&lt;&gt;"",$H10,$G10))</f>
        <v/>
      </c>
      <c r="J10" s="28" t="str">
        <f aca="false">IF($A10="","",INDEX(Settings!$F$22:$F$26,MATCH(MIN($E10,4),Settings!$A$22:$A$26,0))+MAX(0,$F10-1)*Settings!$B$6*Settings!$B$9)</f>
        <v/>
      </c>
      <c r="K10" s="25"/>
      <c r="L10" s="28" t="str">
        <f aca="false">IF($A10="","",IF($K10&lt;&gt;"",$K10,$J10))</f>
        <v/>
      </c>
      <c r="M10" s="28" t="str">
        <f aca="false">IF($A10="","",$I10-$L10)</f>
        <v/>
      </c>
      <c r="N10" s="23"/>
      <c r="O10" s="23"/>
      <c r="P10" s="23"/>
      <c r="Q10" s="23"/>
      <c r="R10" s="23"/>
      <c r="S10" s="24"/>
      <c r="T10" s="24"/>
      <c r="U10" s="23"/>
      <c r="V10" s="23"/>
      <c r="W10" s="23"/>
      <c r="X10" s="22"/>
      <c r="Y10" s="23"/>
    </row>
    <row r="11" customFormat="false" ht="15" hidden="false" customHeight="false" outlineLevel="0" collapsed="false">
      <c r="A11" s="23"/>
      <c r="B11" s="23"/>
      <c r="C11" s="23"/>
      <c r="D11" s="23"/>
      <c r="E11" s="32"/>
      <c r="F11" s="32"/>
      <c r="G11" s="28" t="str">
        <f aca="false">IF($A11="","",INDEX(Settings!$C$22:$C$26,MATCH(MIN($E11,4),Settings!$A$22:$A$26,0))+MAX(0,$F11-1)*Settings!$B$6+IF($P11="FreshTurn",INDEX(Settings!$D$22:$D$26,MATCH(MIN($E11,4),Settings!$A$22:$A$26,0)),0))</f>
        <v/>
      </c>
      <c r="H11" s="25"/>
      <c r="I11" s="28" t="str">
        <f aca="false">IF($A11="","",IF($H11&lt;&gt;"",$H11,$G11))</f>
        <v/>
      </c>
      <c r="J11" s="28" t="str">
        <f aca="false">IF($A11="","",INDEX(Settings!$F$22:$F$26,MATCH(MIN($E11,4),Settings!$A$22:$A$26,0))+MAX(0,$F11-1)*Settings!$B$6*Settings!$B$9)</f>
        <v/>
      </c>
      <c r="K11" s="25"/>
      <c r="L11" s="28" t="str">
        <f aca="false">IF($A11="","",IF($K11&lt;&gt;"",$K11,$J11))</f>
        <v/>
      </c>
      <c r="M11" s="28" t="str">
        <f aca="false">IF($A11="","",$I11-$L11)</f>
        <v/>
      </c>
      <c r="N11" s="23"/>
      <c r="O11" s="23"/>
      <c r="P11" s="23"/>
      <c r="Q11" s="23"/>
      <c r="R11" s="23"/>
      <c r="S11" s="24"/>
      <c r="T11" s="24"/>
      <c r="U11" s="23"/>
      <c r="V11" s="23"/>
      <c r="W11" s="23"/>
      <c r="X11" s="22"/>
      <c r="Y11" s="23"/>
    </row>
    <row r="12" customFormat="false" ht="15" hidden="false" customHeight="false" outlineLevel="0" collapsed="false">
      <c r="A12" s="23"/>
      <c r="B12" s="23"/>
      <c r="C12" s="23"/>
      <c r="D12" s="23"/>
      <c r="E12" s="32"/>
      <c r="F12" s="32"/>
      <c r="G12" s="28" t="str">
        <f aca="false">IF($A12="","",INDEX(Settings!$C$22:$C$26,MATCH(MIN($E12,4),Settings!$A$22:$A$26,0))+MAX(0,$F12-1)*Settings!$B$6+IF($P12="FreshTurn",INDEX(Settings!$D$22:$D$26,MATCH(MIN($E12,4),Settings!$A$22:$A$26,0)),0))</f>
        <v/>
      </c>
      <c r="H12" s="25"/>
      <c r="I12" s="28" t="str">
        <f aca="false">IF($A12="","",IF($H12&lt;&gt;"",$H12,$G12))</f>
        <v/>
      </c>
      <c r="J12" s="28" t="str">
        <f aca="false">IF($A12="","",INDEX(Settings!$F$22:$F$26,MATCH(MIN($E12,4),Settings!$A$22:$A$26,0))+MAX(0,$F12-1)*Settings!$B$6*Settings!$B$9)</f>
        <v/>
      </c>
      <c r="K12" s="25"/>
      <c r="L12" s="28" t="str">
        <f aca="false">IF($A12="","",IF($K12&lt;&gt;"",$K12,$J12))</f>
        <v/>
      </c>
      <c r="M12" s="28" t="str">
        <f aca="false">IF($A12="","",$I12-$L12)</f>
        <v/>
      </c>
      <c r="N12" s="23"/>
      <c r="O12" s="23"/>
      <c r="P12" s="23"/>
      <c r="Q12" s="23"/>
      <c r="R12" s="23"/>
      <c r="S12" s="24"/>
      <c r="T12" s="24"/>
      <c r="U12" s="23"/>
      <c r="V12" s="23"/>
      <c r="W12" s="23"/>
      <c r="X12" s="22"/>
      <c r="Y12" s="23"/>
    </row>
    <row r="13" customFormat="false" ht="15" hidden="false" customHeight="false" outlineLevel="0" collapsed="false">
      <c r="A13" s="23"/>
      <c r="B13" s="23"/>
      <c r="C13" s="23"/>
      <c r="D13" s="23"/>
      <c r="E13" s="32"/>
      <c r="F13" s="32"/>
      <c r="G13" s="28" t="str">
        <f aca="false">IF($A13="","",INDEX(Settings!$C$22:$C$26,MATCH(MIN($E13,4),Settings!$A$22:$A$26,0))+MAX(0,$F13-1)*Settings!$B$6+IF($P13="FreshTurn",INDEX(Settings!$D$22:$D$26,MATCH(MIN($E13,4),Settings!$A$22:$A$26,0)),0))</f>
        <v/>
      </c>
      <c r="H13" s="25"/>
      <c r="I13" s="28" t="str">
        <f aca="false">IF($A13="","",IF($H13&lt;&gt;"",$H13,$G13))</f>
        <v/>
      </c>
      <c r="J13" s="28" t="str">
        <f aca="false">IF($A13="","",INDEX(Settings!$F$22:$F$26,MATCH(MIN($E13,4),Settings!$A$22:$A$26,0))+MAX(0,$F13-1)*Settings!$B$6*Settings!$B$9)</f>
        <v/>
      </c>
      <c r="K13" s="25"/>
      <c r="L13" s="28" t="str">
        <f aca="false">IF($A13="","",IF($K13&lt;&gt;"",$K13,$J13))</f>
        <v/>
      </c>
      <c r="M13" s="28" t="str">
        <f aca="false">IF($A13="","",$I13-$L13)</f>
        <v/>
      </c>
      <c r="N13" s="23"/>
      <c r="O13" s="23"/>
      <c r="P13" s="23"/>
      <c r="Q13" s="23"/>
      <c r="R13" s="23"/>
      <c r="S13" s="24"/>
      <c r="T13" s="24"/>
      <c r="U13" s="23"/>
      <c r="V13" s="23"/>
      <c r="W13" s="23"/>
      <c r="X13" s="22"/>
      <c r="Y13" s="23"/>
    </row>
    <row r="14" customFormat="false" ht="15" hidden="false" customHeight="false" outlineLevel="0" collapsed="false">
      <c r="A14" s="23"/>
      <c r="B14" s="23"/>
      <c r="C14" s="23"/>
      <c r="D14" s="23"/>
      <c r="E14" s="32"/>
      <c r="F14" s="32"/>
      <c r="G14" s="28" t="str">
        <f aca="false">IF($A14="","",INDEX(Settings!$C$22:$C$26,MATCH(MIN($E14,4),Settings!$A$22:$A$26,0))+MAX(0,$F14-1)*Settings!$B$6+IF($P14="FreshTurn",INDEX(Settings!$D$22:$D$26,MATCH(MIN($E14,4),Settings!$A$22:$A$26,0)),0))</f>
        <v/>
      </c>
      <c r="H14" s="25"/>
      <c r="I14" s="28" t="str">
        <f aca="false">IF($A14="","",IF($H14&lt;&gt;"",$H14,$G14))</f>
        <v/>
      </c>
      <c r="J14" s="28" t="str">
        <f aca="false">IF($A14="","",INDEX(Settings!$F$22:$F$26,MATCH(MIN($E14,4),Settings!$A$22:$A$26,0))+MAX(0,$F14-1)*Settings!$B$6*Settings!$B$9)</f>
        <v/>
      </c>
      <c r="K14" s="25"/>
      <c r="L14" s="28" t="str">
        <f aca="false">IF($A14="","",IF($K14&lt;&gt;"",$K14,$J14))</f>
        <v/>
      </c>
      <c r="M14" s="28" t="str">
        <f aca="false">IF($A14="","",$I14-$L14)</f>
        <v/>
      </c>
      <c r="N14" s="23"/>
      <c r="O14" s="23"/>
      <c r="P14" s="23"/>
      <c r="Q14" s="23"/>
      <c r="R14" s="23"/>
      <c r="S14" s="24"/>
      <c r="T14" s="24"/>
      <c r="U14" s="23"/>
      <c r="V14" s="23"/>
      <c r="W14" s="23"/>
      <c r="X14" s="22"/>
      <c r="Y14" s="23"/>
    </row>
    <row r="15" customFormat="false" ht="15" hidden="false" customHeight="false" outlineLevel="0" collapsed="false">
      <c r="A15" s="23"/>
      <c r="B15" s="23"/>
      <c r="C15" s="23"/>
      <c r="D15" s="23"/>
      <c r="E15" s="32"/>
      <c r="F15" s="32"/>
      <c r="G15" s="28" t="str">
        <f aca="false">IF($A15="","",INDEX(Settings!$C$22:$C$26,MATCH(MIN($E15,4),Settings!$A$22:$A$26,0))+MAX(0,$F15-1)*Settings!$B$6+IF($P15="FreshTurn",INDEX(Settings!$D$22:$D$26,MATCH(MIN($E15,4),Settings!$A$22:$A$26,0)),0))</f>
        <v/>
      </c>
      <c r="H15" s="25"/>
      <c r="I15" s="28" t="str">
        <f aca="false">IF($A15="","",IF($H15&lt;&gt;"",$H15,$G15))</f>
        <v/>
      </c>
      <c r="J15" s="28" t="str">
        <f aca="false">IF($A15="","",INDEX(Settings!$F$22:$F$26,MATCH(MIN($E15,4),Settings!$A$22:$A$26,0))+MAX(0,$F15-1)*Settings!$B$6*Settings!$B$9)</f>
        <v/>
      </c>
      <c r="K15" s="25"/>
      <c r="L15" s="28" t="str">
        <f aca="false">IF($A15="","",IF($K15&lt;&gt;"",$K15,$J15))</f>
        <v/>
      </c>
      <c r="M15" s="28" t="str">
        <f aca="false">IF($A15="","",$I15-$L15)</f>
        <v/>
      </c>
      <c r="N15" s="23"/>
      <c r="O15" s="23"/>
      <c r="P15" s="23"/>
      <c r="Q15" s="23"/>
      <c r="R15" s="23"/>
      <c r="S15" s="24"/>
      <c r="T15" s="24"/>
      <c r="U15" s="23"/>
      <c r="V15" s="23"/>
      <c r="W15" s="23"/>
      <c r="X15" s="22"/>
      <c r="Y15" s="23"/>
    </row>
    <row r="16" customFormat="false" ht="15" hidden="false" customHeight="false" outlineLevel="0" collapsed="false">
      <c r="A16" s="23"/>
      <c r="B16" s="23"/>
      <c r="C16" s="23"/>
      <c r="D16" s="23"/>
      <c r="E16" s="32"/>
      <c r="F16" s="32"/>
      <c r="G16" s="28" t="str">
        <f aca="false">IF($A16="","",INDEX(Settings!$C$22:$C$26,MATCH(MIN($E16,4),Settings!$A$22:$A$26,0))+MAX(0,$F16-1)*Settings!$B$6+IF($P16="FreshTurn",INDEX(Settings!$D$22:$D$26,MATCH(MIN($E16,4),Settings!$A$22:$A$26,0)),0))</f>
        <v/>
      </c>
      <c r="H16" s="25"/>
      <c r="I16" s="28" t="str">
        <f aca="false">IF($A16="","",IF($H16&lt;&gt;"",$H16,$G16))</f>
        <v/>
      </c>
      <c r="J16" s="28" t="str">
        <f aca="false">IF($A16="","",INDEX(Settings!$F$22:$F$26,MATCH(MIN($E16,4),Settings!$A$22:$A$26,0))+MAX(0,$F16-1)*Settings!$B$6*Settings!$B$9)</f>
        <v/>
      </c>
      <c r="K16" s="25"/>
      <c r="L16" s="28" t="str">
        <f aca="false">IF($A16="","",IF($K16&lt;&gt;"",$K16,$J16))</f>
        <v/>
      </c>
      <c r="M16" s="28" t="str">
        <f aca="false">IF($A16="","",$I16-$L16)</f>
        <v/>
      </c>
      <c r="N16" s="23"/>
      <c r="O16" s="23"/>
      <c r="P16" s="23"/>
      <c r="Q16" s="23"/>
      <c r="R16" s="23"/>
      <c r="S16" s="24"/>
      <c r="T16" s="24"/>
      <c r="U16" s="23"/>
      <c r="V16" s="23"/>
      <c r="W16" s="23"/>
      <c r="X16" s="22"/>
      <c r="Y16" s="23"/>
    </row>
    <row r="17" customFormat="false" ht="15" hidden="false" customHeight="false" outlineLevel="0" collapsed="false">
      <c r="A17" s="23"/>
      <c r="B17" s="23"/>
      <c r="C17" s="23"/>
      <c r="D17" s="23"/>
      <c r="E17" s="32"/>
      <c r="F17" s="32"/>
      <c r="G17" s="28" t="str">
        <f aca="false">IF($A17="","",INDEX(Settings!$C$22:$C$26,MATCH(MIN($E17,4),Settings!$A$22:$A$26,0))+MAX(0,$F17-1)*Settings!$B$6+IF($P17="FreshTurn",INDEX(Settings!$D$22:$D$26,MATCH(MIN($E17,4),Settings!$A$22:$A$26,0)),0))</f>
        <v/>
      </c>
      <c r="H17" s="25"/>
      <c r="I17" s="28" t="str">
        <f aca="false">IF($A17="","",IF($H17&lt;&gt;"",$H17,$G17))</f>
        <v/>
      </c>
      <c r="J17" s="28" t="str">
        <f aca="false">IF($A17="","",INDEX(Settings!$F$22:$F$26,MATCH(MIN($E17,4),Settings!$A$22:$A$26,0))+MAX(0,$F17-1)*Settings!$B$6*Settings!$B$9)</f>
        <v/>
      </c>
      <c r="K17" s="25"/>
      <c r="L17" s="28" t="str">
        <f aca="false">IF($A17="","",IF($K17&lt;&gt;"",$K17,$J17))</f>
        <v/>
      </c>
      <c r="M17" s="28" t="str">
        <f aca="false">IF($A17="","",$I17-$L17)</f>
        <v/>
      </c>
      <c r="N17" s="23"/>
      <c r="O17" s="23"/>
      <c r="P17" s="23"/>
      <c r="Q17" s="23"/>
      <c r="R17" s="23"/>
      <c r="S17" s="24"/>
      <c r="T17" s="24"/>
      <c r="U17" s="23"/>
      <c r="V17" s="23"/>
      <c r="W17" s="23"/>
      <c r="X17" s="22"/>
      <c r="Y17" s="23"/>
    </row>
    <row r="18" customFormat="false" ht="15" hidden="false" customHeight="false" outlineLevel="0" collapsed="false">
      <c r="A18" s="23"/>
      <c r="B18" s="23"/>
      <c r="C18" s="23"/>
      <c r="D18" s="23"/>
      <c r="E18" s="32"/>
      <c r="F18" s="32"/>
      <c r="G18" s="28" t="str">
        <f aca="false">IF($A18="","",INDEX(Settings!$C$22:$C$26,MATCH(MIN($E18,4),Settings!$A$22:$A$26,0))+MAX(0,$F18-1)*Settings!$B$6+IF($P18="FreshTurn",INDEX(Settings!$D$22:$D$26,MATCH(MIN($E18,4),Settings!$A$22:$A$26,0)),0))</f>
        <v/>
      </c>
      <c r="H18" s="25"/>
      <c r="I18" s="28" t="str">
        <f aca="false">IF($A18="","",IF($H18&lt;&gt;"",$H18,$G18))</f>
        <v/>
      </c>
      <c r="J18" s="28" t="str">
        <f aca="false">IF($A18="","",INDEX(Settings!$F$22:$F$26,MATCH(MIN($E18,4),Settings!$A$22:$A$26,0))+MAX(0,$F18-1)*Settings!$B$6*Settings!$B$9)</f>
        <v/>
      </c>
      <c r="K18" s="25"/>
      <c r="L18" s="28" t="str">
        <f aca="false">IF($A18="","",IF($K18&lt;&gt;"",$K18,$J18))</f>
        <v/>
      </c>
      <c r="M18" s="28" t="str">
        <f aca="false">IF($A18="","",$I18-$L18)</f>
        <v/>
      </c>
      <c r="N18" s="23"/>
      <c r="O18" s="23"/>
      <c r="P18" s="23"/>
      <c r="Q18" s="23"/>
      <c r="R18" s="23"/>
      <c r="S18" s="24"/>
      <c r="T18" s="24"/>
      <c r="U18" s="23"/>
      <c r="V18" s="23"/>
      <c r="W18" s="23"/>
      <c r="X18" s="22"/>
      <c r="Y18" s="23"/>
    </row>
    <row r="19" customFormat="false" ht="15" hidden="false" customHeight="false" outlineLevel="0" collapsed="false">
      <c r="A19" s="23"/>
      <c r="B19" s="23"/>
      <c r="C19" s="23"/>
      <c r="D19" s="23"/>
      <c r="E19" s="32"/>
      <c r="F19" s="32"/>
      <c r="G19" s="28" t="str">
        <f aca="false">IF($A19="","",INDEX(Settings!$C$22:$C$26,MATCH(MIN($E19,4),Settings!$A$22:$A$26,0))+MAX(0,$F19-1)*Settings!$B$6+IF($P19="FreshTurn",INDEX(Settings!$D$22:$D$26,MATCH(MIN($E19,4),Settings!$A$22:$A$26,0)),0))</f>
        <v/>
      </c>
      <c r="H19" s="25"/>
      <c r="I19" s="28" t="str">
        <f aca="false">IF($A19="","",IF($H19&lt;&gt;"",$H19,$G19))</f>
        <v/>
      </c>
      <c r="J19" s="28" t="str">
        <f aca="false">IF($A19="","",INDEX(Settings!$F$22:$F$26,MATCH(MIN($E19,4),Settings!$A$22:$A$26,0))+MAX(0,$F19-1)*Settings!$B$6*Settings!$B$9)</f>
        <v/>
      </c>
      <c r="K19" s="25"/>
      <c r="L19" s="28" t="str">
        <f aca="false">IF($A19="","",IF($K19&lt;&gt;"",$K19,$J19))</f>
        <v/>
      </c>
      <c r="M19" s="28" t="str">
        <f aca="false">IF($A19="","",$I19-$L19)</f>
        <v/>
      </c>
      <c r="N19" s="23"/>
      <c r="O19" s="23"/>
      <c r="P19" s="23"/>
      <c r="Q19" s="23"/>
      <c r="R19" s="23"/>
      <c r="S19" s="24"/>
      <c r="T19" s="24"/>
      <c r="U19" s="23"/>
      <c r="V19" s="23"/>
      <c r="W19" s="23"/>
      <c r="X19" s="22"/>
      <c r="Y19" s="23"/>
    </row>
    <row r="20" customFormat="false" ht="15" hidden="false" customHeight="false" outlineLevel="0" collapsed="false">
      <c r="A20" s="23"/>
      <c r="B20" s="23"/>
      <c r="C20" s="23"/>
      <c r="D20" s="23"/>
      <c r="E20" s="32"/>
      <c r="F20" s="32"/>
      <c r="G20" s="28" t="str">
        <f aca="false">IF($A20="","",INDEX(Settings!$C$22:$C$26,MATCH(MIN($E20,4),Settings!$A$22:$A$26,0))+MAX(0,$F20-1)*Settings!$B$6+IF($P20="FreshTurn",INDEX(Settings!$D$22:$D$26,MATCH(MIN($E20,4),Settings!$A$22:$A$26,0)),0))</f>
        <v/>
      </c>
      <c r="H20" s="25"/>
      <c r="I20" s="28" t="str">
        <f aca="false">IF($A20="","",IF($H20&lt;&gt;"",$H20,$G20))</f>
        <v/>
      </c>
      <c r="J20" s="28" t="str">
        <f aca="false">IF($A20="","",INDEX(Settings!$F$22:$F$26,MATCH(MIN($E20,4),Settings!$A$22:$A$26,0))+MAX(0,$F20-1)*Settings!$B$6*Settings!$B$9)</f>
        <v/>
      </c>
      <c r="K20" s="25"/>
      <c r="L20" s="28" t="str">
        <f aca="false">IF($A20="","",IF($K20&lt;&gt;"",$K20,$J20))</f>
        <v/>
      </c>
      <c r="M20" s="28" t="str">
        <f aca="false">IF($A20="","",$I20-$L20)</f>
        <v/>
      </c>
      <c r="N20" s="23"/>
      <c r="O20" s="23"/>
      <c r="P20" s="23"/>
      <c r="Q20" s="23"/>
      <c r="R20" s="23"/>
      <c r="S20" s="24"/>
      <c r="T20" s="24"/>
      <c r="U20" s="23"/>
      <c r="V20" s="23"/>
      <c r="W20" s="23"/>
      <c r="X20" s="22"/>
      <c r="Y20" s="23"/>
    </row>
    <row r="21" customFormat="false" ht="15" hidden="false" customHeight="false" outlineLevel="0" collapsed="false">
      <c r="A21" s="23"/>
      <c r="B21" s="23"/>
      <c r="C21" s="23"/>
      <c r="D21" s="23"/>
      <c r="E21" s="32"/>
      <c r="F21" s="32"/>
      <c r="G21" s="28" t="str">
        <f aca="false">IF($A21="","",INDEX(Settings!$C$22:$C$26,MATCH(MIN($E21,4),Settings!$A$22:$A$26,0))+MAX(0,$F21-1)*Settings!$B$6+IF($P21="FreshTurn",INDEX(Settings!$D$22:$D$26,MATCH(MIN($E21,4),Settings!$A$22:$A$26,0)),0))</f>
        <v/>
      </c>
      <c r="H21" s="25"/>
      <c r="I21" s="28" t="str">
        <f aca="false">IF($A21="","",IF($H21&lt;&gt;"",$H21,$G21))</f>
        <v/>
      </c>
      <c r="J21" s="28" t="str">
        <f aca="false">IF($A21="","",INDEX(Settings!$F$22:$F$26,MATCH(MIN($E21,4),Settings!$A$22:$A$26,0))+MAX(0,$F21-1)*Settings!$B$6*Settings!$B$9)</f>
        <v/>
      </c>
      <c r="K21" s="25"/>
      <c r="L21" s="28" t="str">
        <f aca="false">IF($A21="","",IF($K21&lt;&gt;"",$K21,$J21))</f>
        <v/>
      </c>
      <c r="M21" s="28" t="str">
        <f aca="false">IF($A21="","",$I21-$L21)</f>
        <v/>
      </c>
      <c r="N21" s="23"/>
      <c r="O21" s="23"/>
      <c r="P21" s="23"/>
      <c r="Q21" s="23"/>
      <c r="R21" s="23"/>
      <c r="S21" s="24"/>
      <c r="T21" s="24"/>
      <c r="U21" s="23"/>
      <c r="V21" s="23"/>
      <c r="W21" s="23"/>
      <c r="X21" s="22"/>
      <c r="Y21" s="23"/>
    </row>
    <row r="22" customFormat="false" ht="15" hidden="false" customHeight="false" outlineLevel="0" collapsed="false">
      <c r="A22" s="23"/>
      <c r="B22" s="23"/>
      <c r="C22" s="23"/>
      <c r="D22" s="23"/>
      <c r="E22" s="32"/>
      <c r="F22" s="32"/>
      <c r="G22" s="28" t="str">
        <f aca="false">IF($A22="","",INDEX(Settings!$C$22:$C$26,MATCH(MIN($E22,4),Settings!$A$22:$A$26,0))+MAX(0,$F22-1)*Settings!$B$6+IF($P22="FreshTurn",INDEX(Settings!$D$22:$D$26,MATCH(MIN($E22,4),Settings!$A$22:$A$26,0)),0))</f>
        <v/>
      </c>
      <c r="H22" s="25"/>
      <c r="I22" s="28" t="str">
        <f aca="false">IF($A22="","",IF($H22&lt;&gt;"",$H22,$G22))</f>
        <v/>
      </c>
      <c r="J22" s="28" t="str">
        <f aca="false">IF($A22="","",INDEX(Settings!$F$22:$F$26,MATCH(MIN($E22,4),Settings!$A$22:$A$26,0))+MAX(0,$F22-1)*Settings!$B$6*Settings!$B$9)</f>
        <v/>
      </c>
      <c r="K22" s="25"/>
      <c r="L22" s="28" t="str">
        <f aca="false">IF($A22="","",IF($K22&lt;&gt;"",$K22,$J22))</f>
        <v/>
      </c>
      <c r="M22" s="28" t="str">
        <f aca="false">IF($A22="","",$I22-$L22)</f>
        <v/>
      </c>
      <c r="N22" s="23"/>
      <c r="O22" s="23"/>
      <c r="P22" s="23"/>
      <c r="Q22" s="23"/>
      <c r="R22" s="23"/>
      <c r="S22" s="24"/>
      <c r="T22" s="24"/>
      <c r="U22" s="23"/>
      <c r="V22" s="23"/>
      <c r="W22" s="23"/>
      <c r="X22" s="22"/>
      <c r="Y22" s="23"/>
    </row>
    <row r="23" customFormat="false" ht="15" hidden="false" customHeight="false" outlineLevel="0" collapsed="false">
      <c r="A23" s="23"/>
      <c r="B23" s="23"/>
      <c r="C23" s="23"/>
      <c r="D23" s="23"/>
      <c r="E23" s="32"/>
      <c r="F23" s="32"/>
      <c r="G23" s="28" t="str">
        <f aca="false">IF($A23="","",INDEX(Settings!$C$22:$C$26,MATCH(MIN($E23,4),Settings!$A$22:$A$26,0))+MAX(0,$F23-1)*Settings!$B$6+IF($P23="FreshTurn",INDEX(Settings!$D$22:$D$26,MATCH(MIN($E23,4),Settings!$A$22:$A$26,0)),0))</f>
        <v/>
      </c>
      <c r="H23" s="25"/>
      <c r="I23" s="28" t="str">
        <f aca="false">IF($A23="","",IF($H23&lt;&gt;"",$H23,$G23))</f>
        <v/>
      </c>
      <c r="J23" s="28" t="str">
        <f aca="false">IF($A23="","",INDEX(Settings!$F$22:$F$26,MATCH(MIN($E23,4),Settings!$A$22:$A$26,0))+MAX(0,$F23-1)*Settings!$B$6*Settings!$B$9)</f>
        <v/>
      </c>
      <c r="K23" s="25"/>
      <c r="L23" s="28" t="str">
        <f aca="false">IF($A23="","",IF($K23&lt;&gt;"",$K23,$J23))</f>
        <v/>
      </c>
      <c r="M23" s="28" t="str">
        <f aca="false">IF($A23="","",$I23-$L23)</f>
        <v/>
      </c>
      <c r="N23" s="23"/>
      <c r="O23" s="23"/>
      <c r="P23" s="23"/>
      <c r="Q23" s="23"/>
      <c r="R23" s="23"/>
      <c r="S23" s="24"/>
      <c r="T23" s="24"/>
      <c r="U23" s="23"/>
      <c r="V23" s="23"/>
      <c r="W23" s="23"/>
      <c r="X23" s="22"/>
      <c r="Y23" s="23"/>
    </row>
    <row r="24" customFormat="false" ht="15" hidden="false" customHeight="false" outlineLevel="0" collapsed="false">
      <c r="A24" s="23"/>
      <c r="B24" s="23"/>
      <c r="C24" s="23"/>
      <c r="D24" s="23"/>
      <c r="E24" s="32"/>
      <c r="F24" s="32"/>
      <c r="G24" s="28" t="str">
        <f aca="false">IF($A24="","",INDEX(Settings!$C$22:$C$26,MATCH(MIN($E24,4),Settings!$A$22:$A$26,0))+MAX(0,$F24-1)*Settings!$B$6+IF($P24="FreshTurn",INDEX(Settings!$D$22:$D$26,MATCH(MIN($E24,4),Settings!$A$22:$A$26,0)),0))</f>
        <v/>
      </c>
      <c r="H24" s="25"/>
      <c r="I24" s="28" t="str">
        <f aca="false">IF($A24="","",IF($H24&lt;&gt;"",$H24,$G24))</f>
        <v/>
      </c>
      <c r="J24" s="28" t="str">
        <f aca="false">IF($A24="","",INDEX(Settings!$F$22:$F$26,MATCH(MIN($E24,4),Settings!$A$22:$A$26,0))+MAX(0,$F24-1)*Settings!$B$6*Settings!$B$9)</f>
        <v/>
      </c>
      <c r="K24" s="25"/>
      <c r="L24" s="28" t="str">
        <f aca="false">IF($A24="","",IF($K24&lt;&gt;"",$K24,$J24))</f>
        <v/>
      </c>
      <c r="M24" s="28" t="str">
        <f aca="false">IF($A24="","",$I24-$L24)</f>
        <v/>
      </c>
      <c r="N24" s="23"/>
      <c r="O24" s="23"/>
      <c r="P24" s="23"/>
      <c r="Q24" s="23"/>
      <c r="R24" s="23"/>
      <c r="S24" s="24"/>
      <c r="T24" s="24"/>
      <c r="U24" s="23"/>
      <c r="V24" s="23"/>
      <c r="W24" s="23"/>
      <c r="X24" s="22"/>
      <c r="Y24" s="23"/>
    </row>
    <row r="25" customFormat="false" ht="15" hidden="false" customHeight="false" outlineLevel="0" collapsed="false">
      <c r="A25" s="23"/>
      <c r="B25" s="23"/>
      <c r="C25" s="23"/>
      <c r="D25" s="23"/>
      <c r="E25" s="32"/>
      <c r="F25" s="32"/>
      <c r="G25" s="28" t="str">
        <f aca="false">IF($A25="","",INDEX(Settings!$C$22:$C$26,MATCH(MIN($E25,4),Settings!$A$22:$A$26,0))+MAX(0,$F25-1)*Settings!$B$6+IF($P25="FreshTurn",INDEX(Settings!$D$22:$D$26,MATCH(MIN($E25,4),Settings!$A$22:$A$26,0)),0))</f>
        <v/>
      </c>
      <c r="H25" s="25"/>
      <c r="I25" s="28" t="str">
        <f aca="false">IF($A25="","",IF($H25&lt;&gt;"",$H25,$G25))</f>
        <v/>
      </c>
      <c r="J25" s="28" t="str">
        <f aca="false">IF($A25="","",INDEX(Settings!$F$22:$F$26,MATCH(MIN($E25,4),Settings!$A$22:$A$26,0))+MAX(0,$F25-1)*Settings!$B$6*Settings!$B$9)</f>
        <v/>
      </c>
      <c r="K25" s="25"/>
      <c r="L25" s="28" t="str">
        <f aca="false">IF($A25="","",IF($K25&lt;&gt;"",$K25,$J25))</f>
        <v/>
      </c>
      <c r="M25" s="28" t="str">
        <f aca="false">IF($A25="","",$I25-$L25)</f>
        <v/>
      </c>
      <c r="N25" s="23"/>
      <c r="O25" s="23"/>
      <c r="P25" s="23"/>
      <c r="Q25" s="23"/>
      <c r="R25" s="23"/>
      <c r="S25" s="24"/>
      <c r="T25" s="24"/>
      <c r="U25" s="23"/>
      <c r="V25" s="23"/>
      <c r="W25" s="23"/>
      <c r="X25" s="22"/>
      <c r="Y25" s="23"/>
    </row>
    <row r="26" customFormat="false" ht="15" hidden="false" customHeight="false" outlineLevel="0" collapsed="false">
      <c r="A26" s="23"/>
      <c r="B26" s="23"/>
      <c r="C26" s="23"/>
      <c r="D26" s="23"/>
      <c r="E26" s="32"/>
      <c r="F26" s="32"/>
      <c r="G26" s="28" t="str">
        <f aca="false">IF($A26="","",INDEX(Settings!$C$22:$C$26,MATCH(MIN($E26,4),Settings!$A$22:$A$26,0))+MAX(0,$F26-1)*Settings!$B$6+IF($P26="FreshTurn",INDEX(Settings!$D$22:$D$26,MATCH(MIN($E26,4),Settings!$A$22:$A$26,0)),0))</f>
        <v/>
      </c>
      <c r="H26" s="25"/>
      <c r="I26" s="28" t="str">
        <f aca="false">IF($A26="","",IF($H26&lt;&gt;"",$H26,$G26))</f>
        <v/>
      </c>
      <c r="J26" s="28" t="str">
        <f aca="false">IF($A26="","",INDEX(Settings!$F$22:$F$26,MATCH(MIN($E26,4),Settings!$A$22:$A$26,0))+MAX(0,$F26-1)*Settings!$B$6*Settings!$B$9)</f>
        <v/>
      </c>
      <c r="K26" s="25"/>
      <c r="L26" s="28" t="str">
        <f aca="false">IF($A26="","",IF($K26&lt;&gt;"",$K26,$J26))</f>
        <v/>
      </c>
      <c r="M26" s="28" t="str">
        <f aca="false">IF($A26="","",$I26-$L26)</f>
        <v/>
      </c>
      <c r="N26" s="23"/>
      <c r="O26" s="23"/>
      <c r="P26" s="23"/>
      <c r="Q26" s="23"/>
      <c r="R26" s="23"/>
      <c r="S26" s="24"/>
      <c r="T26" s="24"/>
      <c r="U26" s="23"/>
      <c r="V26" s="23"/>
      <c r="W26" s="23"/>
      <c r="X26" s="22"/>
      <c r="Y26" s="23"/>
    </row>
    <row r="27" customFormat="false" ht="15" hidden="false" customHeight="false" outlineLevel="0" collapsed="false">
      <c r="A27" s="23"/>
      <c r="B27" s="23"/>
      <c r="C27" s="23"/>
      <c r="D27" s="23"/>
      <c r="E27" s="32"/>
      <c r="F27" s="32"/>
      <c r="G27" s="28" t="str">
        <f aca="false">IF($A27="","",INDEX(Settings!$C$22:$C$26,MATCH(MIN($E27,4),Settings!$A$22:$A$26,0))+MAX(0,$F27-1)*Settings!$B$6+IF($P27="FreshTurn",INDEX(Settings!$D$22:$D$26,MATCH(MIN($E27,4),Settings!$A$22:$A$26,0)),0))</f>
        <v/>
      </c>
      <c r="H27" s="25"/>
      <c r="I27" s="28" t="str">
        <f aca="false">IF($A27="","",IF($H27&lt;&gt;"",$H27,$G27))</f>
        <v/>
      </c>
      <c r="J27" s="28" t="str">
        <f aca="false">IF($A27="","",INDEX(Settings!$F$22:$F$26,MATCH(MIN($E27,4),Settings!$A$22:$A$26,0))+MAX(0,$F27-1)*Settings!$B$6*Settings!$B$9)</f>
        <v/>
      </c>
      <c r="K27" s="25"/>
      <c r="L27" s="28" t="str">
        <f aca="false">IF($A27="","",IF($K27&lt;&gt;"",$K27,$J27))</f>
        <v/>
      </c>
      <c r="M27" s="28" t="str">
        <f aca="false">IF($A27="","",$I27-$L27)</f>
        <v/>
      </c>
      <c r="N27" s="23"/>
      <c r="O27" s="23"/>
      <c r="P27" s="23"/>
      <c r="Q27" s="23"/>
      <c r="R27" s="23"/>
      <c r="S27" s="24"/>
      <c r="T27" s="24"/>
      <c r="U27" s="23"/>
      <c r="V27" s="23"/>
      <c r="W27" s="23"/>
      <c r="X27" s="22"/>
      <c r="Y27" s="23"/>
    </row>
    <row r="28" customFormat="false" ht="15" hidden="false" customHeight="false" outlineLevel="0" collapsed="false">
      <c r="A28" s="23"/>
      <c r="B28" s="23"/>
      <c r="C28" s="23"/>
      <c r="D28" s="23"/>
      <c r="E28" s="32"/>
      <c r="F28" s="32"/>
      <c r="G28" s="28" t="str">
        <f aca="false">IF($A28="","",INDEX(Settings!$C$22:$C$26,MATCH(MIN($E28,4),Settings!$A$22:$A$26,0))+MAX(0,$F28-1)*Settings!$B$6+IF($P28="FreshTurn",INDEX(Settings!$D$22:$D$26,MATCH(MIN($E28,4),Settings!$A$22:$A$26,0)),0))</f>
        <v/>
      </c>
      <c r="H28" s="25"/>
      <c r="I28" s="28" t="str">
        <f aca="false">IF($A28="","",IF($H28&lt;&gt;"",$H28,$G28))</f>
        <v/>
      </c>
      <c r="J28" s="28" t="str">
        <f aca="false">IF($A28="","",INDEX(Settings!$F$22:$F$26,MATCH(MIN($E28,4),Settings!$A$22:$A$26,0))+MAX(0,$F28-1)*Settings!$B$6*Settings!$B$9)</f>
        <v/>
      </c>
      <c r="K28" s="25"/>
      <c r="L28" s="28" t="str">
        <f aca="false">IF($A28="","",IF($K28&lt;&gt;"",$K28,$J28))</f>
        <v/>
      </c>
      <c r="M28" s="28" t="str">
        <f aca="false">IF($A28="","",$I28-$L28)</f>
        <v/>
      </c>
      <c r="N28" s="23"/>
      <c r="O28" s="23"/>
      <c r="P28" s="23"/>
      <c r="Q28" s="23"/>
      <c r="R28" s="23"/>
      <c r="S28" s="24"/>
      <c r="T28" s="24"/>
      <c r="U28" s="23"/>
      <c r="V28" s="23"/>
      <c r="W28" s="23"/>
      <c r="X28" s="22"/>
      <c r="Y28" s="23"/>
    </row>
    <row r="29" customFormat="false" ht="15" hidden="false" customHeight="false" outlineLevel="0" collapsed="false">
      <c r="A29" s="23"/>
      <c r="B29" s="23"/>
      <c r="C29" s="23"/>
      <c r="D29" s="23"/>
      <c r="E29" s="32"/>
      <c r="F29" s="32"/>
      <c r="G29" s="28" t="str">
        <f aca="false">IF($A29="","",INDEX(Settings!$C$22:$C$26,MATCH(MIN($E29,4),Settings!$A$22:$A$26,0))+MAX(0,$F29-1)*Settings!$B$6+IF($P29="FreshTurn",INDEX(Settings!$D$22:$D$26,MATCH(MIN($E29,4),Settings!$A$22:$A$26,0)),0))</f>
        <v/>
      </c>
      <c r="H29" s="25"/>
      <c r="I29" s="28" t="str">
        <f aca="false">IF($A29="","",IF($H29&lt;&gt;"",$H29,$G29))</f>
        <v/>
      </c>
      <c r="J29" s="28" t="str">
        <f aca="false">IF($A29="","",INDEX(Settings!$F$22:$F$26,MATCH(MIN($E29,4),Settings!$A$22:$A$26,0))+MAX(0,$F29-1)*Settings!$B$6*Settings!$B$9)</f>
        <v/>
      </c>
      <c r="K29" s="25"/>
      <c r="L29" s="28" t="str">
        <f aca="false">IF($A29="","",IF($K29&lt;&gt;"",$K29,$J29))</f>
        <v/>
      </c>
      <c r="M29" s="28" t="str">
        <f aca="false">IF($A29="","",$I29-$L29)</f>
        <v/>
      </c>
      <c r="N29" s="23"/>
      <c r="O29" s="23"/>
      <c r="P29" s="23"/>
      <c r="Q29" s="23"/>
      <c r="R29" s="23"/>
      <c r="S29" s="24"/>
      <c r="T29" s="24"/>
      <c r="U29" s="23"/>
      <c r="V29" s="23"/>
      <c r="W29" s="23"/>
      <c r="X29" s="22"/>
      <c r="Y29" s="23"/>
    </row>
    <row r="30" customFormat="false" ht="15" hidden="false" customHeight="false" outlineLevel="0" collapsed="false">
      <c r="A30" s="23"/>
      <c r="B30" s="23"/>
      <c r="C30" s="23"/>
      <c r="D30" s="23"/>
      <c r="E30" s="32"/>
      <c r="F30" s="32"/>
      <c r="G30" s="28" t="str">
        <f aca="false">IF($A30="","",INDEX(Settings!$C$22:$C$26,MATCH(MIN($E30,4),Settings!$A$22:$A$26,0))+MAX(0,$F30-1)*Settings!$B$6+IF($P30="FreshTurn",INDEX(Settings!$D$22:$D$26,MATCH(MIN($E30,4),Settings!$A$22:$A$26,0)),0))</f>
        <v/>
      </c>
      <c r="H30" s="25"/>
      <c r="I30" s="28" t="str">
        <f aca="false">IF($A30="","",IF($H30&lt;&gt;"",$H30,$G30))</f>
        <v/>
      </c>
      <c r="J30" s="28" t="str">
        <f aca="false">IF($A30="","",INDEX(Settings!$F$22:$F$26,MATCH(MIN($E30,4),Settings!$A$22:$A$26,0))+MAX(0,$F30-1)*Settings!$B$6*Settings!$B$9)</f>
        <v/>
      </c>
      <c r="K30" s="25"/>
      <c r="L30" s="28" t="str">
        <f aca="false">IF($A30="","",IF($K30&lt;&gt;"",$K30,$J30))</f>
        <v/>
      </c>
      <c r="M30" s="28" t="str">
        <f aca="false">IF($A30="","",$I30-$L30)</f>
        <v/>
      </c>
      <c r="N30" s="23"/>
      <c r="O30" s="23"/>
      <c r="P30" s="23"/>
      <c r="Q30" s="23"/>
      <c r="R30" s="23"/>
      <c r="S30" s="24"/>
      <c r="T30" s="24"/>
      <c r="U30" s="23"/>
      <c r="V30" s="23"/>
      <c r="W30" s="23"/>
      <c r="X30" s="22"/>
      <c r="Y30" s="23"/>
    </row>
    <row r="31" customFormat="false" ht="15" hidden="false" customHeight="false" outlineLevel="0" collapsed="false">
      <c r="A31" s="23"/>
      <c r="B31" s="23"/>
      <c r="C31" s="23"/>
      <c r="D31" s="23"/>
      <c r="E31" s="32"/>
      <c r="F31" s="32"/>
      <c r="G31" s="28" t="str">
        <f aca="false">IF($A31="","",INDEX(Settings!$C$22:$C$26,MATCH(MIN($E31,4),Settings!$A$22:$A$26,0))+MAX(0,$F31-1)*Settings!$B$6+IF($P31="FreshTurn",INDEX(Settings!$D$22:$D$26,MATCH(MIN($E31,4),Settings!$A$22:$A$26,0)),0))</f>
        <v/>
      </c>
      <c r="H31" s="25"/>
      <c r="I31" s="28" t="str">
        <f aca="false">IF($A31="","",IF($H31&lt;&gt;"",$H31,$G31))</f>
        <v/>
      </c>
      <c r="J31" s="28" t="str">
        <f aca="false">IF($A31="","",INDEX(Settings!$F$22:$F$26,MATCH(MIN($E31,4),Settings!$A$22:$A$26,0))+MAX(0,$F31-1)*Settings!$B$6*Settings!$B$9)</f>
        <v/>
      </c>
      <c r="K31" s="25"/>
      <c r="L31" s="28" t="str">
        <f aca="false">IF($A31="","",IF($K31&lt;&gt;"",$K31,$J31))</f>
        <v/>
      </c>
      <c r="M31" s="28" t="str">
        <f aca="false">IF($A31="","",$I31-$L31)</f>
        <v/>
      </c>
      <c r="N31" s="23"/>
      <c r="O31" s="23"/>
      <c r="P31" s="23"/>
      <c r="Q31" s="23"/>
      <c r="R31" s="23"/>
      <c r="S31" s="24"/>
      <c r="T31" s="24"/>
      <c r="U31" s="23"/>
      <c r="V31" s="23"/>
      <c r="W31" s="23"/>
      <c r="X31" s="22"/>
      <c r="Y31" s="23"/>
    </row>
    <row r="32" customFormat="false" ht="15" hidden="false" customHeight="false" outlineLevel="0" collapsed="false">
      <c r="A32" s="23"/>
      <c r="B32" s="23"/>
      <c r="C32" s="23"/>
      <c r="D32" s="23"/>
      <c r="E32" s="32"/>
      <c r="F32" s="32"/>
      <c r="G32" s="28" t="str">
        <f aca="false">IF($A32="","",INDEX(Settings!$C$22:$C$26,MATCH(MIN($E32,4),Settings!$A$22:$A$26,0))+MAX(0,$F32-1)*Settings!$B$6+IF($P32="FreshTurn",INDEX(Settings!$D$22:$D$26,MATCH(MIN($E32,4),Settings!$A$22:$A$26,0)),0))</f>
        <v/>
      </c>
      <c r="H32" s="25"/>
      <c r="I32" s="28" t="str">
        <f aca="false">IF($A32="","",IF($H32&lt;&gt;"",$H32,$G32))</f>
        <v/>
      </c>
      <c r="J32" s="28" t="str">
        <f aca="false">IF($A32="","",INDEX(Settings!$F$22:$F$26,MATCH(MIN($E32,4),Settings!$A$22:$A$26,0))+MAX(0,$F32-1)*Settings!$B$6*Settings!$B$9)</f>
        <v/>
      </c>
      <c r="K32" s="25"/>
      <c r="L32" s="28" t="str">
        <f aca="false">IF($A32="","",IF($K32&lt;&gt;"",$K32,$J32))</f>
        <v/>
      </c>
      <c r="M32" s="28" t="str">
        <f aca="false">IF($A32="","",$I32-$L32)</f>
        <v/>
      </c>
      <c r="N32" s="23"/>
      <c r="O32" s="23"/>
      <c r="P32" s="23"/>
      <c r="Q32" s="23"/>
      <c r="R32" s="23"/>
      <c r="S32" s="24"/>
      <c r="T32" s="24"/>
      <c r="U32" s="23"/>
      <c r="V32" s="23"/>
      <c r="W32" s="23"/>
      <c r="X32" s="22"/>
      <c r="Y32" s="23"/>
    </row>
    <row r="33" customFormat="false" ht="15" hidden="false" customHeight="false" outlineLevel="0" collapsed="false">
      <c r="A33" s="23"/>
      <c r="B33" s="23"/>
      <c r="C33" s="23"/>
      <c r="D33" s="23"/>
      <c r="E33" s="32"/>
      <c r="F33" s="32"/>
      <c r="G33" s="28" t="str">
        <f aca="false">IF($A33="","",INDEX(Settings!$C$22:$C$26,MATCH(MIN($E33,4),Settings!$A$22:$A$26,0))+MAX(0,$F33-1)*Settings!$B$6+IF($P33="FreshTurn",INDEX(Settings!$D$22:$D$26,MATCH(MIN($E33,4),Settings!$A$22:$A$26,0)),0))</f>
        <v/>
      </c>
      <c r="H33" s="25"/>
      <c r="I33" s="28" t="str">
        <f aca="false">IF($A33="","",IF($H33&lt;&gt;"",$H33,$G33))</f>
        <v/>
      </c>
      <c r="J33" s="28" t="str">
        <f aca="false">IF($A33="","",INDEX(Settings!$F$22:$F$26,MATCH(MIN($E33,4),Settings!$A$22:$A$26,0))+MAX(0,$F33-1)*Settings!$B$6*Settings!$B$9)</f>
        <v/>
      </c>
      <c r="K33" s="25"/>
      <c r="L33" s="28" t="str">
        <f aca="false">IF($A33="","",IF($K33&lt;&gt;"",$K33,$J33))</f>
        <v/>
      </c>
      <c r="M33" s="28" t="str">
        <f aca="false">IF($A33="","",$I33-$L33)</f>
        <v/>
      </c>
      <c r="N33" s="23"/>
      <c r="O33" s="23"/>
      <c r="P33" s="23"/>
      <c r="Q33" s="23"/>
      <c r="R33" s="23"/>
      <c r="S33" s="24"/>
      <c r="T33" s="24"/>
      <c r="U33" s="23"/>
      <c r="V33" s="23"/>
      <c r="W33" s="23"/>
      <c r="X33" s="22"/>
      <c r="Y33" s="23"/>
    </row>
    <row r="34" customFormat="false" ht="15" hidden="false" customHeight="false" outlineLevel="0" collapsed="false">
      <c r="A34" s="23"/>
      <c r="B34" s="23"/>
      <c r="C34" s="23"/>
      <c r="D34" s="23"/>
      <c r="E34" s="32"/>
      <c r="F34" s="32"/>
      <c r="G34" s="28" t="str">
        <f aca="false">IF($A34="","",INDEX(Settings!$C$22:$C$26,MATCH(MIN($E34,4),Settings!$A$22:$A$26,0))+MAX(0,$F34-1)*Settings!$B$6+IF($P34="FreshTurn",INDEX(Settings!$D$22:$D$26,MATCH(MIN($E34,4),Settings!$A$22:$A$26,0)),0))</f>
        <v/>
      </c>
      <c r="H34" s="25"/>
      <c r="I34" s="28" t="str">
        <f aca="false">IF($A34="","",IF($H34&lt;&gt;"",$H34,$G34))</f>
        <v/>
      </c>
      <c r="J34" s="28" t="str">
        <f aca="false">IF($A34="","",INDEX(Settings!$F$22:$F$26,MATCH(MIN($E34,4),Settings!$A$22:$A$26,0))+MAX(0,$F34-1)*Settings!$B$6*Settings!$B$9)</f>
        <v/>
      </c>
      <c r="K34" s="25"/>
      <c r="L34" s="28" t="str">
        <f aca="false">IF($A34="","",IF($K34&lt;&gt;"",$K34,$J34))</f>
        <v/>
      </c>
      <c r="M34" s="28" t="str">
        <f aca="false">IF($A34="","",$I34-$L34)</f>
        <v/>
      </c>
      <c r="N34" s="23"/>
      <c r="O34" s="23"/>
      <c r="P34" s="23"/>
      <c r="Q34" s="23"/>
      <c r="R34" s="23"/>
      <c r="S34" s="24"/>
      <c r="T34" s="24"/>
      <c r="U34" s="23"/>
      <c r="V34" s="23"/>
      <c r="W34" s="23"/>
      <c r="X34" s="22"/>
      <c r="Y34" s="23"/>
    </row>
    <row r="35" customFormat="false" ht="15" hidden="false" customHeight="false" outlineLevel="0" collapsed="false">
      <c r="A35" s="23"/>
      <c r="B35" s="23"/>
      <c r="C35" s="23"/>
      <c r="D35" s="23"/>
      <c r="E35" s="32"/>
      <c r="F35" s="32"/>
      <c r="G35" s="28" t="str">
        <f aca="false">IF($A35="","",INDEX(Settings!$C$22:$C$26,MATCH(MIN($E35,4),Settings!$A$22:$A$26,0))+MAX(0,$F35-1)*Settings!$B$6+IF($P35="FreshTurn",INDEX(Settings!$D$22:$D$26,MATCH(MIN($E35,4),Settings!$A$22:$A$26,0)),0))</f>
        <v/>
      </c>
      <c r="H35" s="25"/>
      <c r="I35" s="28" t="str">
        <f aca="false">IF($A35="","",IF($H35&lt;&gt;"",$H35,$G35))</f>
        <v/>
      </c>
      <c r="J35" s="28" t="str">
        <f aca="false">IF($A35="","",INDEX(Settings!$F$22:$F$26,MATCH(MIN($E35,4),Settings!$A$22:$A$26,0))+MAX(0,$F35-1)*Settings!$B$6*Settings!$B$9)</f>
        <v/>
      </c>
      <c r="K35" s="25"/>
      <c r="L35" s="28" t="str">
        <f aca="false">IF($A35="","",IF($K35&lt;&gt;"",$K35,$J35))</f>
        <v/>
      </c>
      <c r="M35" s="28" t="str">
        <f aca="false">IF($A35="","",$I35-$L35)</f>
        <v/>
      </c>
      <c r="N35" s="23"/>
      <c r="O35" s="23"/>
      <c r="P35" s="23"/>
      <c r="Q35" s="23"/>
      <c r="R35" s="23"/>
      <c r="S35" s="24"/>
      <c r="T35" s="24"/>
      <c r="U35" s="23"/>
      <c r="V35" s="23"/>
      <c r="W35" s="23"/>
      <c r="X35" s="22"/>
      <c r="Y35" s="23"/>
    </row>
    <row r="36" customFormat="false" ht="15" hidden="false" customHeight="false" outlineLevel="0" collapsed="false">
      <c r="A36" s="23"/>
      <c r="B36" s="23"/>
      <c r="C36" s="23"/>
      <c r="D36" s="23"/>
      <c r="E36" s="32"/>
      <c r="F36" s="32"/>
      <c r="G36" s="28" t="str">
        <f aca="false">IF($A36="","",INDEX(Settings!$C$22:$C$26,MATCH(MIN($E36,4),Settings!$A$22:$A$26,0))+MAX(0,$F36-1)*Settings!$B$6+IF($P36="FreshTurn",INDEX(Settings!$D$22:$D$26,MATCH(MIN($E36,4),Settings!$A$22:$A$26,0)),0))</f>
        <v/>
      </c>
      <c r="H36" s="25"/>
      <c r="I36" s="28" t="str">
        <f aca="false">IF($A36="","",IF($H36&lt;&gt;"",$H36,$G36))</f>
        <v/>
      </c>
      <c r="J36" s="28" t="str">
        <f aca="false">IF($A36="","",INDEX(Settings!$F$22:$F$26,MATCH(MIN($E36,4),Settings!$A$22:$A$26,0))+MAX(0,$F36-1)*Settings!$B$6*Settings!$B$9)</f>
        <v/>
      </c>
      <c r="K36" s="25"/>
      <c r="L36" s="28" t="str">
        <f aca="false">IF($A36="","",IF($K36&lt;&gt;"",$K36,$J36))</f>
        <v/>
      </c>
      <c r="M36" s="28" t="str">
        <f aca="false">IF($A36="","",$I36-$L36)</f>
        <v/>
      </c>
      <c r="N36" s="23"/>
      <c r="O36" s="23"/>
      <c r="P36" s="23"/>
      <c r="Q36" s="23"/>
      <c r="R36" s="23"/>
      <c r="S36" s="24"/>
      <c r="T36" s="24"/>
      <c r="U36" s="23"/>
      <c r="V36" s="23"/>
      <c r="W36" s="23"/>
      <c r="X36" s="22"/>
      <c r="Y36" s="23"/>
    </row>
    <row r="37" customFormat="false" ht="15" hidden="false" customHeight="false" outlineLevel="0" collapsed="false">
      <c r="A37" s="23"/>
      <c r="B37" s="23"/>
      <c r="C37" s="23"/>
      <c r="D37" s="23"/>
      <c r="E37" s="32"/>
      <c r="F37" s="32"/>
      <c r="G37" s="28" t="str">
        <f aca="false">IF($A37="","",INDEX(Settings!$C$22:$C$26,MATCH(MIN($E37,4),Settings!$A$22:$A$26,0))+MAX(0,$F37-1)*Settings!$B$6+IF($P37="FreshTurn",INDEX(Settings!$D$22:$D$26,MATCH(MIN($E37,4),Settings!$A$22:$A$26,0)),0))</f>
        <v/>
      </c>
      <c r="H37" s="25"/>
      <c r="I37" s="28" t="str">
        <f aca="false">IF($A37="","",IF($H37&lt;&gt;"",$H37,$G37))</f>
        <v/>
      </c>
      <c r="J37" s="28" t="str">
        <f aca="false">IF($A37="","",INDEX(Settings!$F$22:$F$26,MATCH(MIN($E37,4),Settings!$A$22:$A$26,0))+MAX(0,$F37-1)*Settings!$B$6*Settings!$B$9)</f>
        <v/>
      </c>
      <c r="K37" s="25"/>
      <c r="L37" s="28" t="str">
        <f aca="false">IF($A37="","",IF($K37&lt;&gt;"",$K37,$J37))</f>
        <v/>
      </c>
      <c r="M37" s="28" t="str">
        <f aca="false">IF($A37="","",$I37-$L37)</f>
        <v/>
      </c>
      <c r="N37" s="23"/>
      <c r="O37" s="23"/>
      <c r="P37" s="23"/>
      <c r="Q37" s="23"/>
      <c r="R37" s="23"/>
      <c r="S37" s="24"/>
      <c r="T37" s="24"/>
      <c r="U37" s="23"/>
      <c r="V37" s="23"/>
      <c r="W37" s="23"/>
      <c r="X37" s="22"/>
      <c r="Y37" s="23"/>
    </row>
    <row r="38" customFormat="false" ht="15" hidden="false" customHeight="false" outlineLevel="0" collapsed="false">
      <c r="A38" s="23"/>
      <c r="B38" s="23"/>
      <c r="C38" s="23"/>
      <c r="D38" s="23"/>
      <c r="E38" s="32"/>
      <c r="F38" s="32"/>
      <c r="G38" s="28" t="str">
        <f aca="false">IF($A38="","",INDEX(Settings!$C$22:$C$26,MATCH(MIN($E38,4),Settings!$A$22:$A$26,0))+MAX(0,$F38-1)*Settings!$B$6+IF($P38="FreshTurn",INDEX(Settings!$D$22:$D$26,MATCH(MIN($E38,4),Settings!$A$22:$A$26,0)),0))</f>
        <v/>
      </c>
      <c r="H38" s="25"/>
      <c r="I38" s="28" t="str">
        <f aca="false">IF($A38="","",IF($H38&lt;&gt;"",$H38,$G38))</f>
        <v/>
      </c>
      <c r="J38" s="28" t="str">
        <f aca="false">IF($A38="","",INDEX(Settings!$F$22:$F$26,MATCH(MIN($E38,4),Settings!$A$22:$A$26,0))+MAX(0,$F38-1)*Settings!$B$6*Settings!$B$9)</f>
        <v/>
      </c>
      <c r="K38" s="25"/>
      <c r="L38" s="28" t="str">
        <f aca="false">IF($A38="","",IF($K38&lt;&gt;"",$K38,$J38))</f>
        <v/>
      </c>
      <c r="M38" s="28" t="str">
        <f aca="false">IF($A38="","",$I38-$L38)</f>
        <v/>
      </c>
      <c r="N38" s="23"/>
      <c r="O38" s="23"/>
      <c r="P38" s="23"/>
      <c r="Q38" s="23"/>
      <c r="R38" s="23"/>
      <c r="S38" s="24"/>
      <c r="T38" s="24"/>
      <c r="U38" s="23"/>
      <c r="V38" s="23"/>
      <c r="W38" s="23"/>
      <c r="X38" s="22"/>
      <c r="Y38" s="23"/>
    </row>
    <row r="39" customFormat="false" ht="15" hidden="false" customHeight="false" outlineLevel="0" collapsed="false">
      <c r="A39" s="23"/>
      <c r="B39" s="23"/>
      <c r="C39" s="23"/>
      <c r="D39" s="23"/>
      <c r="E39" s="32"/>
      <c r="F39" s="32"/>
      <c r="G39" s="28" t="str">
        <f aca="false">IF($A39="","",INDEX(Settings!$C$22:$C$26,MATCH(MIN($E39,4),Settings!$A$22:$A$26,0))+MAX(0,$F39-1)*Settings!$B$6+IF($P39="FreshTurn",INDEX(Settings!$D$22:$D$26,MATCH(MIN($E39,4),Settings!$A$22:$A$26,0)),0))</f>
        <v/>
      </c>
      <c r="H39" s="25"/>
      <c r="I39" s="28" t="str">
        <f aca="false">IF($A39="","",IF($H39&lt;&gt;"",$H39,$G39))</f>
        <v/>
      </c>
      <c r="J39" s="28" t="str">
        <f aca="false">IF($A39="","",INDEX(Settings!$F$22:$F$26,MATCH(MIN($E39,4),Settings!$A$22:$A$26,0))+MAX(0,$F39-1)*Settings!$B$6*Settings!$B$9)</f>
        <v/>
      </c>
      <c r="K39" s="25"/>
      <c r="L39" s="28" t="str">
        <f aca="false">IF($A39="","",IF($K39&lt;&gt;"",$K39,$J39))</f>
        <v/>
      </c>
      <c r="M39" s="28" t="str">
        <f aca="false">IF($A39="","",$I39-$L39)</f>
        <v/>
      </c>
      <c r="N39" s="23"/>
      <c r="O39" s="23"/>
      <c r="P39" s="23"/>
      <c r="Q39" s="23"/>
      <c r="R39" s="23"/>
      <c r="S39" s="24"/>
      <c r="T39" s="24"/>
      <c r="U39" s="23"/>
      <c r="V39" s="23"/>
      <c r="W39" s="23"/>
      <c r="X39" s="22"/>
      <c r="Y39" s="23"/>
    </row>
    <row r="40" customFormat="false" ht="15" hidden="false" customHeight="false" outlineLevel="0" collapsed="false">
      <c r="A40" s="23"/>
      <c r="B40" s="23"/>
      <c r="C40" s="23"/>
      <c r="D40" s="23"/>
      <c r="E40" s="32"/>
      <c r="F40" s="32"/>
      <c r="G40" s="28" t="str">
        <f aca="false">IF($A40="","",INDEX(Settings!$C$22:$C$26,MATCH(MIN($E40,4),Settings!$A$22:$A$26,0))+MAX(0,$F40-1)*Settings!$B$6+IF($P40="FreshTurn",INDEX(Settings!$D$22:$D$26,MATCH(MIN($E40,4),Settings!$A$22:$A$26,0)),0))</f>
        <v/>
      </c>
      <c r="H40" s="25"/>
      <c r="I40" s="28" t="str">
        <f aca="false">IF($A40="","",IF($H40&lt;&gt;"",$H40,$G40))</f>
        <v/>
      </c>
      <c r="J40" s="28" t="str">
        <f aca="false">IF($A40="","",INDEX(Settings!$F$22:$F$26,MATCH(MIN($E40,4),Settings!$A$22:$A$26,0))+MAX(0,$F40-1)*Settings!$B$6*Settings!$B$9)</f>
        <v/>
      </c>
      <c r="K40" s="25"/>
      <c r="L40" s="28" t="str">
        <f aca="false">IF($A40="","",IF($K40&lt;&gt;"",$K40,$J40))</f>
        <v/>
      </c>
      <c r="M40" s="28" t="str">
        <f aca="false">IF($A40="","",$I40-$L40)</f>
        <v/>
      </c>
      <c r="N40" s="23"/>
      <c r="O40" s="23"/>
      <c r="P40" s="23"/>
      <c r="Q40" s="23"/>
      <c r="R40" s="23"/>
      <c r="S40" s="24"/>
      <c r="T40" s="24"/>
      <c r="U40" s="23"/>
      <c r="V40" s="23"/>
      <c r="W40" s="23"/>
      <c r="X40" s="22"/>
      <c r="Y40" s="23"/>
    </row>
    <row r="41" customFormat="false" ht="15" hidden="false" customHeight="false" outlineLevel="0" collapsed="false">
      <c r="A41" s="23"/>
      <c r="B41" s="23"/>
      <c r="C41" s="23"/>
      <c r="D41" s="23"/>
      <c r="E41" s="32"/>
      <c r="F41" s="32"/>
      <c r="G41" s="28" t="str">
        <f aca="false">IF($A41="","",INDEX(Settings!$C$22:$C$26,MATCH(MIN($E41,4),Settings!$A$22:$A$26,0))+MAX(0,$F41-1)*Settings!$B$6+IF($P41="FreshTurn",INDEX(Settings!$D$22:$D$26,MATCH(MIN($E41,4),Settings!$A$22:$A$26,0)),0))</f>
        <v/>
      </c>
      <c r="H41" s="25"/>
      <c r="I41" s="28" t="str">
        <f aca="false">IF($A41="","",IF($H41&lt;&gt;"",$H41,$G41))</f>
        <v/>
      </c>
      <c r="J41" s="28" t="str">
        <f aca="false">IF($A41="","",INDEX(Settings!$F$22:$F$26,MATCH(MIN($E41,4),Settings!$A$22:$A$26,0))+MAX(0,$F41-1)*Settings!$B$6*Settings!$B$9)</f>
        <v/>
      </c>
      <c r="K41" s="25"/>
      <c r="L41" s="28" t="str">
        <f aca="false">IF($A41="","",IF($K41&lt;&gt;"",$K41,$J41))</f>
        <v/>
      </c>
      <c r="M41" s="28" t="str">
        <f aca="false">IF($A41="","",$I41-$L41)</f>
        <v/>
      </c>
      <c r="N41" s="23"/>
      <c r="O41" s="23"/>
      <c r="P41" s="23"/>
      <c r="Q41" s="23"/>
      <c r="R41" s="23"/>
      <c r="S41" s="24"/>
      <c r="T41" s="24"/>
      <c r="U41" s="23"/>
      <c r="V41" s="23"/>
      <c r="W41" s="23"/>
      <c r="X41" s="22"/>
      <c r="Y41" s="23"/>
    </row>
    <row r="42" customFormat="false" ht="15" hidden="false" customHeight="false" outlineLevel="0" collapsed="false">
      <c r="A42" s="23"/>
      <c r="B42" s="23"/>
      <c r="C42" s="23"/>
      <c r="D42" s="23"/>
      <c r="E42" s="32"/>
      <c r="F42" s="32"/>
      <c r="G42" s="28" t="str">
        <f aca="false">IF($A42="","",INDEX(Settings!$C$22:$C$26,MATCH(MIN($E42,4),Settings!$A$22:$A$26,0))+MAX(0,$F42-1)*Settings!$B$6+IF($P42="FreshTurn",INDEX(Settings!$D$22:$D$26,MATCH(MIN($E42,4),Settings!$A$22:$A$26,0)),0))</f>
        <v/>
      </c>
      <c r="H42" s="25"/>
      <c r="I42" s="28" t="str">
        <f aca="false">IF($A42="","",IF($H42&lt;&gt;"",$H42,$G42))</f>
        <v/>
      </c>
      <c r="J42" s="28" t="str">
        <f aca="false">IF($A42="","",INDEX(Settings!$F$22:$F$26,MATCH(MIN($E42,4),Settings!$A$22:$A$26,0))+MAX(0,$F42-1)*Settings!$B$6*Settings!$B$9)</f>
        <v/>
      </c>
      <c r="K42" s="25"/>
      <c r="L42" s="28" t="str">
        <f aca="false">IF($A42="","",IF($K42&lt;&gt;"",$K42,$J42))</f>
        <v/>
      </c>
      <c r="M42" s="28" t="str">
        <f aca="false">IF($A42="","",$I42-$L42)</f>
        <v/>
      </c>
      <c r="N42" s="23"/>
      <c r="O42" s="23"/>
      <c r="P42" s="23"/>
      <c r="Q42" s="23"/>
      <c r="R42" s="23"/>
      <c r="S42" s="24"/>
      <c r="T42" s="24"/>
      <c r="U42" s="23"/>
      <c r="V42" s="23"/>
      <c r="W42" s="23"/>
      <c r="X42" s="22"/>
      <c r="Y42" s="23"/>
    </row>
    <row r="43" customFormat="false" ht="15" hidden="false" customHeight="false" outlineLevel="0" collapsed="false">
      <c r="A43" s="23"/>
      <c r="B43" s="23"/>
      <c r="C43" s="23"/>
      <c r="D43" s="23"/>
      <c r="E43" s="32"/>
      <c r="F43" s="32"/>
      <c r="G43" s="28" t="str">
        <f aca="false">IF($A43="","",INDEX(Settings!$C$22:$C$26,MATCH(MIN($E43,4),Settings!$A$22:$A$26,0))+MAX(0,$F43-1)*Settings!$B$6+IF($P43="FreshTurn",INDEX(Settings!$D$22:$D$26,MATCH(MIN($E43,4),Settings!$A$22:$A$26,0)),0))</f>
        <v/>
      </c>
      <c r="H43" s="25"/>
      <c r="I43" s="28" t="str">
        <f aca="false">IF($A43="","",IF($H43&lt;&gt;"",$H43,$G43))</f>
        <v/>
      </c>
      <c r="J43" s="28" t="str">
        <f aca="false">IF($A43="","",INDEX(Settings!$F$22:$F$26,MATCH(MIN($E43,4),Settings!$A$22:$A$26,0))+MAX(0,$F43-1)*Settings!$B$6*Settings!$B$9)</f>
        <v/>
      </c>
      <c r="K43" s="25"/>
      <c r="L43" s="28" t="str">
        <f aca="false">IF($A43="","",IF($K43&lt;&gt;"",$K43,$J43))</f>
        <v/>
      </c>
      <c r="M43" s="28" t="str">
        <f aca="false">IF($A43="","",$I43-$L43)</f>
        <v/>
      </c>
      <c r="N43" s="23"/>
      <c r="O43" s="23"/>
      <c r="P43" s="23"/>
      <c r="Q43" s="23"/>
      <c r="R43" s="23"/>
      <c r="S43" s="24"/>
      <c r="T43" s="24"/>
      <c r="U43" s="23"/>
      <c r="V43" s="23"/>
      <c r="W43" s="23"/>
      <c r="X43" s="22"/>
      <c r="Y43" s="23"/>
    </row>
    <row r="44" customFormat="false" ht="15" hidden="false" customHeight="false" outlineLevel="0" collapsed="false">
      <c r="A44" s="23"/>
      <c r="B44" s="23"/>
      <c r="C44" s="23"/>
      <c r="D44" s="23"/>
      <c r="E44" s="32"/>
      <c r="F44" s="32"/>
      <c r="G44" s="28" t="str">
        <f aca="false">IF($A44="","",INDEX(Settings!$C$22:$C$26,MATCH(MIN($E44,4),Settings!$A$22:$A$26,0))+MAX(0,$F44-1)*Settings!$B$6+IF($P44="FreshTurn",INDEX(Settings!$D$22:$D$26,MATCH(MIN($E44,4),Settings!$A$22:$A$26,0)),0))</f>
        <v/>
      </c>
      <c r="H44" s="25"/>
      <c r="I44" s="28" t="str">
        <f aca="false">IF($A44="","",IF($H44&lt;&gt;"",$H44,$G44))</f>
        <v/>
      </c>
      <c r="J44" s="28" t="str">
        <f aca="false">IF($A44="","",INDEX(Settings!$F$22:$F$26,MATCH(MIN($E44,4),Settings!$A$22:$A$26,0))+MAX(0,$F44-1)*Settings!$B$6*Settings!$B$9)</f>
        <v/>
      </c>
      <c r="K44" s="25"/>
      <c r="L44" s="28" t="str">
        <f aca="false">IF($A44="","",IF($K44&lt;&gt;"",$K44,$J44))</f>
        <v/>
      </c>
      <c r="M44" s="28" t="str">
        <f aca="false">IF($A44="","",$I44-$L44)</f>
        <v/>
      </c>
      <c r="N44" s="23"/>
      <c r="O44" s="23"/>
      <c r="P44" s="23"/>
      <c r="Q44" s="23"/>
      <c r="R44" s="23"/>
      <c r="S44" s="24"/>
      <c r="T44" s="24"/>
      <c r="U44" s="23"/>
      <c r="V44" s="23"/>
      <c r="W44" s="23"/>
      <c r="X44" s="22"/>
      <c r="Y44" s="23"/>
    </row>
    <row r="45" customFormat="false" ht="15" hidden="false" customHeight="false" outlineLevel="0" collapsed="false">
      <c r="A45" s="23"/>
      <c r="B45" s="23"/>
      <c r="C45" s="23"/>
      <c r="D45" s="23"/>
      <c r="E45" s="32"/>
      <c r="F45" s="32"/>
      <c r="G45" s="28" t="str">
        <f aca="false">IF($A45="","",INDEX(Settings!$C$22:$C$26,MATCH(MIN($E45,4),Settings!$A$22:$A$26,0))+MAX(0,$F45-1)*Settings!$B$6+IF($P45="FreshTurn",INDEX(Settings!$D$22:$D$26,MATCH(MIN($E45,4),Settings!$A$22:$A$26,0)),0))</f>
        <v/>
      </c>
      <c r="H45" s="25"/>
      <c r="I45" s="28" t="str">
        <f aca="false">IF($A45="","",IF($H45&lt;&gt;"",$H45,$G45))</f>
        <v/>
      </c>
      <c r="J45" s="28" t="str">
        <f aca="false">IF($A45="","",INDEX(Settings!$F$22:$F$26,MATCH(MIN($E45,4),Settings!$A$22:$A$26,0))+MAX(0,$F45-1)*Settings!$B$6*Settings!$B$9)</f>
        <v/>
      </c>
      <c r="K45" s="25"/>
      <c r="L45" s="28" t="str">
        <f aca="false">IF($A45="","",IF($K45&lt;&gt;"",$K45,$J45))</f>
        <v/>
      </c>
      <c r="M45" s="28" t="str">
        <f aca="false">IF($A45="","",$I45-$L45)</f>
        <v/>
      </c>
      <c r="N45" s="23"/>
      <c r="O45" s="23"/>
      <c r="P45" s="23"/>
      <c r="Q45" s="23"/>
      <c r="R45" s="23"/>
      <c r="S45" s="24"/>
      <c r="T45" s="24"/>
      <c r="U45" s="23"/>
      <c r="V45" s="23"/>
      <c r="W45" s="23"/>
      <c r="X45" s="22"/>
      <c r="Y45" s="23"/>
    </row>
    <row r="46" customFormat="false" ht="15" hidden="false" customHeight="false" outlineLevel="0" collapsed="false">
      <c r="A46" s="23"/>
      <c r="B46" s="23"/>
      <c r="C46" s="23"/>
      <c r="D46" s="23"/>
      <c r="E46" s="32"/>
      <c r="F46" s="32"/>
      <c r="G46" s="28" t="str">
        <f aca="false">IF($A46="","",INDEX(Settings!$C$22:$C$26,MATCH(MIN($E46,4),Settings!$A$22:$A$26,0))+MAX(0,$F46-1)*Settings!$B$6+IF($P46="FreshTurn",INDEX(Settings!$D$22:$D$26,MATCH(MIN($E46,4),Settings!$A$22:$A$26,0)),0))</f>
        <v/>
      </c>
      <c r="H46" s="25"/>
      <c r="I46" s="28" t="str">
        <f aca="false">IF($A46="","",IF($H46&lt;&gt;"",$H46,$G46))</f>
        <v/>
      </c>
      <c r="J46" s="28" t="str">
        <f aca="false">IF($A46="","",INDEX(Settings!$F$22:$F$26,MATCH(MIN($E46,4),Settings!$A$22:$A$26,0))+MAX(0,$F46-1)*Settings!$B$6*Settings!$B$9)</f>
        <v/>
      </c>
      <c r="K46" s="25"/>
      <c r="L46" s="28" t="str">
        <f aca="false">IF($A46="","",IF($K46&lt;&gt;"",$K46,$J46))</f>
        <v/>
      </c>
      <c r="M46" s="28" t="str">
        <f aca="false">IF($A46="","",$I46-$L46)</f>
        <v/>
      </c>
      <c r="N46" s="23"/>
      <c r="O46" s="23"/>
      <c r="P46" s="23"/>
      <c r="Q46" s="23"/>
      <c r="R46" s="23"/>
      <c r="S46" s="24"/>
      <c r="T46" s="24"/>
      <c r="U46" s="23"/>
      <c r="V46" s="23"/>
      <c r="W46" s="23"/>
      <c r="X46" s="22"/>
      <c r="Y46" s="23"/>
    </row>
    <row r="47" customFormat="false" ht="15" hidden="false" customHeight="false" outlineLevel="0" collapsed="false">
      <c r="A47" s="23"/>
      <c r="B47" s="23"/>
      <c r="C47" s="23"/>
      <c r="D47" s="23"/>
      <c r="E47" s="32"/>
      <c r="F47" s="32"/>
      <c r="G47" s="28" t="str">
        <f aca="false">IF($A47="","",INDEX(Settings!$C$22:$C$26,MATCH(MIN($E47,4),Settings!$A$22:$A$26,0))+MAX(0,$F47-1)*Settings!$B$6+IF($P47="FreshTurn",INDEX(Settings!$D$22:$D$26,MATCH(MIN($E47,4),Settings!$A$22:$A$26,0)),0))</f>
        <v/>
      </c>
      <c r="H47" s="25"/>
      <c r="I47" s="28" t="str">
        <f aca="false">IF($A47="","",IF($H47&lt;&gt;"",$H47,$G47))</f>
        <v/>
      </c>
      <c r="J47" s="28" t="str">
        <f aca="false">IF($A47="","",INDEX(Settings!$F$22:$F$26,MATCH(MIN($E47,4),Settings!$A$22:$A$26,0))+MAX(0,$F47-1)*Settings!$B$6*Settings!$B$9)</f>
        <v/>
      </c>
      <c r="K47" s="25"/>
      <c r="L47" s="28" t="str">
        <f aca="false">IF($A47="","",IF($K47&lt;&gt;"",$K47,$J47))</f>
        <v/>
      </c>
      <c r="M47" s="28" t="str">
        <f aca="false">IF($A47="","",$I47-$L47)</f>
        <v/>
      </c>
      <c r="N47" s="23"/>
      <c r="O47" s="23"/>
      <c r="P47" s="23"/>
      <c r="Q47" s="23"/>
      <c r="R47" s="23"/>
      <c r="S47" s="24"/>
      <c r="T47" s="24"/>
      <c r="U47" s="23"/>
      <c r="V47" s="23"/>
      <c r="W47" s="23"/>
      <c r="X47" s="22"/>
      <c r="Y47" s="23"/>
    </row>
    <row r="48" customFormat="false" ht="15" hidden="false" customHeight="false" outlineLevel="0" collapsed="false">
      <c r="A48" s="23"/>
      <c r="B48" s="23"/>
      <c r="C48" s="23"/>
      <c r="D48" s="23"/>
      <c r="E48" s="32"/>
      <c r="F48" s="32"/>
      <c r="G48" s="28" t="str">
        <f aca="false">IF($A48="","",INDEX(Settings!$C$22:$C$26,MATCH(MIN($E48,4),Settings!$A$22:$A$26,0))+MAX(0,$F48-1)*Settings!$B$6+IF($P48="FreshTurn",INDEX(Settings!$D$22:$D$26,MATCH(MIN($E48,4),Settings!$A$22:$A$26,0)),0))</f>
        <v/>
      </c>
      <c r="H48" s="25"/>
      <c r="I48" s="28" t="str">
        <f aca="false">IF($A48="","",IF($H48&lt;&gt;"",$H48,$G48))</f>
        <v/>
      </c>
      <c r="J48" s="28" t="str">
        <f aca="false">IF($A48="","",INDEX(Settings!$F$22:$F$26,MATCH(MIN($E48,4),Settings!$A$22:$A$26,0))+MAX(0,$F48-1)*Settings!$B$6*Settings!$B$9)</f>
        <v/>
      </c>
      <c r="K48" s="25"/>
      <c r="L48" s="28" t="str">
        <f aca="false">IF($A48="","",IF($K48&lt;&gt;"",$K48,$J48))</f>
        <v/>
      </c>
      <c r="M48" s="28" t="str">
        <f aca="false">IF($A48="","",$I48-$L48)</f>
        <v/>
      </c>
      <c r="N48" s="23"/>
      <c r="O48" s="23"/>
      <c r="P48" s="23"/>
      <c r="Q48" s="23"/>
      <c r="R48" s="23"/>
      <c r="S48" s="24"/>
      <c r="T48" s="24"/>
      <c r="U48" s="23"/>
      <c r="V48" s="23"/>
      <c r="W48" s="23"/>
      <c r="X48" s="22"/>
      <c r="Y48" s="23"/>
    </row>
    <row r="49" customFormat="false" ht="15" hidden="false" customHeight="false" outlineLevel="0" collapsed="false">
      <c r="A49" s="23"/>
      <c r="B49" s="23"/>
      <c r="C49" s="23"/>
      <c r="D49" s="23"/>
      <c r="E49" s="32"/>
      <c r="F49" s="32"/>
      <c r="G49" s="28" t="str">
        <f aca="false">IF($A49="","",INDEX(Settings!$C$22:$C$26,MATCH(MIN($E49,4),Settings!$A$22:$A$26,0))+MAX(0,$F49-1)*Settings!$B$6+IF($P49="FreshTurn",INDEX(Settings!$D$22:$D$26,MATCH(MIN($E49,4),Settings!$A$22:$A$26,0)),0))</f>
        <v/>
      </c>
      <c r="H49" s="25"/>
      <c r="I49" s="28" t="str">
        <f aca="false">IF($A49="","",IF($H49&lt;&gt;"",$H49,$G49))</f>
        <v/>
      </c>
      <c r="J49" s="28" t="str">
        <f aca="false">IF($A49="","",INDEX(Settings!$F$22:$F$26,MATCH(MIN($E49,4),Settings!$A$22:$A$26,0))+MAX(0,$F49-1)*Settings!$B$6*Settings!$B$9)</f>
        <v/>
      </c>
      <c r="K49" s="25"/>
      <c r="L49" s="28" t="str">
        <f aca="false">IF($A49="","",IF($K49&lt;&gt;"",$K49,$J49))</f>
        <v/>
      </c>
      <c r="M49" s="28" t="str">
        <f aca="false">IF($A49="","",$I49-$L49)</f>
        <v/>
      </c>
      <c r="N49" s="23"/>
      <c r="O49" s="23"/>
      <c r="P49" s="23"/>
      <c r="Q49" s="23"/>
      <c r="R49" s="23"/>
      <c r="S49" s="24"/>
      <c r="T49" s="24"/>
      <c r="U49" s="23"/>
      <c r="V49" s="23"/>
      <c r="W49" s="23"/>
      <c r="X49" s="22"/>
      <c r="Y49" s="23"/>
    </row>
    <row r="50" customFormat="false" ht="15" hidden="false" customHeight="false" outlineLevel="0" collapsed="false">
      <c r="A50" s="23"/>
      <c r="B50" s="23"/>
      <c r="C50" s="23"/>
      <c r="D50" s="23"/>
      <c r="E50" s="32"/>
      <c r="F50" s="32"/>
      <c r="G50" s="28" t="str">
        <f aca="false">IF($A50="","",INDEX(Settings!$C$22:$C$26,MATCH(MIN($E50,4),Settings!$A$22:$A$26,0))+MAX(0,$F50-1)*Settings!$B$6+IF($P50="FreshTurn",INDEX(Settings!$D$22:$D$26,MATCH(MIN($E50,4),Settings!$A$22:$A$26,0)),0))</f>
        <v/>
      </c>
      <c r="H50" s="25"/>
      <c r="I50" s="28" t="str">
        <f aca="false">IF($A50="","",IF($H50&lt;&gt;"",$H50,$G50))</f>
        <v/>
      </c>
      <c r="J50" s="28" t="str">
        <f aca="false">IF($A50="","",INDEX(Settings!$F$22:$F$26,MATCH(MIN($E50,4),Settings!$A$22:$A$26,0))+MAX(0,$F50-1)*Settings!$B$6*Settings!$B$9)</f>
        <v/>
      </c>
      <c r="K50" s="25"/>
      <c r="L50" s="28" t="str">
        <f aca="false">IF($A50="","",IF($K50&lt;&gt;"",$K50,$J50))</f>
        <v/>
      </c>
      <c r="M50" s="28" t="str">
        <f aca="false">IF($A50="","",$I50-$L50)</f>
        <v/>
      </c>
      <c r="N50" s="23"/>
      <c r="O50" s="23"/>
      <c r="P50" s="23"/>
      <c r="Q50" s="23"/>
      <c r="R50" s="23"/>
      <c r="S50" s="24"/>
      <c r="T50" s="24"/>
      <c r="U50" s="23"/>
      <c r="V50" s="23"/>
      <c r="W50" s="23"/>
      <c r="X50" s="22"/>
      <c r="Y50" s="23"/>
    </row>
    <row r="51" customFormat="false" ht="15" hidden="false" customHeight="false" outlineLevel="0" collapsed="false">
      <c r="A51" s="23"/>
      <c r="B51" s="23"/>
      <c r="C51" s="23"/>
      <c r="D51" s="23"/>
      <c r="E51" s="32"/>
      <c r="F51" s="32"/>
      <c r="G51" s="28" t="str">
        <f aca="false">IF($A51="","",INDEX(Settings!$C$22:$C$26,MATCH(MIN($E51,4),Settings!$A$22:$A$26,0))+MAX(0,$F51-1)*Settings!$B$6+IF($P51="FreshTurn",INDEX(Settings!$D$22:$D$26,MATCH(MIN($E51,4),Settings!$A$22:$A$26,0)),0))</f>
        <v/>
      </c>
      <c r="H51" s="25"/>
      <c r="I51" s="28" t="str">
        <f aca="false">IF($A51="","",IF($H51&lt;&gt;"",$H51,$G51))</f>
        <v/>
      </c>
      <c r="J51" s="28" t="str">
        <f aca="false">IF($A51="","",INDEX(Settings!$F$22:$F$26,MATCH(MIN($E51,4),Settings!$A$22:$A$26,0))+MAX(0,$F51-1)*Settings!$B$6*Settings!$B$9)</f>
        <v/>
      </c>
      <c r="K51" s="25"/>
      <c r="L51" s="28" t="str">
        <f aca="false">IF($A51="","",IF($K51&lt;&gt;"",$K51,$J51))</f>
        <v/>
      </c>
      <c r="M51" s="28" t="str">
        <f aca="false">IF($A51="","",$I51-$L51)</f>
        <v/>
      </c>
      <c r="N51" s="23"/>
      <c r="O51" s="23"/>
      <c r="P51" s="23"/>
      <c r="Q51" s="23"/>
      <c r="R51" s="23"/>
      <c r="S51" s="24"/>
      <c r="T51" s="24"/>
      <c r="U51" s="23"/>
      <c r="V51" s="23"/>
      <c r="W51" s="23"/>
      <c r="X51" s="22"/>
      <c r="Y51" s="23"/>
    </row>
    <row r="52" customFormat="false" ht="15" hidden="false" customHeight="false" outlineLevel="0" collapsed="false">
      <c r="A52" s="23"/>
      <c r="B52" s="23"/>
      <c r="C52" s="23"/>
      <c r="D52" s="23"/>
      <c r="E52" s="32"/>
      <c r="F52" s="32"/>
      <c r="G52" s="28" t="str">
        <f aca="false">IF($A52="","",INDEX(Settings!$C$22:$C$26,MATCH(MIN($E52,4),Settings!$A$22:$A$26,0))+MAX(0,$F52-1)*Settings!$B$6+IF($P52="FreshTurn",INDEX(Settings!$D$22:$D$26,MATCH(MIN($E52,4),Settings!$A$22:$A$26,0)),0))</f>
        <v/>
      </c>
      <c r="H52" s="25"/>
      <c r="I52" s="28" t="str">
        <f aca="false">IF($A52="","",IF($H52&lt;&gt;"",$H52,$G52))</f>
        <v/>
      </c>
      <c r="J52" s="28" t="str">
        <f aca="false">IF($A52="","",INDEX(Settings!$F$22:$F$26,MATCH(MIN($E52,4),Settings!$A$22:$A$26,0))+MAX(0,$F52-1)*Settings!$B$6*Settings!$B$9)</f>
        <v/>
      </c>
      <c r="K52" s="25"/>
      <c r="L52" s="28" t="str">
        <f aca="false">IF($A52="","",IF($K52&lt;&gt;"",$K52,$J52))</f>
        <v/>
      </c>
      <c r="M52" s="28" t="str">
        <f aca="false">IF($A52="","",$I52-$L52)</f>
        <v/>
      </c>
      <c r="N52" s="23"/>
      <c r="O52" s="23"/>
      <c r="P52" s="23"/>
      <c r="Q52" s="23"/>
      <c r="R52" s="23"/>
      <c r="S52" s="24"/>
      <c r="T52" s="24"/>
      <c r="U52" s="23"/>
      <c r="V52" s="23"/>
      <c r="W52" s="23"/>
      <c r="X52" s="22"/>
      <c r="Y52" s="23"/>
    </row>
    <row r="53" customFormat="false" ht="15" hidden="false" customHeight="false" outlineLevel="0" collapsed="false">
      <c r="A53" s="23"/>
      <c r="B53" s="23"/>
      <c r="C53" s="23"/>
      <c r="D53" s="23"/>
      <c r="E53" s="32"/>
      <c r="F53" s="32"/>
      <c r="G53" s="28" t="str">
        <f aca="false">IF($A53="","",INDEX(Settings!$C$22:$C$26,MATCH(MIN($E53,4),Settings!$A$22:$A$26,0))+MAX(0,$F53-1)*Settings!$B$6+IF($P53="FreshTurn",INDEX(Settings!$D$22:$D$26,MATCH(MIN($E53,4),Settings!$A$22:$A$26,0)),0))</f>
        <v/>
      </c>
      <c r="H53" s="25"/>
      <c r="I53" s="28" t="str">
        <f aca="false">IF($A53="","",IF($H53&lt;&gt;"",$H53,$G53))</f>
        <v/>
      </c>
      <c r="J53" s="28" t="str">
        <f aca="false">IF($A53="","",INDEX(Settings!$F$22:$F$26,MATCH(MIN($E53,4),Settings!$A$22:$A$26,0))+MAX(0,$F53-1)*Settings!$B$6*Settings!$B$9)</f>
        <v/>
      </c>
      <c r="K53" s="25"/>
      <c r="L53" s="28" t="str">
        <f aca="false">IF($A53="","",IF($K53&lt;&gt;"",$K53,$J53))</f>
        <v/>
      </c>
      <c r="M53" s="28" t="str">
        <f aca="false">IF($A53="","",$I53-$L53)</f>
        <v/>
      </c>
      <c r="N53" s="23"/>
      <c r="O53" s="23"/>
      <c r="P53" s="23"/>
      <c r="Q53" s="23"/>
      <c r="R53" s="23"/>
      <c r="S53" s="24"/>
      <c r="T53" s="24"/>
      <c r="U53" s="23"/>
      <c r="V53" s="23"/>
      <c r="W53" s="23"/>
      <c r="X53" s="22"/>
      <c r="Y53" s="23"/>
    </row>
    <row r="54" customFormat="false" ht="15" hidden="false" customHeight="false" outlineLevel="0" collapsed="false">
      <c r="A54" s="23"/>
      <c r="B54" s="23"/>
      <c r="C54" s="23"/>
      <c r="D54" s="23"/>
      <c r="E54" s="32"/>
      <c r="F54" s="32"/>
      <c r="G54" s="28" t="str">
        <f aca="false">IF($A54="","",INDEX(Settings!$C$22:$C$26,MATCH(MIN($E54,4),Settings!$A$22:$A$26,0))+MAX(0,$F54-1)*Settings!$B$6+IF($P54="FreshTurn",INDEX(Settings!$D$22:$D$26,MATCH(MIN($E54,4),Settings!$A$22:$A$26,0)),0))</f>
        <v/>
      </c>
      <c r="H54" s="25"/>
      <c r="I54" s="28" t="str">
        <f aca="false">IF($A54="","",IF($H54&lt;&gt;"",$H54,$G54))</f>
        <v/>
      </c>
      <c r="J54" s="28" t="str">
        <f aca="false">IF($A54="","",INDEX(Settings!$F$22:$F$26,MATCH(MIN($E54,4),Settings!$A$22:$A$26,0))+MAX(0,$F54-1)*Settings!$B$6*Settings!$B$9)</f>
        <v/>
      </c>
      <c r="K54" s="25"/>
      <c r="L54" s="28" t="str">
        <f aca="false">IF($A54="","",IF($K54&lt;&gt;"",$K54,$J54))</f>
        <v/>
      </c>
      <c r="M54" s="28" t="str">
        <f aca="false">IF($A54="","",$I54-$L54)</f>
        <v/>
      </c>
      <c r="N54" s="23"/>
      <c r="O54" s="23"/>
      <c r="P54" s="23"/>
      <c r="Q54" s="23"/>
      <c r="R54" s="23"/>
      <c r="S54" s="24"/>
      <c r="T54" s="24"/>
      <c r="U54" s="23"/>
      <c r="V54" s="23"/>
      <c r="W54" s="23"/>
      <c r="X54" s="22"/>
      <c r="Y54" s="23"/>
    </row>
    <row r="55" customFormat="false" ht="15" hidden="false" customHeight="false" outlineLevel="0" collapsed="false">
      <c r="A55" s="23"/>
      <c r="B55" s="23"/>
      <c r="C55" s="23"/>
      <c r="D55" s="23"/>
      <c r="E55" s="32"/>
      <c r="F55" s="32"/>
      <c r="G55" s="28" t="str">
        <f aca="false">IF($A55="","",INDEX(Settings!$C$22:$C$26,MATCH(MIN($E55,4),Settings!$A$22:$A$26,0))+MAX(0,$F55-1)*Settings!$B$6+IF($P55="FreshTurn",INDEX(Settings!$D$22:$D$26,MATCH(MIN($E55,4),Settings!$A$22:$A$26,0)),0))</f>
        <v/>
      </c>
      <c r="H55" s="25"/>
      <c r="I55" s="28" t="str">
        <f aca="false">IF($A55="","",IF($H55&lt;&gt;"",$H55,$G55))</f>
        <v/>
      </c>
      <c r="J55" s="28" t="str">
        <f aca="false">IF($A55="","",INDEX(Settings!$F$22:$F$26,MATCH(MIN($E55,4),Settings!$A$22:$A$26,0))+MAX(0,$F55-1)*Settings!$B$6*Settings!$B$9)</f>
        <v/>
      </c>
      <c r="K55" s="25"/>
      <c r="L55" s="28" t="str">
        <f aca="false">IF($A55="","",IF($K55&lt;&gt;"",$K55,$J55))</f>
        <v/>
      </c>
      <c r="M55" s="28" t="str">
        <f aca="false">IF($A55="","",$I55-$L55)</f>
        <v/>
      </c>
      <c r="N55" s="23"/>
      <c r="O55" s="23"/>
      <c r="P55" s="23"/>
      <c r="Q55" s="23"/>
      <c r="R55" s="23"/>
      <c r="S55" s="24"/>
      <c r="T55" s="24"/>
      <c r="U55" s="23"/>
      <c r="V55" s="23"/>
      <c r="W55" s="23"/>
      <c r="X55" s="22"/>
      <c r="Y55" s="23"/>
    </row>
    <row r="56" customFormat="false" ht="15" hidden="false" customHeight="false" outlineLevel="0" collapsed="false">
      <c r="A56" s="23"/>
      <c r="B56" s="23"/>
      <c r="C56" s="23"/>
      <c r="D56" s="23"/>
      <c r="E56" s="32"/>
      <c r="F56" s="32"/>
      <c r="G56" s="28" t="str">
        <f aca="false">IF($A56="","",INDEX(Settings!$C$22:$C$26,MATCH(MIN($E56,4),Settings!$A$22:$A$26,0))+MAX(0,$F56-1)*Settings!$B$6+IF($P56="FreshTurn",INDEX(Settings!$D$22:$D$26,MATCH(MIN($E56,4),Settings!$A$22:$A$26,0)),0))</f>
        <v/>
      </c>
      <c r="H56" s="25"/>
      <c r="I56" s="28" t="str">
        <f aca="false">IF($A56="","",IF($H56&lt;&gt;"",$H56,$G56))</f>
        <v/>
      </c>
      <c r="J56" s="28" t="str">
        <f aca="false">IF($A56="","",INDEX(Settings!$F$22:$F$26,MATCH(MIN($E56,4),Settings!$A$22:$A$26,0))+MAX(0,$F56-1)*Settings!$B$6*Settings!$B$9)</f>
        <v/>
      </c>
      <c r="K56" s="25"/>
      <c r="L56" s="28" t="str">
        <f aca="false">IF($A56="","",IF($K56&lt;&gt;"",$K56,$J56))</f>
        <v/>
      </c>
      <c r="M56" s="28" t="str">
        <f aca="false">IF($A56="","",$I56-$L56)</f>
        <v/>
      </c>
      <c r="N56" s="23"/>
      <c r="O56" s="23"/>
      <c r="P56" s="23"/>
      <c r="Q56" s="23"/>
      <c r="R56" s="23"/>
      <c r="S56" s="24"/>
      <c r="T56" s="24"/>
      <c r="U56" s="23"/>
      <c r="V56" s="23"/>
      <c r="W56" s="23"/>
      <c r="X56" s="22"/>
      <c r="Y56" s="23"/>
    </row>
    <row r="57" customFormat="false" ht="15" hidden="false" customHeight="false" outlineLevel="0" collapsed="false">
      <c r="A57" s="23"/>
      <c r="B57" s="23"/>
      <c r="C57" s="23"/>
      <c r="D57" s="23"/>
      <c r="E57" s="32"/>
      <c r="F57" s="32"/>
      <c r="G57" s="28" t="str">
        <f aca="false">IF($A57="","",INDEX(Settings!$C$22:$C$26,MATCH(MIN($E57,4),Settings!$A$22:$A$26,0))+MAX(0,$F57-1)*Settings!$B$6+IF($P57="FreshTurn",INDEX(Settings!$D$22:$D$26,MATCH(MIN($E57,4),Settings!$A$22:$A$26,0)),0))</f>
        <v/>
      </c>
      <c r="H57" s="25"/>
      <c r="I57" s="28" t="str">
        <f aca="false">IF($A57="","",IF($H57&lt;&gt;"",$H57,$G57))</f>
        <v/>
      </c>
      <c r="J57" s="28" t="str">
        <f aca="false">IF($A57="","",INDEX(Settings!$F$22:$F$26,MATCH(MIN($E57,4),Settings!$A$22:$A$26,0))+MAX(0,$F57-1)*Settings!$B$6*Settings!$B$9)</f>
        <v/>
      </c>
      <c r="K57" s="25"/>
      <c r="L57" s="28" t="str">
        <f aca="false">IF($A57="","",IF($K57&lt;&gt;"",$K57,$J57))</f>
        <v/>
      </c>
      <c r="M57" s="28" t="str">
        <f aca="false">IF($A57="","",$I57-$L57)</f>
        <v/>
      </c>
      <c r="N57" s="23"/>
      <c r="O57" s="23"/>
      <c r="P57" s="23"/>
      <c r="Q57" s="23"/>
      <c r="R57" s="23"/>
      <c r="S57" s="24"/>
      <c r="T57" s="24"/>
      <c r="U57" s="23"/>
      <c r="V57" s="23"/>
      <c r="W57" s="23"/>
      <c r="X57" s="22"/>
      <c r="Y57" s="23"/>
    </row>
    <row r="58" customFormat="false" ht="15" hidden="false" customHeight="false" outlineLevel="0" collapsed="false">
      <c r="A58" s="23"/>
      <c r="B58" s="23"/>
      <c r="C58" s="23"/>
      <c r="D58" s="23"/>
      <c r="E58" s="32"/>
      <c r="F58" s="32"/>
      <c r="G58" s="28" t="str">
        <f aca="false">IF($A58="","",INDEX(Settings!$C$22:$C$26,MATCH(MIN($E58,4),Settings!$A$22:$A$26,0))+MAX(0,$F58-1)*Settings!$B$6+IF($P58="FreshTurn",INDEX(Settings!$D$22:$D$26,MATCH(MIN($E58,4),Settings!$A$22:$A$26,0)),0))</f>
        <v/>
      </c>
      <c r="H58" s="25"/>
      <c r="I58" s="28" t="str">
        <f aca="false">IF($A58="","",IF($H58&lt;&gt;"",$H58,$G58))</f>
        <v/>
      </c>
      <c r="J58" s="28" t="str">
        <f aca="false">IF($A58="","",INDEX(Settings!$F$22:$F$26,MATCH(MIN($E58,4),Settings!$A$22:$A$26,0))+MAX(0,$F58-1)*Settings!$B$6*Settings!$B$9)</f>
        <v/>
      </c>
      <c r="K58" s="25"/>
      <c r="L58" s="28" t="str">
        <f aca="false">IF($A58="","",IF($K58&lt;&gt;"",$K58,$J58))</f>
        <v/>
      </c>
      <c r="M58" s="28" t="str">
        <f aca="false">IF($A58="","",$I58-$L58)</f>
        <v/>
      </c>
      <c r="N58" s="23"/>
      <c r="O58" s="23"/>
      <c r="P58" s="23"/>
      <c r="Q58" s="23"/>
      <c r="R58" s="23"/>
      <c r="S58" s="24"/>
      <c r="T58" s="24"/>
      <c r="U58" s="23"/>
      <c r="V58" s="23"/>
      <c r="W58" s="23"/>
      <c r="X58" s="22"/>
      <c r="Y58" s="23"/>
    </row>
    <row r="59" customFormat="false" ht="15" hidden="false" customHeight="false" outlineLevel="0" collapsed="false">
      <c r="A59" s="23"/>
      <c r="B59" s="23"/>
      <c r="C59" s="23"/>
      <c r="D59" s="23"/>
      <c r="E59" s="32"/>
      <c r="F59" s="32"/>
      <c r="G59" s="28" t="str">
        <f aca="false">IF($A59="","",INDEX(Settings!$C$22:$C$26,MATCH(MIN($E59,4),Settings!$A$22:$A$26,0))+MAX(0,$F59-1)*Settings!$B$6+IF($P59="FreshTurn",INDEX(Settings!$D$22:$D$26,MATCH(MIN($E59,4),Settings!$A$22:$A$26,0)),0))</f>
        <v/>
      </c>
      <c r="H59" s="25"/>
      <c r="I59" s="28" t="str">
        <f aca="false">IF($A59="","",IF($H59&lt;&gt;"",$H59,$G59))</f>
        <v/>
      </c>
      <c r="J59" s="28" t="str">
        <f aca="false">IF($A59="","",INDEX(Settings!$F$22:$F$26,MATCH(MIN($E59,4),Settings!$A$22:$A$26,0))+MAX(0,$F59-1)*Settings!$B$6*Settings!$B$9)</f>
        <v/>
      </c>
      <c r="K59" s="25"/>
      <c r="L59" s="28" t="str">
        <f aca="false">IF($A59="","",IF($K59&lt;&gt;"",$K59,$J59))</f>
        <v/>
      </c>
      <c r="M59" s="28" t="str">
        <f aca="false">IF($A59="","",$I59-$L59)</f>
        <v/>
      </c>
      <c r="N59" s="23"/>
      <c r="O59" s="23"/>
      <c r="P59" s="23"/>
      <c r="Q59" s="23"/>
      <c r="R59" s="23"/>
      <c r="S59" s="24"/>
      <c r="T59" s="24"/>
      <c r="U59" s="23"/>
      <c r="V59" s="23"/>
      <c r="W59" s="23"/>
      <c r="X59" s="22"/>
      <c r="Y59" s="23"/>
    </row>
    <row r="60" customFormat="false" ht="15" hidden="false" customHeight="false" outlineLevel="0" collapsed="false">
      <c r="A60" s="23"/>
      <c r="B60" s="23"/>
      <c r="C60" s="23"/>
      <c r="D60" s="23"/>
      <c r="E60" s="32"/>
      <c r="F60" s="32"/>
      <c r="G60" s="28" t="str">
        <f aca="false">IF($A60="","",INDEX(Settings!$C$22:$C$26,MATCH(MIN($E60,4),Settings!$A$22:$A$26,0))+MAX(0,$F60-1)*Settings!$B$6+IF($P60="FreshTurn",INDEX(Settings!$D$22:$D$26,MATCH(MIN($E60,4),Settings!$A$22:$A$26,0)),0))</f>
        <v/>
      </c>
      <c r="H60" s="25"/>
      <c r="I60" s="28" t="str">
        <f aca="false">IF($A60="","",IF($H60&lt;&gt;"",$H60,$G60))</f>
        <v/>
      </c>
      <c r="J60" s="28" t="str">
        <f aca="false">IF($A60="","",INDEX(Settings!$F$22:$F$26,MATCH(MIN($E60,4),Settings!$A$22:$A$26,0))+MAX(0,$F60-1)*Settings!$B$6*Settings!$B$9)</f>
        <v/>
      </c>
      <c r="K60" s="25"/>
      <c r="L60" s="28" t="str">
        <f aca="false">IF($A60="","",IF($K60&lt;&gt;"",$K60,$J60))</f>
        <v/>
      </c>
      <c r="M60" s="28" t="str">
        <f aca="false">IF($A60="","",$I60-$L60)</f>
        <v/>
      </c>
      <c r="N60" s="23"/>
      <c r="O60" s="23"/>
      <c r="P60" s="23"/>
      <c r="Q60" s="23"/>
      <c r="R60" s="23"/>
      <c r="S60" s="24"/>
      <c r="T60" s="24"/>
      <c r="U60" s="23"/>
      <c r="V60" s="23"/>
      <c r="W60" s="23"/>
      <c r="X60" s="22"/>
      <c r="Y60" s="23"/>
    </row>
    <row r="61" customFormat="false" ht="15" hidden="false" customHeight="false" outlineLevel="0" collapsed="false">
      <c r="A61" s="23"/>
      <c r="B61" s="23"/>
      <c r="C61" s="23"/>
      <c r="D61" s="23"/>
      <c r="E61" s="32"/>
      <c r="F61" s="32"/>
      <c r="G61" s="28" t="str">
        <f aca="false">IF($A61="","",INDEX(Settings!$C$22:$C$26,MATCH(MIN($E61,4),Settings!$A$22:$A$26,0))+MAX(0,$F61-1)*Settings!$B$6+IF($P61="FreshTurn",INDEX(Settings!$D$22:$D$26,MATCH(MIN($E61,4),Settings!$A$22:$A$26,0)),0))</f>
        <v/>
      </c>
      <c r="H61" s="25"/>
      <c r="I61" s="28" t="str">
        <f aca="false">IF($A61="","",IF($H61&lt;&gt;"",$H61,$G61))</f>
        <v/>
      </c>
      <c r="J61" s="28" t="str">
        <f aca="false">IF($A61="","",INDEX(Settings!$F$22:$F$26,MATCH(MIN($E61,4),Settings!$A$22:$A$26,0))+MAX(0,$F61-1)*Settings!$B$6*Settings!$B$9)</f>
        <v/>
      </c>
      <c r="K61" s="25"/>
      <c r="L61" s="28" t="str">
        <f aca="false">IF($A61="","",IF($K61&lt;&gt;"",$K61,$J61))</f>
        <v/>
      </c>
      <c r="M61" s="28" t="str">
        <f aca="false">IF($A61="","",$I61-$L61)</f>
        <v/>
      </c>
      <c r="N61" s="23"/>
      <c r="O61" s="23"/>
      <c r="P61" s="23"/>
      <c r="Q61" s="23"/>
      <c r="R61" s="23"/>
      <c r="S61" s="24"/>
      <c r="T61" s="24"/>
      <c r="U61" s="23"/>
      <c r="V61" s="23"/>
      <c r="W61" s="23"/>
      <c r="X61" s="22"/>
      <c r="Y61" s="23"/>
    </row>
    <row r="62" customFormat="false" ht="15" hidden="false" customHeight="false" outlineLevel="0" collapsed="false">
      <c r="A62" s="23"/>
      <c r="B62" s="23"/>
      <c r="C62" s="23"/>
      <c r="D62" s="23"/>
      <c r="E62" s="32"/>
      <c r="F62" s="32"/>
      <c r="G62" s="28" t="str">
        <f aca="false">IF($A62="","",INDEX(Settings!$C$22:$C$26,MATCH(MIN($E62,4),Settings!$A$22:$A$26,0))+MAX(0,$F62-1)*Settings!$B$6+IF($P62="FreshTurn",INDEX(Settings!$D$22:$D$26,MATCH(MIN($E62,4),Settings!$A$22:$A$26,0)),0))</f>
        <v/>
      </c>
      <c r="H62" s="25"/>
      <c r="I62" s="28" t="str">
        <f aca="false">IF($A62="","",IF($H62&lt;&gt;"",$H62,$G62))</f>
        <v/>
      </c>
      <c r="J62" s="28" t="str">
        <f aca="false">IF($A62="","",INDEX(Settings!$F$22:$F$26,MATCH(MIN($E62,4),Settings!$A$22:$A$26,0))+MAX(0,$F62-1)*Settings!$B$6*Settings!$B$9)</f>
        <v/>
      </c>
      <c r="K62" s="25"/>
      <c r="L62" s="28" t="str">
        <f aca="false">IF($A62="","",IF($K62&lt;&gt;"",$K62,$J62))</f>
        <v/>
      </c>
      <c r="M62" s="28" t="str">
        <f aca="false">IF($A62="","",$I62-$L62)</f>
        <v/>
      </c>
      <c r="N62" s="23"/>
      <c r="O62" s="23"/>
      <c r="P62" s="23"/>
      <c r="Q62" s="23"/>
      <c r="R62" s="23"/>
      <c r="S62" s="24"/>
      <c r="T62" s="24"/>
      <c r="U62" s="23"/>
      <c r="V62" s="23"/>
      <c r="W62" s="23"/>
      <c r="X62" s="22"/>
      <c r="Y62" s="23"/>
    </row>
    <row r="63" customFormat="false" ht="15" hidden="false" customHeight="false" outlineLevel="0" collapsed="false">
      <c r="A63" s="23"/>
      <c r="B63" s="23"/>
      <c r="C63" s="23"/>
      <c r="D63" s="23"/>
      <c r="E63" s="32"/>
      <c r="F63" s="32"/>
      <c r="G63" s="28" t="str">
        <f aca="false">IF($A63="","",INDEX(Settings!$C$22:$C$26,MATCH(MIN($E63,4),Settings!$A$22:$A$26,0))+MAX(0,$F63-1)*Settings!$B$6+IF($P63="FreshTurn",INDEX(Settings!$D$22:$D$26,MATCH(MIN($E63,4),Settings!$A$22:$A$26,0)),0))</f>
        <v/>
      </c>
      <c r="H63" s="25"/>
      <c r="I63" s="28" t="str">
        <f aca="false">IF($A63="","",IF($H63&lt;&gt;"",$H63,$G63))</f>
        <v/>
      </c>
      <c r="J63" s="28" t="str">
        <f aca="false">IF($A63="","",INDEX(Settings!$F$22:$F$26,MATCH(MIN($E63,4),Settings!$A$22:$A$26,0))+MAX(0,$F63-1)*Settings!$B$6*Settings!$B$9)</f>
        <v/>
      </c>
      <c r="K63" s="25"/>
      <c r="L63" s="28" t="str">
        <f aca="false">IF($A63="","",IF($K63&lt;&gt;"",$K63,$J63))</f>
        <v/>
      </c>
      <c r="M63" s="28" t="str">
        <f aca="false">IF($A63="","",$I63-$L63)</f>
        <v/>
      </c>
      <c r="N63" s="23"/>
      <c r="O63" s="23"/>
      <c r="P63" s="23"/>
      <c r="Q63" s="23"/>
      <c r="R63" s="23"/>
      <c r="S63" s="24"/>
      <c r="T63" s="24"/>
      <c r="U63" s="23"/>
      <c r="V63" s="23"/>
      <c r="W63" s="23"/>
      <c r="X63" s="22"/>
      <c r="Y63" s="23"/>
    </row>
    <row r="64" customFormat="false" ht="15" hidden="false" customHeight="false" outlineLevel="0" collapsed="false">
      <c r="A64" s="23"/>
      <c r="B64" s="23"/>
      <c r="C64" s="23"/>
      <c r="D64" s="23"/>
      <c r="E64" s="32"/>
      <c r="F64" s="32"/>
      <c r="G64" s="28" t="str">
        <f aca="false">IF($A64="","",INDEX(Settings!$C$22:$C$26,MATCH(MIN($E64,4),Settings!$A$22:$A$26,0))+MAX(0,$F64-1)*Settings!$B$6+IF($P64="FreshTurn",INDEX(Settings!$D$22:$D$26,MATCH(MIN($E64,4),Settings!$A$22:$A$26,0)),0))</f>
        <v/>
      </c>
      <c r="H64" s="25"/>
      <c r="I64" s="28" t="str">
        <f aca="false">IF($A64="","",IF($H64&lt;&gt;"",$H64,$G64))</f>
        <v/>
      </c>
      <c r="J64" s="28" t="str">
        <f aca="false">IF($A64="","",INDEX(Settings!$F$22:$F$26,MATCH(MIN($E64,4),Settings!$A$22:$A$26,0))+MAX(0,$F64-1)*Settings!$B$6*Settings!$B$9)</f>
        <v/>
      </c>
      <c r="K64" s="25"/>
      <c r="L64" s="28" t="str">
        <f aca="false">IF($A64="","",IF($K64&lt;&gt;"",$K64,$J64))</f>
        <v/>
      </c>
      <c r="M64" s="28" t="str">
        <f aca="false">IF($A64="","",$I64-$L64)</f>
        <v/>
      </c>
      <c r="N64" s="23"/>
      <c r="O64" s="23"/>
      <c r="P64" s="23"/>
      <c r="Q64" s="23"/>
      <c r="R64" s="23"/>
      <c r="S64" s="24"/>
      <c r="T64" s="24"/>
      <c r="U64" s="23"/>
      <c r="V64" s="23"/>
      <c r="W64" s="23"/>
      <c r="X64" s="22"/>
      <c r="Y64" s="23"/>
    </row>
    <row r="65" customFormat="false" ht="15" hidden="false" customHeight="false" outlineLevel="0" collapsed="false">
      <c r="A65" s="23"/>
      <c r="B65" s="23"/>
      <c r="C65" s="23"/>
      <c r="D65" s="23"/>
      <c r="E65" s="32"/>
      <c r="F65" s="32"/>
      <c r="G65" s="28" t="str">
        <f aca="false">IF($A65="","",INDEX(Settings!$C$22:$C$26,MATCH(MIN($E65,4),Settings!$A$22:$A$26,0))+MAX(0,$F65-1)*Settings!$B$6+IF($P65="FreshTurn",INDEX(Settings!$D$22:$D$26,MATCH(MIN($E65,4),Settings!$A$22:$A$26,0)),0))</f>
        <v/>
      </c>
      <c r="H65" s="25"/>
      <c r="I65" s="28" t="str">
        <f aca="false">IF($A65="","",IF($H65&lt;&gt;"",$H65,$G65))</f>
        <v/>
      </c>
      <c r="J65" s="28" t="str">
        <f aca="false">IF($A65="","",INDEX(Settings!$F$22:$F$26,MATCH(MIN($E65,4),Settings!$A$22:$A$26,0))+MAX(0,$F65-1)*Settings!$B$6*Settings!$B$9)</f>
        <v/>
      </c>
      <c r="K65" s="25"/>
      <c r="L65" s="28" t="str">
        <f aca="false">IF($A65="","",IF($K65&lt;&gt;"",$K65,$J65))</f>
        <v/>
      </c>
      <c r="M65" s="28" t="str">
        <f aca="false">IF($A65="","",$I65-$L65)</f>
        <v/>
      </c>
      <c r="N65" s="23"/>
      <c r="O65" s="23"/>
      <c r="P65" s="23"/>
      <c r="Q65" s="23"/>
      <c r="R65" s="23"/>
      <c r="S65" s="24"/>
      <c r="T65" s="24"/>
      <c r="U65" s="23"/>
      <c r="V65" s="23"/>
      <c r="W65" s="23"/>
      <c r="X65" s="22"/>
      <c r="Y65" s="23"/>
    </row>
    <row r="66" customFormat="false" ht="15" hidden="false" customHeight="false" outlineLevel="0" collapsed="false">
      <c r="A66" s="23"/>
      <c r="B66" s="23"/>
      <c r="C66" s="23"/>
      <c r="D66" s="23"/>
      <c r="E66" s="32"/>
      <c r="F66" s="32"/>
      <c r="G66" s="28" t="str">
        <f aca="false">IF($A66="","",INDEX(Settings!$C$22:$C$26,MATCH(MIN($E66,4),Settings!$A$22:$A$26,0))+MAX(0,$F66-1)*Settings!$B$6+IF($P66="FreshTurn",INDEX(Settings!$D$22:$D$26,MATCH(MIN($E66,4),Settings!$A$22:$A$26,0)),0))</f>
        <v/>
      </c>
      <c r="H66" s="25"/>
      <c r="I66" s="28" t="str">
        <f aca="false">IF($A66="","",IF($H66&lt;&gt;"",$H66,$G66))</f>
        <v/>
      </c>
      <c r="J66" s="28" t="str">
        <f aca="false">IF($A66="","",INDEX(Settings!$F$22:$F$26,MATCH(MIN($E66,4),Settings!$A$22:$A$26,0))+MAX(0,$F66-1)*Settings!$B$6*Settings!$B$9)</f>
        <v/>
      </c>
      <c r="K66" s="25"/>
      <c r="L66" s="28" t="str">
        <f aca="false">IF($A66="","",IF($K66&lt;&gt;"",$K66,$J66))</f>
        <v/>
      </c>
      <c r="M66" s="28" t="str">
        <f aca="false">IF($A66="","",$I66-$L66)</f>
        <v/>
      </c>
      <c r="N66" s="23"/>
      <c r="O66" s="23"/>
      <c r="P66" s="23"/>
      <c r="Q66" s="23"/>
      <c r="R66" s="23"/>
      <c r="S66" s="24"/>
      <c r="T66" s="24"/>
      <c r="U66" s="23"/>
      <c r="V66" s="23"/>
      <c r="W66" s="23"/>
      <c r="X66" s="22"/>
      <c r="Y66" s="23"/>
    </row>
    <row r="67" customFormat="false" ht="15" hidden="false" customHeight="false" outlineLevel="0" collapsed="false">
      <c r="A67" s="23"/>
      <c r="B67" s="23"/>
      <c r="C67" s="23"/>
      <c r="D67" s="23"/>
      <c r="E67" s="32"/>
      <c r="F67" s="32"/>
      <c r="G67" s="28" t="str">
        <f aca="false">IF($A67="","",INDEX(Settings!$C$22:$C$26,MATCH(MIN($E67,4),Settings!$A$22:$A$26,0))+MAX(0,$F67-1)*Settings!$B$6+IF($P67="FreshTurn",INDEX(Settings!$D$22:$D$26,MATCH(MIN($E67,4),Settings!$A$22:$A$26,0)),0))</f>
        <v/>
      </c>
      <c r="H67" s="25"/>
      <c r="I67" s="28" t="str">
        <f aca="false">IF($A67="","",IF($H67&lt;&gt;"",$H67,$G67))</f>
        <v/>
      </c>
      <c r="J67" s="28" t="str">
        <f aca="false">IF($A67="","",INDEX(Settings!$F$22:$F$26,MATCH(MIN($E67,4),Settings!$A$22:$A$26,0))+MAX(0,$F67-1)*Settings!$B$6*Settings!$B$9)</f>
        <v/>
      </c>
      <c r="K67" s="25"/>
      <c r="L67" s="28" t="str">
        <f aca="false">IF($A67="","",IF($K67&lt;&gt;"",$K67,$J67))</f>
        <v/>
      </c>
      <c r="M67" s="28" t="str">
        <f aca="false">IF($A67="","",$I67-$L67)</f>
        <v/>
      </c>
      <c r="N67" s="23"/>
      <c r="O67" s="23"/>
      <c r="P67" s="23"/>
      <c r="Q67" s="23"/>
      <c r="R67" s="23"/>
      <c r="S67" s="24"/>
      <c r="T67" s="24"/>
      <c r="U67" s="23"/>
      <c r="V67" s="23"/>
      <c r="W67" s="23"/>
      <c r="X67" s="22"/>
      <c r="Y67" s="23"/>
    </row>
    <row r="68" customFormat="false" ht="15" hidden="false" customHeight="false" outlineLevel="0" collapsed="false">
      <c r="A68" s="23"/>
      <c r="B68" s="23"/>
      <c r="C68" s="23"/>
      <c r="D68" s="23"/>
      <c r="E68" s="32"/>
      <c r="F68" s="32"/>
      <c r="G68" s="28" t="str">
        <f aca="false">IF($A68="","",INDEX(Settings!$C$22:$C$26,MATCH(MIN($E68,4),Settings!$A$22:$A$26,0))+MAX(0,$F68-1)*Settings!$B$6+IF($P68="FreshTurn",INDEX(Settings!$D$22:$D$26,MATCH(MIN($E68,4),Settings!$A$22:$A$26,0)),0))</f>
        <v/>
      </c>
      <c r="H68" s="25"/>
      <c r="I68" s="28" t="str">
        <f aca="false">IF($A68="","",IF($H68&lt;&gt;"",$H68,$G68))</f>
        <v/>
      </c>
      <c r="J68" s="28" t="str">
        <f aca="false">IF($A68="","",INDEX(Settings!$F$22:$F$26,MATCH(MIN($E68,4),Settings!$A$22:$A$26,0))+MAX(0,$F68-1)*Settings!$B$6*Settings!$B$9)</f>
        <v/>
      </c>
      <c r="K68" s="25"/>
      <c r="L68" s="28" t="str">
        <f aca="false">IF($A68="","",IF($K68&lt;&gt;"",$K68,$J68))</f>
        <v/>
      </c>
      <c r="M68" s="28" t="str">
        <f aca="false">IF($A68="","",$I68-$L68)</f>
        <v/>
      </c>
      <c r="N68" s="23"/>
      <c r="O68" s="23"/>
      <c r="P68" s="23"/>
      <c r="Q68" s="23"/>
      <c r="R68" s="23"/>
      <c r="S68" s="24"/>
      <c r="T68" s="24"/>
      <c r="U68" s="23"/>
      <c r="V68" s="23"/>
      <c r="W68" s="23"/>
      <c r="X68" s="22"/>
      <c r="Y68" s="23"/>
    </row>
    <row r="69" customFormat="false" ht="15" hidden="false" customHeight="false" outlineLevel="0" collapsed="false">
      <c r="A69" s="23"/>
      <c r="B69" s="23"/>
      <c r="C69" s="23"/>
      <c r="D69" s="23"/>
      <c r="E69" s="32"/>
      <c r="F69" s="32"/>
      <c r="G69" s="28" t="str">
        <f aca="false">IF($A69="","",INDEX(Settings!$C$22:$C$26,MATCH(MIN($E69,4),Settings!$A$22:$A$26,0))+MAX(0,$F69-1)*Settings!$B$6+IF($P69="FreshTurn",INDEX(Settings!$D$22:$D$26,MATCH(MIN($E69,4),Settings!$A$22:$A$26,0)),0))</f>
        <v/>
      </c>
      <c r="H69" s="25"/>
      <c r="I69" s="28" t="str">
        <f aca="false">IF($A69="","",IF($H69&lt;&gt;"",$H69,$G69))</f>
        <v/>
      </c>
      <c r="J69" s="28" t="str">
        <f aca="false">IF($A69="","",INDEX(Settings!$F$22:$F$26,MATCH(MIN($E69,4),Settings!$A$22:$A$26,0))+MAX(0,$F69-1)*Settings!$B$6*Settings!$B$9)</f>
        <v/>
      </c>
      <c r="K69" s="25"/>
      <c r="L69" s="28" t="str">
        <f aca="false">IF($A69="","",IF($K69&lt;&gt;"",$K69,$J69))</f>
        <v/>
      </c>
      <c r="M69" s="28" t="str">
        <f aca="false">IF($A69="","",$I69-$L69)</f>
        <v/>
      </c>
      <c r="N69" s="23"/>
      <c r="O69" s="23"/>
      <c r="P69" s="23"/>
      <c r="Q69" s="23"/>
      <c r="R69" s="23"/>
      <c r="S69" s="24"/>
      <c r="T69" s="24"/>
      <c r="U69" s="23"/>
      <c r="V69" s="23"/>
      <c r="W69" s="23"/>
      <c r="X69" s="22"/>
      <c r="Y69" s="23"/>
    </row>
    <row r="70" customFormat="false" ht="15" hidden="false" customHeight="false" outlineLevel="0" collapsed="false">
      <c r="A70" s="23"/>
      <c r="B70" s="23"/>
      <c r="C70" s="23"/>
      <c r="D70" s="23"/>
      <c r="E70" s="32"/>
      <c r="F70" s="32"/>
      <c r="G70" s="28" t="str">
        <f aca="false">IF($A70="","",INDEX(Settings!$C$22:$C$26,MATCH(MIN($E70,4),Settings!$A$22:$A$26,0))+MAX(0,$F70-1)*Settings!$B$6+IF($P70="FreshTurn",INDEX(Settings!$D$22:$D$26,MATCH(MIN($E70,4),Settings!$A$22:$A$26,0)),0))</f>
        <v/>
      </c>
      <c r="H70" s="25"/>
      <c r="I70" s="28" t="str">
        <f aca="false">IF($A70="","",IF($H70&lt;&gt;"",$H70,$G70))</f>
        <v/>
      </c>
      <c r="J70" s="28" t="str">
        <f aca="false">IF($A70="","",INDEX(Settings!$F$22:$F$26,MATCH(MIN($E70,4),Settings!$A$22:$A$26,0))+MAX(0,$F70-1)*Settings!$B$6*Settings!$B$9)</f>
        <v/>
      </c>
      <c r="K70" s="25"/>
      <c r="L70" s="28" t="str">
        <f aca="false">IF($A70="","",IF($K70&lt;&gt;"",$K70,$J70))</f>
        <v/>
      </c>
      <c r="M70" s="28" t="str">
        <f aca="false">IF($A70="","",$I70-$L70)</f>
        <v/>
      </c>
      <c r="N70" s="23"/>
      <c r="O70" s="23"/>
      <c r="P70" s="23"/>
      <c r="Q70" s="23"/>
      <c r="R70" s="23"/>
      <c r="S70" s="24"/>
      <c r="T70" s="24"/>
      <c r="U70" s="23"/>
      <c r="V70" s="23"/>
      <c r="W70" s="23"/>
      <c r="X70" s="22"/>
      <c r="Y70" s="23"/>
    </row>
    <row r="71" customFormat="false" ht="15" hidden="false" customHeight="false" outlineLevel="0" collapsed="false">
      <c r="A71" s="23"/>
      <c r="B71" s="23"/>
      <c r="C71" s="23"/>
      <c r="D71" s="23"/>
      <c r="E71" s="32"/>
      <c r="F71" s="32"/>
      <c r="G71" s="28" t="str">
        <f aca="false">IF($A71="","",INDEX(Settings!$C$22:$C$26,MATCH(MIN($E71,4),Settings!$A$22:$A$26,0))+MAX(0,$F71-1)*Settings!$B$6+IF($P71="FreshTurn",INDEX(Settings!$D$22:$D$26,MATCH(MIN($E71,4),Settings!$A$22:$A$26,0)),0))</f>
        <v/>
      </c>
      <c r="H71" s="25"/>
      <c r="I71" s="28" t="str">
        <f aca="false">IF($A71="","",IF($H71&lt;&gt;"",$H71,$G71))</f>
        <v/>
      </c>
      <c r="J71" s="28" t="str">
        <f aca="false">IF($A71="","",INDEX(Settings!$F$22:$F$26,MATCH(MIN($E71,4),Settings!$A$22:$A$26,0))+MAX(0,$F71-1)*Settings!$B$6*Settings!$B$9)</f>
        <v/>
      </c>
      <c r="K71" s="25"/>
      <c r="L71" s="28" t="str">
        <f aca="false">IF($A71="","",IF($K71&lt;&gt;"",$K71,$J71))</f>
        <v/>
      </c>
      <c r="M71" s="28" t="str">
        <f aca="false">IF($A71="","",$I71-$L71)</f>
        <v/>
      </c>
      <c r="N71" s="23"/>
      <c r="O71" s="23"/>
      <c r="P71" s="23"/>
      <c r="Q71" s="23"/>
      <c r="R71" s="23"/>
      <c r="S71" s="24"/>
      <c r="T71" s="24"/>
      <c r="U71" s="23"/>
      <c r="V71" s="23"/>
      <c r="W71" s="23"/>
      <c r="X71" s="22"/>
      <c r="Y71" s="23"/>
    </row>
    <row r="72" customFormat="false" ht="15" hidden="false" customHeight="false" outlineLevel="0" collapsed="false">
      <c r="A72" s="23"/>
      <c r="B72" s="23"/>
      <c r="C72" s="23"/>
      <c r="D72" s="23"/>
      <c r="E72" s="32"/>
      <c r="F72" s="32"/>
      <c r="G72" s="28" t="str">
        <f aca="false">IF($A72="","",INDEX(Settings!$C$22:$C$26,MATCH(MIN($E72,4),Settings!$A$22:$A$26,0))+MAX(0,$F72-1)*Settings!$B$6+IF($P72="FreshTurn",INDEX(Settings!$D$22:$D$26,MATCH(MIN($E72,4),Settings!$A$22:$A$26,0)),0))</f>
        <v/>
      </c>
      <c r="H72" s="25"/>
      <c r="I72" s="28" t="str">
        <f aca="false">IF($A72="","",IF($H72&lt;&gt;"",$H72,$G72))</f>
        <v/>
      </c>
      <c r="J72" s="28" t="str">
        <f aca="false">IF($A72="","",INDEX(Settings!$F$22:$F$26,MATCH(MIN($E72,4),Settings!$A$22:$A$26,0))+MAX(0,$F72-1)*Settings!$B$6*Settings!$B$9)</f>
        <v/>
      </c>
      <c r="K72" s="25"/>
      <c r="L72" s="28" t="str">
        <f aca="false">IF($A72="","",IF($K72&lt;&gt;"",$K72,$J72))</f>
        <v/>
      </c>
      <c r="M72" s="28" t="str">
        <f aca="false">IF($A72="","",$I72-$L72)</f>
        <v/>
      </c>
      <c r="N72" s="23"/>
      <c r="O72" s="23"/>
      <c r="P72" s="23"/>
      <c r="Q72" s="23"/>
      <c r="R72" s="23"/>
      <c r="S72" s="24"/>
      <c r="T72" s="24"/>
      <c r="U72" s="23"/>
      <c r="V72" s="23"/>
      <c r="W72" s="23"/>
      <c r="X72" s="22"/>
      <c r="Y72" s="23"/>
    </row>
    <row r="73" customFormat="false" ht="15" hidden="false" customHeight="false" outlineLevel="0" collapsed="false">
      <c r="A73" s="23"/>
      <c r="B73" s="23"/>
      <c r="C73" s="23"/>
      <c r="D73" s="23"/>
      <c r="E73" s="32"/>
      <c r="F73" s="32"/>
      <c r="G73" s="28" t="str">
        <f aca="false">IF($A73="","",INDEX(Settings!$C$22:$C$26,MATCH(MIN($E73,4),Settings!$A$22:$A$26,0))+MAX(0,$F73-1)*Settings!$B$6+IF($P73="FreshTurn",INDEX(Settings!$D$22:$D$26,MATCH(MIN($E73,4),Settings!$A$22:$A$26,0)),0))</f>
        <v/>
      </c>
      <c r="H73" s="25"/>
      <c r="I73" s="28" t="str">
        <f aca="false">IF($A73="","",IF($H73&lt;&gt;"",$H73,$G73))</f>
        <v/>
      </c>
      <c r="J73" s="28" t="str">
        <f aca="false">IF($A73="","",INDEX(Settings!$F$22:$F$26,MATCH(MIN($E73,4),Settings!$A$22:$A$26,0))+MAX(0,$F73-1)*Settings!$B$6*Settings!$B$9)</f>
        <v/>
      </c>
      <c r="K73" s="25"/>
      <c r="L73" s="28" t="str">
        <f aca="false">IF($A73="","",IF($K73&lt;&gt;"",$K73,$J73))</f>
        <v/>
      </c>
      <c r="M73" s="28" t="str">
        <f aca="false">IF($A73="","",$I73-$L73)</f>
        <v/>
      </c>
      <c r="N73" s="23"/>
      <c r="O73" s="23"/>
      <c r="P73" s="23"/>
      <c r="Q73" s="23"/>
      <c r="R73" s="23"/>
      <c r="S73" s="24"/>
      <c r="T73" s="24"/>
      <c r="U73" s="23"/>
      <c r="V73" s="23"/>
      <c r="W73" s="23"/>
      <c r="X73" s="22"/>
      <c r="Y73" s="23"/>
    </row>
    <row r="74" customFormat="false" ht="15" hidden="false" customHeight="false" outlineLevel="0" collapsed="false">
      <c r="A74" s="23"/>
      <c r="B74" s="23"/>
      <c r="C74" s="23"/>
      <c r="D74" s="23"/>
      <c r="E74" s="32"/>
      <c r="F74" s="32"/>
      <c r="G74" s="28" t="str">
        <f aca="false">IF($A74="","",INDEX(Settings!$C$22:$C$26,MATCH(MIN($E74,4),Settings!$A$22:$A$26,0))+MAX(0,$F74-1)*Settings!$B$6+IF($P74="FreshTurn",INDEX(Settings!$D$22:$D$26,MATCH(MIN($E74,4),Settings!$A$22:$A$26,0)),0))</f>
        <v/>
      </c>
      <c r="H74" s="25"/>
      <c r="I74" s="28" t="str">
        <f aca="false">IF($A74="","",IF($H74&lt;&gt;"",$H74,$G74))</f>
        <v/>
      </c>
      <c r="J74" s="28" t="str">
        <f aca="false">IF($A74="","",INDEX(Settings!$F$22:$F$26,MATCH(MIN($E74,4),Settings!$A$22:$A$26,0))+MAX(0,$F74-1)*Settings!$B$6*Settings!$B$9)</f>
        <v/>
      </c>
      <c r="K74" s="25"/>
      <c r="L74" s="28" t="str">
        <f aca="false">IF($A74="","",IF($K74&lt;&gt;"",$K74,$J74))</f>
        <v/>
      </c>
      <c r="M74" s="28" t="str">
        <f aca="false">IF($A74="","",$I74-$L74)</f>
        <v/>
      </c>
      <c r="N74" s="23"/>
      <c r="O74" s="23"/>
      <c r="P74" s="23"/>
      <c r="Q74" s="23"/>
      <c r="R74" s="23"/>
      <c r="S74" s="24"/>
      <c r="T74" s="24"/>
      <c r="U74" s="23"/>
      <c r="V74" s="23"/>
      <c r="W74" s="23"/>
      <c r="X74" s="22"/>
      <c r="Y74" s="23"/>
    </row>
    <row r="75" customFormat="false" ht="15" hidden="false" customHeight="false" outlineLevel="0" collapsed="false">
      <c r="A75" s="23"/>
      <c r="B75" s="23"/>
      <c r="C75" s="23"/>
      <c r="D75" s="23"/>
      <c r="E75" s="32"/>
      <c r="F75" s="32"/>
      <c r="G75" s="28" t="str">
        <f aca="false">IF($A75="","",INDEX(Settings!$C$22:$C$26,MATCH(MIN($E75,4),Settings!$A$22:$A$26,0))+MAX(0,$F75-1)*Settings!$B$6+IF($P75="FreshTurn",INDEX(Settings!$D$22:$D$26,MATCH(MIN($E75,4),Settings!$A$22:$A$26,0)),0))</f>
        <v/>
      </c>
      <c r="H75" s="25"/>
      <c r="I75" s="28" t="str">
        <f aca="false">IF($A75="","",IF($H75&lt;&gt;"",$H75,$G75))</f>
        <v/>
      </c>
      <c r="J75" s="28" t="str">
        <f aca="false">IF($A75="","",INDEX(Settings!$F$22:$F$26,MATCH(MIN($E75,4),Settings!$A$22:$A$26,0))+MAX(0,$F75-1)*Settings!$B$6*Settings!$B$9)</f>
        <v/>
      </c>
      <c r="K75" s="25"/>
      <c r="L75" s="28" t="str">
        <f aca="false">IF($A75="","",IF($K75&lt;&gt;"",$K75,$J75))</f>
        <v/>
      </c>
      <c r="M75" s="28" t="str">
        <f aca="false">IF($A75="","",$I75-$L75)</f>
        <v/>
      </c>
      <c r="N75" s="23"/>
      <c r="O75" s="23"/>
      <c r="P75" s="23"/>
      <c r="Q75" s="23"/>
      <c r="R75" s="23"/>
      <c r="S75" s="24"/>
      <c r="T75" s="24"/>
      <c r="U75" s="23"/>
      <c r="V75" s="23"/>
      <c r="W75" s="23"/>
      <c r="X75" s="22"/>
      <c r="Y75" s="23"/>
    </row>
    <row r="76" customFormat="false" ht="15" hidden="false" customHeight="false" outlineLevel="0" collapsed="false">
      <c r="A76" s="23"/>
      <c r="B76" s="23"/>
      <c r="C76" s="23"/>
      <c r="D76" s="23"/>
      <c r="E76" s="32"/>
      <c r="F76" s="32"/>
      <c r="G76" s="28" t="str">
        <f aca="false">IF($A76="","",INDEX(Settings!$C$22:$C$26,MATCH(MIN($E76,4),Settings!$A$22:$A$26,0))+MAX(0,$F76-1)*Settings!$B$6+IF($P76="FreshTurn",INDEX(Settings!$D$22:$D$26,MATCH(MIN($E76,4),Settings!$A$22:$A$26,0)),0))</f>
        <v/>
      </c>
      <c r="H76" s="25"/>
      <c r="I76" s="28" t="str">
        <f aca="false">IF($A76="","",IF($H76&lt;&gt;"",$H76,$G76))</f>
        <v/>
      </c>
      <c r="J76" s="28" t="str">
        <f aca="false">IF($A76="","",INDEX(Settings!$F$22:$F$26,MATCH(MIN($E76,4),Settings!$A$22:$A$26,0))+MAX(0,$F76-1)*Settings!$B$6*Settings!$B$9)</f>
        <v/>
      </c>
      <c r="K76" s="25"/>
      <c r="L76" s="28" t="str">
        <f aca="false">IF($A76="","",IF($K76&lt;&gt;"",$K76,$J76))</f>
        <v/>
      </c>
      <c r="M76" s="28" t="str">
        <f aca="false">IF($A76="","",$I76-$L76)</f>
        <v/>
      </c>
      <c r="N76" s="23"/>
      <c r="O76" s="23"/>
      <c r="P76" s="23"/>
      <c r="Q76" s="23"/>
      <c r="R76" s="23"/>
      <c r="S76" s="24"/>
      <c r="T76" s="24"/>
      <c r="U76" s="23"/>
      <c r="V76" s="23"/>
      <c r="W76" s="23"/>
      <c r="X76" s="22"/>
      <c r="Y76" s="23"/>
    </row>
    <row r="77" customFormat="false" ht="15" hidden="false" customHeight="false" outlineLevel="0" collapsed="false">
      <c r="A77" s="23"/>
      <c r="B77" s="23"/>
      <c r="C77" s="23"/>
      <c r="D77" s="23"/>
      <c r="E77" s="32"/>
      <c r="F77" s="32"/>
      <c r="G77" s="28" t="str">
        <f aca="false">IF($A77="","",INDEX(Settings!$C$22:$C$26,MATCH(MIN($E77,4),Settings!$A$22:$A$26,0))+MAX(0,$F77-1)*Settings!$B$6+IF($P77="FreshTurn",INDEX(Settings!$D$22:$D$26,MATCH(MIN($E77,4),Settings!$A$22:$A$26,0)),0))</f>
        <v/>
      </c>
      <c r="H77" s="25"/>
      <c r="I77" s="28" t="str">
        <f aca="false">IF($A77="","",IF($H77&lt;&gt;"",$H77,$G77))</f>
        <v/>
      </c>
      <c r="J77" s="28" t="str">
        <f aca="false">IF($A77="","",INDEX(Settings!$F$22:$F$26,MATCH(MIN($E77,4),Settings!$A$22:$A$26,0))+MAX(0,$F77-1)*Settings!$B$6*Settings!$B$9)</f>
        <v/>
      </c>
      <c r="K77" s="25"/>
      <c r="L77" s="28" t="str">
        <f aca="false">IF($A77="","",IF($K77&lt;&gt;"",$K77,$J77))</f>
        <v/>
      </c>
      <c r="M77" s="28" t="str">
        <f aca="false">IF($A77="","",$I77-$L77)</f>
        <v/>
      </c>
      <c r="N77" s="23"/>
      <c r="O77" s="23"/>
      <c r="P77" s="23"/>
      <c r="Q77" s="23"/>
      <c r="R77" s="23"/>
      <c r="S77" s="24"/>
      <c r="T77" s="24"/>
      <c r="U77" s="23"/>
      <c r="V77" s="23"/>
      <c r="W77" s="23"/>
      <c r="X77" s="22"/>
      <c r="Y77" s="23"/>
    </row>
    <row r="78" customFormat="false" ht="15" hidden="false" customHeight="false" outlineLevel="0" collapsed="false">
      <c r="A78" s="23"/>
      <c r="B78" s="23"/>
      <c r="C78" s="23"/>
      <c r="D78" s="23"/>
      <c r="E78" s="32"/>
      <c r="F78" s="32"/>
      <c r="G78" s="28" t="str">
        <f aca="false">IF($A78="","",INDEX(Settings!$C$22:$C$26,MATCH(MIN($E78,4),Settings!$A$22:$A$26,0))+MAX(0,$F78-1)*Settings!$B$6+IF($P78="FreshTurn",INDEX(Settings!$D$22:$D$26,MATCH(MIN($E78,4),Settings!$A$22:$A$26,0)),0))</f>
        <v/>
      </c>
      <c r="H78" s="25"/>
      <c r="I78" s="28" t="str">
        <f aca="false">IF($A78="","",IF($H78&lt;&gt;"",$H78,$G78))</f>
        <v/>
      </c>
      <c r="J78" s="28" t="str">
        <f aca="false">IF($A78="","",INDEX(Settings!$F$22:$F$26,MATCH(MIN($E78,4),Settings!$A$22:$A$26,0))+MAX(0,$F78-1)*Settings!$B$6*Settings!$B$9)</f>
        <v/>
      </c>
      <c r="K78" s="25"/>
      <c r="L78" s="28" t="str">
        <f aca="false">IF($A78="","",IF($K78&lt;&gt;"",$K78,$J78))</f>
        <v/>
      </c>
      <c r="M78" s="28" t="str">
        <f aca="false">IF($A78="","",$I78-$L78)</f>
        <v/>
      </c>
      <c r="N78" s="23"/>
      <c r="O78" s="23"/>
      <c r="P78" s="23"/>
      <c r="Q78" s="23"/>
      <c r="R78" s="23"/>
      <c r="S78" s="24"/>
      <c r="T78" s="24"/>
      <c r="U78" s="23"/>
      <c r="V78" s="23"/>
      <c r="W78" s="23"/>
      <c r="X78" s="22"/>
      <c r="Y78" s="23"/>
    </row>
    <row r="79" customFormat="false" ht="15" hidden="false" customHeight="false" outlineLevel="0" collapsed="false">
      <c r="A79" s="23"/>
      <c r="B79" s="23"/>
      <c r="C79" s="23"/>
      <c r="D79" s="23"/>
      <c r="E79" s="32"/>
      <c r="F79" s="32"/>
      <c r="G79" s="28" t="str">
        <f aca="false">IF($A79="","",INDEX(Settings!$C$22:$C$26,MATCH(MIN($E79,4),Settings!$A$22:$A$26,0))+MAX(0,$F79-1)*Settings!$B$6+IF($P79="FreshTurn",INDEX(Settings!$D$22:$D$26,MATCH(MIN($E79,4),Settings!$A$22:$A$26,0)),0))</f>
        <v/>
      </c>
      <c r="H79" s="25"/>
      <c r="I79" s="28" t="str">
        <f aca="false">IF($A79="","",IF($H79&lt;&gt;"",$H79,$G79))</f>
        <v/>
      </c>
      <c r="J79" s="28" t="str">
        <f aca="false">IF($A79="","",INDEX(Settings!$F$22:$F$26,MATCH(MIN($E79,4),Settings!$A$22:$A$26,0))+MAX(0,$F79-1)*Settings!$B$6*Settings!$B$9)</f>
        <v/>
      </c>
      <c r="K79" s="25"/>
      <c r="L79" s="28" t="str">
        <f aca="false">IF($A79="","",IF($K79&lt;&gt;"",$K79,$J79))</f>
        <v/>
      </c>
      <c r="M79" s="28" t="str">
        <f aca="false">IF($A79="","",$I79-$L79)</f>
        <v/>
      </c>
      <c r="N79" s="23"/>
      <c r="O79" s="23"/>
      <c r="P79" s="23"/>
      <c r="Q79" s="23"/>
      <c r="R79" s="23"/>
      <c r="S79" s="24"/>
      <c r="T79" s="24"/>
      <c r="U79" s="23"/>
      <c r="V79" s="23"/>
      <c r="W79" s="23"/>
      <c r="X79" s="22"/>
      <c r="Y79" s="23"/>
    </row>
    <row r="80" customFormat="false" ht="15" hidden="false" customHeight="false" outlineLevel="0" collapsed="false">
      <c r="A80" s="23"/>
      <c r="B80" s="23"/>
      <c r="C80" s="23"/>
      <c r="D80" s="23"/>
      <c r="E80" s="32"/>
      <c r="F80" s="32"/>
      <c r="G80" s="28" t="str">
        <f aca="false">IF($A80="","",INDEX(Settings!$C$22:$C$26,MATCH(MIN($E80,4),Settings!$A$22:$A$26,0))+MAX(0,$F80-1)*Settings!$B$6+IF($P80="FreshTurn",INDEX(Settings!$D$22:$D$26,MATCH(MIN($E80,4),Settings!$A$22:$A$26,0)),0))</f>
        <v/>
      </c>
      <c r="H80" s="25"/>
      <c r="I80" s="28" t="str">
        <f aca="false">IF($A80="","",IF($H80&lt;&gt;"",$H80,$G80))</f>
        <v/>
      </c>
      <c r="J80" s="28" t="str">
        <f aca="false">IF($A80="","",INDEX(Settings!$F$22:$F$26,MATCH(MIN($E80,4),Settings!$A$22:$A$26,0))+MAX(0,$F80-1)*Settings!$B$6*Settings!$B$9)</f>
        <v/>
      </c>
      <c r="K80" s="25"/>
      <c r="L80" s="28" t="str">
        <f aca="false">IF($A80="","",IF($K80&lt;&gt;"",$K80,$J80))</f>
        <v/>
      </c>
      <c r="M80" s="28" t="str">
        <f aca="false">IF($A80="","",$I80-$L80)</f>
        <v/>
      </c>
      <c r="N80" s="23"/>
      <c r="O80" s="23"/>
      <c r="P80" s="23"/>
      <c r="Q80" s="23"/>
      <c r="R80" s="23"/>
      <c r="S80" s="24"/>
      <c r="T80" s="24"/>
      <c r="U80" s="23"/>
      <c r="V80" s="23"/>
      <c r="W80" s="23"/>
      <c r="X80" s="22"/>
      <c r="Y80" s="23"/>
    </row>
    <row r="81" customFormat="false" ht="15" hidden="false" customHeight="false" outlineLevel="0" collapsed="false">
      <c r="A81" s="23"/>
      <c r="B81" s="23"/>
      <c r="C81" s="23"/>
      <c r="D81" s="23"/>
      <c r="E81" s="32"/>
      <c r="F81" s="32"/>
      <c r="G81" s="28" t="str">
        <f aca="false">IF($A81="","",INDEX(Settings!$C$22:$C$26,MATCH(MIN($E81,4),Settings!$A$22:$A$26,0))+MAX(0,$F81-1)*Settings!$B$6+IF($P81="FreshTurn",INDEX(Settings!$D$22:$D$26,MATCH(MIN($E81,4),Settings!$A$22:$A$26,0)),0))</f>
        <v/>
      </c>
      <c r="H81" s="25"/>
      <c r="I81" s="28" t="str">
        <f aca="false">IF($A81="","",IF($H81&lt;&gt;"",$H81,$G81))</f>
        <v/>
      </c>
      <c r="J81" s="28" t="str">
        <f aca="false">IF($A81="","",INDEX(Settings!$F$22:$F$26,MATCH(MIN($E81,4),Settings!$A$22:$A$26,0))+MAX(0,$F81-1)*Settings!$B$6*Settings!$B$9)</f>
        <v/>
      </c>
      <c r="K81" s="25"/>
      <c r="L81" s="28" t="str">
        <f aca="false">IF($A81="","",IF($K81&lt;&gt;"",$K81,$J81))</f>
        <v/>
      </c>
      <c r="M81" s="28" t="str">
        <f aca="false">IF($A81="","",$I81-$L81)</f>
        <v/>
      </c>
      <c r="N81" s="23"/>
      <c r="O81" s="23"/>
      <c r="P81" s="23"/>
      <c r="Q81" s="23"/>
      <c r="R81" s="23"/>
      <c r="S81" s="24"/>
      <c r="T81" s="24"/>
      <c r="U81" s="23"/>
      <c r="V81" s="23"/>
      <c r="W81" s="23"/>
      <c r="X81" s="22"/>
      <c r="Y81" s="23"/>
    </row>
    <row r="82" customFormat="false" ht="15" hidden="false" customHeight="false" outlineLevel="0" collapsed="false">
      <c r="A82" s="23"/>
      <c r="B82" s="23"/>
      <c r="C82" s="23"/>
      <c r="D82" s="23"/>
      <c r="E82" s="32"/>
      <c r="F82" s="32"/>
      <c r="G82" s="28" t="str">
        <f aca="false">IF($A82="","",INDEX(Settings!$C$22:$C$26,MATCH(MIN($E82,4),Settings!$A$22:$A$26,0))+MAX(0,$F82-1)*Settings!$B$6+IF($P82="FreshTurn",INDEX(Settings!$D$22:$D$26,MATCH(MIN($E82,4),Settings!$A$22:$A$26,0)),0))</f>
        <v/>
      </c>
      <c r="H82" s="25"/>
      <c r="I82" s="28" t="str">
        <f aca="false">IF($A82="","",IF($H82&lt;&gt;"",$H82,$G82))</f>
        <v/>
      </c>
      <c r="J82" s="28" t="str">
        <f aca="false">IF($A82="","",INDEX(Settings!$F$22:$F$26,MATCH(MIN($E82,4),Settings!$A$22:$A$26,0))+MAX(0,$F82-1)*Settings!$B$6*Settings!$B$9)</f>
        <v/>
      </c>
      <c r="K82" s="25"/>
      <c r="L82" s="28" t="str">
        <f aca="false">IF($A82="","",IF($K82&lt;&gt;"",$K82,$J82))</f>
        <v/>
      </c>
      <c r="M82" s="28" t="str">
        <f aca="false">IF($A82="","",$I82-$L82)</f>
        <v/>
      </c>
      <c r="N82" s="23"/>
      <c r="O82" s="23"/>
      <c r="P82" s="23"/>
      <c r="Q82" s="23"/>
      <c r="R82" s="23"/>
      <c r="S82" s="24"/>
      <c r="T82" s="24"/>
      <c r="U82" s="23"/>
      <c r="V82" s="23"/>
      <c r="W82" s="23"/>
      <c r="X82" s="22"/>
      <c r="Y82" s="23"/>
    </row>
    <row r="83" customFormat="false" ht="15" hidden="false" customHeight="false" outlineLevel="0" collapsed="false">
      <c r="A83" s="23"/>
      <c r="B83" s="23"/>
      <c r="C83" s="23"/>
      <c r="D83" s="23"/>
      <c r="E83" s="32"/>
      <c r="F83" s="32"/>
      <c r="G83" s="28" t="str">
        <f aca="false">IF($A83="","",INDEX(Settings!$C$22:$C$26,MATCH(MIN($E83,4),Settings!$A$22:$A$26,0))+MAX(0,$F83-1)*Settings!$B$6+IF($P83="FreshTurn",INDEX(Settings!$D$22:$D$26,MATCH(MIN($E83,4),Settings!$A$22:$A$26,0)),0))</f>
        <v/>
      </c>
      <c r="H83" s="25"/>
      <c r="I83" s="28" t="str">
        <f aca="false">IF($A83="","",IF($H83&lt;&gt;"",$H83,$G83))</f>
        <v/>
      </c>
      <c r="J83" s="28" t="str">
        <f aca="false">IF($A83="","",INDEX(Settings!$F$22:$F$26,MATCH(MIN($E83,4),Settings!$A$22:$A$26,0))+MAX(0,$F83-1)*Settings!$B$6*Settings!$B$9)</f>
        <v/>
      </c>
      <c r="K83" s="25"/>
      <c r="L83" s="28" t="str">
        <f aca="false">IF($A83="","",IF($K83&lt;&gt;"",$K83,$J83))</f>
        <v/>
      </c>
      <c r="M83" s="28" t="str">
        <f aca="false">IF($A83="","",$I83-$L83)</f>
        <v/>
      </c>
      <c r="N83" s="23"/>
      <c r="O83" s="23"/>
      <c r="P83" s="23"/>
      <c r="Q83" s="23"/>
      <c r="R83" s="23"/>
      <c r="S83" s="24"/>
      <c r="T83" s="24"/>
      <c r="U83" s="23"/>
      <c r="V83" s="23"/>
      <c r="W83" s="23"/>
      <c r="X83" s="22"/>
      <c r="Y83" s="23"/>
    </row>
    <row r="84" customFormat="false" ht="15" hidden="false" customHeight="false" outlineLevel="0" collapsed="false">
      <c r="A84" s="23"/>
      <c r="B84" s="23"/>
      <c r="C84" s="23"/>
      <c r="D84" s="23"/>
      <c r="E84" s="32"/>
      <c r="F84" s="32"/>
      <c r="G84" s="28" t="str">
        <f aca="false">IF($A84="","",INDEX(Settings!$C$22:$C$26,MATCH(MIN($E84,4),Settings!$A$22:$A$26,0))+MAX(0,$F84-1)*Settings!$B$6+IF($P84="FreshTurn",INDEX(Settings!$D$22:$D$26,MATCH(MIN($E84,4),Settings!$A$22:$A$26,0)),0))</f>
        <v/>
      </c>
      <c r="H84" s="25"/>
      <c r="I84" s="28" t="str">
        <f aca="false">IF($A84="","",IF($H84&lt;&gt;"",$H84,$G84))</f>
        <v/>
      </c>
      <c r="J84" s="28" t="str">
        <f aca="false">IF($A84="","",INDEX(Settings!$F$22:$F$26,MATCH(MIN($E84,4),Settings!$A$22:$A$26,0))+MAX(0,$F84-1)*Settings!$B$6*Settings!$B$9)</f>
        <v/>
      </c>
      <c r="K84" s="25"/>
      <c r="L84" s="28" t="str">
        <f aca="false">IF($A84="","",IF($K84&lt;&gt;"",$K84,$J84))</f>
        <v/>
      </c>
      <c r="M84" s="28" t="str">
        <f aca="false">IF($A84="","",$I84-$L84)</f>
        <v/>
      </c>
      <c r="N84" s="23"/>
      <c r="O84" s="23"/>
      <c r="P84" s="23"/>
      <c r="Q84" s="23"/>
      <c r="R84" s="23"/>
      <c r="S84" s="24"/>
      <c r="T84" s="24"/>
      <c r="U84" s="23"/>
      <c r="V84" s="23"/>
      <c r="W84" s="23"/>
      <c r="X84" s="22"/>
      <c r="Y84" s="23"/>
    </row>
    <row r="85" customFormat="false" ht="15" hidden="false" customHeight="false" outlineLevel="0" collapsed="false">
      <c r="A85" s="23"/>
      <c r="B85" s="23"/>
      <c r="C85" s="23"/>
      <c r="D85" s="23"/>
      <c r="E85" s="32"/>
      <c r="F85" s="32"/>
      <c r="G85" s="28" t="str">
        <f aca="false">IF($A85="","",INDEX(Settings!$C$22:$C$26,MATCH(MIN($E85,4),Settings!$A$22:$A$26,0))+MAX(0,$F85-1)*Settings!$B$6+IF($P85="FreshTurn",INDEX(Settings!$D$22:$D$26,MATCH(MIN($E85,4),Settings!$A$22:$A$26,0)),0))</f>
        <v/>
      </c>
      <c r="H85" s="25"/>
      <c r="I85" s="28" t="str">
        <f aca="false">IF($A85="","",IF($H85&lt;&gt;"",$H85,$G85))</f>
        <v/>
      </c>
      <c r="J85" s="28" t="str">
        <f aca="false">IF($A85="","",INDEX(Settings!$F$22:$F$26,MATCH(MIN($E85,4),Settings!$A$22:$A$26,0))+MAX(0,$F85-1)*Settings!$B$6*Settings!$B$9)</f>
        <v/>
      </c>
      <c r="K85" s="25"/>
      <c r="L85" s="28" t="str">
        <f aca="false">IF($A85="","",IF($K85&lt;&gt;"",$K85,$J85))</f>
        <v/>
      </c>
      <c r="M85" s="28" t="str">
        <f aca="false">IF($A85="","",$I85-$L85)</f>
        <v/>
      </c>
      <c r="N85" s="23"/>
      <c r="O85" s="23"/>
      <c r="P85" s="23"/>
      <c r="Q85" s="23"/>
      <c r="R85" s="23"/>
      <c r="S85" s="24"/>
      <c r="T85" s="24"/>
      <c r="U85" s="23"/>
      <c r="V85" s="23"/>
      <c r="W85" s="23"/>
      <c r="X85" s="22"/>
      <c r="Y85" s="23"/>
    </row>
    <row r="86" customFormat="false" ht="15" hidden="false" customHeight="false" outlineLevel="0" collapsed="false">
      <c r="A86" s="23"/>
      <c r="B86" s="23"/>
      <c r="C86" s="23"/>
      <c r="D86" s="23"/>
      <c r="E86" s="32"/>
      <c r="F86" s="32"/>
      <c r="G86" s="28" t="str">
        <f aca="false">IF($A86="","",INDEX(Settings!$C$22:$C$26,MATCH(MIN($E86,4),Settings!$A$22:$A$26,0))+MAX(0,$F86-1)*Settings!$B$6+IF($P86="FreshTurn",INDEX(Settings!$D$22:$D$26,MATCH(MIN($E86,4),Settings!$A$22:$A$26,0)),0))</f>
        <v/>
      </c>
      <c r="H86" s="25"/>
      <c r="I86" s="28" t="str">
        <f aca="false">IF($A86="","",IF($H86&lt;&gt;"",$H86,$G86))</f>
        <v/>
      </c>
      <c r="J86" s="28" t="str">
        <f aca="false">IF($A86="","",INDEX(Settings!$F$22:$F$26,MATCH(MIN($E86,4),Settings!$A$22:$A$26,0))+MAX(0,$F86-1)*Settings!$B$6*Settings!$B$9)</f>
        <v/>
      </c>
      <c r="K86" s="25"/>
      <c r="L86" s="28" t="str">
        <f aca="false">IF($A86="","",IF($K86&lt;&gt;"",$K86,$J86))</f>
        <v/>
      </c>
      <c r="M86" s="28" t="str">
        <f aca="false">IF($A86="","",$I86-$L86)</f>
        <v/>
      </c>
      <c r="N86" s="23"/>
      <c r="O86" s="23"/>
      <c r="P86" s="23"/>
      <c r="Q86" s="23"/>
      <c r="R86" s="23"/>
      <c r="S86" s="24"/>
      <c r="T86" s="24"/>
      <c r="U86" s="23"/>
      <c r="V86" s="23"/>
      <c r="W86" s="23"/>
      <c r="X86" s="22"/>
      <c r="Y86" s="23"/>
    </row>
    <row r="87" customFormat="false" ht="15" hidden="false" customHeight="false" outlineLevel="0" collapsed="false">
      <c r="A87" s="23"/>
      <c r="B87" s="23"/>
      <c r="C87" s="23"/>
      <c r="D87" s="23"/>
      <c r="E87" s="32"/>
      <c r="F87" s="32"/>
      <c r="G87" s="28" t="str">
        <f aca="false">IF($A87="","",INDEX(Settings!$C$22:$C$26,MATCH(MIN($E87,4),Settings!$A$22:$A$26,0))+MAX(0,$F87-1)*Settings!$B$6+IF($P87="FreshTurn",INDEX(Settings!$D$22:$D$26,MATCH(MIN($E87,4),Settings!$A$22:$A$26,0)),0))</f>
        <v/>
      </c>
      <c r="H87" s="25"/>
      <c r="I87" s="28" t="str">
        <f aca="false">IF($A87="","",IF($H87&lt;&gt;"",$H87,$G87))</f>
        <v/>
      </c>
      <c r="J87" s="28" t="str">
        <f aca="false">IF($A87="","",INDEX(Settings!$F$22:$F$26,MATCH(MIN($E87,4),Settings!$A$22:$A$26,0))+MAX(0,$F87-1)*Settings!$B$6*Settings!$B$9)</f>
        <v/>
      </c>
      <c r="K87" s="25"/>
      <c r="L87" s="28" t="str">
        <f aca="false">IF($A87="","",IF($K87&lt;&gt;"",$K87,$J87))</f>
        <v/>
      </c>
      <c r="M87" s="28" t="str">
        <f aca="false">IF($A87="","",$I87-$L87)</f>
        <v/>
      </c>
      <c r="N87" s="23"/>
      <c r="O87" s="23"/>
      <c r="P87" s="23"/>
      <c r="Q87" s="23"/>
      <c r="R87" s="23"/>
      <c r="S87" s="24"/>
      <c r="T87" s="24"/>
      <c r="U87" s="23"/>
      <c r="V87" s="23"/>
      <c r="W87" s="23"/>
      <c r="X87" s="22"/>
      <c r="Y87" s="23"/>
    </row>
    <row r="88" customFormat="false" ht="15" hidden="false" customHeight="false" outlineLevel="0" collapsed="false">
      <c r="A88" s="23"/>
      <c r="B88" s="23"/>
      <c r="C88" s="23"/>
      <c r="D88" s="23"/>
      <c r="E88" s="32"/>
      <c r="F88" s="32"/>
      <c r="G88" s="28" t="str">
        <f aca="false">IF($A88="","",INDEX(Settings!$C$22:$C$26,MATCH(MIN($E88,4),Settings!$A$22:$A$26,0))+MAX(0,$F88-1)*Settings!$B$6+IF($P88="FreshTurn",INDEX(Settings!$D$22:$D$26,MATCH(MIN($E88,4),Settings!$A$22:$A$26,0)),0))</f>
        <v/>
      </c>
      <c r="H88" s="25"/>
      <c r="I88" s="28" t="str">
        <f aca="false">IF($A88="","",IF($H88&lt;&gt;"",$H88,$G88))</f>
        <v/>
      </c>
      <c r="J88" s="28" t="str">
        <f aca="false">IF($A88="","",INDEX(Settings!$F$22:$F$26,MATCH(MIN($E88,4),Settings!$A$22:$A$26,0))+MAX(0,$F88-1)*Settings!$B$6*Settings!$B$9)</f>
        <v/>
      </c>
      <c r="K88" s="25"/>
      <c r="L88" s="28" t="str">
        <f aca="false">IF($A88="","",IF($K88&lt;&gt;"",$K88,$J88))</f>
        <v/>
      </c>
      <c r="M88" s="28" t="str">
        <f aca="false">IF($A88="","",$I88-$L88)</f>
        <v/>
      </c>
      <c r="N88" s="23"/>
      <c r="O88" s="23"/>
      <c r="P88" s="23"/>
      <c r="Q88" s="23"/>
      <c r="R88" s="23"/>
      <c r="S88" s="24"/>
      <c r="T88" s="24"/>
      <c r="U88" s="23"/>
      <c r="V88" s="23"/>
      <c r="W88" s="23"/>
      <c r="X88" s="22"/>
      <c r="Y88" s="23"/>
    </row>
    <row r="89" customFormat="false" ht="15" hidden="false" customHeight="false" outlineLevel="0" collapsed="false">
      <c r="A89" s="23"/>
      <c r="B89" s="23"/>
      <c r="C89" s="23"/>
      <c r="D89" s="23"/>
      <c r="E89" s="32"/>
      <c r="F89" s="32"/>
      <c r="G89" s="28" t="str">
        <f aca="false">IF($A89="","",INDEX(Settings!$C$22:$C$26,MATCH(MIN($E89,4),Settings!$A$22:$A$26,0))+MAX(0,$F89-1)*Settings!$B$6+IF($P89="FreshTurn",INDEX(Settings!$D$22:$D$26,MATCH(MIN($E89,4),Settings!$A$22:$A$26,0)),0))</f>
        <v/>
      </c>
      <c r="H89" s="25"/>
      <c r="I89" s="28" t="str">
        <f aca="false">IF($A89="","",IF($H89&lt;&gt;"",$H89,$G89))</f>
        <v/>
      </c>
      <c r="J89" s="28" t="str">
        <f aca="false">IF($A89="","",INDEX(Settings!$F$22:$F$26,MATCH(MIN($E89,4),Settings!$A$22:$A$26,0))+MAX(0,$F89-1)*Settings!$B$6*Settings!$B$9)</f>
        <v/>
      </c>
      <c r="K89" s="25"/>
      <c r="L89" s="28" t="str">
        <f aca="false">IF($A89="","",IF($K89&lt;&gt;"",$K89,$J89))</f>
        <v/>
      </c>
      <c r="M89" s="28" t="str">
        <f aca="false">IF($A89="","",$I89-$L89)</f>
        <v/>
      </c>
      <c r="N89" s="23"/>
      <c r="O89" s="23"/>
      <c r="P89" s="23"/>
      <c r="Q89" s="23"/>
      <c r="R89" s="23"/>
      <c r="S89" s="24"/>
      <c r="T89" s="24"/>
      <c r="U89" s="23"/>
      <c r="V89" s="23"/>
      <c r="W89" s="23"/>
      <c r="X89" s="22"/>
      <c r="Y89" s="23"/>
    </row>
    <row r="90" customFormat="false" ht="15" hidden="false" customHeight="false" outlineLevel="0" collapsed="false">
      <c r="A90" s="23"/>
      <c r="B90" s="23"/>
      <c r="C90" s="23"/>
      <c r="D90" s="23"/>
      <c r="E90" s="32"/>
      <c r="F90" s="32"/>
      <c r="G90" s="28" t="str">
        <f aca="false">IF($A90="","",INDEX(Settings!$C$22:$C$26,MATCH(MIN($E90,4),Settings!$A$22:$A$26,0))+MAX(0,$F90-1)*Settings!$B$6+IF($P90="FreshTurn",INDEX(Settings!$D$22:$D$26,MATCH(MIN($E90,4),Settings!$A$22:$A$26,0)),0))</f>
        <v/>
      </c>
      <c r="H90" s="25"/>
      <c r="I90" s="28" t="str">
        <f aca="false">IF($A90="","",IF($H90&lt;&gt;"",$H90,$G90))</f>
        <v/>
      </c>
      <c r="J90" s="28" t="str">
        <f aca="false">IF($A90="","",INDEX(Settings!$F$22:$F$26,MATCH(MIN($E90,4),Settings!$A$22:$A$26,0))+MAX(0,$F90-1)*Settings!$B$6*Settings!$B$9)</f>
        <v/>
      </c>
      <c r="K90" s="25"/>
      <c r="L90" s="28" t="str">
        <f aca="false">IF($A90="","",IF($K90&lt;&gt;"",$K90,$J90))</f>
        <v/>
      </c>
      <c r="M90" s="28" t="str">
        <f aca="false">IF($A90="","",$I90-$L90)</f>
        <v/>
      </c>
      <c r="N90" s="23"/>
      <c r="O90" s="23"/>
      <c r="P90" s="23"/>
      <c r="Q90" s="23"/>
      <c r="R90" s="23"/>
      <c r="S90" s="24"/>
      <c r="T90" s="24"/>
      <c r="U90" s="23"/>
      <c r="V90" s="23"/>
      <c r="W90" s="23"/>
      <c r="X90" s="22"/>
      <c r="Y90" s="23"/>
    </row>
    <row r="91" customFormat="false" ht="15" hidden="false" customHeight="false" outlineLevel="0" collapsed="false">
      <c r="A91" s="23"/>
      <c r="B91" s="23"/>
      <c r="C91" s="23"/>
      <c r="D91" s="23"/>
      <c r="E91" s="32"/>
      <c r="F91" s="32"/>
      <c r="G91" s="28" t="str">
        <f aca="false">IF($A91="","",INDEX(Settings!$C$22:$C$26,MATCH(MIN($E91,4),Settings!$A$22:$A$26,0))+MAX(0,$F91-1)*Settings!$B$6+IF($P91="FreshTurn",INDEX(Settings!$D$22:$D$26,MATCH(MIN($E91,4),Settings!$A$22:$A$26,0)),0))</f>
        <v/>
      </c>
      <c r="H91" s="25"/>
      <c r="I91" s="28" t="str">
        <f aca="false">IF($A91="","",IF($H91&lt;&gt;"",$H91,$G91))</f>
        <v/>
      </c>
      <c r="J91" s="28" t="str">
        <f aca="false">IF($A91="","",INDEX(Settings!$F$22:$F$26,MATCH(MIN($E91,4),Settings!$A$22:$A$26,0))+MAX(0,$F91-1)*Settings!$B$6*Settings!$B$9)</f>
        <v/>
      </c>
      <c r="K91" s="25"/>
      <c r="L91" s="28" t="str">
        <f aca="false">IF($A91="","",IF($K91&lt;&gt;"",$K91,$J91))</f>
        <v/>
      </c>
      <c r="M91" s="28" t="str">
        <f aca="false">IF($A91="","",$I91-$L91)</f>
        <v/>
      </c>
      <c r="N91" s="23"/>
      <c r="O91" s="23"/>
      <c r="P91" s="23"/>
      <c r="Q91" s="23"/>
      <c r="R91" s="23"/>
      <c r="S91" s="24"/>
      <c r="T91" s="24"/>
      <c r="U91" s="23"/>
      <c r="V91" s="23"/>
      <c r="W91" s="23"/>
      <c r="X91" s="22"/>
      <c r="Y91" s="23"/>
    </row>
    <row r="92" customFormat="false" ht="15" hidden="false" customHeight="false" outlineLevel="0" collapsed="false">
      <c r="A92" s="23"/>
      <c r="B92" s="23"/>
      <c r="C92" s="23"/>
      <c r="D92" s="23"/>
      <c r="E92" s="32"/>
      <c r="F92" s="32"/>
      <c r="G92" s="28" t="str">
        <f aca="false">IF($A92="","",INDEX(Settings!$C$22:$C$26,MATCH(MIN($E92,4),Settings!$A$22:$A$26,0))+MAX(0,$F92-1)*Settings!$B$6+IF($P92="FreshTurn",INDEX(Settings!$D$22:$D$26,MATCH(MIN($E92,4),Settings!$A$22:$A$26,0)),0))</f>
        <v/>
      </c>
      <c r="H92" s="25"/>
      <c r="I92" s="28" t="str">
        <f aca="false">IF($A92="","",IF($H92&lt;&gt;"",$H92,$G92))</f>
        <v/>
      </c>
      <c r="J92" s="28" t="str">
        <f aca="false">IF($A92="","",INDEX(Settings!$F$22:$F$26,MATCH(MIN($E92,4),Settings!$A$22:$A$26,0))+MAX(0,$F92-1)*Settings!$B$6*Settings!$B$9)</f>
        <v/>
      </c>
      <c r="K92" s="25"/>
      <c r="L92" s="28" t="str">
        <f aca="false">IF($A92="","",IF($K92&lt;&gt;"",$K92,$J92))</f>
        <v/>
      </c>
      <c r="M92" s="28" t="str">
        <f aca="false">IF($A92="","",$I92-$L92)</f>
        <v/>
      </c>
      <c r="N92" s="23"/>
      <c r="O92" s="23"/>
      <c r="P92" s="23"/>
      <c r="Q92" s="23"/>
      <c r="R92" s="23"/>
      <c r="S92" s="24"/>
      <c r="T92" s="24"/>
      <c r="U92" s="23"/>
      <c r="V92" s="23"/>
      <c r="W92" s="23"/>
      <c r="X92" s="22"/>
      <c r="Y92" s="23"/>
    </row>
    <row r="93" customFormat="false" ht="15" hidden="false" customHeight="false" outlineLevel="0" collapsed="false">
      <c r="A93" s="23"/>
      <c r="B93" s="23"/>
      <c r="C93" s="23"/>
      <c r="D93" s="23"/>
      <c r="E93" s="32"/>
      <c r="F93" s="32"/>
      <c r="G93" s="28" t="str">
        <f aca="false">IF($A93="","",INDEX(Settings!$C$22:$C$26,MATCH(MIN($E93,4),Settings!$A$22:$A$26,0))+MAX(0,$F93-1)*Settings!$B$6+IF($P93="FreshTurn",INDEX(Settings!$D$22:$D$26,MATCH(MIN($E93,4),Settings!$A$22:$A$26,0)),0))</f>
        <v/>
      </c>
      <c r="H93" s="25"/>
      <c r="I93" s="28" t="str">
        <f aca="false">IF($A93="","",IF($H93&lt;&gt;"",$H93,$G93))</f>
        <v/>
      </c>
      <c r="J93" s="28" t="str">
        <f aca="false">IF($A93="","",INDEX(Settings!$F$22:$F$26,MATCH(MIN($E93,4),Settings!$A$22:$A$26,0))+MAX(0,$F93-1)*Settings!$B$6*Settings!$B$9)</f>
        <v/>
      </c>
      <c r="K93" s="25"/>
      <c r="L93" s="28" t="str">
        <f aca="false">IF($A93="","",IF($K93&lt;&gt;"",$K93,$J93))</f>
        <v/>
      </c>
      <c r="M93" s="28" t="str">
        <f aca="false">IF($A93="","",$I93-$L93)</f>
        <v/>
      </c>
      <c r="N93" s="23"/>
      <c r="O93" s="23"/>
      <c r="P93" s="23"/>
      <c r="Q93" s="23"/>
      <c r="R93" s="23"/>
      <c r="S93" s="24"/>
      <c r="T93" s="24"/>
      <c r="U93" s="23"/>
      <c r="V93" s="23"/>
      <c r="W93" s="23"/>
      <c r="X93" s="22"/>
      <c r="Y93" s="23"/>
    </row>
    <row r="94" customFormat="false" ht="15" hidden="false" customHeight="false" outlineLevel="0" collapsed="false">
      <c r="A94" s="23"/>
      <c r="B94" s="23"/>
      <c r="C94" s="23"/>
      <c r="D94" s="23"/>
      <c r="E94" s="32"/>
      <c r="F94" s="32"/>
      <c r="G94" s="28" t="str">
        <f aca="false">IF($A94="","",INDEX(Settings!$C$22:$C$26,MATCH(MIN($E94,4),Settings!$A$22:$A$26,0))+MAX(0,$F94-1)*Settings!$B$6+IF($P94="FreshTurn",INDEX(Settings!$D$22:$D$26,MATCH(MIN($E94,4),Settings!$A$22:$A$26,0)),0))</f>
        <v/>
      </c>
      <c r="H94" s="25"/>
      <c r="I94" s="28" t="str">
        <f aca="false">IF($A94="","",IF($H94&lt;&gt;"",$H94,$G94))</f>
        <v/>
      </c>
      <c r="J94" s="28" t="str">
        <f aca="false">IF($A94="","",INDEX(Settings!$F$22:$F$26,MATCH(MIN($E94,4),Settings!$A$22:$A$26,0))+MAX(0,$F94-1)*Settings!$B$6*Settings!$B$9)</f>
        <v/>
      </c>
      <c r="K94" s="25"/>
      <c r="L94" s="28" t="str">
        <f aca="false">IF($A94="","",IF($K94&lt;&gt;"",$K94,$J94))</f>
        <v/>
      </c>
      <c r="M94" s="28" t="str">
        <f aca="false">IF($A94="","",$I94-$L94)</f>
        <v/>
      </c>
      <c r="N94" s="23"/>
      <c r="O94" s="23"/>
      <c r="P94" s="23"/>
      <c r="Q94" s="23"/>
      <c r="R94" s="23"/>
      <c r="S94" s="24"/>
      <c r="T94" s="24"/>
      <c r="U94" s="23"/>
      <c r="V94" s="23"/>
      <c r="W94" s="23"/>
      <c r="X94" s="22"/>
      <c r="Y94" s="23"/>
    </row>
    <row r="95" customFormat="false" ht="15" hidden="false" customHeight="false" outlineLevel="0" collapsed="false">
      <c r="A95" s="23"/>
      <c r="B95" s="23"/>
      <c r="C95" s="23"/>
      <c r="D95" s="23"/>
      <c r="E95" s="32"/>
      <c r="F95" s="32"/>
      <c r="G95" s="28" t="str">
        <f aca="false">IF($A95="","",INDEX(Settings!$C$22:$C$26,MATCH(MIN($E95,4),Settings!$A$22:$A$26,0))+MAX(0,$F95-1)*Settings!$B$6+IF($P95="FreshTurn",INDEX(Settings!$D$22:$D$26,MATCH(MIN($E95,4),Settings!$A$22:$A$26,0)),0))</f>
        <v/>
      </c>
      <c r="H95" s="25"/>
      <c r="I95" s="28" t="str">
        <f aca="false">IF($A95="","",IF($H95&lt;&gt;"",$H95,$G95))</f>
        <v/>
      </c>
      <c r="J95" s="28" t="str">
        <f aca="false">IF($A95="","",INDEX(Settings!$F$22:$F$26,MATCH(MIN($E95,4),Settings!$A$22:$A$26,0))+MAX(0,$F95-1)*Settings!$B$6*Settings!$B$9)</f>
        <v/>
      </c>
      <c r="K95" s="25"/>
      <c r="L95" s="28" t="str">
        <f aca="false">IF($A95="","",IF($K95&lt;&gt;"",$K95,$J95))</f>
        <v/>
      </c>
      <c r="M95" s="28" t="str">
        <f aca="false">IF($A95="","",$I95-$L95)</f>
        <v/>
      </c>
      <c r="N95" s="23"/>
      <c r="O95" s="23"/>
      <c r="P95" s="23"/>
      <c r="Q95" s="23"/>
      <c r="R95" s="23"/>
      <c r="S95" s="24"/>
      <c r="T95" s="24"/>
      <c r="U95" s="23"/>
      <c r="V95" s="23"/>
      <c r="W95" s="23"/>
      <c r="X95" s="22"/>
      <c r="Y95" s="23"/>
    </row>
    <row r="96" customFormat="false" ht="15" hidden="false" customHeight="false" outlineLevel="0" collapsed="false">
      <c r="A96" s="23"/>
      <c r="B96" s="23"/>
      <c r="C96" s="23"/>
      <c r="D96" s="23"/>
      <c r="E96" s="32"/>
      <c r="F96" s="32"/>
      <c r="G96" s="28" t="str">
        <f aca="false">IF($A96="","",INDEX(Settings!$C$22:$C$26,MATCH(MIN($E96,4),Settings!$A$22:$A$26,0))+MAX(0,$F96-1)*Settings!$B$6+IF($P96="FreshTurn",INDEX(Settings!$D$22:$D$26,MATCH(MIN($E96,4),Settings!$A$22:$A$26,0)),0))</f>
        <v/>
      </c>
      <c r="H96" s="25"/>
      <c r="I96" s="28" t="str">
        <f aca="false">IF($A96="","",IF($H96&lt;&gt;"",$H96,$G96))</f>
        <v/>
      </c>
      <c r="J96" s="28" t="str">
        <f aca="false">IF($A96="","",INDEX(Settings!$F$22:$F$26,MATCH(MIN($E96,4),Settings!$A$22:$A$26,0))+MAX(0,$F96-1)*Settings!$B$6*Settings!$B$9)</f>
        <v/>
      </c>
      <c r="K96" s="25"/>
      <c r="L96" s="28" t="str">
        <f aca="false">IF($A96="","",IF($K96&lt;&gt;"",$K96,$J96))</f>
        <v/>
      </c>
      <c r="M96" s="28" t="str">
        <f aca="false">IF($A96="","",$I96-$L96)</f>
        <v/>
      </c>
      <c r="N96" s="23"/>
      <c r="O96" s="23"/>
      <c r="P96" s="23"/>
      <c r="Q96" s="23"/>
      <c r="R96" s="23"/>
      <c r="S96" s="24"/>
      <c r="T96" s="24"/>
      <c r="U96" s="23"/>
      <c r="V96" s="23"/>
      <c r="W96" s="23"/>
      <c r="X96" s="22"/>
      <c r="Y96" s="23"/>
    </row>
    <row r="97" customFormat="false" ht="15" hidden="false" customHeight="false" outlineLevel="0" collapsed="false">
      <c r="A97" s="23"/>
      <c r="B97" s="23"/>
      <c r="C97" s="23"/>
      <c r="D97" s="23"/>
      <c r="E97" s="32"/>
      <c r="F97" s="32"/>
      <c r="G97" s="28" t="str">
        <f aca="false">IF($A97="","",INDEX(Settings!$C$22:$C$26,MATCH(MIN($E97,4),Settings!$A$22:$A$26,0))+MAX(0,$F97-1)*Settings!$B$6+IF($P97="FreshTurn",INDEX(Settings!$D$22:$D$26,MATCH(MIN($E97,4),Settings!$A$22:$A$26,0)),0))</f>
        <v/>
      </c>
      <c r="H97" s="25"/>
      <c r="I97" s="28" t="str">
        <f aca="false">IF($A97="","",IF($H97&lt;&gt;"",$H97,$G97))</f>
        <v/>
      </c>
      <c r="J97" s="28" t="str">
        <f aca="false">IF($A97="","",INDEX(Settings!$F$22:$F$26,MATCH(MIN($E97,4),Settings!$A$22:$A$26,0))+MAX(0,$F97-1)*Settings!$B$6*Settings!$B$9)</f>
        <v/>
      </c>
      <c r="K97" s="25"/>
      <c r="L97" s="28" t="str">
        <f aca="false">IF($A97="","",IF($K97&lt;&gt;"",$K97,$J97))</f>
        <v/>
      </c>
      <c r="M97" s="28" t="str">
        <f aca="false">IF($A97="","",$I97-$L97)</f>
        <v/>
      </c>
      <c r="N97" s="23"/>
      <c r="O97" s="23"/>
      <c r="P97" s="23"/>
      <c r="Q97" s="23"/>
      <c r="R97" s="23"/>
      <c r="S97" s="24"/>
      <c r="T97" s="24"/>
      <c r="U97" s="23"/>
      <c r="V97" s="23"/>
      <c r="W97" s="23"/>
      <c r="X97" s="22"/>
      <c r="Y97" s="23"/>
    </row>
    <row r="98" customFormat="false" ht="15" hidden="false" customHeight="false" outlineLevel="0" collapsed="false">
      <c r="A98" s="23"/>
      <c r="B98" s="23"/>
      <c r="C98" s="23"/>
      <c r="D98" s="23"/>
      <c r="E98" s="32"/>
      <c r="F98" s="32"/>
      <c r="G98" s="28" t="str">
        <f aca="false">IF($A98="","",INDEX(Settings!$C$22:$C$26,MATCH(MIN($E98,4),Settings!$A$22:$A$26,0))+MAX(0,$F98-1)*Settings!$B$6+IF($P98="FreshTurn",INDEX(Settings!$D$22:$D$26,MATCH(MIN($E98,4),Settings!$A$22:$A$26,0)),0))</f>
        <v/>
      </c>
      <c r="H98" s="25"/>
      <c r="I98" s="28" t="str">
        <f aca="false">IF($A98="","",IF($H98&lt;&gt;"",$H98,$G98))</f>
        <v/>
      </c>
      <c r="J98" s="28" t="str">
        <f aca="false">IF($A98="","",INDEX(Settings!$F$22:$F$26,MATCH(MIN($E98,4),Settings!$A$22:$A$26,0))+MAX(0,$F98-1)*Settings!$B$6*Settings!$B$9)</f>
        <v/>
      </c>
      <c r="K98" s="25"/>
      <c r="L98" s="28" t="str">
        <f aca="false">IF($A98="","",IF($K98&lt;&gt;"",$K98,$J98))</f>
        <v/>
      </c>
      <c r="M98" s="28" t="str">
        <f aca="false">IF($A98="","",$I98-$L98)</f>
        <v/>
      </c>
      <c r="N98" s="23"/>
      <c r="O98" s="23"/>
      <c r="P98" s="23"/>
      <c r="Q98" s="23"/>
      <c r="R98" s="23"/>
      <c r="S98" s="24"/>
      <c r="T98" s="24"/>
      <c r="U98" s="23"/>
      <c r="V98" s="23"/>
      <c r="W98" s="23"/>
      <c r="X98" s="22"/>
      <c r="Y98" s="23"/>
    </row>
    <row r="99" customFormat="false" ht="15" hidden="false" customHeight="false" outlineLevel="0" collapsed="false">
      <c r="A99" s="23"/>
      <c r="B99" s="23"/>
      <c r="C99" s="23"/>
      <c r="D99" s="23"/>
      <c r="E99" s="32"/>
      <c r="F99" s="32"/>
      <c r="G99" s="28" t="str">
        <f aca="false">IF($A99="","",INDEX(Settings!$C$22:$C$26,MATCH(MIN($E99,4),Settings!$A$22:$A$26,0))+MAX(0,$F99-1)*Settings!$B$6+IF($P99="FreshTurn",INDEX(Settings!$D$22:$D$26,MATCH(MIN($E99,4),Settings!$A$22:$A$26,0)),0))</f>
        <v/>
      </c>
      <c r="H99" s="25"/>
      <c r="I99" s="28" t="str">
        <f aca="false">IF($A99="","",IF($H99&lt;&gt;"",$H99,$G99))</f>
        <v/>
      </c>
      <c r="J99" s="28" t="str">
        <f aca="false">IF($A99="","",INDEX(Settings!$F$22:$F$26,MATCH(MIN($E99,4),Settings!$A$22:$A$26,0))+MAX(0,$F99-1)*Settings!$B$6*Settings!$B$9)</f>
        <v/>
      </c>
      <c r="K99" s="25"/>
      <c r="L99" s="28" t="str">
        <f aca="false">IF($A99="","",IF($K99&lt;&gt;"",$K99,$J99))</f>
        <v/>
      </c>
      <c r="M99" s="28" t="str">
        <f aca="false">IF($A99="","",$I99-$L99)</f>
        <v/>
      </c>
      <c r="N99" s="23"/>
      <c r="O99" s="23"/>
      <c r="P99" s="23"/>
      <c r="Q99" s="23"/>
      <c r="R99" s="23"/>
      <c r="S99" s="24"/>
      <c r="T99" s="24"/>
      <c r="U99" s="23"/>
      <c r="V99" s="23"/>
      <c r="W99" s="23"/>
      <c r="X99" s="22"/>
      <c r="Y99" s="23"/>
    </row>
    <row r="100" customFormat="false" ht="15" hidden="false" customHeight="false" outlineLevel="0" collapsed="false">
      <c r="A100" s="23"/>
      <c r="B100" s="23"/>
      <c r="C100" s="23"/>
      <c r="D100" s="23"/>
      <c r="E100" s="32"/>
      <c r="F100" s="32"/>
      <c r="G100" s="28" t="str">
        <f aca="false">IF($A100="","",INDEX(Settings!$C$22:$C$26,MATCH(MIN($E100,4),Settings!$A$22:$A$26,0))+MAX(0,$F100-1)*Settings!$B$6+IF($P100="FreshTurn",INDEX(Settings!$D$22:$D$26,MATCH(MIN($E100,4),Settings!$A$22:$A$26,0)),0))</f>
        <v/>
      </c>
      <c r="H100" s="25"/>
      <c r="I100" s="28" t="str">
        <f aca="false">IF($A100="","",IF($H100&lt;&gt;"",$H100,$G100))</f>
        <v/>
      </c>
      <c r="J100" s="28" t="str">
        <f aca="false">IF($A100="","",INDEX(Settings!$F$22:$F$26,MATCH(MIN($E100,4),Settings!$A$22:$A$26,0))+MAX(0,$F100-1)*Settings!$B$6*Settings!$B$9)</f>
        <v/>
      </c>
      <c r="K100" s="25"/>
      <c r="L100" s="28" t="str">
        <f aca="false">IF($A100="","",IF($K100&lt;&gt;"",$K100,$J100))</f>
        <v/>
      </c>
      <c r="M100" s="28" t="str">
        <f aca="false">IF($A100="","",$I100-$L100)</f>
        <v/>
      </c>
      <c r="N100" s="23"/>
      <c r="O100" s="23"/>
      <c r="P100" s="23"/>
      <c r="Q100" s="23"/>
      <c r="R100" s="23"/>
      <c r="S100" s="24"/>
      <c r="T100" s="24"/>
      <c r="U100" s="23"/>
      <c r="V100" s="23"/>
      <c r="W100" s="23"/>
      <c r="X100" s="22"/>
      <c r="Y100" s="23"/>
    </row>
    <row r="101" customFormat="false" ht="15" hidden="false" customHeight="false" outlineLevel="0" collapsed="false">
      <c r="A101" s="23"/>
      <c r="B101" s="23"/>
      <c r="C101" s="23"/>
      <c r="D101" s="23"/>
      <c r="E101" s="32"/>
      <c r="F101" s="32"/>
      <c r="G101" s="28" t="str">
        <f aca="false">IF($A101="","",INDEX(Settings!$C$22:$C$26,MATCH(MIN($E101,4),Settings!$A$22:$A$26,0))+MAX(0,$F101-1)*Settings!$B$6+IF($P101="FreshTurn",INDEX(Settings!$D$22:$D$26,MATCH(MIN($E101,4),Settings!$A$22:$A$26,0)),0))</f>
        <v/>
      </c>
      <c r="H101" s="25"/>
      <c r="I101" s="28" t="str">
        <f aca="false">IF($A101="","",IF($H101&lt;&gt;"",$H101,$G101))</f>
        <v/>
      </c>
      <c r="J101" s="28" t="str">
        <f aca="false">IF($A101="","",INDEX(Settings!$F$22:$F$26,MATCH(MIN($E101,4),Settings!$A$22:$A$26,0))+MAX(0,$F101-1)*Settings!$B$6*Settings!$B$9)</f>
        <v/>
      </c>
      <c r="K101" s="25"/>
      <c r="L101" s="28" t="str">
        <f aca="false">IF($A101="","",IF($K101&lt;&gt;"",$K101,$J101))</f>
        <v/>
      </c>
      <c r="M101" s="28" t="str">
        <f aca="false">IF($A101="","",$I101-$L101)</f>
        <v/>
      </c>
      <c r="N101" s="23"/>
      <c r="O101" s="23"/>
      <c r="P101" s="23"/>
      <c r="Q101" s="23"/>
      <c r="R101" s="23"/>
      <c r="S101" s="24"/>
      <c r="T101" s="24"/>
      <c r="U101" s="23"/>
      <c r="V101" s="23"/>
      <c r="W101" s="23"/>
      <c r="X101" s="22"/>
      <c r="Y101" s="23"/>
    </row>
    <row r="102" customFormat="false" ht="15" hidden="false" customHeight="false" outlineLevel="0" collapsed="false">
      <c r="A102" s="23"/>
      <c r="B102" s="23"/>
      <c r="C102" s="23"/>
      <c r="D102" s="23"/>
      <c r="E102" s="32"/>
      <c r="F102" s="32"/>
      <c r="G102" s="28" t="str">
        <f aca="false">IF($A102="","",INDEX(Settings!$C$22:$C$26,MATCH(MIN($E102,4),Settings!$A$22:$A$26,0))+MAX(0,$F102-1)*Settings!$B$6+IF($P102="FreshTurn",INDEX(Settings!$D$22:$D$26,MATCH(MIN($E102,4),Settings!$A$22:$A$26,0)),0))</f>
        <v/>
      </c>
      <c r="H102" s="25"/>
      <c r="I102" s="28" t="str">
        <f aca="false">IF($A102="","",IF($H102&lt;&gt;"",$H102,$G102))</f>
        <v/>
      </c>
      <c r="J102" s="28" t="str">
        <f aca="false">IF($A102="","",INDEX(Settings!$F$22:$F$26,MATCH(MIN($E102,4),Settings!$A$22:$A$26,0))+MAX(0,$F102-1)*Settings!$B$6*Settings!$B$9)</f>
        <v/>
      </c>
      <c r="K102" s="25"/>
      <c r="L102" s="28" t="str">
        <f aca="false">IF($A102="","",IF($K102&lt;&gt;"",$K102,$J102))</f>
        <v/>
      </c>
      <c r="M102" s="28" t="str">
        <f aca="false">IF($A102="","",$I102-$L102)</f>
        <v/>
      </c>
      <c r="N102" s="23"/>
      <c r="O102" s="23"/>
      <c r="P102" s="23"/>
      <c r="Q102" s="23"/>
      <c r="R102" s="23"/>
      <c r="S102" s="24"/>
      <c r="T102" s="24"/>
      <c r="U102" s="23"/>
      <c r="V102" s="23"/>
      <c r="W102" s="23"/>
      <c r="X102" s="22"/>
      <c r="Y102" s="23"/>
    </row>
    <row r="103" customFormat="false" ht="15" hidden="false" customHeight="false" outlineLevel="0" collapsed="false">
      <c r="A103" s="23"/>
      <c r="B103" s="23"/>
      <c r="C103" s="23"/>
      <c r="D103" s="23"/>
      <c r="E103" s="32"/>
      <c r="F103" s="32"/>
      <c r="G103" s="28" t="str">
        <f aca="false">IF($A103="","",INDEX(Settings!$C$22:$C$26,MATCH(MIN($E103,4),Settings!$A$22:$A$26,0))+MAX(0,$F103-1)*Settings!$B$6+IF($P103="FreshTurn",INDEX(Settings!$D$22:$D$26,MATCH(MIN($E103,4),Settings!$A$22:$A$26,0)),0))</f>
        <v/>
      </c>
      <c r="H103" s="25"/>
      <c r="I103" s="28" t="str">
        <f aca="false">IF($A103="","",IF($H103&lt;&gt;"",$H103,$G103))</f>
        <v/>
      </c>
      <c r="J103" s="28" t="str">
        <f aca="false">IF($A103="","",INDEX(Settings!$F$22:$F$26,MATCH(MIN($E103,4),Settings!$A$22:$A$26,0))+MAX(0,$F103-1)*Settings!$B$6*Settings!$B$9)</f>
        <v/>
      </c>
      <c r="K103" s="25"/>
      <c r="L103" s="28" t="str">
        <f aca="false">IF($A103="","",IF($K103&lt;&gt;"",$K103,$J103))</f>
        <v/>
      </c>
      <c r="M103" s="28" t="str">
        <f aca="false">IF($A103="","",$I103-$L103)</f>
        <v/>
      </c>
      <c r="N103" s="23"/>
      <c r="O103" s="23"/>
      <c r="P103" s="23"/>
      <c r="Q103" s="23"/>
      <c r="R103" s="23"/>
      <c r="S103" s="24"/>
      <c r="T103" s="24"/>
      <c r="U103" s="23"/>
      <c r="V103" s="23"/>
      <c r="W103" s="23"/>
      <c r="X103" s="22"/>
      <c r="Y103" s="23"/>
    </row>
    <row r="104" customFormat="false" ht="15" hidden="false" customHeight="false" outlineLevel="0" collapsed="false">
      <c r="A104" s="23"/>
      <c r="B104" s="23"/>
      <c r="C104" s="23"/>
      <c r="D104" s="23"/>
      <c r="E104" s="32"/>
      <c r="F104" s="32"/>
      <c r="G104" s="28" t="str">
        <f aca="false">IF($A104="","",INDEX(Settings!$C$22:$C$26,MATCH(MIN($E104,4),Settings!$A$22:$A$26,0))+MAX(0,$F104-1)*Settings!$B$6+IF($P104="FreshTurn",INDEX(Settings!$D$22:$D$26,MATCH(MIN($E104,4),Settings!$A$22:$A$26,0)),0))</f>
        <v/>
      </c>
      <c r="H104" s="25"/>
      <c r="I104" s="28" t="str">
        <f aca="false">IF($A104="","",IF($H104&lt;&gt;"",$H104,$G104))</f>
        <v/>
      </c>
      <c r="J104" s="28" t="str">
        <f aca="false">IF($A104="","",INDEX(Settings!$F$22:$F$26,MATCH(MIN($E104,4),Settings!$A$22:$A$26,0))+MAX(0,$F104-1)*Settings!$B$6*Settings!$B$9)</f>
        <v/>
      </c>
      <c r="K104" s="25"/>
      <c r="L104" s="28" t="str">
        <f aca="false">IF($A104="","",IF($K104&lt;&gt;"",$K104,$J104))</f>
        <v/>
      </c>
      <c r="M104" s="28" t="str">
        <f aca="false">IF($A104="","",$I104-$L104)</f>
        <v/>
      </c>
      <c r="N104" s="23"/>
      <c r="O104" s="23"/>
      <c r="P104" s="23"/>
      <c r="Q104" s="23"/>
      <c r="R104" s="23"/>
      <c r="S104" s="24"/>
      <c r="T104" s="24"/>
      <c r="U104" s="23"/>
      <c r="V104" s="23"/>
      <c r="W104" s="23"/>
      <c r="X104" s="22"/>
      <c r="Y104" s="23"/>
    </row>
  </sheetData>
  <dataValidations count="6">
    <dataValidation allowBlank="true" errorStyle="stop" operator="between" showDropDown="false" showErrorMessage="false" showInputMessage="false" sqref="D5:D104" type="list">
      <formula1>Hosts!$A$5:$A$54</formula1>
      <formula2>0</formula2>
    </dataValidation>
    <dataValidation allowBlank="true" errorStyle="stop" operator="between" showDropDown="false" showErrorMessage="false" showInputMessage="false" sqref="N5:O104" type="list">
      <formula1>Cleaners!$A$5:$A$34</formula1>
      <formula2>0</formula2>
    </dataValidation>
    <dataValidation allowBlank="true" errorStyle="stop" operator="between" showDropDown="false" showErrorMessage="false" showInputMessage="false" sqref="P5:P104" type="list">
      <formula1>Settings!$M$22:$M$23</formula1>
      <formula2>0</formula2>
    </dataValidation>
    <dataValidation allowBlank="true" errorStyle="stop" operator="between" showDropDown="false" showErrorMessage="false" showInputMessage="false" sqref="Q5:Q104" type="list">
      <formula1>Settings!$N$22:$N$23</formula1>
      <formula2>0</formula2>
    </dataValidation>
    <dataValidation allowBlank="true" errorStyle="stop" operator="between" showDropDown="false" showErrorMessage="false" showInputMessage="false" sqref="R5:R104" type="list">
      <formula1>Settings!$I$22:$I$23</formula1>
      <formula2>0</formula2>
    </dataValidation>
    <dataValidation allowBlank="true" errorStyle="stop" operator="between" showDropDown="false" showErrorMessage="false" showInputMessage="false" sqref="W5:W104" type="list">
      <formula1>Settings!$I$22:$I$23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A86A"/>
    <pageSetUpPr fitToPage="false"/>
  </sheetPr>
  <dimension ref="A1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40"/>
  </cols>
  <sheetData>
    <row r="1" customFormat="false" ht="19.7" hidden="false" customHeight="false" outlineLevel="0" collapsed="false">
      <c r="A1" s="1" t="s">
        <v>265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266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1.5" hidden="false" customHeight="true" outlineLevel="0" collapsed="false">
      <c r="A4" s="20" t="s">
        <v>110</v>
      </c>
      <c r="B4" s="20" t="s">
        <v>222</v>
      </c>
      <c r="C4" s="20" t="s">
        <v>267</v>
      </c>
      <c r="D4" s="20" t="s">
        <v>211</v>
      </c>
      <c r="E4" s="20" t="s">
        <v>268</v>
      </c>
      <c r="F4" s="20" t="s">
        <v>269</v>
      </c>
      <c r="G4" s="20" t="s">
        <v>270</v>
      </c>
      <c r="H4" s="20" t="s">
        <v>271</v>
      </c>
      <c r="I4" s="21" t="s">
        <v>234</v>
      </c>
      <c r="J4" s="20" t="s">
        <v>164</v>
      </c>
    </row>
    <row r="5" customFormat="false" ht="15" hidden="false" customHeight="false" outlineLevel="0" collapsed="false">
      <c r="A5" s="23" t="s">
        <v>206</v>
      </c>
      <c r="B5" s="23" t="s">
        <v>272</v>
      </c>
      <c r="C5" s="44"/>
      <c r="D5" s="23"/>
      <c r="E5" s="23" t="s">
        <v>273</v>
      </c>
      <c r="F5" s="23" t="s">
        <v>274</v>
      </c>
      <c r="G5" s="23" t="s">
        <v>118</v>
      </c>
      <c r="H5" s="22"/>
      <c r="I5" s="31" t="n">
        <f aca="false">IF($A5="","",COUNTIF(Properties!$D$5:$D$104,$A5))</f>
        <v>1</v>
      </c>
      <c r="J5" s="23" t="s">
        <v>275</v>
      </c>
    </row>
    <row r="6" customFormat="false" ht="15" hidden="false" customHeight="false" outlineLevel="0" collapsed="false">
      <c r="A6" s="23"/>
      <c r="B6" s="23"/>
      <c r="C6" s="44"/>
      <c r="D6" s="23"/>
      <c r="E6" s="23"/>
      <c r="F6" s="23"/>
      <c r="G6" s="23"/>
      <c r="H6" s="22"/>
      <c r="I6" s="31" t="str">
        <f aca="false">IF($A6="","",COUNTIF(Properties!$D$5:$D$104,$A6))</f>
        <v/>
      </c>
      <c r="J6" s="23"/>
    </row>
    <row r="7" customFormat="false" ht="15" hidden="false" customHeight="false" outlineLevel="0" collapsed="false">
      <c r="A7" s="23"/>
      <c r="B7" s="23"/>
      <c r="C7" s="44"/>
      <c r="D7" s="23"/>
      <c r="E7" s="23"/>
      <c r="F7" s="23"/>
      <c r="G7" s="23"/>
      <c r="H7" s="22"/>
      <c r="I7" s="31" t="str">
        <f aca="false">IF($A7="","",COUNTIF(Properties!$D$5:$D$104,$A7))</f>
        <v/>
      </c>
      <c r="J7" s="23"/>
    </row>
    <row r="8" customFormat="false" ht="15" hidden="false" customHeight="false" outlineLevel="0" collapsed="false">
      <c r="A8" s="23"/>
      <c r="B8" s="23"/>
      <c r="C8" s="44"/>
      <c r="D8" s="23"/>
      <c r="E8" s="23"/>
      <c r="F8" s="23"/>
      <c r="G8" s="23"/>
      <c r="H8" s="22"/>
      <c r="I8" s="31" t="str">
        <f aca="false">IF($A8="","",COUNTIF(Properties!$D$5:$D$104,$A8))</f>
        <v/>
      </c>
      <c r="J8" s="23"/>
    </row>
    <row r="9" customFormat="false" ht="15" hidden="false" customHeight="false" outlineLevel="0" collapsed="false">
      <c r="A9" s="23"/>
      <c r="B9" s="23"/>
      <c r="C9" s="44"/>
      <c r="D9" s="23"/>
      <c r="E9" s="23"/>
      <c r="F9" s="23"/>
      <c r="G9" s="23"/>
      <c r="H9" s="22"/>
      <c r="I9" s="31" t="str">
        <f aca="false">IF($A9="","",COUNTIF(Properties!$D$5:$D$104,$A9))</f>
        <v/>
      </c>
      <c r="J9" s="23"/>
    </row>
    <row r="10" customFormat="false" ht="15" hidden="false" customHeight="false" outlineLevel="0" collapsed="false">
      <c r="A10" s="23"/>
      <c r="B10" s="23"/>
      <c r="C10" s="44"/>
      <c r="D10" s="23"/>
      <c r="E10" s="23"/>
      <c r="F10" s="23"/>
      <c r="G10" s="23"/>
      <c r="H10" s="22"/>
      <c r="I10" s="31" t="str">
        <f aca="false">IF($A10="","",COUNTIF(Properties!$D$5:$D$104,$A10))</f>
        <v/>
      </c>
      <c r="J10" s="23"/>
    </row>
    <row r="11" customFormat="false" ht="15" hidden="false" customHeight="false" outlineLevel="0" collapsed="false">
      <c r="A11" s="23"/>
      <c r="B11" s="23"/>
      <c r="C11" s="44"/>
      <c r="D11" s="23"/>
      <c r="E11" s="23"/>
      <c r="F11" s="23"/>
      <c r="G11" s="23"/>
      <c r="H11" s="22"/>
      <c r="I11" s="31" t="str">
        <f aca="false">IF($A11="","",COUNTIF(Properties!$D$5:$D$104,$A11))</f>
        <v/>
      </c>
      <c r="J11" s="23"/>
    </row>
    <row r="12" customFormat="false" ht="15" hidden="false" customHeight="false" outlineLevel="0" collapsed="false">
      <c r="A12" s="23"/>
      <c r="B12" s="23"/>
      <c r="C12" s="44"/>
      <c r="D12" s="23"/>
      <c r="E12" s="23"/>
      <c r="F12" s="23"/>
      <c r="G12" s="23"/>
      <c r="H12" s="22"/>
      <c r="I12" s="31" t="str">
        <f aca="false">IF($A12="","",COUNTIF(Properties!$D$5:$D$104,$A12))</f>
        <v/>
      </c>
      <c r="J12" s="23"/>
    </row>
    <row r="13" customFormat="false" ht="15" hidden="false" customHeight="false" outlineLevel="0" collapsed="false">
      <c r="A13" s="23"/>
      <c r="B13" s="23"/>
      <c r="C13" s="44"/>
      <c r="D13" s="23"/>
      <c r="E13" s="23"/>
      <c r="F13" s="23"/>
      <c r="G13" s="23"/>
      <c r="H13" s="22"/>
      <c r="I13" s="31" t="str">
        <f aca="false">IF($A13="","",COUNTIF(Properties!$D$5:$D$104,$A13))</f>
        <v/>
      </c>
      <c r="J13" s="23"/>
    </row>
    <row r="14" customFormat="false" ht="15" hidden="false" customHeight="false" outlineLevel="0" collapsed="false">
      <c r="A14" s="23"/>
      <c r="B14" s="23"/>
      <c r="C14" s="44"/>
      <c r="D14" s="23"/>
      <c r="E14" s="23"/>
      <c r="F14" s="23"/>
      <c r="G14" s="23"/>
      <c r="H14" s="22"/>
      <c r="I14" s="31" t="str">
        <f aca="false">IF($A14="","",COUNTIF(Properties!$D$5:$D$104,$A14))</f>
        <v/>
      </c>
      <c r="J14" s="23"/>
    </row>
    <row r="15" customFormat="false" ht="15" hidden="false" customHeight="false" outlineLevel="0" collapsed="false">
      <c r="A15" s="23"/>
      <c r="B15" s="23"/>
      <c r="C15" s="44"/>
      <c r="D15" s="23"/>
      <c r="E15" s="23"/>
      <c r="F15" s="23"/>
      <c r="G15" s="23"/>
      <c r="H15" s="22"/>
      <c r="I15" s="31" t="str">
        <f aca="false">IF($A15="","",COUNTIF(Properties!$D$5:$D$104,$A15))</f>
        <v/>
      </c>
      <c r="J15" s="23"/>
    </row>
    <row r="16" customFormat="false" ht="15" hidden="false" customHeight="false" outlineLevel="0" collapsed="false">
      <c r="A16" s="23"/>
      <c r="B16" s="23"/>
      <c r="C16" s="44"/>
      <c r="D16" s="23"/>
      <c r="E16" s="23"/>
      <c r="F16" s="23"/>
      <c r="G16" s="23"/>
      <c r="H16" s="22"/>
      <c r="I16" s="31" t="str">
        <f aca="false">IF($A16="","",COUNTIF(Properties!$D$5:$D$104,$A16))</f>
        <v/>
      </c>
      <c r="J16" s="23"/>
    </row>
    <row r="17" customFormat="false" ht="15" hidden="false" customHeight="false" outlineLevel="0" collapsed="false">
      <c r="A17" s="23"/>
      <c r="B17" s="23"/>
      <c r="C17" s="44"/>
      <c r="D17" s="23"/>
      <c r="E17" s="23"/>
      <c r="F17" s="23"/>
      <c r="G17" s="23"/>
      <c r="H17" s="22"/>
      <c r="I17" s="31" t="str">
        <f aca="false">IF($A17="","",COUNTIF(Properties!$D$5:$D$104,$A17))</f>
        <v/>
      </c>
      <c r="J17" s="23"/>
    </row>
    <row r="18" customFormat="false" ht="15" hidden="false" customHeight="false" outlineLevel="0" collapsed="false">
      <c r="A18" s="23"/>
      <c r="B18" s="23"/>
      <c r="C18" s="44"/>
      <c r="D18" s="23"/>
      <c r="E18" s="23"/>
      <c r="F18" s="23"/>
      <c r="G18" s="23"/>
      <c r="H18" s="22"/>
      <c r="I18" s="31" t="str">
        <f aca="false">IF($A18="","",COUNTIF(Properties!$D$5:$D$104,$A18))</f>
        <v/>
      </c>
      <c r="J18" s="23"/>
    </row>
    <row r="19" customFormat="false" ht="15" hidden="false" customHeight="false" outlineLevel="0" collapsed="false">
      <c r="A19" s="23"/>
      <c r="B19" s="23"/>
      <c r="C19" s="44"/>
      <c r="D19" s="23"/>
      <c r="E19" s="23"/>
      <c r="F19" s="23"/>
      <c r="G19" s="23"/>
      <c r="H19" s="22"/>
      <c r="I19" s="31" t="str">
        <f aca="false">IF($A19="","",COUNTIF(Properties!$D$5:$D$104,$A19))</f>
        <v/>
      </c>
      <c r="J19" s="23"/>
    </row>
    <row r="20" customFormat="false" ht="15" hidden="false" customHeight="false" outlineLevel="0" collapsed="false">
      <c r="A20" s="23"/>
      <c r="B20" s="23"/>
      <c r="C20" s="44"/>
      <c r="D20" s="23"/>
      <c r="E20" s="23"/>
      <c r="F20" s="23"/>
      <c r="G20" s="23"/>
      <c r="H20" s="22"/>
      <c r="I20" s="31" t="str">
        <f aca="false">IF($A20="","",COUNTIF(Properties!$D$5:$D$104,$A20))</f>
        <v/>
      </c>
      <c r="J20" s="23"/>
    </row>
    <row r="21" customFormat="false" ht="15" hidden="false" customHeight="false" outlineLevel="0" collapsed="false">
      <c r="A21" s="23"/>
      <c r="B21" s="23"/>
      <c r="C21" s="44"/>
      <c r="D21" s="23"/>
      <c r="E21" s="23"/>
      <c r="F21" s="23"/>
      <c r="G21" s="23"/>
      <c r="H21" s="22"/>
      <c r="I21" s="31" t="str">
        <f aca="false">IF($A21="","",COUNTIF(Properties!$D$5:$D$104,$A21))</f>
        <v/>
      </c>
      <c r="J21" s="23"/>
    </row>
    <row r="22" customFormat="false" ht="15" hidden="false" customHeight="false" outlineLevel="0" collapsed="false">
      <c r="A22" s="23"/>
      <c r="B22" s="23"/>
      <c r="C22" s="44"/>
      <c r="D22" s="23"/>
      <c r="E22" s="23"/>
      <c r="F22" s="23"/>
      <c r="G22" s="23"/>
      <c r="H22" s="22"/>
      <c r="I22" s="31" t="str">
        <f aca="false">IF($A22="","",COUNTIF(Properties!$D$5:$D$104,$A22))</f>
        <v/>
      </c>
      <c r="J22" s="23"/>
    </row>
    <row r="23" customFormat="false" ht="15" hidden="false" customHeight="false" outlineLevel="0" collapsed="false">
      <c r="A23" s="23"/>
      <c r="B23" s="23"/>
      <c r="C23" s="44"/>
      <c r="D23" s="23"/>
      <c r="E23" s="23"/>
      <c r="F23" s="23"/>
      <c r="G23" s="23"/>
      <c r="H23" s="22"/>
      <c r="I23" s="31" t="str">
        <f aca="false">IF($A23="","",COUNTIF(Properties!$D$5:$D$104,$A23))</f>
        <v/>
      </c>
      <c r="J23" s="23"/>
    </row>
    <row r="24" customFormat="false" ht="15" hidden="false" customHeight="false" outlineLevel="0" collapsed="false">
      <c r="A24" s="23"/>
      <c r="B24" s="23"/>
      <c r="C24" s="44"/>
      <c r="D24" s="23"/>
      <c r="E24" s="23"/>
      <c r="F24" s="23"/>
      <c r="G24" s="23"/>
      <c r="H24" s="22"/>
      <c r="I24" s="31" t="str">
        <f aca="false">IF($A24="","",COUNTIF(Properties!$D$5:$D$104,$A24))</f>
        <v/>
      </c>
      <c r="J24" s="23"/>
    </row>
    <row r="25" customFormat="false" ht="15" hidden="false" customHeight="false" outlineLevel="0" collapsed="false">
      <c r="A25" s="23"/>
      <c r="B25" s="23"/>
      <c r="C25" s="44"/>
      <c r="D25" s="23"/>
      <c r="E25" s="23"/>
      <c r="F25" s="23"/>
      <c r="G25" s="23"/>
      <c r="H25" s="22"/>
      <c r="I25" s="31" t="str">
        <f aca="false">IF($A25="","",COUNTIF(Properties!$D$5:$D$104,$A25))</f>
        <v/>
      </c>
      <c r="J25" s="23"/>
    </row>
    <row r="26" customFormat="false" ht="15" hidden="false" customHeight="false" outlineLevel="0" collapsed="false">
      <c r="A26" s="23"/>
      <c r="B26" s="23"/>
      <c r="C26" s="44"/>
      <c r="D26" s="23"/>
      <c r="E26" s="23"/>
      <c r="F26" s="23"/>
      <c r="G26" s="23"/>
      <c r="H26" s="22"/>
      <c r="I26" s="31" t="str">
        <f aca="false">IF($A26="","",COUNTIF(Properties!$D$5:$D$104,$A26))</f>
        <v/>
      </c>
      <c r="J26" s="23"/>
    </row>
    <row r="27" customFormat="false" ht="15" hidden="false" customHeight="false" outlineLevel="0" collapsed="false">
      <c r="A27" s="23"/>
      <c r="B27" s="23"/>
      <c r="C27" s="44"/>
      <c r="D27" s="23"/>
      <c r="E27" s="23"/>
      <c r="F27" s="23"/>
      <c r="G27" s="23"/>
      <c r="H27" s="22"/>
      <c r="I27" s="31" t="str">
        <f aca="false">IF($A27="","",COUNTIF(Properties!$D$5:$D$104,$A27))</f>
        <v/>
      </c>
      <c r="J27" s="23"/>
    </row>
    <row r="28" customFormat="false" ht="15" hidden="false" customHeight="false" outlineLevel="0" collapsed="false">
      <c r="A28" s="23"/>
      <c r="B28" s="23"/>
      <c r="C28" s="44"/>
      <c r="D28" s="23"/>
      <c r="E28" s="23"/>
      <c r="F28" s="23"/>
      <c r="G28" s="23"/>
      <c r="H28" s="22"/>
      <c r="I28" s="31" t="str">
        <f aca="false">IF($A28="","",COUNTIF(Properties!$D$5:$D$104,$A28))</f>
        <v/>
      </c>
      <c r="J28" s="23"/>
    </row>
    <row r="29" customFormat="false" ht="15" hidden="false" customHeight="false" outlineLevel="0" collapsed="false">
      <c r="A29" s="23"/>
      <c r="B29" s="23"/>
      <c r="C29" s="44"/>
      <c r="D29" s="23"/>
      <c r="E29" s="23"/>
      <c r="F29" s="23"/>
      <c r="G29" s="23"/>
      <c r="H29" s="22"/>
      <c r="I29" s="31" t="str">
        <f aca="false">IF($A29="","",COUNTIF(Properties!$D$5:$D$104,$A29))</f>
        <v/>
      </c>
      <c r="J29" s="23"/>
    </row>
    <row r="30" customFormat="false" ht="15" hidden="false" customHeight="false" outlineLevel="0" collapsed="false">
      <c r="A30" s="23"/>
      <c r="B30" s="23"/>
      <c r="C30" s="44"/>
      <c r="D30" s="23"/>
      <c r="E30" s="23"/>
      <c r="F30" s="23"/>
      <c r="G30" s="23"/>
      <c r="H30" s="22"/>
      <c r="I30" s="31" t="str">
        <f aca="false">IF($A30="","",COUNTIF(Properties!$D$5:$D$104,$A30))</f>
        <v/>
      </c>
      <c r="J30" s="23"/>
    </row>
    <row r="31" customFormat="false" ht="15" hidden="false" customHeight="false" outlineLevel="0" collapsed="false">
      <c r="A31" s="23"/>
      <c r="B31" s="23"/>
      <c r="C31" s="44"/>
      <c r="D31" s="23"/>
      <c r="E31" s="23"/>
      <c r="F31" s="23"/>
      <c r="G31" s="23"/>
      <c r="H31" s="22"/>
      <c r="I31" s="31" t="str">
        <f aca="false">IF($A31="","",COUNTIF(Properties!$D$5:$D$104,$A31))</f>
        <v/>
      </c>
      <c r="J31" s="23"/>
    </row>
    <row r="32" customFormat="false" ht="15" hidden="false" customHeight="false" outlineLevel="0" collapsed="false">
      <c r="A32" s="23"/>
      <c r="B32" s="23"/>
      <c r="C32" s="44"/>
      <c r="D32" s="23"/>
      <c r="E32" s="23"/>
      <c r="F32" s="23"/>
      <c r="G32" s="23"/>
      <c r="H32" s="22"/>
      <c r="I32" s="31" t="str">
        <f aca="false">IF($A32="","",COUNTIF(Properties!$D$5:$D$104,$A32))</f>
        <v/>
      </c>
      <c r="J32" s="23"/>
    </row>
    <row r="33" customFormat="false" ht="15" hidden="false" customHeight="false" outlineLevel="0" collapsed="false">
      <c r="A33" s="23"/>
      <c r="B33" s="23"/>
      <c r="C33" s="44"/>
      <c r="D33" s="23"/>
      <c r="E33" s="23"/>
      <c r="F33" s="23"/>
      <c r="G33" s="23"/>
      <c r="H33" s="22"/>
      <c r="I33" s="31" t="str">
        <f aca="false">IF($A33="","",COUNTIF(Properties!$D$5:$D$104,$A33))</f>
        <v/>
      </c>
      <c r="J33" s="23"/>
    </row>
    <row r="34" customFormat="false" ht="15" hidden="false" customHeight="false" outlineLevel="0" collapsed="false">
      <c r="A34" s="23"/>
      <c r="B34" s="23"/>
      <c r="C34" s="44"/>
      <c r="D34" s="23"/>
      <c r="E34" s="23"/>
      <c r="F34" s="23"/>
      <c r="G34" s="23"/>
      <c r="H34" s="22"/>
      <c r="I34" s="31" t="str">
        <f aca="false">IF($A34="","",COUNTIF(Properties!$D$5:$D$104,$A34))</f>
        <v/>
      </c>
      <c r="J34" s="23"/>
    </row>
    <row r="35" customFormat="false" ht="15" hidden="false" customHeight="false" outlineLevel="0" collapsed="false">
      <c r="A35" s="23"/>
      <c r="B35" s="23"/>
      <c r="C35" s="44"/>
      <c r="D35" s="23"/>
      <c r="E35" s="23"/>
      <c r="F35" s="23"/>
      <c r="G35" s="23"/>
      <c r="H35" s="22"/>
      <c r="I35" s="31" t="str">
        <f aca="false">IF($A35="","",COUNTIF(Properties!$D$5:$D$104,$A35))</f>
        <v/>
      </c>
      <c r="J35" s="23"/>
    </row>
    <row r="36" customFormat="false" ht="15" hidden="false" customHeight="false" outlineLevel="0" collapsed="false">
      <c r="A36" s="23"/>
      <c r="B36" s="23"/>
      <c r="C36" s="44"/>
      <c r="D36" s="23"/>
      <c r="E36" s="23"/>
      <c r="F36" s="23"/>
      <c r="G36" s="23"/>
      <c r="H36" s="22"/>
      <c r="I36" s="31" t="str">
        <f aca="false">IF($A36="","",COUNTIF(Properties!$D$5:$D$104,$A36))</f>
        <v/>
      </c>
      <c r="J36" s="23"/>
    </row>
    <row r="37" customFormat="false" ht="15" hidden="false" customHeight="false" outlineLevel="0" collapsed="false">
      <c r="A37" s="23"/>
      <c r="B37" s="23"/>
      <c r="C37" s="44"/>
      <c r="D37" s="23"/>
      <c r="E37" s="23"/>
      <c r="F37" s="23"/>
      <c r="G37" s="23"/>
      <c r="H37" s="22"/>
      <c r="I37" s="31" t="str">
        <f aca="false">IF($A37="","",COUNTIF(Properties!$D$5:$D$104,$A37))</f>
        <v/>
      </c>
      <c r="J37" s="23"/>
    </row>
    <row r="38" customFormat="false" ht="15" hidden="false" customHeight="false" outlineLevel="0" collapsed="false">
      <c r="A38" s="23"/>
      <c r="B38" s="23"/>
      <c r="C38" s="44"/>
      <c r="D38" s="23"/>
      <c r="E38" s="23"/>
      <c r="F38" s="23"/>
      <c r="G38" s="23"/>
      <c r="H38" s="22"/>
      <c r="I38" s="31" t="str">
        <f aca="false">IF($A38="","",COUNTIF(Properties!$D$5:$D$104,$A38))</f>
        <v/>
      </c>
      <c r="J38" s="23"/>
    </row>
    <row r="39" customFormat="false" ht="15" hidden="false" customHeight="false" outlineLevel="0" collapsed="false">
      <c r="A39" s="23"/>
      <c r="B39" s="23"/>
      <c r="C39" s="44"/>
      <c r="D39" s="23"/>
      <c r="E39" s="23"/>
      <c r="F39" s="23"/>
      <c r="G39" s="23"/>
      <c r="H39" s="22"/>
      <c r="I39" s="31" t="str">
        <f aca="false">IF($A39="","",COUNTIF(Properties!$D$5:$D$104,$A39))</f>
        <v/>
      </c>
      <c r="J39" s="23"/>
    </row>
    <row r="40" customFormat="false" ht="15" hidden="false" customHeight="false" outlineLevel="0" collapsed="false">
      <c r="A40" s="23"/>
      <c r="B40" s="23"/>
      <c r="C40" s="44"/>
      <c r="D40" s="23"/>
      <c r="E40" s="23"/>
      <c r="F40" s="23"/>
      <c r="G40" s="23"/>
      <c r="H40" s="22"/>
      <c r="I40" s="31" t="str">
        <f aca="false">IF($A40="","",COUNTIF(Properties!$D$5:$D$104,$A40))</f>
        <v/>
      </c>
      <c r="J40" s="23"/>
    </row>
    <row r="41" customFormat="false" ht="15" hidden="false" customHeight="false" outlineLevel="0" collapsed="false">
      <c r="A41" s="23"/>
      <c r="B41" s="23"/>
      <c r="C41" s="44"/>
      <c r="D41" s="23"/>
      <c r="E41" s="23"/>
      <c r="F41" s="23"/>
      <c r="G41" s="23"/>
      <c r="H41" s="22"/>
      <c r="I41" s="31" t="str">
        <f aca="false">IF($A41="","",COUNTIF(Properties!$D$5:$D$104,$A41))</f>
        <v/>
      </c>
      <c r="J41" s="23"/>
    </row>
    <row r="42" customFormat="false" ht="15" hidden="false" customHeight="false" outlineLevel="0" collapsed="false">
      <c r="A42" s="23"/>
      <c r="B42" s="23"/>
      <c r="C42" s="44"/>
      <c r="D42" s="23"/>
      <c r="E42" s="23"/>
      <c r="F42" s="23"/>
      <c r="G42" s="23"/>
      <c r="H42" s="22"/>
      <c r="I42" s="31" t="str">
        <f aca="false">IF($A42="","",COUNTIF(Properties!$D$5:$D$104,$A42))</f>
        <v/>
      </c>
      <c r="J42" s="23"/>
    </row>
    <row r="43" customFormat="false" ht="15" hidden="false" customHeight="false" outlineLevel="0" collapsed="false">
      <c r="A43" s="23"/>
      <c r="B43" s="23"/>
      <c r="C43" s="44"/>
      <c r="D43" s="23"/>
      <c r="E43" s="23"/>
      <c r="F43" s="23"/>
      <c r="G43" s="23"/>
      <c r="H43" s="22"/>
      <c r="I43" s="31" t="str">
        <f aca="false">IF($A43="","",COUNTIF(Properties!$D$5:$D$104,$A43))</f>
        <v/>
      </c>
      <c r="J43" s="23"/>
    </row>
    <row r="44" customFormat="false" ht="15" hidden="false" customHeight="false" outlineLevel="0" collapsed="false">
      <c r="A44" s="23"/>
      <c r="B44" s="23"/>
      <c r="C44" s="44"/>
      <c r="D44" s="23"/>
      <c r="E44" s="23"/>
      <c r="F44" s="23"/>
      <c r="G44" s="23"/>
      <c r="H44" s="22"/>
      <c r="I44" s="31" t="str">
        <f aca="false">IF($A44="","",COUNTIF(Properties!$D$5:$D$104,$A44))</f>
        <v/>
      </c>
      <c r="J44" s="23"/>
    </row>
    <row r="45" customFormat="false" ht="15" hidden="false" customHeight="false" outlineLevel="0" collapsed="false">
      <c r="A45" s="23"/>
      <c r="B45" s="23"/>
      <c r="C45" s="44"/>
      <c r="D45" s="23"/>
      <c r="E45" s="23"/>
      <c r="F45" s="23"/>
      <c r="G45" s="23"/>
      <c r="H45" s="22"/>
      <c r="I45" s="31" t="str">
        <f aca="false">IF($A45="","",COUNTIF(Properties!$D$5:$D$104,$A45))</f>
        <v/>
      </c>
      <c r="J45" s="23"/>
    </row>
    <row r="46" customFormat="false" ht="15" hidden="false" customHeight="false" outlineLevel="0" collapsed="false">
      <c r="A46" s="23"/>
      <c r="B46" s="23"/>
      <c r="C46" s="44"/>
      <c r="D46" s="23"/>
      <c r="E46" s="23"/>
      <c r="F46" s="23"/>
      <c r="G46" s="23"/>
      <c r="H46" s="22"/>
      <c r="I46" s="31" t="str">
        <f aca="false">IF($A46="","",COUNTIF(Properties!$D$5:$D$104,$A46))</f>
        <v/>
      </c>
      <c r="J46" s="23"/>
    </row>
    <row r="47" customFormat="false" ht="15" hidden="false" customHeight="false" outlineLevel="0" collapsed="false">
      <c r="A47" s="23"/>
      <c r="B47" s="23"/>
      <c r="C47" s="44"/>
      <c r="D47" s="23"/>
      <c r="E47" s="23"/>
      <c r="F47" s="23"/>
      <c r="G47" s="23"/>
      <c r="H47" s="22"/>
      <c r="I47" s="31" t="str">
        <f aca="false">IF($A47="","",COUNTIF(Properties!$D$5:$D$104,$A47))</f>
        <v/>
      </c>
      <c r="J47" s="23"/>
    </row>
    <row r="48" customFormat="false" ht="15" hidden="false" customHeight="false" outlineLevel="0" collapsed="false">
      <c r="A48" s="23"/>
      <c r="B48" s="23"/>
      <c r="C48" s="44"/>
      <c r="D48" s="23"/>
      <c r="E48" s="23"/>
      <c r="F48" s="23"/>
      <c r="G48" s="23"/>
      <c r="H48" s="22"/>
      <c r="I48" s="31" t="str">
        <f aca="false">IF($A48="","",COUNTIF(Properties!$D$5:$D$104,$A48))</f>
        <v/>
      </c>
      <c r="J48" s="23"/>
    </row>
    <row r="49" customFormat="false" ht="15" hidden="false" customHeight="false" outlineLevel="0" collapsed="false">
      <c r="A49" s="23"/>
      <c r="B49" s="23"/>
      <c r="C49" s="44"/>
      <c r="D49" s="23"/>
      <c r="E49" s="23"/>
      <c r="F49" s="23"/>
      <c r="G49" s="23"/>
      <c r="H49" s="22"/>
      <c r="I49" s="31" t="str">
        <f aca="false">IF($A49="","",COUNTIF(Properties!$D$5:$D$104,$A49))</f>
        <v/>
      </c>
      <c r="J49" s="23"/>
    </row>
    <row r="50" customFormat="false" ht="15" hidden="false" customHeight="false" outlineLevel="0" collapsed="false">
      <c r="A50" s="23"/>
      <c r="B50" s="23"/>
      <c r="C50" s="44"/>
      <c r="D50" s="23"/>
      <c r="E50" s="23"/>
      <c r="F50" s="23"/>
      <c r="G50" s="23"/>
      <c r="H50" s="22"/>
      <c r="I50" s="31" t="str">
        <f aca="false">IF($A50="","",COUNTIF(Properties!$D$5:$D$104,$A50))</f>
        <v/>
      </c>
      <c r="J50" s="23"/>
    </row>
    <row r="51" customFormat="false" ht="15" hidden="false" customHeight="false" outlineLevel="0" collapsed="false">
      <c r="A51" s="23"/>
      <c r="B51" s="23"/>
      <c r="C51" s="44"/>
      <c r="D51" s="23"/>
      <c r="E51" s="23"/>
      <c r="F51" s="23"/>
      <c r="G51" s="23"/>
      <c r="H51" s="22"/>
      <c r="I51" s="31" t="str">
        <f aca="false">IF($A51="","",COUNTIF(Properties!$D$5:$D$104,$A51))</f>
        <v/>
      </c>
      <c r="J51" s="23"/>
    </row>
    <row r="52" customFormat="false" ht="15" hidden="false" customHeight="false" outlineLevel="0" collapsed="false">
      <c r="A52" s="23"/>
      <c r="B52" s="23"/>
      <c r="C52" s="44"/>
      <c r="D52" s="23"/>
      <c r="E52" s="23"/>
      <c r="F52" s="23"/>
      <c r="G52" s="23"/>
      <c r="H52" s="22"/>
      <c r="I52" s="31" t="str">
        <f aca="false">IF($A52="","",COUNTIF(Properties!$D$5:$D$104,$A52))</f>
        <v/>
      </c>
      <c r="J52" s="23"/>
    </row>
    <row r="53" customFormat="false" ht="15" hidden="false" customHeight="false" outlineLevel="0" collapsed="false">
      <c r="A53" s="23"/>
      <c r="B53" s="23"/>
      <c r="C53" s="44"/>
      <c r="D53" s="23"/>
      <c r="E53" s="23"/>
      <c r="F53" s="23"/>
      <c r="G53" s="23"/>
      <c r="H53" s="22"/>
      <c r="I53" s="31" t="str">
        <f aca="false">IF($A53="","",COUNTIF(Properties!$D$5:$D$104,$A53))</f>
        <v/>
      </c>
      <c r="J53" s="23"/>
    </row>
    <row r="54" customFormat="false" ht="15" hidden="false" customHeight="false" outlineLevel="0" collapsed="false">
      <c r="A54" s="23"/>
      <c r="B54" s="23"/>
      <c r="C54" s="44"/>
      <c r="D54" s="23"/>
      <c r="E54" s="23"/>
      <c r="F54" s="23"/>
      <c r="G54" s="23"/>
      <c r="H54" s="22"/>
      <c r="I54" s="31" t="str">
        <f aca="false">IF($A54="","",COUNTIF(Properties!$D$5:$D$104,$A54))</f>
        <v/>
      </c>
      <c r="J54" s="23"/>
    </row>
  </sheetData>
  <dataValidations count="1">
    <dataValidation allowBlank="true" errorStyle="stop" operator="between" showDropDown="false" showErrorMessage="false" showInputMessage="false" sqref="G5:G54" type="list">
      <formula1>Settings!$I$22:$I$23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A86A"/>
    <pageSetUpPr fitToPage="fals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36"/>
  </cols>
  <sheetData>
    <row r="1" customFormat="false" ht="19.7" hidden="false" customHeight="false" outlineLevel="0" collapsed="false">
      <c r="A1" s="1" t="s">
        <v>276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277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20" t="s">
        <v>100</v>
      </c>
      <c r="B4" s="20" t="s">
        <v>222</v>
      </c>
      <c r="C4" s="20" t="s">
        <v>267</v>
      </c>
      <c r="D4" s="20" t="s">
        <v>278</v>
      </c>
      <c r="E4" s="20" t="s">
        <v>271</v>
      </c>
      <c r="F4" s="20" t="s">
        <v>279</v>
      </c>
      <c r="G4" s="20" t="s">
        <v>280</v>
      </c>
      <c r="H4" s="20" t="s">
        <v>281</v>
      </c>
      <c r="I4" s="21" t="s">
        <v>282</v>
      </c>
      <c r="J4" s="21" t="s">
        <v>283</v>
      </c>
      <c r="K4" s="20" t="s">
        <v>164</v>
      </c>
    </row>
    <row r="5" customFormat="false" ht="15" hidden="false" customHeight="false" outlineLevel="0" collapsed="false">
      <c r="A5" s="23" t="s">
        <v>116</v>
      </c>
      <c r="B5" s="23" t="s">
        <v>284</v>
      </c>
      <c r="C5" s="44"/>
      <c r="D5" s="23"/>
      <c r="E5" s="22"/>
      <c r="F5" s="23"/>
      <c r="G5" s="23" t="s">
        <v>285</v>
      </c>
      <c r="H5" s="23" t="s">
        <v>115</v>
      </c>
      <c r="I5" s="31" t="n">
        <f aca="false">IF($A5="","",COUNTIFS('Cleans Log'!$C$5:$C$1004,$A5,'Cleans Log'!$O$5:$O$1004,"&gt;0"))</f>
        <v>3</v>
      </c>
      <c r="J5" s="28" t="n">
        <f aca="false">IF($A5="","",SUMIFS('Cleans Log'!$O$5:$O$1004,'Cleans Log'!$C$5:$C$1004,$A5))</f>
        <v>100</v>
      </c>
      <c r="K5" s="23" t="s">
        <v>120</v>
      </c>
    </row>
    <row r="6" customFormat="false" ht="15" hidden="false" customHeight="false" outlineLevel="0" collapsed="false">
      <c r="A6" s="23" t="s">
        <v>122</v>
      </c>
      <c r="B6" s="23" t="s">
        <v>286</v>
      </c>
      <c r="C6" s="44"/>
      <c r="D6" s="23"/>
      <c r="E6" s="22"/>
      <c r="F6" s="23"/>
      <c r="G6" s="23" t="s">
        <v>285</v>
      </c>
      <c r="H6" s="23" t="s">
        <v>115</v>
      </c>
      <c r="I6" s="31" t="n">
        <f aca="false">IF($A6="","",COUNTIFS('Cleans Log'!$C$5:$C$1004,$A6,'Cleans Log'!$O$5:$O$1004,"&gt;0"))</f>
        <v>1</v>
      </c>
      <c r="J6" s="28" t="n">
        <f aca="false">IF($A6="","",SUMIFS('Cleans Log'!$O$5:$O$1004,'Cleans Log'!$C$5:$C$1004,$A6))</f>
        <v>47.5</v>
      </c>
      <c r="K6" s="23" t="s">
        <v>120</v>
      </c>
    </row>
    <row r="7" customFormat="false" ht="15" hidden="false" customHeight="false" outlineLevel="0" collapsed="false">
      <c r="A7" s="23"/>
      <c r="B7" s="23"/>
      <c r="C7" s="44"/>
      <c r="D7" s="23"/>
      <c r="E7" s="22"/>
      <c r="F7" s="23"/>
      <c r="G7" s="23"/>
      <c r="H7" s="23"/>
      <c r="I7" s="31" t="str">
        <f aca="false">IF($A7="","",COUNTIFS('Cleans Log'!$C$5:$C$1004,$A7,'Cleans Log'!$O$5:$O$1004,"&gt;0"))</f>
        <v/>
      </c>
      <c r="J7" s="28" t="str">
        <f aca="false">IF($A7="","",SUMIFS('Cleans Log'!$O$5:$O$1004,'Cleans Log'!$C$5:$C$1004,$A7))</f>
        <v/>
      </c>
      <c r="K7" s="23"/>
    </row>
    <row r="8" customFormat="false" ht="15" hidden="false" customHeight="false" outlineLevel="0" collapsed="false">
      <c r="A8" s="23"/>
      <c r="B8" s="23"/>
      <c r="C8" s="44"/>
      <c r="D8" s="23"/>
      <c r="E8" s="22"/>
      <c r="F8" s="23"/>
      <c r="G8" s="23"/>
      <c r="H8" s="23"/>
      <c r="I8" s="31" t="str">
        <f aca="false">IF($A8="","",COUNTIFS('Cleans Log'!$C$5:$C$1004,$A8,'Cleans Log'!$O$5:$O$1004,"&gt;0"))</f>
        <v/>
      </c>
      <c r="J8" s="28" t="str">
        <f aca="false">IF($A8="","",SUMIFS('Cleans Log'!$O$5:$O$1004,'Cleans Log'!$C$5:$C$1004,$A8))</f>
        <v/>
      </c>
      <c r="K8" s="23"/>
    </row>
    <row r="9" customFormat="false" ht="15" hidden="false" customHeight="false" outlineLevel="0" collapsed="false">
      <c r="A9" s="23"/>
      <c r="B9" s="23"/>
      <c r="C9" s="44"/>
      <c r="D9" s="23"/>
      <c r="E9" s="22"/>
      <c r="F9" s="23"/>
      <c r="G9" s="23"/>
      <c r="H9" s="23"/>
      <c r="I9" s="31" t="str">
        <f aca="false">IF($A9="","",COUNTIFS('Cleans Log'!$C$5:$C$1004,$A9,'Cleans Log'!$O$5:$O$1004,"&gt;0"))</f>
        <v/>
      </c>
      <c r="J9" s="28" t="str">
        <f aca="false">IF($A9="","",SUMIFS('Cleans Log'!$O$5:$O$1004,'Cleans Log'!$C$5:$C$1004,$A9))</f>
        <v/>
      </c>
      <c r="K9" s="23"/>
    </row>
    <row r="10" customFormat="false" ht="15" hidden="false" customHeight="false" outlineLevel="0" collapsed="false">
      <c r="A10" s="23"/>
      <c r="B10" s="23"/>
      <c r="C10" s="44"/>
      <c r="D10" s="23"/>
      <c r="E10" s="22"/>
      <c r="F10" s="23"/>
      <c r="G10" s="23"/>
      <c r="H10" s="23"/>
      <c r="I10" s="31" t="str">
        <f aca="false">IF($A10="","",COUNTIFS('Cleans Log'!$C$5:$C$1004,$A10,'Cleans Log'!$O$5:$O$1004,"&gt;0"))</f>
        <v/>
      </c>
      <c r="J10" s="28" t="str">
        <f aca="false">IF($A10="","",SUMIFS('Cleans Log'!$O$5:$O$1004,'Cleans Log'!$C$5:$C$1004,$A10))</f>
        <v/>
      </c>
      <c r="K10" s="23"/>
    </row>
    <row r="11" customFormat="false" ht="15" hidden="false" customHeight="false" outlineLevel="0" collapsed="false">
      <c r="A11" s="23"/>
      <c r="B11" s="23"/>
      <c r="C11" s="44"/>
      <c r="D11" s="23"/>
      <c r="E11" s="22"/>
      <c r="F11" s="23"/>
      <c r="G11" s="23"/>
      <c r="H11" s="23"/>
      <c r="I11" s="31" t="str">
        <f aca="false">IF($A11="","",COUNTIFS('Cleans Log'!$C$5:$C$1004,$A11,'Cleans Log'!$O$5:$O$1004,"&gt;0"))</f>
        <v/>
      </c>
      <c r="J11" s="28" t="str">
        <f aca="false">IF($A11="","",SUMIFS('Cleans Log'!$O$5:$O$1004,'Cleans Log'!$C$5:$C$1004,$A11))</f>
        <v/>
      </c>
      <c r="K11" s="23"/>
    </row>
    <row r="12" customFormat="false" ht="15" hidden="false" customHeight="false" outlineLevel="0" collapsed="false">
      <c r="A12" s="23"/>
      <c r="B12" s="23"/>
      <c r="C12" s="44"/>
      <c r="D12" s="23"/>
      <c r="E12" s="22"/>
      <c r="F12" s="23"/>
      <c r="G12" s="23"/>
      <c r="H12" s="23"/>
      <c r="I12" s="31" t="str">
        <f aca="false">IF($A12="","",COUNTIFS('Cleans Log'!$C$5:$C$1004,$A12,'Cleans Log'!$O$5:$O$1004,"&gt;0"))</f>
        <v/>
      </c>
      <c r="J12" s="28" t="str">
        <f aca="false">IF($A12="","",SUMIFS('Cleans Log'!$O$5:$O$1004,'Cleans Log'!$C$5:$C$1004,$A12))</f>
        <v/>
      </c>
      <c r="K12" s="23"/>
    </row>
    <row r="13" customFormat="false" ht="15" hidden="false" customHeight="false" outlineLevel="0" collapsed="false">
      <c r="A13" s="23"/>
      <c r="B13" s="23"/>
      <c r="C13" s="44"/>
      <c r="D13" s="23"/>
      <c r="E13" s="22"/>
      <c r="F13" s="23"/>
      <c r="G13" s="23"/>
      <c r="H13" s="23"/>
      <c r="I13" s="31" t="str">
        <f aca="false">IF($A13="","",COUNTIFS('Cleans Log'!$C$5:$C$1004,$A13,'Cleans Log'!$O$5:$O$1004,"&gt;0"))</f>
        <v/>
      </c>
      <c r="J13" s="28" t="str">
        <f aca="false">IF($A13="","",SUMIFS('Cleans Log'!$O$5:$O$1004,'Cleans Log'!$C$5:$C$1004,$A13))</f>
        <v/>
      </c>
      <c r="K13" s="23"/>
    </row>
    <row r="14" customFormat="false" ht="15" hidden="false" customHeight="false" outlineLevel="0" collapsed="false">
      <c r="A14" s="23"/>
      <c r="B14" s="23"/>
      <c r="C14" s="44"/>
      <c r="D14" s="23"/>
      <c r="E14" s="22"/>
      <c r="F14" s="23"/>
      <c r="G14" s="23"/>
      <c r="H14" s="23"/>
      <c r="I14" s="31" t="str">
        <f aca="false">IF($A14="","",COUNTIFS('Cleans Log'!$C$5:$C$1004,$A14,'Cleans Log'!$O$5:$O$1004,"&gt;0"))</f>
        <v/>
      </c>
      <c r="J14" s="28" t="str">
        <f aca="false">IF($A14="","",SUMIFS('Cleans Log'!$O$5:$O$1004,'Cleans Log'!$C$5:$C$1004,$A14))</f>
        <v/>
      </c>
      <c r="K14" s="23"/>
    </row>
    <row r="15" customFormat="false" ht="15" hidden="false" customHeight="false" outlineLevel="0" collapsed="false">
      <c r="A15" s="23"/>
      <c r="B15" s="23"/>
      <c r="C15" s="44"/>
      <c r="D15" s="23"/>
      <c r="E15" s="22"/>
      <c r="F15" s="23"/>
      <c r="G15" s="23"/>
      <c r="H15" s="23"/>
      <c r="I15" s="31" t="str">
        <f aca="false">IF($A15="","",COUNTIFS('Cleans Log'!$C$5:$C$1004,$A15,'Cleans Log'!$O$5:$O$1004,"&gt;0"))</f>
        <v/>
      </c>
      <c r="J15" s="28" t="str">
        <f aca="false">IF($A15="","",SUMIFS('Cleans Log'!$O$5:$O$1004,'Cleans Log'!$C$5:$C$1004,$A15))</f>
        <v/>
      </c>
      <c r="K15" s="23"/>
    </row>
    <row r="16" customFormat="false" ht="15" hidden="false" customHeight="false" outlineLevel="0" collapsed="false">
      <c r="A16" s="23"/>
      <c r="B16" s="23"/>
      <c r="C16" s="44"/>
      <c r="D16" s="23"/>
      <c r="E16" s="22"/>
      <c r="F16" s="23"/>
      <c r="G16" s="23"/>
      <c r="H16" s="23"/>
      <c r="I16" s="31" t="str">
        <f aca="false">IF($A16="","",COUNTIFS('Cleans Log'!$C$5:$C$1004,$A16,'Cleans Log'!$O$5:$O$1004,"&gt;0"))</f>
        <v/>
      </c>
      <c r="J16" s="28" t="str">
        <f aca="false">IF($A16="","",SUMIFS('Cleans Log'!$O$5:$O$1004,'Cleans Log'!$C$5:$C$1004,$A16))</f>
        <v/>
      </c>
      <c r="K16" s="23"/>
    </row>
    <row r="17" customFormat="false" ht="15" hidden="false" customHeight="false" outlineLevel="0" collapsed="false">
      <c r="A17" s="23"/>
      <c r="B17" s="23"/>
      <c r="C17" s="44"/>
      <c r="D17" s="23"/>
      <c r="E17" s="22"/>
      <c r="F17" s="23"/>
      <c r="G17" s="23"/>
      <c r="H17" s="23"/>
      <c r="I17" s="31" t="str">
        <f aca="false">IF($A17="","",COUNTIFS('Cleans Log'!$C$5:$C$1004,$A17,'Cleans Log'!$O$5:$O$1004,"&gt;0"))</f>
        <v/>
      </c>
      <c r="J17" s="28" t="str">
        <f aca="false">IF($A17="","",SUMIFS('Cleans Log'!$O$5:$O$1004,'Cleans Log'!$C$5:$C$1004,$A17))</f>
        <v/>
      </c>
      <c r="K17" s="23"/>
    </row>
    <row r="18" customFormat="false" ht="15" hidden="false" customHeight="false" outlineLevel="0" collapsed="false">
      <c r="A18" s="23"/>
      <c r="B18" s="23"/>
      <c r="C18" s="44"/>
      <c r="D18" s="23"/>
      <c r="E18" s="22"/>
      <c r="F18" s="23"/>
      <c r="G18" s="23"/>
      <c r="H18" s="23"/>
      <c r="I18" s="31" t="str">
        <f aca="false">IF($A18="","",COUNTIFS('Cleans Log'!$C$5:$C$1004,$A18,'Cleans Log'!$O$5:$O$1004,"&gt;0"))</f>
        <v/>
      </c>
      <c r="J18" s="28" t="str">
        <f aca="false">IF($A18="","",SUMIFS('Cleans Log'!$O$5:$O$1004,'Cleans Log'!$C$5:$C$1004,$A18))</f>
        <v/>
      </c>
      <c r="K18" s="23"/>
    </row>
    <row r="19" customFormat="false" ht="15" hidden="false" customHeight="false" outlineLevel="0" collapsed="false">
      <c r="A19" s="23"/>
      <c r="B19" s="23"/>
      <c r="C19" s="44"/>
      <c r="D19" s="23"/>
      <c r="E19" s="22"/>
      <c r="F19" s="23"/>
      <c r="G19" s="23"/>
      <c r="H19" s="23"/>
      <c r="I19" s="31" t="str">
        <f aca="false">IF($A19="","",COUNTIFS('Cleans Log'!$C$5:$C$1004,$A19,'Cleans Log'!$O$5:$O$1004,"&gt;0"))</f>
        <v/>
      </c>
      <c r="J19" s="28" t="str">
        <f aca="false">IF($A19="","",SUMIFS('Cleans Log'!$O$5:$O$1004,'Cleans Log'!$C$5:$C$1004,$A19))</f>
        <v/>
      </c>
      <c r="K19" s="23"/>
    </row>
    <row r="20" customFormat="false" ht="15" hidden="false" customHeight="false" outlineLevel="0" collapsed="false">
      <c r="A20" s="23"/>
      <c r="B20" s="23"/>
      <c r="C20" s="44"/>
      <c r="D20" s="23"/>
      <c r="E20" s="22"/>
      <c r="F20" s="23"/>
      <c r="G20" s="23"/>
      <c r="H20" s="23"/>
      <c r="I20" s="31" t="str">
        <f aca="false">IF($A20="","",COUNTIFS('Cleans Log'!$C$5:$C$1004,$A20,'Cleans Log'!$O$5:$O$1004,"&gt;0"))</f>
        <v/>
      </c>
      <c r="J20" s="28" t="str">
        <f aca="false">IF($A20="","",SUMIFS('Cleans Log'!$O$5:$O$1004,'Cleans Log'!$C$5:$C$1004,$A20))</f>
        <v/>
      </c>
      <c r="K20" s="23"/>
    </row>
    <row r="21" customFormat="false" ht="15" hidden="false" customHeight="false" outlineLevel="0" collapsed="false">
      <c r="A21" s="23"/>
      <c r="B21" s="23"/>
      <c r="C21" s="44"/>
      <c r="D21" s="23"/>
      <c r="E21" s="22"/>
      <c r="F21" s="23"/>
      <c r="G21" s="23"/>
      <c r="H21" s="23"/>
      <c r="I21" s="31" t="str">
        <f aca="false">IF($A21="","",COUNTIFS('Cleans Log'!$C$5:$C$1004,$A21,'Cleans Log'!$O$5:$O$1004,"&gt;0"))</f>
        <v/>
      </c>
      <c r="J21" s="28" t="str">
        <f aca="false">IF($A21="","",SUMIFS('Cleans Log'!$O$5:$O$1004,'Cleans Log'!$C$5:$C$1004,$A21))</f>
        <v/>
      </c>
      <c r="K21" s="23"/>
    </row>
    <row r="22" customFormat="false" ht="15" hidden="false" customHeight="false" outlineLevel="0" collapsed="false">
      <c r="A22" s="23"/>
      <c r="B22" s="23"/>
      <c r="C22" s="44"/>
      <c r="D22" s="23"/>
      <c r="E22" s="22"/>
      <c r="F22" s="23"/>
      <c r="G22" s="23"/>
      <c r="H22" s="23"/>
      <c r="I22" s="31" t="str">
        <f aca="false">IF($A22="","",COUNTIFS('Cleans Log'!$C$5:$C$1004,$A22,'Cleans Log'!$O$5:$O$1004,"&gt;0"))</f>
        <v/>
      </c>
      <c r="J22" s="28" t="str">
        <f aca="false">IF($A22="","",SUMIFS('Cleans Log'!$O$5:$O$1004,'Cleans Log'!$C$5:$C$1004,$A22))</f>
        <v/>
      </c>
      <c r="K22" s="23"/>
    </row>
    <row r="23" customFormat="false" ht="15" hidden="false" customHeight="false" outlineLevel="0" collapsed="false">
      <c r="A23" s="23"/>
      <c r="B23" s="23"/>
      <c r="C23" s="44"/>
      <c r="D23" s="23"/>
      <c r="E23" s="22"/>
      <c r="F23" s="23"/>
      <c r="G23" s="23"/>
      <c r="H23" s="23"/>
      <c r="I23" s="31" t="str">
        <f aca="false">IF($A23="","",COUNTIFS('Cleans Log'!$C$5:$C$1004,$A23,'Cleans Log'!$O$5:$O$1004,"&gt;0"))</f>
        <v/>
      </c>
      <c r="J23" s="28" t="str">
        <f aca="false">IF($A23="","",SUMIFS('Cleans Log'!$O$5:$O$1004,'Cleans Log'!$C$5:$C$1004,$A23))</f>
        <v/>
      </c>
      <c r="K23" s="23"/>
    </row>
    <row r="24" customFormat="false" ht="15" hidden="false" customHeight="false" outlineLevel="0" collapsed="false">
      <c r="A24" s="23"/>
      <c r="B24" s="23"/>
      <c r="C24" s="44"/>
      <c r="D24" s="23"/>
      <c r="E24" s="22"/>
      <c r="F24" s="23"/>
      <c r="G24" s="23"/>
      <c r="H24" s="23"/>
      <c r="I24" s="31" t="str">
        <f aca="false">IF($A24="","",COUNTIFS('Cleans Log'!$C$5:$C$1004,$A24,'Cleans Log'!$O$5:$O$1004,"&gt;0"))</f>
        <v/>
      </c>
      <c r="J24" s="28" t="str">
        <f aca="false">IF($A24="","",SUMIFS('Cleans Log'!$O$5:$O$1004,'Cleans Log'!$C$5:$C$1004,$A24))</f>
        <v/>
      </c>
      <c r="K24" s="23"/>
    </row>
    <row r="25" customFormat="false" ht="15" hidden="false" customHeight="false" outlineLevel="0" collapsed="false">
      <c r="A25" s="23"/>
      <c r="B25" s="23"/>
      <c r="C25" s="44"/>
      <c r="D25" s="23"/>
      <c r="E25" s="22"/>
      <c r="F25" s="23"/>
      <c r="G25" s="23"/>
      <c r="H25" s="23"/>
      <c r="I25" s="31" t="str">
        <f aca="false">IF($A25="","",COUNTIFS('Cleans Log'!$C$5:$C$1004,$A25,'Cleans Log'!$O$5:$O$1004,"&gt;0"))</f>
        <v/>
      </c>
      <c r="J25" s="28" t="str">
        <f aca="false">IF($A25="","",SUMIFS('Cleans Log'!$O$5:$O$1004,'Cleans Log'!$C$5:$C$1004,$A25))</f>
        <v/>
      </c>
      <c r="K25" s="23"/>
    </row>
    <row r="26" customFormat="false" ht="15" hidden="false" customHeight="false" outlineLevel="0" collapsed="false">
      <c r="A26" s="23"/>
      <c r="B26" s="23"/>
      <c r="C26" s="44"/>
      <c r="D26" s="23"/>
      <c r="E26" s="22"/>
      <c r="F26" s="23"/>
      <c r="G26" s="23"/>
      <c r="H26" s="23"/>
      <c r="I26" s="31" t="str">
        <f aca="false">IF($A26="","",COUNTIFS('Cleans Log'!$C$5:$C$1004,$A26,'Cleans Log'!$O$5:$O$1004,"&gt;0"))</f>
        <v/>
      </c>
      <c r="J26" s="28" t="str">
        <f aca="false">IF($A26="","",SUMIFS('Cleans Log'!$O$5:$O$1004,'Cleans Log'!$C$5:$C$1004,$A26))</f>
        <v/>
      </c>
      <c r="K26" s="23"/>
    </row>
    <row r="27" customFormat="false" ht="15" hidden="false" customHeight="false" outlineLevel="0" collapsed="false">
      <c r="A27" s="23"/>
      <c r="B27" s="23"/>
      <c r="C27" s="44"/>
      <c r="D27" s="23"/>
      <c r="E27" s="22"/>
      <c r="F27" s="23"/>
      <c r="G27" s="23"/>
      <c r="H27" s="23"/>
      <c r="I27" s="31" t="str">
        <f aca="false">IF($A27="","",COUNTIFS('Cleans Log'!$C$5:$C$1004,$A27,'Cleans Log'!$O$5:$O$1004,"&gt;0"))</f>
        <v/>
      </c>
      <c r="J27" s="28" t="str">
        <f aca="false">IF($A27="","",SUMIFS('Cleans Log'!$O$5:$O$1004,'Cleans Log'!$C$5:$C$1004,$A27))</f>
        <v/>
      </c>
      <c r="K27" s="23"/>
    </row>
    <row r="28" customFormat="false" ht="15" hidden="false" customHeight="false" outlineLevel="0" collapsed="false">
      <c r="A28" s="23"/>
      <c r="B28" s="23"/>
      <c r="C28" s="44"/>
      <c r="D28" s="23"/>
      <c r="E28" s="22"/>
      <c r="F28" s="23"/>
      <c r="G28" s="23"/>
      <c r="H28" s="23"/>
      <c r="I28" s="31" t="str">
        <f aca="false">IF($A28="","",COUNTIFS('Cleans Log'!$C$5:$C$1004,$A28,'Cleans Log'!$O$5:$O$1004,"&gt;0"))</f>
        <v/>
      </c>
      <c r="J28" s="28" t="str">
        <f aca="false">IF($A28="","",SUMIFS('Cleans Log'!$O$5:$O$1004,'Cleans Log'!$C$5:$C$1004,$A28))</f>
        <v/>
      </c>
      <c r="K28" s="23"/>
    </row>
    <row r="29" customFormat="false" ht="15" hidden="false" customHeight="false" outlineLevel="0" collapsed="false">
      <c r="A29" s="23"/>
      <c r="B29" s="23"/>
      <c r="C29" s="44"/>
      <c r="D29" s="23"/>
      <c r="E29" s="22"/>
      <c r="F29" s="23"/>
      <c r="G29" s="23"/>
      <c r="H29" s="23"/>
      <c r="I29" s="31" t="str">
        <f aca="false">IF($A29="","",COUNTIFS('Cleans Log'!$C$5:$C$1004,$A29,'Cleans Log'!$O$5:$O$1004,"&gt;0"))</f>
        <v/>
      </c>
      <c r="J29" s="28" t="str">
        <f aca="false">IF($A29="","",SUMIFS('Cleans Log'!$O$5:$O$1004,'Cleans Log'!$C$5:$C$1004,$A29))</f>
        <v/>
      </c>
      <c r="K29" s="23"/>
    </row>
    <row r="30" customFormat="false" ht="15" hidden="false" customHeight="false" outlineLevel="0" collapsed="false">
      <c r="A30" s="23"/>
      <c r="B30" s="23"/>
      <c r="C30" s="44"/>
      <c r="D30" s="23"/>
      <c r="E30" s="22"/>
      <c r="F30" s="23"/>
      <c r="G30" s="23"/>
      <c r="H30" s="23"/>
      <c r="I30" s="31" t="str">
        <f aca="false">IF($A30="","",COUNTIFS('Cleans Log'!$C$5:$C$1004,$A30,'Cleans Log'!$O$5:$O$1004,"&gt;0"))</f>
        <v/>
      </c>
      <c r="J30" s="28" t="str">
        <f aca="false">IF($A30="","",SUMIFS('Cleans Log'!$O$5:$O$1004,'Cleans Log'!$C$5:$C$1004,$A30))</f>
        <v/>
      </c>
      <c r="K30" s="23"/>
    </row>
    <row r="31" customFormat="false" ht="15" hidden="false" customHeight="false" outlineLevel="0" collapsed="false">
      <c r="A31" s="23"/>
      <c r="B31" s="23"/>
      <c r="C31" s="44"/>
      <c r="D31" s="23"/>
      <c r="E31" s="22"/>
      <c r="F31" s="23"/>
      <c r="G31" s="23"/>
      <c r="H31" s="23"/>
      <c r="I31" s="31" t="str">
        <f aca="false">IF($A31="","",COUNTIFS('Cleans Log'!$C$5:$C$1004,$A31,'Cleans Log'!$O$5:$O$1004,"&gt;0"))</f>
        <v/>
      </c>
      <c r="J31" s="28" t="str">
        <f aca="false">IF($A31="","",SUMIFS('Cleans Log'!$O$5:$O$1004,'Cleans Log'!$C$5:$C$1004,$A31))</f>
        <v/>
      </c>
      <c r="K31" s="23"/>
    </row>
    <row r="32" customFormat="false" ht="15" hidden="false" customHeight="false" outlineLevel="0" collapsed="false">
      <c r="A32" s="23"/>
      <c r="B32" s="23"/>
      <c r="C32" s="44"/>
      <c r="D32" s="23"/>
      <c r="E32" s="22"/>
      <c r="F32" s="23"/>
      <c r="G32" s="23"/>
      <c r="H32" s="23"/>
      <c r="I32" s="31" t="str">
        <f aca="false">IF($A32="","",COUNTIFS('Cleans Log'!$C$5:$C$1004,$A32,'Cleans Log'!$O$5:$O$1004,"&gt;0"))</f>
        <v/>
      </c>
      <c r="J32" s="28" t="str">
        <f aca="false">IF($A32="","",SUMIFS('Cleans Log'!$O$5:$O$1004,'Cleans Log'!$C$5:$C$1004,$A32))</f>
        <v/>
      </c>
      <c r="K32" s="23"/>
    </row>
    <row r="33" customFormat="false" ht="15" hidden="false" customHeight="false" outlineLevel="0" collapsed="false">
      <c r="A33" s="23"/>
      <c r="B33" s="23"/>
      <c r="C33" s="44"/>
      <c r="D33" s="23"/>
      <c r="E33" s="22"/>
      <c r="F33" s="23"/>
      <c r="G33" s="23"/>
      <c r="H33" s="23"/>
      <c r="I33" s="31" t="str">
        <f aca="false">IF($A33="","",COUNTIFS('Cleans Log'!$C$5:$C$1004,$A33,'Cleans Log'!$O$5:$O$1004,"&gt;0"))</f>
        <v/>
      </c>
      <c r="J33" s="28" t="str">
        <f aca="false">IF($A33="","",SUMIFS('Cleans Log'!$O$5:$O$1004,'Cleans Log'!$C$5:$C$1004,$A33))</f>
        <v/>
      </c>
      <c r="K33" s="23"/>
    </row>
    <row r="34" customFormat="false" ht="15" hidden="false" customHeight="false" outlineLevel="0" collapsed="false">
      <c r="A34" s="23"/>
      <c r="B34" s="23"/>
      <c r="C34" s="44"/>
      <c r="D34" s="23"/>
      <c r="E34" s="22"/>
      <c r="F34" s="23"/>
      <c r="G34" s="23"/>
      <c r="H34" s="23"/>
      <c r="I34" s="31" t="str">
        <f aca="false">IF($A34="","",COUNTIFS('Cleans Log'!$C$5:$C$1004,$A34,'Cleans Log'!$O$5:$O$1004,"&gt;0"))</f>
        <v/>
      </c>
      <c r="J34" s="28" t="str">
        <f aca="false">IF($A34="","",SUMIFS('Cleans Log'!$O$5:$O$1004,'Cleans Log'!$C$5:$C$1004,$A34))</f>
        <v/>
      </c>
      <c r="K34" s="23"/>
    </row>
  </sheetData>
  <dataValidations count="2">
    <dataValidation allowBlank="true" errorStyle="stop" operator="between" showDropDown="false" showErrorMessage="false" showInputMessage="false" sqref="D5:D34" type="list">
      <formula1>Settings!$I$22:$I$23</formula1>
      <formula2>0</formula2>
    </dataValidation>
    <dataValidation allowBlank="true" errorStyle="stop" operator="between" showDropDown="false" showErrorMessage="false" showInputMessage="false" sqref="F5:F34" type="list">
      <formula1>Settings!$I$22:$I$23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890F"/>
    <pageSetUpPr fitToPage="false"/>
  </sheetPr>
  <dimension ref="A1:I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7" min="5" style="0" width="11"/>
    <col collapsed="false" customWidth="true" hidden="false" outlineLevel="0" max="8" min="8" style="0" width="30"/>
    <col collapsed="false" customWidth="true" hidden="false" outlineLevel="0" max="9" min="9" style="0" width="42"/>
  </cols>
  <sheetData>
    <row r="1" customFormat="false" ht="19.7" hidden="false" customHeight="false" outlineLevel="0" collapsed="false">
      <c r="A1" s="1" t="s">
        <v>287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288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31.5" hidden="false" customHeight="true" outlineLevel="0" collapsed="false">
      <c r="A4" s="20" t="s">
        <v>128</v>
      </c>
      <c r="B4" s="20" t="s">
        <v>129</v>
      </c>
      <c r="C4" s="20" t="s">
        <v>289</v>
      </c>
      <c r="D4" s="20" t="s">
        <v>290</v>
      </c>
      <c r="E4" s="20" t="s">
        <v>291</v>
      </c>
      <c r="F4" s="21" t="s">
        <v>292</v>
      </c>
      <c r="G4" s="20" t="s">
        <v>293</v>
      </c>
      <c r="H4" s="20" t="s">
        <v>294</v>
      </c>
      <c r="I4" s="20" t="s">
        <v>295</v>
      </c>
    </row>
    <row r="5" customFormat="false" ht="15" hidden="false" customHeight="false" outlineLevel="0" collapsed="false">
      <c r="A5" s="23" t="s">
        <v>137</v>
      </c>
      <c r="B5" s="23" t="s">
        <v>296</v>
      </c>
      <c r="C5" s="23" t="s">
        <v>297</v>
      </c>
      <c r="D5" s="32" t="n">
        <v>36</v>
      </c>
      <c r="E5" s="25" t="n">
        <v>18.9</v>
      </c>
      <c r="F5" s="45" t="n">
        <f aca="false">IF(OR($A5="",N($D5)=0),"",$E5/$D5)</f>
        <v>0.525</v>
      </c>
      <c r="G5" s="23" t="s">
        <v>119</v>
      </c>
      <c r="H5" s="23" t="s">
        <v>298</v>
      </c>
      <c r="I5" s="23" t="s">
        <v>299</v>
      </c>
    </row>
    <row r="6" customFormat="false" ht="15" hidden="false" customHeight="false" outlineLevel="0" collapsed="false">
      <c r="A6" s="23" t="s">
        <v>138</v>
      </c>
      <c r="B6" s="23" t="s">
        <v>300</v>
      </c>
      <c r="C6" s="23" t="s">
        <v>301</v>
      </c>
      <c r="D6" s="32" t="n">
        <v>12</v>
      </c>
      <c r="E6" s="25" t="n">
        <v>12</v>
      </c>
      <c r="F6" s="45" t="n">
        <f aca="false">IF(OR($A6="",N($D6)=0),"",$E6/$D6)</f>
        <v>1</v>
      </c>
      <c r="G6" s="23" t="s">
        <v>119</v>
      </c>
      <c r="H6" s="23" t="s">
        <v>302</v>
      </c>
      <c r="I6" s="23" t="s">
        <v>303</v>
      </c>
    </row>
    <row r="7" customFormat="false" ht="15" hidden="false" customHeight="false" outlineLevel="0" collapsed="false">
      <c r="A7" s="23" t="s">
        <v>139</v>
      </c>
      <c r="B7" s="23" t="s">
        <v>304</v>
      </c>
      <c r="C7" s="23" t="s">
        <v>297</v>
      </c>
      <c r="D7" s="32" t="n">
        <v>6</v>
      </c>
      <c r="E7" s="25" t="n">
        <v>9</v>
      </c>
      <c r="F7" s="45" t="n">
        <f aca="false">IF(OR($A7="",N($D7)=0),"",$E7/$D7)</f>
        <v>1.5</v>
      </c>
      <c r="G7" s="23" t="s">
        <v>119</v>
      </c>
      <c r="H7" s="23" t="s">
        <v>305</v>
      </c>
      <c r="I7" s="23" t="s">
        <v>303</v>
      </c>
    </row>
    <row r="8" customFormat="false" ht="15" hidden="false" customHeight="false" outlineLevel="0" collapsed="false">
      <c r="A8" s="23" t="s">
        <v>140</v>
      </c>
      <c r="B8" s="23" t="s">
        <v>306</v>
      </c>
      <c r="C8" s="23" t="s">
        <v>297</v>
      </c>
      <c r="D8" s="32" t="n">
        <v>50</v>
      </c>
      <c r="E8" s="25" t="n">
        <v>12</v>
      </c>
      <c r="F8" s="45" t="n">
        <f aca="false">IF(OR($A8="",N($D8)=0),"",$E8/$D8)</f>
        <v>0.24</v>
      </c>
      <c r="G8" s="23" t="s">
        <v>119</v>
      </c>
      <c r="H8" s="23" t="s">
        <v>307</v>
      </c>
      <c r="I8" s="23" t="s">
        <v>303</v>
      </c>
    </row>
    <row r="9" customFormat="false" ht="15" hidden="false" customHeight="false" outlineLevel="0" collapsed="false">
      <c r="A9" s="23" t="s">
        <v>141</v>
      </c>
      <c r="B9" s="23" t="s">
        <v>308</v>
      </c>
      <c r="C9" s="23" t="s">
        <v>297</v>
      </c>
      <c r="D9" s="32" t="n">
        <v>50</v>
      </c>
      <c r="E9" s="25" t="n">
        <v>12</v>
      </c>
      <c r="F9" s="45" t="n">
        <f aca="false">IF(OR($A9="",N($D9)=0),"",$E9/$D9)</f>
        <v>0.24</v>
      </c>
      <c r="G9" s="23" t="s">
        <v>119</v>
      </c>
      <c r="H9" s="23" t="s">
        <v>307</v>
      </c>
      <c r="I9" s="23" t="s">
        <v>303</v>
      </c>
    </row>
    <row r="10" customFormat="false" ht="15" hidden="false" customHeight="false" outlineLevel="0" collapsed="false">
      <c r="A10" s="23" t="s">
        <v>142</v>
      </c>
      <c r="B10" s="23" t="s">
        <v>309</v>
      </c>
      <c r="C10" s="23" t="s">
        <v>297</v>
      </c>
      <c r="D10" s="32" t="n">
        <v>50</v>
      </c>
      <c r="E10" s="25" t="n">
        <v>12</v>
      </c>
      <c r="F10" s="45" t="n">
        <f aca="false">IF(OR($A10="",N($D10)=0),"",$E10/$D10)</f>
        <v>0.24</v>
      </c>
      <c r="G10" s="23" t="s">
        <v>119</v>
      </c>
      <c r="H10" s="23" t="s">
        <v>307</v>
      </c>
      <c r="I10" s="23" t="s">
        <v>303</v>
      </c>
    </row>
    <row r="11" customFormat="false" ht="15" hidden="false" customHeight="false" outlineLevel="0" collapsed="false">
      <c r="A11" s="23" t="s">
        <v>143</v>
      </c>
      <c r="B11" s="23" t="s">
        <v>310</v>
      </c>
      <c r="C11" s="23" t="s">
        <v>301</v>
      </c>
      <c r="D11" s="32" t="n">
        <v>100</v>
      </c>
      <c r="E11" s="25" t="n">
        <v>15</v>
      </c>
      <c r="F11" s="45" t="n">
        <f aca="false">IF(OR($A11="",N($D11)=0),"",$E11/$D11)</f>
        <v>0.15</v>
      </c>
      <c r="G11" s="23" t="s">
        <v>119</v>
      </c>
      <c r="H11" s="23" t="s">
        <v>311</v>
      </c>
      <c r="I11" s="23" t="s">
        <v>303</v>
      </c>
    </row>
    <row r="12" customFormat="false" ht="15" hidden="false" customHeight="false" outlineLevel="0" collapsed="false">
      <c r="A12" s="23" t="s">
        <v>144</v>
      </c>
      <c r="B12" s="23" t="s">
        <v>312</v>
      </c>
      <c r="C12" s="23" t="s">
        <v>301</v>
      </c>
      <c r="D12" s="32" t="n">
        <v>6</v>
      </c>
      <c r="E12" s="25" t="n">
        <v>6</v>
      </c>
      <c r="F12" s="45" t="n">
        <f aca="false">IF(OR($A12="",N($D12)=0),"",$E12/$D12)</f>
        <v>1</v>
      </c>
      <c r="G12" s="23" t="s">
        <v>119</v>
      </c>
      <c r="H12" s="23" t="s">
        <v>313</v>
      </c>
      <c r="I12" s="23" t="s">
        <v>303</v>
      </c>
    </row>
    <row r="13" customFormat="false" ht="15" hidden="false" customHeight="false" outlineLevel="0" collapsed="false">
      <c r="A13" s="23" t="s">
        <v>145</v>
      </c>
      <c r="B13" s="23" t="s">
        <v>314</v>
      </c>
      <c r="C13" s="23" t="s">
        <v>301</v>
      </c>
      <c r="D13" s="32" t="n">
        <v>10</v>
      </c>
      <c r="E13" s="25" t="n">
        <v>3</v>
      </c>
      <c r="F13" s="45" t="n">
        <f aca="false">IF(OR($A13="",N($D13)=0),"",$E13/$D13)</f>
        <v>0.3</v>
      </c>
      <c r="G13" s="23" t="s">
        <v>119</v>
      </c>
      <c r="H13" s="23" t="s">
        <v>315</v>
      </c>
      <c r="I13" s="23" t="s">
        <v>303</v>
      </c>
    </row>
    <row r="14" customFormat="false" ht="15" hidden="false" customHeight="false" outlineLevel="0" collapsed="false">
      <c r="A14" s="23" t="s">
        <v>146</v>
      </c>
      <c r="B14" s="23" t="s">
        <v>316</v>
      </c>
      <c r="C14" s="23" t="s">
        <v>301</v>
      </c>
      <c r="D14" s="32" t="n">
        <v>100</v>
      </c>
      <c r="E14" s="25" t="n">
        <v>8</v>
      </c>
      <c r="F14" s="45" t="n">
        <f aca="false">IF(OR($A14="",N($D14)=0),"",$E14/$D14)</f>
        <v>0.08</v>
      </c>
      <c r="G14" s="23" t="s">
        <v>119</v>
      </c>
      <c r="H14" s="23" t="s">
        <v>313</v>
      </c>
      <c r="I14" s="23" t="s">
        <v>303</v>
      </c>
    </row>
    <row r="15" customFormat="false" ht="15" hidden="false" customHeight="false" outlineLevel="0" collapsed="false">
      <c r="A15" s="23" t="s">
        <v>147</v>
      </c>
      <c r="B15" s="23" t="s">
        <v>317</v>
      </c>
      <c r="C15" s="23" t="s">
        <v>318</v>
      </c>
      <c r="D15" s="32" t="n">
        <v>240</v>
      </c>
      <c r="E15" s="25" t="n">
        <v>6</v>
      </c>
      <c r="F15" s="45" t="n">
        <f aca="false">IF(OR($A15="",N($D15)=0),"",$E15/$D15)</f>
        <v>0.025</v>
      </c>
      <c r="G15" s="23" t="s">
        <v>119</v>
      </c>
      <c r="H15" s="23" t="s">
        <v>319</v>
      </c>
      <c r="I15" s="23" t="s">
        <v>303</v>
      </c>
    </row>
    <row r="16" customFormat="false" ht="15" hidden="false" customHeight="false" outlineLevel="0" collapsed="false">
      <c r="A16" s="23" t="s">
        <v>148</v>
      </c>
      <c r="B16" s="23" t="s">
        <v>320</v>
      </c>
      <c r="C16" s="23" t="s">
        <v>318</v>
      </c>
      <c r="D16" s="32" t="n">
        <v>100</v>
      </c>
      <c r="E16" s="25" t="n">
        <v>15</v>
      </c>
      <c r="F16" s="45" t="n">
        <f aca="false">IF(OR($A16="",N($D16)=0),"",$E16/$D16)</f>
        <v>0.15</v>
      </c>
      <c r="G16" s="23" t="s">
        <v>119</v>
      </c>
      <c r="H16" s="23" t="s">
        <v>321</v>
      </c>
      <c r="I16" s="23" t="s">
        <v>303</v>
      </c>
    </row>
    <row r="17" customFormat="false" ht="15" hidden="false" customHeight="false" outlineLevel="0" collapsed="false">
      <c r="A17" s="23" t="s">
        <v>149</v>
      </c>
      <c r="B17" s="23" t="s">
        <v>322</v>
      </c>
      <c r="C17" s="23" t="s">
        <v>318</v>
      </c>
      <c r="D17" s="32" t="n">
        <v>1000</v>
      </c>
      <c r="E17" s="25" t="n">
        <v>10</v>
      </c>
      <c r="F17" s="45" t="n">
        <f aca="false">IF(OR($A17="",N($D17)=0),"",$E17/$D17)</f>
        <v>0.01</v>
      </c>
      <c r="G17" s="23" t="s">
        <v>119</v>
      </c>
      <c r="H17" s="23" t="s">
        <v>323</v>
      </c>
      <c r="I17" s="23" t="s">
        <v>303</v>
      </c>
    </row>
    <row r="18" customFormat="false" ht="15" hidden="false" customHeight="false" outlineLevel="0" collapsed="false">
      <c r="A18" s="23" t="s">
        <v>150</v>
      </c>
      <c r="B18" s="23" t="s">
        <v>170</v>
      </c>
      <c r="C18" s="23" t="s">
        <v>318</v>
      </c>
      <c r="D18" s="32" t="n">
        <v>120</v>
      </c>
      <c r="E18" s="25" t="n">
        <v>9</v>
      </c>
      <c r="F18" s="45" t="n">
        <f aca="false">IF(OR($A18="",N($D18)=0),"",$E18/$D18)</f>
        <v>0.075</v>
      </c>
      <c r="G18" s="23" t="s">
        <v>119</v>
      </c>
      <c r="H18" s="23" t="s">
        <v>323</v>
      </c>
      <c r="I18" s="23" t="s">
        <v>303</v>
      </c>
    </row>
    <row r="19" customFormat="false" ht="15" hidden="false" customHeight="false" outlineLevel="0" collapsed="false">
      <c r="A19" s="23" t="s">
        <v>151</v>
      </c>
      <c r="B19" s="23" t="s">
        <v>324</v>
      </c>
      <c r="C19" s="23" t="s">
        <v>325</v>
      </c>
      <c r="D19" s="32" t="n">
        <v>60</v>
      </c>
      <c r="E19" s="25" t="n">
        <v>12</v>
      </c>
      <c r="F19" s="45" t="n">
        <f aca="false">IF(OR($A19="",N($D19)=0),"",$E19/$D19)</f>
        <v>0.2</v>
      </c>
      <c r="G19" s="23" t="s">
        <v>119</v>
      </c>
      <c r="H19" s="23" t="s">
        <v>326</v>
      </c>
      <c r="I19" s="23" t="s">
        <v>303</v>
      </c>
    </row>
    <row r="20" customFormat="false" ht="15" hidden="false" customHeight="false" outlineLevel="0" collapsed="false">
      <c r="A20" s="23" t="s">
        <v>327</v>
      </c>
      <c r="B20" s="23" t="s">
        <v>328</v>
      </c>
      <c r="C20" s="23" t="s">
        <v>214</v>
      </c>
      <c r="D20" s="32" t="n">
        <v>1</v>
      </c>
      <c r="E20" s="25" t="n">
        <v>8</v>
      </c>
      <c r="F20" s="45" t="n">
        <f aca="false">IF(OR($A20="",N($D20)=0),"",$E20/$D20)</f>
        <v>8</v>
      </c>
      <c r="G20" s="23" t="s">
        <v>118</v>
      </c>
      <c r="H20" s="23" t="s">
        <v>329</v>
      </c>
      <c r="I20" s="23" t="s">
        <v>303</v>
      </c>
    </row>
    <row r="21" customFormat="false" ht="15" hidden="false" customHeight="false" outlineLevel="0" collapsed="false">
      <c r="A21" s="23" t="s">
        <v>330</v>
      </c>
      <c r="B21" s="23" t="s">
        <v>331</v>
      </c>
      <c r="C21" s="23" t="s">
        <v>214</v>
      </c>
      <c r="D21" s="32" t="n">
        <v>6</v>
      </c>
      <c r="E21" s="25" t="n">
        <v>9</v>
      </c>
      <c r="F21" s="45" t="n">
        <f aca="false">IF(OR($A21="",N($D21)=0),"",$E21/$D21)</f>
        <v>1.5</v>
      </c>
      <c r="G21" s="23" t="s">
        <v>118</v>
      </c>
      <c r="H21" s="23" t="s">
        <v>313</v>
      </c>
      <c r="I21" s="23" t="s">
        <v>303</v>
      </c>
    </row>
    <row r="22" customFormat="false" ht="15" hidden="false" customHeight="false" outlineLevel="0" collapsed="false">
      <c r="A22" s="23" t="s">
        <v>332</v>
      </c>
      <c r="B22" s="23" t="s">
        <v>333</v>
      </c>
      <c r="C22" s="23" t="s">
        <v>214</v>
      </c>
      <c r="D22" s="32" t="n">
        <v>6</v>
      </c>
      <c r="E22" s="25" t="n">
        <v>7</v>
      </c>
      <c r="F22" s="45" t="n">
        <f aca="false">IF(OR($A22="",N($D22)=0),"",$E22/$D22)</f>
        <v>1.16666666666667</v>
      </c>
      <c r="G22" s="23" t="s">
        <v>118</v>
      </c>
      <c r="H22" s="23" t="s">
        <v>313</v>
      </c>
      <c r="I22" s="23" t="s">
        <v>303</v>
      </c>
    </row>
    <row r="23" customFormat="false" ht="15" hidden="false" customHeight="false" outlineLevel="0" collapsed="false">
      <c r="A23" s="23" t="s">
        <v>334</v>
      </c>
      <c r="B23" s="23" t="s">
        <v>335</v>
      </c>
      <c r="C23" s="23" t="s">
        <v>214</v>
      </c>
      <c r="D23" s="32" t="n">
        <v>6</v>
      </c>
      <c r="E23" s="25" t="n">
        <v>8</v>
      </c>
      <c r="F23" s="45" t="n">
        <f aca="false">IF(OR($A23="",N($D23)=0),"",$E23/$D23)</f>
        <v>1.33333333333333</v>
      </c>
      <c r="G23" s="23" t="s">
        <v>118</v>
      </c>
      <c r="H23" s="23" t="s">
        <v>313</v>
      </c>
      <c r="I23" s="23" t="s">
        <v>303</v>
      </c>
    </row>
    <row r="24" customFormat="false" ht="15" hidden="false" customHeight="false" outlineLevel="0" collapsed="false">
      <c r="A24" s="23" t="s">
        <v>336</v>
      </c>
      <c r="B24" s="23" t="s">
        <v>337</v>
      </c>
      <c r="C24" s="23" t="s">
        <v>214</v>
      </c>
      <c r="D24" s="32" t="n">
        <v>24</v>
      </c>
      <c r="E24" s="25" t="n">
        <v>10</v>
      </c>
      <c r="F24" s="45" t="n">
        <f aca="false">IF(OR($A24="",N($D24)=0),"",$E24/$D24)</f>
        <v>0.416666666666667</v>
      </c>
      <c r="G24" s="23" t="s">
        <v>118</v>
      </c>
      <c r="H24" s="23" t="s">
        <v>305</v>
      </c>
      <c r="I24" s="23" t="s">
        <v>303</v>
      </c>
    </row>
    <row r="25" customFormat="false" ht="15" hidden="false" customHeight="false" outlineLevel="0" collapsed="false">
      <c r="A25" s="23" t="s">
        <v>338</v>
      </c>
      <c r="B25" s="23" t="s">
        <v>339</v>
      </c>
      <c r="C25" s="23" t="s">
        <v>214</v>
      </c>
      <c r="D25" s="32" t="n">
        <v>100</v>
      </c>
      <c r="E25" s="25" t="n">
        <v>6</v>
      </c>
      <c r="F25" s="45" t="n">
        <f aca="false">IF(OR($A25="",N($D25)=0),"",$E25/$D25)</f>
        <v>0.06</v>
      </c>
      <c r="G25" s="23" t="s">
        <v>118</v>
      </c>
      <c r="H25" s="23" t="s">
        <v>340</v>
      </c>
      <c r="I25" s="23" t="s">
        <v>303</v>
      </c>
    </row>
    <row r="26" customFormat="false" ht="15" hidden="false" customHeight="false" outlineLevel="0" collapsed="false">
      <c r="A26" s="23" t="s">
        <v>152</v>
      </c>
      <c r="B26" s="23" t="s">
        <v>341</v>
      </c>
      <c r="C26" s="23" t="s">
        <v>342</v>
      </c>
      <c r="D26" s="32" t="n">
        <v>6</v>
      </c>
      <c r="E26" s="25" t="n">
        <v>9</v>
      </c>
      <c r="F26" s="45" t="n">
        <f aca="false">IF(OR($A26="",N($D26)=0),"",$E26/$D26)</f>
        <v>1.5</v>
      </c>
      <c r="G26" s="23" t="s">
        <v>119</v>
      </c>
      <c r="H26" s="23" t="s">
        <v>343</v>
      </c>
      <c r="I26" s="23" t="s">
        <v>303</v>
      </c>
    </row>
    <row r="27" customFormat="false" ht="15" hidden="false" customHeight="false" outlineLevel="0" collapsed="false">
      <c r="A27" s="23" t="s">
        <v>344</v>
      </c>
      <c r="B27" s="23" t="s">
        <v>345</v>
      </c>
      <c r="C27" s="23" t="s">
        <v>342</v>
      </c>
      <c r="D27" s="32" t="n">
        <v>6</v>
      </c>
      <c r="E27" s="25" t="n">
        <v>9</v>
      </c>
      <c r="F27" s="45" t="n">
        <f aca="false">IF(OR($A27="",N($D27)=0),"",$E27/$D27)</f>
        <v>1.5</v>
      </c>
      <c r="G27" s="23" t="s">
        <v>119</v>
      </c>
      <c r="H27" s="23" t="s">
        <v>343</v>
      </c>
      <c r="I27" s="23" t="s">
        <v>303</v>
      </c>
    </row>
    <row r="28" customFormat="false" ht="15" hidden="false" customHeight="false" outlineLevel="0" collapsed="false">
      <c r="A28" s="23" t="s">
        <v>153</v>
      </c>
      <c r="B28" s="23" t="s">
        <v>346</v>
      </c>
      <c r="C28" s="23" t="s">
        <v>342</v>
      </c>
      <c r="D28" s="32" t="n">
        <v>24</v>
      </c>
      <c r="E28" s="25" t="n">
        <v>9</v>
      </c>
      <c r="F28" s="45" t="n">
        <f aca="false">IF(OR($A28="",N($D28)=0),"",$E28/$D28)</f>
        <v>0.375</v>
      </c>
      <c r="G28" s="23" t="s">
        <v>119</v>
      </c>
      <c r="H28" s="23" t="s">
        <v>321</v>
      </c>
      <c r="I28" s="23" t="s">
        <v>303</v>
      </c>
    </row>
    <row r="29" customFormat="false" ht="15" hidden="false" customHeight="false" outlineLevel="0" collapsed="false">
      <c r="A29" s="23" t="s">
        <v>172</v>
      </c>
      <c r="B29" s="23" t="s">
        <v>347</v>
      </c>
      <c r="C29" s="23" t="s">
        <v>168</v>
      </c>
      <c r="D29" s="32" t="n">
        <v>6</v>
      </c>
      <c r="E29" s="25" t="n">
        <v>12</v>
      </c>
      <c r="F29" s="45" t="n">
        <f aca="false">IF(OR($A29="",N($D29)=0),"",$E29/$D29)</f>
        <v>2</v>
      </c>
      <c r="G29" s="23" t="s">
        <v>119</v>
      </c>
      <c r="H29" s="23" t="s">
        <v>348</v>
      </c>
      <c r="I29" s="23" t="s">
        <v>303</v>
      </c>
    </row>
    <row r="30" customFormat="false" ht="15" hidden="false" customHeight="false" outlineLevel="0" collapsed="false">
      <c r="A30" s="23" t="s">
        <v>349</v>
      </c>
      <c r="B30" s="23" t="s">
        <v>350</v>
      </c>
      <c r="C30" s="23" t="s">
        <v>168</v>
      </c>
      <c r="D30" s="32" t="n">
        <v>6</v>
      </c>
      <c r="E30" s="25" t="n">
        <v>10</v>
      </c>
      <c r="F30" s="45" t="n">
        <f aca="false">IF(OR($A30="",N($D30)=0),"",$E30/$D30)</f>
        <v>1.66666666666667</v>
      </c>
      <c r="G30" s="23" t="s">
        <v>119</v>
      </c>
      <c r="H30" s="23" t="s">
        <v>348</v>
      </c>
      <c r="I30" s="23" t="s">
        <v>303</v>
      </c>
    </row>
    <row r="31" customFormat="false" ht="15" hidden="false" customHeight="false" outlineLevel="0" collapsed="false">
      <c r="A31" s="23" t="s">
        <v>351</v>
      </c>
      <c r="B31" s="23" t="s">
        <v>352</v>
      </c>
      <c r="C31" s="23" t="s">
        <v>168</v>
      </c>
      <c r="D31" s="32" t="n">
        <v>1</v>
      </c>
      <c r="E31" s="25" t="n">
        <v>8</v>
      </c>
      <c r="F31" s="45" t="n">
        <f aca="false">IF(OR($A31="",N($D31)=0),"",$E31/$D31)</f>
        <v>8</v>
      </c>
      <c r="G31" s="23" t="s">
        <v>119</v>
      </c>
      <c r="H31" s="23" t="s">
        <v>353</v>
      </c>
      <c r="I31" s="23" t="s">
        <v>303</v>
      </c>
    </row>
    <row r="32" customFormat="false" ht="15" hidden="false" customHeight="false" outlineLevel="0" collapsed="false">
      <c r="A32" s="23" t="s">
        <v>354</v>
      </c>
      <c r="B32" s="23" t="s">
        <v>355</v>
      </c>
      <c r="C32" s="23" t="s">
        <v>168</v>
      </c>
      <c r="D32" s="32" t="n">
        <v>1</v>
      </c>
      <c r="E32" s="25" t="n">
        <v>4</v>
      </c>
      <c r="F32" s="45" t="n">
        <f aca="false">IF(OR($A32="",N($D32)=0),"",$E32/$D32)</f>
        <v>4</v>
      </c>
      <c r="G32" s="23" t="s">
        <v>119</v>
      </c>
      <c r="H32" s="23" t="s">
        <v>353</v>
      </c>
      <c r="I32" s="23" t="s">
        <v>303</v>
      </c>
    </row>
    <row r="33" customFormat="false" ht="15" hidden="false" customHeight="false" outlineLevel="0" collapsed="false">
      <c r="A33" s="23" t="s">
        <v>356</v>
      </c>
      <c r="B33" s="23" t="s">
        <v>357</v>
      </c>
      <c r="C33" s="23" t="s">
        <v>168</v>
      </c>
      <c r="D33" s="32" t="n">
        <v>1</v>
      </c>
      <c r="E33" s="25" t="n">
        <v>20</v>
      </c>
      <c r="F33" s="45" t="n">
        <f aca="false">IF(OR($A33="",N($D33)=0),"",$E33/$D33)</f>
        <v>20</v>
      </c>
      <c r="G33" s="23" t="s">
        <v>119</v>
      </c>
      <c r="H33" s="23" t="s">
        <v>353</v>
      </c>
      <c r="I33" s="23" t="s">
        <v>303</v>
      </c>
    </row>
    <row r="34" customFormat="false" ht="15" hidden="false" customHeight="false" outlineLevel="0" collapsed="false">
      <c r="A34" s="23"/>
      <c r="B34" s="23"/>
      <c r="C34" s="23"/>
      <c r="D34" s="32"/>
      <c r="E34" s="25"/>
      <c r="F34" s="45" t="str">
        <f aca="false">IF(OR($A34="",N($D34)=0),"",$E34/$D34)</f>
        <v/>
      </c>
      <c r="G34" s="23"/>
      <c r="H34" s="23"/>
      <c r="I34" s="23"/>
    </row>
    <row r="35" customFormat="false" ht="15" hidden="false" customHeight="false" outlineLevel="0" collapsed="false">
      <c r="A35" s="23"/>
      <c r="B35" s="23"/>
      <c r="C35" s="23"/>
      <c r="D35" s="32"/>
      <c r="E35" s="25"/>
      <c r="F35" s="45" t="str">
        <f aca="false">IF(OR($A35="",N($D35)=0),"",$E35/$D35)</f>
        <v/>
      </c>
      <c r="G35" s="23"/>
      <c r="H35" s="23"/>
      <c r="I35" s="23"/>
    </row>
    <row r="36" customFormat="false" ht="15" hidden="false" customHeight="false" outlineLevel="0" collapsed="false">
      <c r="A36" s="23"/>
      <c r="B36" s="23"/>
      <c r="C36" s="23"/>
      <c r="D36" s="32"/>
      <c r="E36" s="25"/>
      <c r="F36" s="45" t="str">
        <f aca="false">IF(OR($A36="",N($D36)=0),"",$E36/$D36)</f>
        <v/>
      </c>
      <c r="G36" s="23"/>
      <c r="H36" s="23"/>
      <c r="I36" s="23"/>
    </row>
    <row r="37" customFormat="false" ht="15" hidden="false" customHeight="false" outlineLevel="0" collapsed="false">
      <c r="A37" s="23"/>
      <c r="B37" s="23"/>
      <c r="C37" s="23"/>
      <c r="D37" s="32"/>
      <c r="E37" s="25"/>
      <c r="F37" s="45" t="str">
        <f aca="false">IF(OR($A37="",N($D37)=0),"",$E37/$D37)</f>
        <v/>
      </c>
      <c r="G37" s="23"/>
      <c r="H37" s="23"/>
      <c r="I37" s="23"/>
    </row>
    <row r="38" customFormat="false" ht="15" hidden="false" customHeight="false" outlineLevel="0" collapsed="false">
      <c r="A38" s="23"/>
      <c r="B38" s="23"/>
      <c r="C38" s="23"/>
      <c r="D38" s="32"/>
      <c r="E38" s="25"/>
      <c r="F38" s="45" t="str">
        <f aca="false">IF(OR($A38="",N($D38)=0),"",$E38/$D38)</f>
        <v/>
      </c>
      <c r="G38" s="23"/>
      <c r="H38" s="23"/>
      <c r="I38" s="23"/>
    </row>
    <row r="39" customFormat="false" ht="15" hidden="false" customHeight="false" outlineLevel="0" collapsed="false">
      <c r="A39" s="23"/>
      <c r="B39" s="23"/>
      <c r="C39" s="23"/>
      <c r="D39" s="32"/>
      <c r="E39" s="25"/>
      <c r="F39" s="45" t="str">
        <f aca="false">IF(OR($A39="",N($D39)=0),"",$E39/$D39)</f>
        <v/>
      </c>
      <c r="G39" s="23"/>
      <c r="H39" s="23"/>
      <c r="I39" s="23"/>
    </row>
    <row r="40" customFormat="false" ht="15" hidden="false" customHeight="false" outlineLevel="0" collapsed="false">
      <c r="A40" s="23"/>
      <c r="B40" s="23"/>
      <c r="C40" s="23"/>
      <c r="D40" s="32"/>
      <c r="E40" s="25"/>
      <c r="F40" s="45" t="str">
        <f aca="false">IF(OR($A40="",N($D40)=0),"",$E40/$D40)</f>
        <v/>
      </c>
      <c r="G40" s="23"/>
      <c r="H40" s="23"/>
      <c r="I40" s="23"/>
    </row>
    <row r="41" customFormat="false" ht="15" hidden="false" customHeight="false" outlineLevel="0" collapsed="false">
      <c r="A41" s="23"/>
      <c r="B41" s="23"/>
      <c r="C41" s="23"/>
      <c r="D41" s="32"/>
      <c r="E41" s="25"/>
      <c r="F41" s="45" t="str">
        <f aca="false">IF(OR($A41="",N($D41)=0),"",$E41/$D41)</f>
        <v/>
      </c>
      <c r="G41" s="23"/>
      <c r="H41" s="23"/>
      <c r="I41" s="23"/>
    </row>
    <row r="42" customFormat="false" ht="15" hidden="false" customHeight="false" outlineLevel="0" collapsed="false">
      <c r="A42" s="23"/>
      <c r="B42" s="23"/>
      <c r="C42" s="23"/>
      <c r="D42" s="32"/>
      <c r="E42" s="25"/>
      <c r="F42" s="45" t="str">
        <f aca="false">IF(OR($A42="",N($D42)=0),"",$E42/$D42)</f>
        <v/>
      </c>
      <c r="G42" s="23"/>
      <c r="H42" s="23"/>
      <c r="I42" s="23"/>
    </row>
    <row r="43" customFormat="false" ht="15" hidden="false" customHeight="false" outlineLevel="0" collapsed="false">
      <c r="A43" s="23"/>
      <c r="B43" s="23"/>
      <c r="C43" s="23"/>
      <c r="D43" s="32"/>
      <c r="E43" s="25"/>
      <c r="F43" s="45" t="str">
        <f aca="false">IF(OR($A43="",N($D43)=0),"",$E43/$D43)</f>
        <v/>
      </c>
      <c r="G43" s="23"/>
      <c r="H43" s="23"/>
      <c r="I43" s="23"/>
    </row>
    <row r="44" customFormat="false" ht="15" hidden="false" customHeight="false" outlineLevel="0" collapsed="false">
      <c r="A44" s="23"/>
      <c r="B44" s="23"/>
      <c r="C44" s="23"/>
      <c r="D44" s="32"/>
      <c r="E44" s="25"/>
      <c r="F44" s="45" t="str">
        <f aca="false">IF(OR($A44="",N($D44)=0),"",$E44/$D44)</f>
        <v/>
      </c>
      <c r="G44" s="23"/>
      <c r="H44" s="23"/>
      <c r="I44" s="23"/>
    </row>
    <row r="45" customFormat="false" ht="15" hidden="false" customHeight="false" outlineLevel="0" collapsed="false">
      <c r="A45" s="23"/>
      <c r="B45" s="23"/>
      <c r="C45" s="23"/>
      <c r="D45" s="32"/>
      <c r="E45" s="25"/>
      <c r="F45" s="45" t="str">
        <f aca="false">IF(OR($A45="",N($D45)=0),"",$E45/$D45)</f>
        <v/>
      </c>
      <c r="G45" s="23"/>
      <c r="H45" s="23"/>
      <c r="I45" s="23"/>
    </row>
    <row r="46" customFormat="false" ht="15" hidden="false" customHeight="false" outlineLevel="0" collapsed="false">
      <c r="A46" s="23"/>
      <c r="B46" s="23"/>
      <c r="C46" s="23"/>
      <c r="D46" s="32"/>
      <c r="E46" s="25"/>
      <c r="F46" s="45" t="str">
        <f aca="false">IF(OR($A46="",N($D46)=0),"",$E46/$D46)</f>
        <v/>
      </c>
      <c r="G46" s="23"/>
      <c r="H46" s="23"/>
      <c r="I46" s="23"/>
    </row>
    <row r="47" customFormat="false" ht="15" hidden="false" customHeight="false" outlineLevel="0" collapsed="false">
      <c r="A47" s="23"/>
      <c r="B47" s="23"/>
      <c r="C47" s="23"/>
      <c r="D47" s="32"/>
      <c r="E47" s="25"/>
      <c r="F47" s="45" t="str">
        <f aca="false">IF(OR($A47="",N($D47)=0),"",$E47/$D47)</f>
        <v/>
      </c>
      <c r="G47" s="23"/>
      <c r="H47" s="23"/>
      <c r="I47" s="23"/>
    </row>
    <row r="48" customFormat="false" ht="15" hidden="false" customHeight="false" outlineLevel="0" collapsed="false">
      <c r="A48" s="23"/>
      <c r="B48" s="23"/>
      <c r="C48" s="23"/>
      <c r="D48" s="32"/>
      <c r="E48" s="25"/>
      <c r="F48" s="45" t="str">
        <f aca="false">IF(OR($A48="",N($D48)=0),"",$E48/$D48)</f>
        <v/>
      </c>
      <c r="G48" s="23"/>
      <c r="H48" s="23"/>
      <c r="I48" s="23"/>
    </row>
    <row r="49" customFormat="false" ht="15" hidden="false" customHeight="false" outlineLevel="0" collapsed="false">
      <c r="A49" s="23"/>
      <c r="B49" s="23"/>
      <c r="C49" s="23"/>
      <c r="D49" s="32"/>
      <c r="E49" s="25"/>
      <c r="F49" s="45" t="str">
        <f aca="false">IF(OR($A49="",N($D49)=0),"",$E49/$D49)</f>
        <v/>
      </c>
      <c r="G49" s="23"/>
      <c r="H49" s="23"/>
      <c r="I49" s="23"/>
    </row>
    <row r="50" customFormat="false" ht="15" hidden="false" customHeight="false" outlineLevel="0" collapsed="false">
      <c r="A50" s="23"/>
      <c r="B50" s="23"/>
      <c r="C50" s="23"/>
      <c r="D50" s="32"/>
      <c r="E50" s="25"/>
      <c r="F50" s="45" t="str">
        <f aca="false">IF(OR($A50="",N($D50)=0),"",$E50/$D50)</f>
        <v/>
      </c>
      <c r="G50" s="23"/>
      <c r="H50" s="23"/>
      <c r="I50" s="23"/>
    </row>
    <row r="51" customFormat="false" ht="15" hidden="false" customHeight="false" outlineLevel="0" collapsed="false">
      <c r="A51" s="23"/>
      <c r="B51" s="23"/>
      <c r="C51" s="23"/>
      <c r="D51" s="32"/>
      <c r="E51" s="25"/>
      <c r="F51" s="45" t="str">
        <f aca="false">IF(OR($A51="",N($D51)=0),"",$E51/$D51)</f>
        <v/>
      </c>
      <c r="G51" s="23"/>
      <c r="H51" s="23"/>
      <c r="I51" s="23"/>
    </row>
    <row r="52" customFormat="false" ht="15" hidden="false" customHeight="false" outlineLevel="0" collapsed="false">
      <c r="A52" s="23"/>
      <c r="B52" s="23"/>
      <c r="C52" s="23"/>
      <c r="D52" s="32"/>
      <c r="E52" s="25"/>
      <c r="F52" s="45" t="str">
        <f aca="false">IF(OR($A52="",N($D52)=0),"",$E52/$D52)</f>
        <v/>
      </c>
      <c r="G52" s="23"/>
      <c r="H52" s="23"/>
      <c r="I52" s="23"/>
    </row>
    <row r="53" customFormat="false" ht="15" hidden="false" customHeight="false" outlineLevel="0" collapsed="false">
      <c r="A53" s="23"/>
      <c r="B53" s="23"/>
      <c r="C53" s="23"/>
      <c r="D53" s="32"/>
      <c r="E53" s="25"/>
      <c r="F53" s="45" t="str">
        <f aca="false">IF(OR($A53="",N($D53)=0),"",$E53/$D53)</f>
        <v/>
      </c>
      <c r="G53" s="23"/>
      <c r="H53" s="23"/>
      <c r="I53" s="23"/>
    </row>
    <row r="54" customFormat="false" ht="15" hidden="false" customHeight="false" outlineLevel="0" collapsed="false">
      <c r="A54" s="23"/>
      <c r="B54" s="23"/>
      <c r="C54" s="23"/>
      <c r="D54" s="32"/>
      <c r="E54" s="25"/>
      <c r="F54" s="45" t="str">
        <f aca="false">IF(OR($A54="",N($D54)=0),"",$E54/$D54)</f>
        <v/>
      </c>
      <c r="G54" s="23"/>
      <c r="H54" s="23"/>
      <c r="I54" s="23"/>
    </row>
    <row r="55" customFormat="false" ht="15" hidden="false" customHeight="false" outlineLevel="0" collapsed="false">
      <c r="A55" s="23"/>
      <c r="B55" s="23"/>
      <c r="C55" s="23"/>
      <c r="D55" s="32"/>
      <c r="E55" s="25"/>
      <c r="F55" s="45" t="str">
        <f aca="false">IF(OR($A55="",N($D55)=0),"",$E55/$D55)</f>
        <v/>
      </c>
      <c r="G55" s="23"/>
      <c r="H55" s="23"/>
      <c r="I55" s="23"/>
    </row>
    <row r="56" customFormat="false" ht="15" hidden="false" customHeight="false" outlineLevel="0" collapsed="false">
      <c r="A56" s="23"/>
      <c r="B56" s="23"/>
      <c r="C56" s="23"/>
      <c r="D56" s="32"/>
      <c r="E56" s="25"/>
      <c r="F56" s="45" t="str">
        <f aca="false">IF(OR($A56="",N($D56)=0),"",$E56/$D56)</f>
        <v/>
      </c>
      <c r="G56" s="23"/>
      <c r="H56" s="23"/>
      <c r="I56" s="23"/>
    </row>
    <row r="57" customFormat="false" ht="15" hidden="false" customHeight="false" outlineLevel="0" collapsed="false">
      <c r="A57" s="23"/>
      <c r="B57" s="23"/>
      <c r="C57" s="23"/>
      <c r="D57" s="32"/>
      <c r="E57" s="25"/>
      <c r="F57" s="45" t="str">
        <f aca="false">IF(OR($A57="",N($D57)=0),"",$E57/$D57)</f>
        <v/>
      </c>
      <c r="G57" s="23"/>
      <c r="H57" s="23"/>
      <c r="I57" s="23"/>
    </row>
    <row r="58" customFormat="false" ht="15" hidden="false" customHeight="false" outlineLevel="0" collapsed="false">
      <c r="A58" s="23"/>
      <c r="B58" s="23"/>
      <c r="C58" s="23"/>
      <c r="D58" s="32"/>
      <c r="E58" s="25"/>
      <c r="F58" s="45" t="str">
        <f aca="false">IF(OR($A58="",N($D58)=0),"",$E58/$D58)</f>
        <v/>
      </c>
      <c r="G58" s="23"/>
      <c r="H58" s="23"/>
      <c r="I58" s="23"/>
    </row>
    <row r="59" customFormat="false" ht="15" hidden="false" customHeight="false" outlineLevel="0" collapsed="false">
      <c r="A59" s="23"/>
      <c r="B59" s="23"/>
      <c r="C59" s="23"/>
      <c r="D59" s="32"/>
      <c r="E59" s="25"/>
      <c r="F59" s="45" t="str">
        <f aca="false">IF(OR($A59="",N($D59)=0),"",$E59/$D59)</f>
        <v/>
      </c>
      <c r="G59" s="23"/>
      <c r="H59" s="23"/>
      <c r="I59" s="23"/>
    </row>
    <row r="60" customFormat="false" ht="15" hidden="false" customHeight="false" outlineLevel="0" collapsed="false">
      <c r="A60" s="23"/>
      <c r="B60" s="23"/>
      <c r="C60" s="23"/>
      <c r="D60" s="32"/>
      <c r="E60" s="25"/>
      <c r="F60" s="45" t="str">
        <f aca="false">IF(OR($A60="",N($D60)=0),"",$E60/$D60)</f>
        <v/>
      </c>
      <c r="G60" s="23"/>
      <c r="H60" s="23"/>
      <c r="I60" s="23"/>
    </row>
    <row r="61" customFormat="false" ht="15" hidden="false" customHeight="false" outlineLevel="0" collapsed="false">
      <c r="A61" s="23"/>
      <c r="B61" s="23"/>
      <c r="C61" s="23"/>
      <c r="D61" s="32"/>
      <c r="E61" s="25"/>
      <c r="F61" s="45" t="str">
        <f aca="false">IF(OR($A61="",N($D61)=0),"",$E61/$D61)</f>
        <v/>
      </c>
      <c r="G61" s="23"/>
      <c r="H61" s="23"/>
      <c r="I61" s="23"/>
    </row>
    <row r="62" customFormat="false" ht="15" hidden="false" customHeight="false" outlineLevel="0" collapsed="false">
      <c r="A62" s="23"/>
      <c r="B62" s="23"/>
      <c r="C62" s="23"/>
      <c r="D62" s="32"/>
      <c r="E62" s="25"/>
      <c r="F62" s="45" t="str">
        <f aca="false">IF(OR($A62="",N($D62)=0),"",$E62/$D62)</f>
        <v/>
      </c>
      <c r="G62" s="23"/>
      <c r="H62" s="23"/>
      <c r="I62" s="23"/>
    </row>
    <row r="63" customFormat="false" ht="15" hidden="false" customHeight="false" outlineLevel="0" collapsed="false">
      <c r="A63" s="23"/>
      <c r="B63" s="23"/>
      <c r="C63" s="23"/>
      <c r="D63" s="32"/>
      <c r="E63" s="25"/>
      <c r="F63" s="45" t="str">
        <f aca="false">IF(OR($A63="",N($D63)=0),"",$E63/$D63)</f>
        <v/>
      </c>
      <c r="G63" s="23"/>
      <c r="H63" s="23"/>
      <c r="I63" s="23"/>
    </row>
    <row r="64" customFormat="false" ht="15" hidden="false" customHeight="false" outlineLevel="0" collapsed="false">
      <c r="A64" s="23"/>
      <c r="B64" s="23"/>
      <c r="C64" s="23"/>
      <c r="D64" s="32"/>
      <c r="E64" s="25"/>
      <c r="F64" s="45" t="str">
        <f aca="false">IF(OR($A64="",N($D64)=0),"",$E64/$D64)</f>
        <v/>
      </c>
      <c r="G64" s="23"/>
      <c r="H64" s="23"/>
      <c r="I64" s="23"/>
    </row>
    <row r="65" customFormat="false" ht="15" hidden="false" customHeight="false" outlineLevel="0" collapsed="false">
      <c r="A65" s="23"/>
      <c r="B65" s="23"/>
      <c r="C65" s="23"/>
      <c r="D65" s="32"/>
      <c r="E65" s="25"/>
      <c r="F65" s="45" t="str">
        <f aca="false">IF(OR($A65="",N($D65)=0),"",$E65/$D65)</f>
        <v/>
      </c>
      <c r="G65" s="23"/>
      <c r="H65" s="23"/>
      <c r="I65" s="23"/>
    </row>
    <row r="66" customFormat="false" ht="15" hidden="false" customHeight="false" outlineLevel="0" collapsed="false">
      <c r="A66" s="23"/>
      <c r="B66" s="23"/>
      <c r="C66" s="23"/>
      <c r="D66" s="32"/>
      <c r="E66" s="25"/>
      <c r="F66" s="45" t="str">
        <f aca="false">IF(OR($A66="",N($D66)=0),"",$E66/$D66)</f>
        <v/>
      </c>
      <c r="G66" s="23"/>
      <c r="H66" s="23"/>
      <c r="I66" s="23"/>
    </row>
    <row r="67" customFormat="false" ht="15" hidden="false" customHeight="false" outlineLevel="0" collapsed="false">
      <c r="A67" s="23"/>
      <c r="B67" s="23"/>
      <c r="C67" s="23"/>
      <c r="D67" s="32"/>
      <c r="E67" s="25"/>
      <c r="F67" s="45" t="str">
        <f aca="false">IF(OR($A67="",N($D67)=0),"",$E67/$D67)</f>
        <v/>
      </c>
      <c r="G67" s="23"/>
      <c r="H67" s="23"/>
      <c r="I67" s="23"/>
    </row>
    <row r="68" customFormat="false" ht="15" hidden="false" customHeight="false" outlineLevel="0" collapsed="false">
      <c r="A68" s="23"/>
      <c r="B68" s="23"/>
      <c r="C68" s="23"/>
      <c r="D68" s="32"/>
      <c r="E68" s="25"/>
      <c r="F68" s="45" t="str">
        <f aca="false">IF(OR($A68="",N($D68)=0),"",$E68/$D68)</f>
        <v/>
      </c>
      <c r="G68" s="23"/>
      <c r="H68" s="23"/>
      <c r="I68" s="23"/>
    </row>
    <row r="69" customFormat="false" ht="15" hidden="false" customHeight="false" outlineLevel="0" collapsed="false">
      <c r="A69" s="23"/>
      <c r="B69" s="23"/>
      <c r="C69" s="23"/>
      <c r="D69" s="32"/>
      <c r="E69" s="25"/>
      <c r="F69" s="45" t="str">
        <f aca="false">IF(OR($A69="",N($D69)=0),"",$E69/$D69)</f>
        <v/>
      </c>
      <c r="G69" s="23"/>
      <c r="H69" s="23"/>
      <c r="I69" s="23"/>
    </row>
    <row r="70" customFormat="false" ht="15" hidden="false" customHeight="false" outlineLevel="0" collapsed="false">
      <c r="A70" s="23"/>
      <c r="B70" s="23"/>
      <c r="C70" s="23"/>
      <c r="D70" s="32"/>
      <c r="E70" s="25"/>
      <c r="F70" s="45" t="str">
        <f aca="false">IF(OR($A70="",N($D70)=0),"",$E70/$D70)</f>
        <v/>
      </c>
      <c r="G70" s="23"/>
      <c r="H70" s="23"/>
      <c r="I70" s="23"/>
    </row>
    <row r="71" customFormat="false" ht="15" hidden="false" customHeight="false" outlineLevel="0" collapsed="false">
      <c r="A71" s="23"/>
      <c r="B71" s="23"/>
      <c r="C71" s="23"/>
      <c r="D71" s="32"/>
      <c r="E71" s="25"/>
      <c r="F71" s="45" t="str">
        <f aca="false">IF(OR($A71="",N($D71)=0),"",$E71/$D71)</f>
        <v/>
      </c>
      <c r="G71" s="23"/>
      <c r="H71" s="23"/>
      <c r="I71" s="23"/>
    </row>
    <row r="72" customFormat="false" ht="15" hidden="false" customHeight="false" outlineLevel="0" collapsed="false">
      <c r="A72" s="23"/>
      <c r="B72" s="23"/>
      <c r="C72" s="23"/>
      <c r="D72" s="32"/>
      <c r="E72" s="25"/>
      <c r="F72" s="45" t="str">
        <f aca="false">IF(OR($A72="",N($D72)=0),"",$E72/$D72)</f>
        <v/>
      </c>
      <c r="G72" s="23"/>
      <c r="H72" s="23"/>
      <c r="I72" s="23"/>
    </row>
    <row r="73" customFormat="false" ht="15" hidden="false" customHeight="false" outlineLevel="0" collapsed="false">
      <c r="A73" s="23"/>
      <c r="B73" s="23"/>
      <c r="C73" s="23"/>
      <c r="D73" s="32"/>
      <c r="E73" s="25"/>
      <c r="F73" s="45" t="str">
        <f aca="false">IF(OR($A73="",N($D73)=0),"",$E73/$D73)</f>
        <v/>
      </c>
      <c r="G73" s="23"/>
      <c r="H73" s="23"/>
      <c r="I73" s="23"/>
    </row>
    <row r="74" customFormat="false" ht="15" hidden="false" customHeight="false" outlineLevel="0" collapsed="false">
      <c r="A74" s="23"/>
      <c r="B74" s="23"/>
      <c r="C74" s="23"/>
      <c r="D74" s="32"/>
      <c r="E74" s="25"/>
      <c r="F74" s="45" t="str">
        <f aca="false">IF(OR($A74="",N($D74)=0),"",$E74/$D74)</f>
        <v/>
      </c>
      <c r="G74" s="23"/>
      <c r="H74" s="23"/>
      <c r="I74" s="23"/>
    </row>
    <row r="75" customFormat="false" ht="15" hidden="false" customHeight="false" outlineLevel="0" collapsed="false">
      <c r="A75" s="23"/>
      <c r="B75" s="23"/>
      <c r="C75" s="23"/>
      <c r="D75" s="32"/>
      <c r="E75" s="25"/>
      <c r="F75" s="45" t="str">
        <f aca="false">IF(OR($A75="",N($D75)=0),"",$E75/$D75)</f>
        <v/>
      </c>
      <c r="G75" s="23"/>
      <c r="H75" s="23"/>
      <c r="I75" s="23"/>
    </row>
    <row r="76" customFormat="false" ht="15" hidden="false" customHeight="false" outlineLevel="0" collapsed="false">
      <c r="A76" s="23"/>
      <c r="B76" s="23"/>
      <c r="C76" s="23"/>
      <c r="D76" s="32"/>
      <c r="E76" s="25"/>
      <c r="F76" s="45" t="str">
        <f aca="false">IF(OR($A76="",N($D76)=0),"",$E76/$D76)</f>
        <v/>
      </c>
      <c r="G76" s="23"/>
      <c r="H76" s="23"/>
      <c r="I76" s="23"/>
    </row>
    <row r="77" customFormat="false" ht="15" hidden="false" customHeight="false" outlineLevel="0" collapsed="false">
      <c r="A77" s="23"/>
      <c r="B77" s="23"/>
      <c r="C77" s="23"/>
      <c r="D77" s="32"/>
      <c r="E77" s="25"/>
      <c r="F77" s="45" t="str">
        <f aca="false">IF(OR($A77="",N($D77)=0),"",$E77/$D77)</f>
        <v/>
      </c>
      <c r="G77" s="23"/>
      <c r="H77" s="23"/>
      <c r="I77" s="23"/>
    </row>
    <row r="78" customFormat="false" ht="15" hidden="false" customHeight="false" outlineLevel="0" collapsed="false">
      <c r="A78" s="23"/>
      <c r="B78" s="23"/>
      <c r="C78" s="23"/>
      <c r="D78" s="32"/>
      <c r="E78" s="25"/>
      <c r="F78" s="45" t="str">
        <f aca="false">IF(OR($A78="",N($D78)=0),"",$E78/$D78)</f>
        <v/>
      </c>
      <c r="G78" s="23"/>
      <c r="H78" s="23"/>
      <c r="I78" s="23"/>
    </row>
    <row r="79" customFormat="false" ht="15" hidden="false" customHeight="false" outlineLevel="0" collapsed="false">
      <c r="A79" s="23"/>
      <c r="B79" s="23"/>
      <c r="C79" s="23"/>
      <c r="D79" s="32"/>
      <c r="E79" s="25"/>
      <c r="F79" s="45" t="str">
        <f aca="false">IF(OR($A79="",N($D79)=0),"",$E79/$D79)</f>
        <v/>
      </c>
      <c r="G79" s="23"/>
      <c r="H79" s="23"/>
      <c r="I79" s="23"/>
    </row>
    <row r="80" customFormat="false" ht="15" hidden="false" customHeight="false" outlineLevel="0" collapsed="false">
      <c r="A80" s="23"/>
      <c r="B80" s="23"/>
      <c r="C80" s="23"/>
      <c r="D80" s="32"/>
      <c r="E80" s="25"/>
      <c r="F80" s="45" t="str">
        <f aca="false">IF(OR($A80="",N($D80)=0),"",$E80/$D80)</f>
        <v/>
      </c>
      <c r="G80" s="23"/>
      <c r="H80" s="23"/>
      <c r="I80" s="23"/>
    </row>
    <row r="81" customFormat="false" ht="15" hidden="false" customHeight="false" outlineLevel="0" collapsed="false">
      <c r="A81" s="23"/>
      <c r="B81" s="23"/>
      <c r="C81" s="23"/>
      <c r="D81" s="32"/>
      <c r="E81" s="25"/>
      <c r="F81" s="45" t="str">
        <f aca="false">IF(OR($A81="",N($D81)=0),"",$E81/$D81)</f>
        <v/>
      </c>
      <c r="G81" s="23"/>
      <c r="H81" s="23"/>
      <c r="I81" s="23"/>
    </row>
    <row r="82" customFormat="false" ht="15" hidden="false" customHeight="false" outlineLevel="0" collapsed="false">
      <c r="A82" s="23"/>
      <c r="B82" s="23"/>
      <c r="C82" s="23"/>
      <c r="D82" s="32"/>
      <c r="E82" s="25"/>
      <c r="F82" s="45" t="str">
        <f aca="false">IF(OR($A82="",N($D82)=0),"",$E82/$D82)</f>
        <v/>
      </c>
      <c r="G82" s="23"/>
      <c r="H82" s="23"/>
      <c r="I82" s="23"/>
    </row>
    <row r="83" customFormat="false" ht="15" hidden="false" customHeight="false" outlineLevel="0" collapsed="false">
      <c r="A83" s="23"/>
      <c r="B83" s="23"/>
      <c r="C83" s="23"/>
      <c r="D83" s="32"/>
      <c r="E83" s="25"/>
      <c r="F83" s="45" t="str">
        <f aca="false">IF(OR($A83="",N($D83)=0),"",$E83/$D83)</f>
        <v/>
      </c>
      <c r="G83" s="23"/>
      <c r="H83" s="23"/>
      <c r="I83" s="23"/>
    </row>
    <row r="84" customFormat="false" ht="15" hidden="false" customHeight="false" outlineLevel="0" collapsed="false">
      <c r="A84" s="23"/>
      <c r="B84" s="23"/>
      <c r="C84" s="23"/>
      <c r="D84" s="32"/>
      <c r="E84" s="25"/>
      <c r="F84" s="45" t="str">
        <f aca="false">IF(OR($A84="",N($D84)=0),"",$E84/$D84)</f>
        <v/>
      </c>
      <c r="G84" s="23"/>
      <c r="H84" s="23"/>
      <c r="I84" s="23"/>
    </row>
    <row r="85" customFormat="false" ht="15" hidden="false" customHeight="false" outlineLevel="0" collapsed="false">
      <c r="A85" s="23"/>
      <c r="B85" s="23"/>
      <c r="C85" s="23"/>
      <c r="D85" s="32"/>
      <c r="E85" s="25"/>
      <c r="F85" s="45" t="str">
        <f aca="false">IF(OR($A85="",N($D85)=0),"",$E85/$D85)</f>
        <v/>
      </c>
      <c r="G85" s="23"/>
      <c r="H85" s="23"/>
      <c r="I85" s="23"/>
    </row>
    <row r="86" customFormat="false" ht="15" hidden="false" customHeight="false" outlineLevel="0" collapsed="false">
      <c r="A86" s="23"/>
      <c r="B86" s="23"/>
      <c r="C86" s="23"/>
      <c r="D86" s="32"/>
      <c r="E86" s="25"/>
      <c r="F86" s="45" t="str">
        <f aca="false">IF(OR($A86="",N($D86)=0),"",$E86/$D86)</f>
        <v/>
      </c>
      <c r="G86" s="23"/>
      <c r="H86" s="23"/>
      <c r="I86" s="23"/>
    </row>
    <row r="87" customFormat="false" ht="15" hidden="false" customHeight="false" outlineLevel="0" collapsed="false">
      <c r="A87" s="23"/>
      <c r="B87" s="23"/>
      <c r="C87" s="23"/>
      <c r="D87" s="32"/>
      <c r="E87" s="25"/>
      <c r="F87" s="45" t="str">
        <f aca="false">IF(OR($A87="",N($D87)=0),"",$E87/$D87)</f>
        <v/>
      </c>
      <c r="G87" s="23"/>
      <c r="H87" s="23"/>
      <c r="I87" s="23"/>
    </row>
    <row r="88" customFormat="false" ht="15" hidden="false" customHeight="false" outlineLevel="0" collapsed="false">
      <c r="A88" s="23"/>
      <c r="B88" s="23"/>
      <c r="C88" s="23"/>
      <c r="D88" s="32"/>
      <c r="E88" s="25"/>
      <c r="F88" s="45" t="str">
        <f aca="false">IF(OR($A88="",N($D88)=0),"",$E88/$D88)</f>
        <v/>
      </c>
      <c r="G88" s="23"/>
      <c r="H88" s="23"/>
      <c r="I88" s="23"/>
    </row>
    <row r="89" customFormat="false" ht="15" hidden="false" customHeight="false" outlineLevel="0" collapsed="false">
      <c r="A89" s="23"/>
      <c r="B89" s="23"/>
      <c r="C89" s="23"/>
      <c r="D89" s="32"/>
      <c r="E89" s="25"/>
      <c r="F89" s="45" t="str">
        <f aca="false">IF(OR($A89="",N($D89)=0),"",$E89/$D89)</f>
        <v/>
      </c>
      <c r="G89" s="23"/>
      <c r="H89" s="23"/>
      <c r="I89" s="23"/>
    </row>
    <row r="90" customFormat="false" ht="15" hidden="false" customHeight="false" outlineLevel="0" collapsed="false">
      <c r="A90" s="23"/>
      <c r="B90" s="23"/>
      <c r="C90" s="23"/>
      <c r="D90" s="32"/>
      <c r="E90" s="25"/>
      <c r="F90" s="45" t="str">
        <f aca="false">IF(OR($A90="",N($D90)=0),"",$E90/$D90)</f>
        <v/>
      </c>
      <c r="G90" s="23"/>
      <c r="H90" s="23"/>
      <c r="I90" s="23"/>
    </row>
    <row r="91" customFormat="false" ht="15" hidden="false" customHeight="false" outlineLevel="0" collapsed="false">
      <c r="A91" s="23"/>
      <c r="B91" s="23"/>
      <c r="C91" s="23"/>
      <c r="D91" s="32"/>
      <c r="E91" s="25"/>
      <c r="F91" s="45" t="str">
        <f aca="false">IF(OR($A91="",N($D91)=0),"",$E91/$D91)</f>
        <v/>
      </c>
      <c r="G91" s="23"/>
      <c r="H91" s="23"/>
      <c r="I91" s="23"/>
    </row>
    <row r="92" customFormat="false" ht="15" hidden="false" customHeight="false" outlineLevel="0" collapsed="false">
      <c r="A92" s="23"/>
      <c r="B92" s="23"/>
      <c r="C92" s="23"/>
      <c r="D92" s="32"/>
      <c r="E92" s="25"/>
      <c r="F92" s="45" t="str">
        <f aca="false">IF(OR($A92="",N($D92)=0),"",$E92/$D92)</f>
        <v/>
      </c>
      <c r="G92" s="23"/>
      <c r="H92" s="23"/>
      <c r="I92" s="23"/>
    </row>
    <row r="93" customFormat="false" ht="15" hidden="false" customHeight="false" outlineLevel="0" collapsed="false">
      <c r="A93" s="23"/>
      <c r="B93" s="23"/>
      <c r="C93" s="23"/>
      <c r="D93" s="32"/>
      <c r="E93" s="25"/>
      <c r="F93" s="45" t="str">
        <f aca="false">IF(OR($A93="",N($D93)=0),"",$E93/$D93)</f>
        <v/>
      </c>
      <c r="G93" s="23"/>
      <c r="H93" s="23"/>
      <c r="I93" s="23"/>
    </row>
    <row r="94" customFormat="false" ht="15" hidden="false" customHeight="false" outlineLevel="0" collapsed="false">
      <c r="A94" s="23"/>
      <c r="B94" s="23"/>
      <c r="C94" s="23"/>
      <c r="D94" s="32"/>
      <c r="E94" s="25"/>
      <c r="F94" s="45" t="str">
        <f aca="false">IF(OR($A94="",N($D94)=0),"",$E94/$D94)</f>
        <v/>
      </c>
      <c r="G94" s="23"/>
      <c r="H94" s="23"/>
      <c r="I94" s="23"/>
    </row>
    <row r="95" customFormat="false" ht="15" hidden="false" customHeight="false" outlineLevel="0" collapsed="false">
      <c r="A95" s="23"/>
      <c r="B95" s="23"/>
      <c r="C95" s="23"/>
      <c r="D95" s="32"/>
      <c r="E95" s="25"/>
      <c r="F95" s="45" t="str">
        <f aca="false">IF(OR($A95="",N($D95)=0),"",$E95/$D95)</f>
        <v/>
      </c>
      <c r="G95" s="23"/>
      <c r="H95" s="23"/>
      <c r="I95" s="23"/>
    </row>
    <row r="96" customFormat="false" ht="15" hidden="false" customHeight="false" outlineLevel="0" collapsed="false">
      <c r="A96" s="23"/>
      <c r="B96" s="23"/>
      <c r="C96" s="23"/>
      <c r="D96" s="32"/>
      <c r="E96" s="25"/>
      <c r="F96" s="45" t="str">
        <f aca="false">IF(OR($A96="",N($D96)=0),"",$E96/$D96)</f>
        <v/>
      </c>
      <c r="G96" s="23"/>
      <c r="H96" s="23"/>
      <c r="I96" s="23"/>
    </row>
    <row r="97" customFormat="false" ht="15" hidden="false" customHeight="false" outlineLevel="0" collapsed="false">
      <c r="A97" s="23"/>
      <c r="B97" s="23"/>
      <c r="C97" s="23"/>
      <c r="D97" s="32"/>
      <c r="E97" s="25"/>
      <c r="F97" s="45" t="str">
        <f aca="false">IF(OR($A97="",N($D97)=0),"",$E97/$D97)</f>
        <v/>
      </c>
      <c r="G97" s="23"/>
      <c r="H97" s="23"/>
      <c r="I97" s="23"/>
    </row>
    <row r="98" customFormat="false" ht="15" hidden="false" customHeight="false" outlineLevel="0" collapsed="false">
      <c r="A98" s="23"/>
      <c r="B98" s="23"/>
      <c r="C98" s="23"/>
      <c r="D98" s="32"/>
      <c r="E98" s="25"/>
      <c r="F98" s="45" t="str">
        <f aca="false">IF(OR($A98="",N($D98)=0),"",$E98/$D98)</f>
        <v/>
      </c>
      <c r="G98" s="23"/>
      <c r="H98" s="23"/>
      <c r="I98" s="23"/>
    </row>
    <row r="99" customFormat="false" ht="15" hidden="false" customHeight="false" outlineLevel="0" collapsed="false">
      <c r="A99" s="23"/>
      <c r="B99" s="23"/>
      <c r="C99" s="23"/>
      <c r="D99" s="32"/>
      <c r="E99" s="25"/>
      <c r="F99" s="45" t="str">
        <f aca="false">IF(OR($A99="",N($D99)=0),"",$E99/$D99)</f>
        <v/>
      </c>
      <c r="G99" s="23"/>
      <c r="H99" s="23"/>
      <c r="I99" s="23"/>
    </row>
    <row r="100" customFormat="false" ht="15" hidden="false" customHeight="false" outlineLevel="0" collapsed="false">
      <c r="A100" s="23"/>
      <c r="B100" s="23"/>
      <c r="C100" s="23"/>
      <c r="D100" s="32"/>
      <c r="E100" s="25"/>
      <c r="F100" s="45" t="str">
        <f aca="false">IF(OR($A100="",N($D100)=0),"",$E100/$D100)</f>
        <v/>
      </c>
      <c r="G100" s="23"/>
      <c r="H100" s="23"/>
      <c r="I100" s="23"/>
    </row>
    <row r="101" customFormat="false" ht="15" hidden="false" customHeight="false" outlineLevel="0" collapsed="false">
      <c r="A101" s="23"/>
      <c r="B101" s="23"/>
      <c r="C101" s="23"/>
      <c r="D101" s="32"/>
      <c r="E101" s="25"/>
      <c r="F101" s="45" t="str">
        <f aca="false">IF(OR($A101="",N($D101)=0),"",$E101/$D101)</f>
        <v/>
      </c>
      <c r="G101" s="23"/>
      <c r="H101" s="23"/>
      <c r="I101" s="23"/>
    </row>
    <row r="102" customFormat="false" ht="15" hidden="false" customHeight="false" outlineLevel="0" collapsed="false">
      <c r="A102" s="23"/>
      <c r="B102" s="23"/>
      <c r="C102" s="23"/>
      <c r="D102" s="32"/>
      <c r="E102" s="25"/>
      <c r="F102" s="45" t="str">
        <f aca="false">IF(OR($A102="",N($D102)=0),"",$E102/$D102)</f>
        <v/>
      </c>
      <c r="G102" s="23"/>
      <c r="H102" s="23"/>
      <c r="I102" s="23"/>
    </row>
    <row r="103" customFormat="false" ht="15" hidden="false" customHeight="false" outlineLevel="0" collapsed="false">
      <c r="A103" s="23"/>
      <c r="B103" s="23"/>
      <c r="C103" s="23"/>
      <c r="D103" s="32"/>
      <c r="E103" s="25"/>
      <c r="F103" s="45" t="str">
        <f aca="false">IF(OR($A103="",N($D103)=0),"",$E103/$D103)</f>
        <v/>
      </c>
      <c r="G103" s="23"/>
      <c r="H103" s="23"/>
      <c r="I103" s="23"/>
    </row>
    <row r="104" customFormat="false" ht="15" hidden="false" customHeight="false" outlineLevel="0" collapsed="false">
      <c r="A104" s="23"/>
      <c r="B104" s="23"/>
      <c r="C104" s="23"/>
      <c r="D104" s="32"/>
      <c r="E104" s="25"/>
      <c r="F104" s="45" t="str">
        <f aca="false">IF(OR($A104="",N($D104)=0),"",$E104/$D104)</f>
        <v/>
      </c>
      <c r="G104" s="23"/>
      <c r="H104" s="23"/>
      <c r="I104" s="23"/>
    </row>
  </sheetData>
  <dataValidations count="1">
    <dataValidation allowBlank="true" errorStyle="stop" operator="between" showDropDown="false" showErrorMessage="false" showInputMessage="false" sqref="G5:G104" type="list">
      <formula1>Settings!$I$22:$I$23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A8F"/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56</v>
      </c>
      <c r="B1" s="2"/>
      <c r="C1" s="2"/>
      <c r="D1" s="2"/>
    </row>
    <row r="2" customFormat="false" ht="15" hidden="false" customHeight="false" outlineLevel="0" collapsed="false">
      <c r="A2" s="3" t="s">
        <v>358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B4" s="5" t="s">
        <v>238</v>
      </c>
      <c r="C4" s="46" t="n">
        <v>2</v>
      </c>
    </row>
    <row r="5" customFormat="false" ht="15" hidden="false" customHeight="false" outlineLevel="0" collapsed="false">
      <c r="B5" s="5" t="s">
        <v>239</v>
      </c>
      <c r="C5" s="46" t="n">
        <v>1</v>
      </c>
    </row>
    <row r="6" customFormat="false" ht="15" hidden="false" customHeight="false" outlineLevel="0" collapsed="false">
      <c r="B6" s="5" t="s">
        <v>359</v>
      </c>
      <c r="C6" s="47" t="n">
        <v>2.5</v>
      </c>
    </row>
    <row r="7" customFormat="false" ht="15" hidden="false" customHeight="false" outlineLevel="0" collapsed="false">
      <c r="B7" s="5" t="s">
        <v>360</v>
      </c>
      <c r="C7" s="48" t="n">
        <v>0</v>
      </c>
    </row>
    <row r="8" customFormat="false" ht="15" hidden="false" customHeight="false" outlineLevel="0" collapsed="false">
      <c r="B8" s="5" t="s">
        <v>361</v>
      </c>
      <c r="C8" s="49" t="s">
        <v>118</v>
      </c>
    </row>
    <row r="10" customFormat="false" ht="15" hidden="false" customHeight="false" outlineLevel="0" collapsed="false">
      <c r="B10" s="7" t="s">
        <v>362</v>
      </c>
      <c r="C10" s="50" t="n">
        <f aca="false">CEILING($C$6*Settings!$B$17+$C$7,5)+IF($C$8="Y",INDEX(Settings!$D$22:$D$26,MATCH(MIN($C$4,4),Settings!$A$22:$A$26,0)),0)</f>
        <v>60</v>
      </c>
      <c r="D10" s="3" t="s">
        <v>363</v>
      </c>
    </row>
    <row r="11" customFormat="false" ht="15" hidden="false" customHeight="false" outlineLevel="0" collapsed="false">
      <c r="B11" s="7" t="s">
        <v>364</v>
      </c>
      <c r="C11" s="50" t="n">
        <f aca="false">INDEX(Settings!$C$22:$C$26,MATCH(MIN($C$4,4),Settings!$A$22:$A$26,0))+MAX(0,$C$5-1)*Settings!$B$6+IF($C$8="Y",INDEX(Settings!$D$22:$D$26,MATCH(MIN($C$4,4),Settings!$A$22:$A$26,0)),0)</f>
        <v>60</v>
      </c>
      <c r="D11" s="3" t="s">
        <v>365</v>
      </c>
    </row>
    <row r="12" customFormat="false" ht="15" hidden="false" customHeight="false" outlineLevel="0" collapsed="false">
      <c r="B12" s="7" t="s">
        <v>366</v>
      </c>
      <c r="C12" s="50" t="n">
        <f aca="false">ROUND($C$6*Settings!$B$18,0)</f>
        <v>40</v>
      </c>
      <c r="D12" s="3" t="s">
        <v>367</v>
      </c>
    </row>
    <row r="13" customFormat="false" ht="15" hidden="false" customHeight="false" outlineLevel="0" collapsed="false">
      <c r="B13" s="7" t="s">
        <v>368</v>
      </c>
      <c r="C13" s="50" t="n">
        <f aca="false">$C$10-$C$12-$C$7-IF($C$8="Y",INDEX(Settings!$D$22:$D$26,MATCH(MIN($C$4,4),Settings!$A$22:$A$26,0))*0.5,0)</f>
        <v>20</v>
      </c>
      <c r="D13" s="3" t="s">
        <v>369</v>
      </c>
    </row>
    <row r="14" customFormat="false" ht="15" hidden="false" customHeight="false" outlineLevel="0" collapsed="false">
      <c r="B14" s="7" t="s">
        <v>370</v>
      </c>
      <c r="C14" s="51" t="n">
        <f aca="false">IFERROR($C$13/$C$10,0)</f>
        <v>0.333333333333333</v>
      </c>
      <c r="D14" s="3" t="s">
        <v>371</v>
      </c>
    </row>
    <row r="15" customFormat="false" ht="15" hidden="false" customHeight="false" outlineLevel="0" collapsed="false">
      <c r="B15" s="7" t="s">
        <v>372</v>
      </c>
      <c r="C15" s="50" t="n">
        <f aca="false">IFERROR($C$12/$C$6,0)</f>
        <v>16</v>
      </c>
      <c r="D15" s="3" t="s">
        <v>373</v>
      </c>
    </row>
  </sheetData>
  <dataValidations count="1">
    <dataValidation allowBlank="true" errorStyle="stop" operator="between" showDropDown="false" showErrorMessage="false" showInputMessage="false" sqref="C8" type="list">
      <formula1>Settings!$I$22:$I$23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A8F"/>
    <pageSetUpPr fitToPage="false"/>
  </sheetPr>
  <dimension ref="A1:O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6" min="3" style="0" width="16"/>
    <col collapsed="false" customWidth="true" hidden="false" outlineLevel="0" max="15" min="8" style="0" width="15"/>
  </cols>
  <sheetData>
    <row r="1" customFormat="false" ht="19.7" hidden="false" customHeight="false" outlineLevel="0" collapsed="false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374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5" t="s">
        <v>375</v>
      </c>
      <c r="B3" s="52" t="n">
        <v>0.1</v>
      </c>
      <c r="C3" s="3" t="s">
        <v>376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5" t="s">
        <v>377</v>
      </c>
      <c r="B4" s="53" t="n">
        <v>20</v>
      </c>
      <c r="C4" s="3" t="s">
        <v>378</v>
      </c>
    </row>
    <row r="5" customFormat="false" ht="15" hidden="false" customHeight="false" outlineLevel="0" collapsed="false">
      <c r="A5" s="5" t="s">
        <v>379</v>
      </c>
      <c r="B5" s="53" t="n">
        <v>50</v>
      </c>
      <c r="C5" s="3" t="s">
        <v>380</v>
      </c>
    </row>
    <row r="6" customFormat="false" ht="15" hidden="false" customHeight="false" outlineLevel="0" collapsed="false">
      <c r="A6" s="5" t="s">
        <v>381</v>
      </c>
      <c r="B6" s="53" t="n">
        <v>10</v>
      </c>
      <c r="C6" s="3" t="s">
        <v>382</v>
      </c>
    </row>
    <row r="7" customFormat="false" ht="15" hidden="false" customHeight="false" outlineLevel="0" collapsed="false">
      <c r="A7" s="5" t="s">
        <v>383</v>
      </c>
      <c r="B7" s="53" t="n">
        <v>15</v>
      </c>
      <c r="C7" s="3" t="s">
        <v>382</v>
      </c>
    </row>
    <row r="8" customFormat="false" ht="15" hidden="false" customHeight="false" outlineLevel="0" collapsed="false">
      <c r="A8" s="5" t="s">
        <v>384</v>
      </c>
      <c r="B8" s="52" t="n">
        <v>0.25</v>
      </c>
      <c r="C8" s="3" t="s">
        <v>382</v>
      </c>
    </row>
    <row r="9" customFormat="false" ht="15" hidden="false" customHeight="false" outlineLevel="0" collapsed="false">
      <c r="A9" s="5" t="s">
        <v>385</v>
      </c>
      <c r="B9" s="52" t="n">
        <v>0.5</v>
      </c>
      <c r="C9" s="3" t="s">
        <v>386</v>
      </c>
    </row>
    <row r="10" customFormat="false" ht="15" hidden="false" customHeight="false" outlineLevel="0" collapsed="false">
      <c r="A10" s="5" t="s">
        <v>387</v>
      </c>
      <c r="B10" s="52" t="n">
        <v>0.5</v>
      </c>
      <c r="C10" s="3" t="s">
        <v>388</v>
      </c>
    </row>
    <row r="11" customFormat="false" ht="15" hidden="false" customHeight="false" outlineLevel="0" collapsed="false">
      <c r="A11" s="5" t="s">
        <v>389</v>
      </c>
      <c r="B11" s="52" t="n">
        <v>0.5</v>
      </c>
      <c r="C11" s="3" t="s">
        <v>390</v>
      </c>
    </row>
    <row r="12" customFormat="false" ht="15" hidden="false" customHeight="false" outlineLevel="0" collapsed="false">
      <c r="A12" s="5" t="s">
        <v>391</v>
      </c>
      <c r="B12" s="46" t="n">
        <v>7</v>
      </c>
      <c r="C12" s="3" t="s">
        <v>392</v>
      </c>
    </row>
    <row r="13" customFormat="false" ht="15" hidden="false" customHeight="false" outlineLevel="0" collapsed="false">
      <c r="A13" s="5" t="s">
        <v>393</v>
      </c>
      <c r="B13" s="48" t="n">
        <v>0.45</v>
      </c>
      <c r="C13" s="3" t="s">
        <v>394</v>
      </c>
    </row>
    <row r="14" customFormat="false" ht="15" hidden="false" customHeight="false" outlineLevel="0" collapsed="false">
      <c r="A14" s="5" t="s">
        <v>395</v>
      </c>
      <c r="B14" s="52" t="n">
        <v>0.25</v>
      </c>
      <c r="C14" s="3" t="s">
        <v>396</v>
      </c>
    </row>
    <row r="15" customFormat="false" ht="15" hidden="false" customHeight="false" outlineLevel="0" collapsed="false">
      <c r="A15" s="5" t="s">
        <v>397</v>
      </c>
      <c r="B15" s="53" t="n">
        <v>90000</v>
      </c>
      <c r="C15" s="3" t="s">
        <v>398</v>
      </c>
    </row>
    <row r="16" customFormat="false" ht="15" hidden="false" customHeight="false" outlineLevel="0" collapsed="false">
      <c r="A16" s="5" t="s">
        <v>399</v>
      </c>
      <c r="B16" s="46" t="n">
        <v>14</v>
      </c>
      <c r="C16" s="3" t="s">
        <v>400</v>
      </c>
    </row>
    <row r="17" customFormat="false" ht="15" hidden="false" customHeight="false" outlineLevel="0" collapsed="false">
      <c r="A17" s="5" t="s">
        <v>401</v>
      </c>
      <c r="B17" s="53" t="n">
        <v>24</v>
      </c>
      <c r="C17" s="3" t="s">
        <v>402</v>
      </c>
    </row>
    <row r="18" customFormat="false" ht="15" hidden="false" customHeight="false" outlineLevel="0" collapsed="false">
      <c r="A18" s="5" t="s">
        <v>403</v>
      </c>
      <c r="B18" s="53" t="n">
        <v>16</v>
      </c>
      <c r="C18" s="3" t="s">
        <v>404</v>
      </c>
    </row>
    <row r="19" customFormat="false" ht="15" hidden="false" customHeight="false" outlineLevel="0" collapsed="false">
      <c r="A19" s="5" t="s">
        <v>405</v>
      </c>
      <c r="B19" s="52" t="n">
        <v>0.6</v>
      </c>
      <c r="C19" s="3" t="s">
        <v>386</v>
      </c>
    </row>
    <row r="21" customFormat="false" ht="15" hidden="false" customHeight="false" outlineLevel="0" collapsed="false">
      <c r="A21" s="54" t="s">
        <v>406</v>
      </c>
      <c r="B21" s="54" t="s">
        <v>407</v>
      </c>
      <c r="C21" s="54" t="s">
        <v>408</v>
      </c>
      <c r="D21" s="54" t="s">
        <v>409</v>
      </c>
      <c r="E21" s="54" t="s">
        <v>410</v>
      </c>
      <c r="F21" s="54" t="s">
        <v>112</v>
      </c>
      <c r="H21" s="55" t="s">
        <v>411</v>
      </c>
      <c r="I21" s="55" t="s">
        <v>412</v>
      </c>
      <c r="J21" s="55" t="s">
        <v>413</v>
      </c>
      <c r="K21" s="55" t="s">
        <v>414</v>
      </c>
      <c r="L21" s="55" t="s">
        <v>415</v>
      </c>
      <c r="M21" s="55" t="s">
        <v>249</v>
      </c>
      <c r="N21" s="55" t="s">
        <v>250</v>
      </c>
      <c r="O21" s="55" t="s">
        <v>179</v>
      </c>
    </row>
    <row r="22" customFormat="false" ht="15" hidden="false" customHeight="false" outlineLevel="0" collapsed="false">
      <c r="A22" s="23" t="n">
        <v>0</v>
      </c>
      <c r="B22" s="23" t="s">
        <v>416</v>
      </c>
      <c r="C22" s="53" t="n">
        <v>45</v>
      </c>
      <c r="D22" s="53" t="n">
        <v>12</v>
      </c>
      <c r="E22" s="53" t="n">
        <v>140</v>
      </c>
      <c r="F22" s="53" t="n">
        <v>30</v>
      </c>
      <c r="H22" s="5" t="s">
        <v>117</v>
      </c>
      <c r="I22" s="5" t="s">
        <v>119</v>
      </c>
      <c r="J22" s="5" t="s">
        <v>171</v>
      </c>
      <c r="K22" s="5" t="s">
        <v>417</v>
      </c>
      <c r="L22" s="5" t="s">
        <v>230</v>
      </c>
      <c r="M22" s="5" t="s">
        <v>260</v>
      </c>
      <c r="N22" s="5" t="s">
        <v>261</v>
      </c>
      <c r="O22" s="5" t="s">
        <v>189</v>
      </c>
    </row>
    <row r="23" customFormat="false" ht="15" hidden="false" customHeight="false" outlineLevel="0" collapsed="false">
      <c r="A23" s="23" t="n">
        <v>1</v>
      </c>
      <c r="B23" s="23" t="s">
        <v>418</v>
      </c>
      <c r="C23" s="53" t="n">
        <v>50</v>
      </c>
      <c r="D23" s="53" t="n">
        <v>14</v>
      </c>
      <c r="E23" s="53" t="n">
        <v>170</v>
      </c>
      <c r="F23" s="53" t="n">
        <v>33</v>
      </c>
      <c r="H23" s="5" t="s">
        <v>419</v>
      </c>
      <c r="I23" s="5" t="s">
        <v>118</v>
      </c>
      <c r="J23" s="5" t="s">
        <v>168</v>
      </c>
      <c r="K23" s="5" t="s">
        <v>192</v>
      </c>
      <c r="L23" s="5" t="s">
        <v>420</v>
      </c>
      <c r="M23" s="5" t="s">
        <v>421</v>
      </c>
      <c r="N23" s="5" t="s">
        <v>422</v>
      </c>
      <c r="O23" s="5" t="s">
        <v>423</v>
      </c>
    </row>
    <row r="24" customFormat="false" ht="15" hidden="false" customHeight="false" outlineLevel="0" collapsed="false">
      <c r="A24" s="23" t="n">
        <v>2</v>
      </c>
      <c r="B24" s="23" t="s">
        <v>424</v>
      </c>
      <c r="C24" s="53" t="n">
        <v>60</v>
      </c>
      <c r="D24" s="53" t="n">
        <v>26</v>
      </c>
      <c r="E24" s="53" t="n">
        <v>210</v>
      </c>
      <c r="F24" s="53" t="n">
        <v>40</v>
      </c>
      <c r="H24" s="5" t="s">
        <v>124</v>
      </c>
      <c r="J24" s="5" t="s">
        <v>174</v>
      </c>
      <c r="K24" s="5" t="s">
        <v>425</v>
      </c>
      <c r="L24" s="5" t="s">
        <v>267</v>
      </c>
      <c r="O24" s="5" t="s">
        <v>426</v>
      </c>
    </row>
    <row r="25" customFormat="false" ht="15" hidden="false" customHeight="false" outlineLevel="0" collapsed="false">
      <c r="A25" s="23" t="n">
        <v>3</v>
      </c>
      <c r="B25" s="23" t="s">
        <v>427</v>
      </c>
      <c r="C25" s="53" t="n">
        <v>80</v>
      </c>
      <c r="D25" s="53" t="n">
        <v>38</v>
      </c>
      <c r="E25" s="53" t="n">
        <v>260</v>
      </c>
      <c r="F25" s="53" t="n">
        <v>52</v>
      </c>
      <c r="H25" s="5" t="s">
        <v>428</v>
      </c>
      <c r="J25" s="5" t="s">
        <v>429</v>
      </c>
      <c r="K25" s="5" t="s">
        <v>430</v>
      </c>
      <c r="L25" s="5" t="s">
        <v>431</v>
      </c>
      <c r="O25" s="5" t="s">
        <v>432</v>
      </c>
    </row>
    <row r="26" customFormat="false" ht="15" hidden="false" customHeight="false" outlineLevel="0" collapsed="false">
      <c r="A26" s="23" t="n">
        <v>4</v>
      </c>
      <c r="B26" s="23" t="s">
        <v>433</v>
      </c>
      <c r="C26" s="53" t="n">
        <v>100</v>
      </c>
      <c r="D26" s="53" t="n">
        <v>50</v>
      </c>
      <c r="E26" s="53" t="n">
        <v>320</v>
      </c>
      <c r="F26" s="53" t="n">
        <v>65</v>
      </c>
      <c r="H26" s="5" t="s">
        <v>434</v>
      </c>
      <c r="J26" s="5" t="s">
        <v>435</v>
      </c>
      <c r="K26" s="5" t="s">
        <v>436</v>
      </c>
      <c r="L26" s="5" t="s">
        <v>232</v>
      </c>
      <c r="O26" s="5" t="s">
        <v>437</v>
      </c>
    </row>
    <row r="27" customFormat="false" ht="15" hidden="false" customHeight="false" outlineLevel="0" collapsed="false">
      <c r="L27" s="5" t="s">
        <v>255</v>
      </c>
    </row>
    <row r="28" customFormat="false" ht="15" hidden="false" customHeight="false" outlineLevel="0" collapsed="false">
      <c r="A28" s="3" t="s">
        <v>438</v>
      </c>
      <c r="L28" s="5" t="s">
        <v>435</v>
      </c>
    </row>
    <row r="29" customFormat="false" ht="15" hidden="false" customHeight="false" outlineLevel="0" collapsed="false">
      <c r="L29" s="5" t="s">
        <v>439</v>
      </c>
    </row>
    <row r="30" customFormat="false" ht="15" hidden="false" customHeight="false" outlineLevel="0" collapsed="false">
      <c r="L30" s="5" t="s">
        <v>440</v>
      </c>
    </row>
    <row r="31" customFormat="false" ht="15" hidden="false" customHeight="false" outlineLevel="0" collapsed="false">
      <c r="L31" s="5" t="s">
        <v>441</v>
      </c>
    </row>
    <row r="32" customFormat="false" ht="15" hidden="false" customHeight="false" outlineLevel="0" collapsed="false">
      <c r="L32" s="5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2026-10-12T14:09:09Z</dcterms:created>
  <dc:creator>openpyxl</dc:creator>
  <dc:description/>
  <dc:language>en-US</dc:language>
  <cp:lastModifiedBy/>
  <dcterms:modified xsi:type="dcterms:W3CDTF">2026-10-12T14:09:11Z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